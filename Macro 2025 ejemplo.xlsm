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7.xml" ContentType="application/vnd.openxmlformats-officedocument.drawingml.chartshapes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drawings/drawing8.xml" ContentType="application/vnd.openxmlformats-officedocument.drawing+xml"/>
  <Override PartName="/xl/ctrlProps/ctrlProp3.xml" ContentType="application/vnd.ms-excel.controlproperties+xml"/>
  <Override PartName="/xl/charts/chart5.xml" ContentType="application/vnd.openxmlformats-officedocument.drawingml.chart+xml"/>
  <Override PartName="/xl/drawings/drawing9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showInkAnnotation="0" codeName="ThisWorkbook" hidePivotFieldList="1" showPivotChartFilter="1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8cee60aaa6107f3b/Desktop/ValorApp_v2/valorapp-v2/"/>
    </mc:Choice>
  </mc:AlternateContent>
  <xr:revisionPtr revIDLastSave="0" documentId="8_{44B02DCB-BCC7-4C3D-B502-40F1FD46D74A}" xr6:coauthVersionLast="47" xr6:coauthVersionMax="47" xr10:uidLastSave="{00000000-0000-0000-0000-000000000000}"/>
  <bookViews>
    <workbookView xWindow="-108" yWindow="-108" windowWidth="23256" windowHeight="12456" tabRatio="772" xr2:uid="{00000000-000D-0000-FFFF-FFFF00000000}"/>
  </bookViews>
  <sheets>
    <sheet name="Entrada datos" sheetId="1" r:id="rId1"/>
    <sheet name="Suma" sheetId="13" state="hidden" r:id="rId2"/>
    <sheet name="Temp Hisfa" sheetId="4" state="hidden" r:id="rId3"/>
    <sheet name="Vista por años" sheetId="10" r:id="rId4"/>
    <sheet name="Comparativa mensual" sheetId="16" r:id="rId5"/>
    <sheet name="Listado" sheetId="7" r:id="rId6"/>
    <sheet name="Gráfico1" sheetId="24" r:id="rId7"/>
    <sheet name="Gráfico2" sheetId="21" r:id="rId8"/>
    <sheet name="Resumen" sheetId="17" r:id="rId9"/>
    <sheet name="Valoración" sheetId="26" r:id="rId10"/>
    <sheet name="Comentario" sheetId="28" r:id="rId11"/>
  </sheets>
  <definedNames>
    <definedName name="_xlnm._FilterDatabase" localSheetId="0" hidden="1">'Entrada datos'!$G$1:$H$83</definedName>
    <definedName name="_xlnm._FilterDatabase" localSheetId="5" hidden="1">Listado!$A$2:$AB$202</definedName>
    <definedName name="_xlnm._FilterDatabase" localSheetId="9" hidden="1">Valoración!$A$4:$R$200</definedName>
    <definedName name="_xlnm.Print_Area" localSheetId="5">Listado!$A$2:$M$200</definedName>
    <definedName name="_xlnm.Print_Area" localSheetId="8">Resumen!$A$1:$L$78</definedName>
    <definedName name="_xlnm.Print_Area" localSheetId="9">Valoración!$A$1:$S$200</definedName>
    <definedName name="_xlnm.Print_Area" localSheetId="3">'Vista por años'!$A$1:$I$19</definedName>
    <definedName name="SegmentaciónDeDatos_Mes">#N/A</definedName>
  </definedNames>
  <calcPr calcId="191029"/>
  <pivotCaches>
    <pivotCache cacheId="3" r:id="rId12"/>
    <pivotCache cacheId="4" r:id="rId13"/>
    <pivotCache cacheId="5" r:id="rId14"/>
  </pivotCaches>
  <extLst>
    <ext xmlns:x14="http://schemas.microsoft.com/office/spreadsheetml/2009/9/main" uri="{BBE1A952-AA13-448e-AADC-164F8A28A991}">
      <x14:slicerCaches>
        <x14:slicerCache r:id="rId15"/>
      </x14:slicerCach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3" i="13" l="1"/>
  <c r="B3" i="13"/>
  <c r="C3" i="13"/>
  <c r="D3" i="13"/>
  <c r="E3" i="13"/>
  <c r="AT3" i="13" s="1"/>
  <c r="F3" i="13"/>
  <c r="G3" i="13"/>
  <c r="H3" i="13"/>
  <c r="I3" i="13"/>
  <c r="J3" i="13"/>
  <c r="K3" i="13"/>
  <c r="L3" i="13"/>
  <c r="M3" i="13"/>
  <c r="N3" i="13"/>
  <c r="O3" i="13"/>
  <c r="Q3" i="13"/>
  <c r="R3" i="13"/>
  <c r="S3" i="13"/>
  <c r="T3" i="13"/>
  <c r="U3" i="13"/>
  <c r="V3" i="13"/>
  <c r="X3" i="13"/>
  <c r="Y3" i="13"/>
  <c r="Z3" i="13"/>
  <c r="AA3" i="13"/>
  <c r="AB3" i="13"/>
  <c r="AC3" i="13"/>
  <c r="AE3" i="13"/>
  <c r="AF3" i="13"/>
  <c r="AG3" i="13"/>
  <c r="AH3" i="13"/>
  <c r="AI3" i="13"/>
  <c r="AJ3" i="13"/>
  <c r="AL3" i="13"/>
  <c r="AM3" i="13"/>
  <c r="AN3" i="13"/>
  <c r="AO3" i="13"/>
  <c r="AP3" i="13"/>
  <c r="AQ3" i="13"/>
  <c r="A4" i="13"/>
  <c r="B4" i="13"/>
  <c r="C4" i="13"/>
  <c r="D4" i="13"/>
  <c r="E4" i="13"/>
  <c r="F4" i="13"/>
  <c r="AW4" i="13" s="1"/>
  <c r="G4" i="13"/>
  <c r="H4" i="13"/>
  <c r="I4" i="13"/>
  <c r="J4" i="13"/>
  <c r="K4" i="13"/>
  <c r="L4" i="13"/>
  <c r="M4" i="13"/>
  <c r="N4" i="13"/>
  <c r="O4" i="13"/>
  <c r="Q4" i="13"/>
  <c r="R4" i="13"/>
  <c r="S4" i="13"/>
  <c r="T4" i="13"/>
  <c r="U4" i="13"/>
  <c r="V4" i="13"/>
  <c r="X4" i="13"/>
  <c r="Y4" i="13"/>
  <c r="Z4" i="13"/>
  <c r="AA4" i="13"/>
  <c r="AB4" i="13"/>
  <c r="AC4" i="13"/>
  <c r="AE4" i="13"/>
  <c r="AF4" i="13"/>
  <c r="AG4" i="13"/>
  <c r="AH4" i="13"/>
  <c r="AI4" i="13"/>
  <c r="AJ4" i="13"/>
  <c r="AL4" i="13"/>
  <c r="AM4" i="13"/>
  <c r="AN4" i="13"/>
  <c r="AO4" i="13"/>
  <c r="AP4" i="13"/>
  <c r="AQ4" i="13"/>
  <c r="A5" i="13"/>
  <c r="B5" i="13"/>
  <c r="C5" i="13"/>
  <c r="D5" i="13"/>
  <c r="E5" i="13"/>
  <c r="AT5" i="13" s="1"/>
  <c r="F5" i="13"/>
  <c r="G5" i="13"/>
  <c r="H5" i="13"/>
  <c r="I5" i="13"/>
  <c r="J5" i="13"/>
  <c r="K5" i="13"/>
  <c r="L5" i="13"/>
  <c r="M5" i="13"/>
  <c r="N5" i="13"/>
  <c r="O5" i="13"/>
  <c r="Q5" i="13"/>
  <c r="R5" i="13"/>
  <c r="S5" i="13"/>
  <c r="T5" i="13"/>
  <c r="U5" i="13"/>
  <c r="V5" i="13"/>
  <c r="X5" i="13"/>
  <c r="Y5" i="13"/>
  <c r="Z5" i="13"/>
  <c r="AA5" i="13"/>
  <c r="AB5" i="13"/>
  <c r="AC5" i="13"/>
  <c r="AE5" i="13"/>
  <c r="AF5" i="13"/>
  <c r="AG5" i="13"/>
  <c r="AH5" i="13"/>
  <c r="AI5" i="13"/>
  <c r="AJ5" i="13"/>
  <c r="AL5" i="13"/>
  <c r="AM5" i="13"/>
  <c r="AN5" i="13"/>
  <c r="AO5" i="13"/>
  <c r="AP5" i="13"/>
  <c r="AQ5" i="13"/>
  <c r="A6" i="13"/>
  <c r="B6" i="13"/>
  <c r="C6" i="13"/>
  <c r="D6" i="13"/>
  <c r="E6" i="13"/>
  <c r="AT6" i="13" s="1"/>
  <c r="F6" i="13"/>
  <c r="G6" i="13"/>
  <c r="H6" i="13"/>
  <c r="I6" i="13"/>
  <c r="J6" i="13"/>
  <c r="K6" i="13"/>
  <c r="L6" i="13"/>
  <c r="M6" i="13"/>
  <c r="N6" i="13"/>
  <c r="O6" i="13"/>
  <c r="Q6" i="13"/>
  <c r="R6" i="13"/>
  <c r="S6" i="13"/>
  <c r="T6" i="13"/>
  <c r="U6" i="13"/>
  <c r="V6" i="13"/>
  <c r="X6" i="13"/>
  <c r="Y6" i="13"/>
  <c r="Z6" i="13"/>
  <c r="AA6" i="13"/>
  <c r="AB6" i="13"/>
  <c r="AC6" i="13"/>
  <c r="AE6" i="13"/>
  <c r="AF6" i="13"/>
  <c r="AG6" i="13"/>
  <c r="AH6" i="13"/>
  <c r="AI6" i="13"/>
  <c r="AJ6" i="13"/>
  <c r="AL6" i="13"/>
  <c r="AM6" i="13"/>
  <c r="AN6" i="13"/>
  <c r="AO6" i="13"/>
  <c r="AP6" i="13"/>
  <c r="AQ6" i="13"/>
  <c r="A7" i="13"/>
  <c r="B7" i="13"/>
  <c r="C7" i="13"/>
  <c r="D7" i="13"/>
  <c r="E7" i="13"/>
  <c r="AU7" i="13" s="1"/>
  <c r="F7" i="13"/>
  <c r="G7" i="13"/>
  <c r="H7" i="13"/>
  <c r="I7" i="13"/>
  <c r="J7" i="13"/>
  <c r="K7" i="13"/>
  <c r="L7" i="13"/>
  <c r="M7" i="13"/>
  <c r="N7" i="13"/>
  <c r="O7" i="13"/>
  <c r="Q7" i="13"/>
  <c r="R7" i="13"/>
  <c r="S7" i="13"/>
  <c r="T7" i="13"/>
  <c r="U7" i="13"/>
  <c r="V7" i="13"/>
  <c r="X7" i="13"/>
  <c r="Y7" i="13"/>
  <c r="Z7" i="13"/>
  <c r="AA7" i="13"/>
  <c r="AB7" i="13"/>
  <c r="AC7" i="13"/>
  <c r="AE7" i="13"/>
  <c r="AF7" i="13"/>
  <c r="AG7" i="13"/>
  <c r="AH7" i="13"/>
  <c r="AI7" i="13"/>
  <c r="AJ7" i="13"/>
  <c r="AL7" i="13"/>
  <c r="AM7" i="13"/>
  <c r="AN7" i="13"/>
  <c r="AO7" i="13"/>
  <c r="AP7" i="13"/>
  <c r="AQ7" i="13"/>
  <c r="A8" i="13"/>
  <c r="B8" i="13"/>
  <c r="C8" i="13"/>
  <c r="D8" i="13"/>
  <c r="E8" i="13"/>
  <c r="AT8" i="13" s="1"/>
  <c r="F8" i="13"/>
  <c r="G8" i="13"/>
  <c r="H8" i="13"/>
  <c r="I8" i="13"/>
  <c r="J8" i="13"/>
  <c r="K8" i="13"/>
  <c r="L8" i="13"/>
  <c r="M8" i="13"/>
  <c r="N8" i="13"/>
  <c r="O8" i="13"/>
  <c r="Q8" i="13"/>
  <c r="R8" i="13"/>
  <c r="S8" i="13"/>
  <c r="T8" i="13"/>
  <c r="U8" i="13"/>
  <c r="V8" i="13"/>
  <c r="X8" i="13"/>
  <c r="Y8" i="13"/>
  <c r="Z8" i="13"/>
  <c r="AA8" i="13"/>
  <c r="AB8" i="13"/>
  <c r="AC8" i="13"/>
  <c r="AE8" i="13"/>
  <c r="AF8" i="13"/>
  <c r="AG8" i="13"/>
  <c r="AH8" i="13"/>
  <c r="AI8" i="13"/>
  <c r="AJ8" i="13"/>
  <c r="AL8" i="13"/>
  <c r="AM8" i="13"/>
  <c r="AN8" i="13"/>
  <c r="AO8" i="13"/>
  <c r="AP8" i="13"/>
  <c r="AQ8" i="13"/>
  <c r="A9" i="13"/>
  <c r="B9" i="13"/>
  <c r="C9" i="13"/>
  <c r="D9" i="13"/>
  <c r="E9" i="13"/>
  <c r="AU9" i="13" s="1"/>
  <c r="F9" i="13"/>
  <c r="G9" i="13"/>
  <c r="H9" i="13"/>
  <c r="I9" i="13"/>
  <c r="J9" i="13"/>
  <c r="K9" i="13"/>
  <c r="L9" i="13"/>
  <c r="M9" i="13"/>
  <c r="N9" i="13"/>
  <c r="O9" i="13"/>
  <c r="Q9" i="13"/>
  <c r="R9" i="13"/>
  <c r="S9" i="13"/>
  <c r="T9" i="13"/>
  <c r="U9" i="13"/>
  <c r="V9" i="13"/>
  <c r="X9" i="13"/>
  <c r="Y9" i="13"/>
  <c r="Z9" i="13"/>
  <c r="AA9" i="13"/>
  <c r="AB9" i="13"/>
  <c r="AC9" i="13"/>
  <c r="AE9" i="13"/>
  <c r="AF9" i="13"/>
  <c r="AG9" i="13"/>
  <c r="AH9" i="13"/>
  <c r="AI9" i="13"/>
  <c r="AJ9" i="13"/>
  <c r="AL9" i="13"/>
  <c r="AM9" i="13"/>
  <c r="AN9" i="13"/>
  <c r="AO9" i="13"/>
  <c r="AP9" i="13"/>
  <c r="AQ9" i="13"/>
  <c r="A10" i="13"/>
  <c r="B10" i="13"/>
  <c r="C10" i="13"/>
  <c r="D10" i="13"/>
  <c r="E10" i="13"/>
  <c r="AU10" i="13" s="1"/>
  <c r="F10" i="13"/>
  <c r="G10" i="13"/>
  <c r="H10" i="13"/>
  <c r="I10" i="13"/>
  <c r="J10" i="13"/>
  <c r="K10" i="13"/>
  <c r="L10" i="13"/>
  <c r="M10" i="13"/>
  <c r="N10" i="13"/>
  <c r="O10" i="13"/>
  <c r="Q10" i="13"/>
  <c r="R10" i="13"/>
  <c r="S10" i="13"/>
  <c r="T10" i="13"/>
  <c r="U10" i="13"/>
  <c r="V10" i="13"/>
  <c r="X10" i="13"/>
  <c r="Y10" i="13"/>
  <c r="Z10" i="13"/>
  <c r="AA10" i="13"/>
  <c r="AB10" i="13"/>
  <c r="AC10" i="13"/>
  <c r="AE10" i="13"/>
  <c r="AF10" i="13"/>
  <c r="AG10" i="13"/>
  <c r="AH10" i="13"/>
  <c r="AI10" i="13"/>
  <c r="AJ10" i="13"/>
  <c r="AL10" i="13"/>
  <c r="AM10" i="13"/>
  <c r="AN10" i="13"/>
  <c r="AO10" i="13"/>
  <c r="AP10" i="13"/>
  <c r="AQ10" i="13"/>
  <c r="A11" i="13"/>
  <c r="B11" i="13"/>
  <c r="C11" i="13"/>
  <c r="D11" i="13"/>
  <c r="E11" i="13"/>
  <c r="AT11" i="13" s="1"/>
  <c r="F11" i="13"/>
  <c r="G11" i="13"/>
  <c r="H11" i="13"/>
  <c r="I11" i="13"/>
  <c r="J11" i="13"/>
  <c r="K11" i="13"/>
  <c r="L11" i="13"/>
  <c r="M11" i="13"/>
  <c r="N11" i="13"/>
  <c r="O11" i="13"/>
  <c r="Q11" i="13"/>
  <c r="R11" i="13"/>
  <c r="S11" i="13"/>
  <c r="T11" i="13"/>
  <c r="U11" i="13"/>
  <c r="V11" i="13"/>
  <c r="X11" i="13"/>
  <c r="Y11" i="13"/>
  <c r="Z11" i="13"/>
  <c r="AA11" i="13"/>
  <c r="AB11" i="13"/>
  <c r="AC11" i="13"/>
  <c r="AE11" i="13"/>
  <c r="AF11" i="13"/>
  <c r="AG11" i="13"/>
  <c r="AH11" i="13"/>
  <c r="AI11" i="13"/>
  <c r="AJ11" i="13"/>
  <c r="AL11" i="13"/>
  <c r="AM11" i="13"/>
  <c r="AN11" i="13"/>
  <c r="AO11" i="13"/>
  <c r="AP11" i="13"/>
  <c r="AQ11" i="13"/>
  <c r="A12" i="13"/>
  <c r="B12" i="13"/>
  <c r="C12" i="13"/>
  <c r="D12" i="13"/>
  <c r="E12" i="13"/>
  <c r="AU12" i="13" s="1"/>
  <c r="F12" i="13"/>
  <c r="G12" i="13"/>
  <c r="H12" i="13"/>
  <c r="I12" i="13"/>
  <c r="J12" i="13"/>
  <c r="K12" i="13"/>
  <c r="L12" i="13"/>
  <c r="M12" i="13"/>
  <c r="N12" i="13"/>
  <c r="O12" i="13"/>
  <c r="Q12" i="13"/>
  <c r="R12" i="13"/>
  <c r="S12" i="13"/>
  <c r="T12" i="13"/>
  <c r="U12" i="13"/>
  <c r="V12" i="13"/>
  <c r="X12" i="13"/>
  <c r="Y12" i="13"/>
  <c r="Z12" i="13"/>
  <c r="AA12" i="13"/>
  <c r="AB12" i="13"/>
  <c r="AC12" i="13"/>
  <c r="AE12" i="13"/>
  <c r="AF12" i="13"/>
  <c r="AG12" i="13"/>
  <c r="AH12" i="13"/>
  <c r="AI12" i="13"/>
  <c r="AJ12" i="13"/>
  <c r="AL12" i="13"/>
  <c r="AM12" i="13"/>
  <c r="AN12" i="13"/>
  <c r="AO12" i="13"/>
  <c r="AP12" i="13"/>
  <c r="AQ12" i="13"/>
  <c r="A13" i="13"/>
  <c r="B13" i="13"/>
  <c r="C13" i="13"/>
  <c r="D13" i="13"/>
  <c r="E13" i="13"/>
  <c r="AT13" i="13" s="1"/>
  <c r="F13" i="13"/>
  <c r="G13" i="13"/>
  <c r="H13" i="13"/>
  <c r="I13" i="13"/>
  <c r="J13" i="13"/>
  <c r="K13" i="13"/>
  <c r="L13" i="13"/>
  <c r="M13" i="13"/>
  <c r="N13" i="13"/>
  <c r="O13" i="13"/>
  <c r="Q13" i="13"/>
  <c r="R13" i="13"/>
  <c r="S13" i="13"/>
  <c r="T13" i="13"/>
  <c r="U13" i="13"/>
  <c r="V13" i="13"/>
  <c r="X13" i="13"/>
  <c r="Y13" i="13"/>
  <c r="Z13" i="13"/>
  <c r="AA13" i="13"/>
  <c r="AB13" i="13"/>
  <c r="AC13" i="13"/>
  <c r="AE13" i="13"/>
  <c r="AF13" i="13"/>
  <c r="AG13" i="13"/>
  <c r="AH13" i="13"/>
  <c r="AI13" i="13"/>
  <c r="AJ13" i="13"/>
  <c r="AL13" i="13"/>
  <c r="AM13" i="13"/>
  <c r="AN13" i="13"/>
  <c r="AO13" i="13"/>
  <c r="AP13" i="13"/>
  <c r="AQ13" i="13"/>
  <c r="A14" i="13"/>
  <c r="B14" i="13"/>
  <c r="C14" i="13"/>
  <c r="D14" i="13"/>
  <c r="E14" i="13"/>
  <c r="AT14" i="13" s="1"/>
  <c r="F14" i="13"/>
  <c r="G14" i="13"/>
  <c r="H14" i="13"/>
  <c r="I14" i="13"/>
  <c r="J14" i="13"/>
  <c r="K14" i="13"/>
  <c r="L14" i="13"/>
  <c r="M14" i="13"/>
  <c r="N14" i="13"/>
  <c r="O14" i="13"/>
  <c r="Q14" i="13"/>
  <c r="R14" i="13"/>
  <c r="S14" i="13"/>
  <c r="T14" i="13"/>
  <c r="U14" i="13"/>
  <c r="V14" i="13"/>
  <c r="X14" i="13"/>
  <c r="Y14" i="13"/>
  <c r="Z14" i="13"/>
  <c r="AA14" i="13"/>
  <c r="AB14" i="13"/>
  <c r="AC14" i="13"/>
  <c r="AE14" i="13"/>
  <c r="AF14" i="13"/>
  <c r="AG14" i="13"/>
  <c r="AH14" i="13"/>
  <c r="AI14" i="13"/>
  <c r="AJ14" i="13"/>
  <c r="AL14" i="13"/>
  <c r="AM14" i="13"/>
  <c r="AN14" i="13"/>
  <c r="AO14" i="13"/>
  <c r="AP14" i="13"/>
  <c r="AQ14" i="13"/>
  <c r="A15" i="13"/>
  <c r="B15" i="13"/>
  <c r="C15" i="13"/>
  <c r="D15" i="13"/>
  <c r="E15" i="13"/>
  <c r="F15" i="13"/>
  <c r="G15" i="13"/>
  <c r="H15" i="13"/>
  <c r="I15" i="13"/>
  <c r="J15" i="13"/>
  <c r="K15" i="13"/>
  <c r="L15" i="13"/>
  <c r="M15" i="13"/>
  <c r="N15" i="13"/>
  <c r="O15" i="13"/>
  <c r="Q15" i="13"/>
  <c r="R15" i="13"/>
  <c r="S15" i="13"/>
  <c r="T15" i="13"/>
  <c r="U15" i="13"/>
  <c r="V15" i="13"/>
  <c r="X15" i="13"/>
  <c r="Y15" i="13"/>
  <c r="Z15" i="13"/>
  <c r="AA15" i="13"/>
  <c r="AB15" i="13"/>
  <c r="AC15" i="13"/>
  <c r="AE15" i="13"/>
  <c r="AF15" i="13"/>
  <c r="AG15" i="13"/>
  <c r="AH15" i="13"/>
  <c r="AI15" i="13"/>
  <c r="AJ15" i="13"/>
  <c r="AL15" i="13"/>
  <c r="AM15" i="13"/>
  <c r="AN15" i="13"/>
  <c r="AO15" i="13"/>
  <c r="AP15" i="13"/>
  <c r="AQ15" i="13"/>
  <c r="A16" i="13"/>
  <c r="B16" i="13"/>
  <c r="C16" i="13"/>
  <c r="D16" i="13"/>
  <c r="E16" i="13"/>
  <c r="AT16" i="13" s="1"/>
  <c r="F16" i="13"/>
  <c r="G16" i="13"/>
  <c r="H16" i="13"/>
  <c r="I16" i="13"/>
  <c r="J16" i="13"/>
  <c r="K16" i="13"/>
  <c r="L16" i="13"/>
  <c r="M16" i="13"/>
  <c r="N16" i="13"/>
  <c r="O16" i="13"/>
  <c r="Q16" i="13"/>
  <c r="R16" i="13"/>
  <c r="S16" i="13"/>
  <c r="T16" i="13"/>
  <c r="U16" i="13"/>
  <c r="V16" i="13"/>
  <c r="X16" i="13"/>
  <c r="Y16" i="13"/>
  <c r="Z16" i="13"/>
  <c r="AA16" i="13"/>
  <c r="AB16" i="13"/>
  <c r="AC16" i="13"/>
  <c r="AE16" i="13"/>
  <c r="AF16" i="13"/>
  <c r="AG16" i="13"/>
  <c r="AH16" i="13"/>
  <c r="AI16" i="13"/>
  <c r="AJ16" i="13"/>
  <c r="AL16" i="13"/>
  <c r="AM16" i="13"/>
  <c r="AN16" i="13"/>
  <c r="AO16" i="13"/>
  <c r="AP16" i="13"/>
  <c r="AQ16" i="13"/>
  <c r="A17" i="13"/>
  <c r="B17" i="13"/>
  <c r="C17" i="13"/>
  <c r="D17" i="13"/>
  <c r="E17" i="13"/>
  <c r="AT17" i="13" s="1"/>
  <c r="F17" i="13"/>
  <c r="G17" i="13"/>
  <c r="H17" i="13"/>
  <c r="I17" i="13"/>
  <c r="J17" i="13"/>
  <c r="K17" i="13"/>
  <c r="L17" i="13"/>
  <c r="M17" i="13"/>
  <c r="N17" i="13"/>
  <c r="O17" i="13"/>
  <c r="Q17" i="13"/>
  <c r="R17" i="13"/>
  <c r="S17" i="13"/>
  <c r="T17" i="13"/>
  <c r="U17" i="13"/>
  <c r="V17" i="13"/>
  <c r="X17" i="13"/>
  <c r="Y17" i="13"/>
  <c r="Z17" i="13"/>
  <c r="AA17" i="13"/>
  <c r="AB17" i="13"/>
  <c r="AC17" i="13"/>
  <c r="AE17" i="13"/>
  <c r="AF17" i="13"/>
  <c r="AG17" i="13"/>
  <c r="AH17" i="13"/>
  <c r="AI17" i="13"/>
  <c r="AJ17" i="13"/>
  <c r="AL17" i="13"/>
  <c r="AM17" i="13"/>
  <c r="AN17" i="13"/>
  <c r="AO17" i="13"/>
  <c r="AP17" i="13"/>
  <c r="AQ17" i="13"/>
  <c r="A18" i="13"/>
  <c r="B18" i="13"/>
  <c r="C18" i="13"/>
  <c r="D18" i="13"/>
  <c r="E18" i="13"/>
  <c r="AT18" i="13" s="1"/>
  <c r="F18" i="13"/>
  <c r="G18" i="13"/>
  <c r="H18" i="13"/>
  <c r="I18" i="13"/>
  <c r="J18" i="13"/>
  <c r="K18" i="13"/>
  <c r="L18" i="13"/>
  <c r="M18" i="13"/>
  <c r="N18" i="13"/>
  <c r="O18" i="13"/>
  <c r="Q18" i="13"/>
  <c r="R18" i="13"/>
  <c r="S18" i="13"/>
  <c r="T18" i="13"/>
  <c r="U18" i="13"/>
  <c r="V18" i="13"/>
  <c r="X18" i="13"/>
  <c r="Y18" i="13"/>
  <c r="Z18" i="13"/>
  <c r="AA18" i="13"/>
  <c r="AB18" i="13"/>
  <c r="AC18" i="13"/>
  <c r="AE18" i="13"/>
  <c r="AF18" i="13"/>
  <c r="AG18" i="13"/>
  <c r="AH18" i="13"/>
  <c r="AI18" i="13"/>
  <c r="AJ18" i="13"/>
  <c r="AL18" i="13"/>
  <c r="AM18" i="13"/>
  <c r="AN18" i="13"/>
  <c r="AO18" i="13"/>
  <c r="AP18" i="13"/>
  <c r="AQ18" i="13"/>
  <c r="A19" i="13"/>
  <c r="B19" i="13"/>
  <c r="C19" i="13"/>
  <c r="D19" i="13"/>
  <c r="E19" i="13"/>
  <c r="F19" i="13"/>
  <c r="G19" i="13"/>
  <c r="H19" i="13"/>
  <c r="I19" i="13"/>
  <c r="J19" i="13"/>
  <c r="K19" i="13"/>
  <c r="L19" i="13"/>
  <c r="M19" i="13"/>
  <c r="N19" i="13"/>
  <c r="O19" i="13"/>
  <c r="Q19" i="13"/>
  <c r="R19" i="13"/>
  <c r="S19" i="13"/>
  <c r="T19" i="13"/>
  <c r="U19" i="13"/>
  <c r="V19" i="13"/>
  <c r="X19" i="13"/>
  <c r="Y19" i="13"/>
  <c r="Z19" i="13"/>
  <c r="AA19" i="13"/>
  <c r="AB19" i="13"/>
  <c r="AC19" i="13"/>
  <c r="AE19" i="13"/>
  <c r="AF19" i="13"/>
  <c r="AG19" i="13"/>
  <c r="AH19" i="13"/>
  <c r="AI19" i="13"/>
  <c r="AJ19" i="13"/>
  <c r="AL19" i="13"/>
  <c r="AM19" i="13"/>
  <c r="AN19" i="13"/>
  <c r="AO19" i="13"/>
  <c r="AP19" i="13"/>
  <c r="AQ19" i="13"/>
  <c r="A20" i="13"/>
  <c r="B20" i="13"/>
  <c r="C20" i="13"/>
  <c r="D20" i="13"/>
  <c r="E20" i="13"/>
  <c r="AT20" i="13" s="1"/>
  <c r="F20" i="13"/>
  <c r="G20" i="13"/>
  <c r="H20" i="13"/>
  <c r="I20" i="13"/>
  <c r="J20" i="13"/>
  <c r="K20" i="13"/>
  <c r="L20" i="13"/>
  <c r="M20" i="13"/>
  <c r="N20" i="13"/>
  <c r="O20" i="13"/>
  <c r="Q20" i="13"/>
  <c r="R20" i="13"/>
  <c r="S20" i="13"/>
  <c r="T20" i="13"/>
  <c r="U20" i="13"/>
  <c r="V20" i="13"/>
  <c r="X20" i="13"/>
  <c r="Y20" i="13"/>
  <c r="Z20" i="13"/>
  <c r="AA20" i="13"/>
  <c r="AB20" i="13"/>
  <c r="AC20" i="13"/>
  <c r="AE20" i="13"/>
  <c r="AF20" i="13"/>
  <c r="AG20" i="13"/>
  <c r="AH20" i="13"/>
  <c r="AI20" i="13"/>
  <c r="AJ20" i="13"/>
  <c r="AL20" i="13"/>
  <c r="AM20" i="13"/>
  <c r="AN20" i="13"/>
  <c r="AO20" i="13"/>
  <c r="AP20" i="13"/>
  <c r="AQ20" i="13"/>
  <c r="A21" i="13"/>
  <c r="B21" i="13"/>
  <c r="C21" i="13"/>
  <c r="D21" i="13"/>
  <c r="E21" i="13"/>
  <c r="AT21" i="13" s="1"/>
  <c r="F21" i="13"/>
  <c r="G21" i="13"/>
  <c r="H21" i="13"/>
  <c r="I21" i="13"/>
  <c r="J21" i="13"/>
  <c r="K21" i="13"/>
  <c r="L21" i="13"/>
  <c r="M21" i="13"/>
  <c r="N21" i="13"/>
  <c r="O21" i="13"/>
  <c r="Q21" i="13"/>
  <c r="R21" i="13"/>
  <c r="S21" i="13"/>
  <c r="T21" i="13"/>
  <c r="U21" i="13"/>
  <c r="V21" i="13"/>
  <c r="X21" i="13"/>
  <c r="Y21" i="13"/>
  <c r="Z21" i="13"/>
  <c r="AA21" i="13"/>
  <c r="AB21" i="13"/>
  <c r="AC21" i="13"/>
  <c r="AE21" i="13"/>
  <c r="AF21" i="13"/>
  <c r="AG21" i="13"/>
  <c r="AH21" i="13"/>
  <c r="AI21" i="13"/>
  <c r="AJ21" i="13"/>
  <c r="AL21" i="13"/>
  <c r="AM21" i="13"/>
  <c r="AN21" i="13"/>
  <c r="AO21" i="13"/>
  <c r="AP21" i="13"/>
  <c r="AQ21" i="13"/>
  <c r="A22" i="13"/>
  <c r="B22" i="13"/>
  <c r="C22" i="13"/>
  <c r="D22" i="13"/>
  <c r="E22" i="13"/>
  <c r="F22" i="13"/>
  <c r="G22" i="13"/>
  <c r="H22" i="13"/>
  <c r="I22" i="13"/>
  <c r="J22" i="13"/>
  <c r="K22" i="13"/>
  <c r="L22" i="13"/>
  <c r="M22" i="13"/>
  <c r="N22" i="13"/>
  <c r="O22" i="13"/>
  <c r="Q22" i="13"/>
  <c r="R22" i="13"/>
  <c r="S22" i="13"/>
  <c r="T22" i="13"/>
  <c r="U22" i="13"/>
  <c r="V22" i="13"/>
  <c r="X22" i="13"/>
  <c r="Y22" i="13"/>
  <c r="Z22" i="13"/>
  <c r="AA22" i="13"/>
  <c r="AB22" i="13"/>
  <c r="AC22" i="13"/>
  <c r="AE22" i="13"/>
  <c r="AF22" i="13"/>
  <c r="AG22" i="13"/>
  <c r="AH22" i="13"/>
  <c r="AI22" i="13"/>
  <c r="AJ22" i="13"/>
  <c r="AL22" i="13"/>
  <c r="AM22" i="13"/>
  <c r="AN22" i="13"/>
  <c r="AO22" i="13"/>
  <c r="AP22" i="13"/>
  <c r="AQ22" i="13"/>
  <c r="A23" i="13"/>
  <c r="B23" i="13"/>
  <c r="C23" i="13"/>
  <c r="D23" i="13"/>
  <c r="E23" i="13"/>
  <c r="AT23" i="13" s="1"/>
  <c r="F23" i="13"/>
  <c r="G23" i="13"/>
  <c r="H23" i="13"/>
  <c r="I23" i="13"/>
  <c r="J23" i="13"/>
  <c r="K23" i="13"/>
  <c r="L23" i="13"/>
  <c r="M23" i="13"/>
  <c r="N23" i="13"/>
  <c r="O23" i="13"/>
  <c r="Q23" i="13"/>
  <c r="R23" i="13"/>
  <c r="S23" i="13"/>
  <c r="T23" i="13"/>
  <c r="U23" i="13"/>
  <c r="V23" i="13"/>
  <c r="X23" i="13"/>
  <c r="Y23" i="13"/>
  <c r="Z23" i="13"/>
  <c r="AA23" i="13"/>
  <c r="AB23" i="13"/>
  <c r="AC23" i="13"/>
  <c r="AE23" i="13"/>
  <c r="AF23" i="13"/>
  <c r="AG23" i="13"/>
  <c r="AH23" i="13"/>
  <c r="AI23" i="13"/>
  <c r="AJ23" i="13"/>
  <c r="AL23" i="13"/>
  <c r="AM23" i="13"/>
  <c r="AN23" i="13"/>
  <c r="AO23" i="13"/>
  <c r="AP23" i="13"/>
  <c r="AQ23" i="13"/>
  <c r="A24" i="13"/>
  <c r="B24" i="13"/>
  <c r="C24" i="13"/>
  <c r="D24" i="13"/>
  <c r="E24" i="13"/>
  <c r="AT24" i="13" s="1"/>
  <c r="F24" i="13"/>
  <c r="G24" i="13"/>
  <c r="H24" i="13"/>
  <c r="I24" i="13"/>
  <c r="J24" i="13"/>
  <c r="K24" i="13"/>
  <c r="L24" i="13"/>
  <c r="M24" i="13"/>
  <c r="N24" i="13"/>
  <c r="O24" i="13"/>
  <c r="Q24" i="13"/>
  <c r="R24" i="13"/>
  <c r="S24" i="13"/>
  <c r="T24" i="13"/>
  <c r="U24" i="13"/>
  <c r="V24" i="13"/>
  <c r="X24" i="13"/>
  <c r="Y24" i="13"/>
  <c r="Z24" i="13"/>
  <c r="AA24" i="13"/>
  <c r="AB24" i="13"/>
  <c r="AC24" i="13"/>
  <c r="AE24" i="13"/>
  <c r="AF24" i="13"/>
  <c r="AG24" i="13"/>
  <c r="AH24" i="13"/>
  <c r="AI24" i="13"/>
  <c r="AJ24" i="13"/>
  <c r="AL24" i="13"/>
  <c r="AM24" i="13"/>
  <c r="AN24" i="13"/>
  <c r="AO24" i="13"/>
  <c r="AP24" i="13"/>
  <c r="AQ24" i="13"/>
  <c r="A25" i="13"/>
  <c r="B25" i="13"/>
  <c r="C25" i="13"/>
  <c r="D25" i="13"/>
  <c r="E25" i="13"/>
  <c r="AT25" i="13" s="1"/>
  <c r="F25" i="13"/>
  <c r="G25" i="13"/>
  <c r="H25" i="13"/>
  <c r="I25" i="13"/>
  <c r="J25" i="13"/>
  <c r="K25" i="13"/>
  <c r="L25" i="13"/>
  <c r="M25" i="13"/>
  <c r="N25" i="13"/>
  <c r="O25" i="13"/>
  <c r="Q25" i="13"/>
  <c r="R25" i="13"/>
  <c r="S25" i="13"/>
  <c r="T25" i="13"/>
  <c r="U25" i="13"/>
  <c r="V25" i="13"/>
  <c r="X25" i="13"/>
  <c r="Y25" i="13"/>
  <c r="Z25" i="13"/>
  <c r="AA25" i="13"/>
  <c r="AB25" i="13"/>
  <c r="AC25" i="13"/>
  <c r="AE25" i="13"/>
  <c r="AF25" i="13"/>
  <c r="AG25" i="13"/>
  <c r="AH25" i="13"/>
  <c r="AI25" i="13"/>
  <c r="AJ25" i="13"/>
  <c r="AL25" i="13"/>
  <c r="AM25" i="13"/>
  <c r="AN25" i="13"/>
  <c r="AO25" i="13"/>
  <c r="AP25" i="13"/>
  <c r="AQ25" i="13"/>
  <c r="A26" i="13"/>
  <c r="B26" i="13"/>
  <c r="C26" i="13"/>
  <c r="D26" i="13"/>
  <c r="E26" i="13"/>
  <c r="AT26" i="13" s="1"/>
  <c r="F26" i="13"/>
  <c r="G26" i="13"/>
  <c r="H26" i="13"/>
  <c r="I26" i="13"/>
  <c r="J26" i="13"/>
  <c r="K26" i="13"/>
  <c r="L26" i="13"/>
  <c r="M26" i="13"/>
  <c r="N26" i="13"/>
  <c r="O26" i="13"/>
  <c r="Q26" i="13"/>
  <c r="R26" i="13"/>
  <c r="S26" i="13"/>
  <c r="T26" i="13"/>
  <c r="U26" i="13"/>
  <c r="V26" i="13"/>
  <c r="X26" i="13"/>
  <c r="Y26" i="13"/>
  <c r="Z26" i="13"/>
  <c r="AA26" i="13"/>
  <c r="AB26" i="13"/>
  <c r="AC26" i="13"/>
  <c r="AE26" i="13"/>
  <c r="AF26" i="13"/>
  <c r="AG26" i="13"/>
  <c r="AH26" i="13"/>
  <c r="AI26" i="13"/>
  <c r="AJ26" i="13"/>
  <c r="AL26" i="13"/>
  <c r="AM26" i="13"/>
  <c r="AN26" i="13"/>
  <c r="AO26" i="13"/>
  <c r="AP26" i="13"/>
  <c r="AQ26" i="13"/>
  <c r="A27" i="13"/>
  <c r="B27" i="13"/>
  <c r="C27" i="13"/>
  <c r="D27" i="13"/>
  <c r="E27" i="13"/>
  <c r="F27" i="13"/>
  <c r="G27" i="13"/>
  <c r="H27" i="13"/>
  <c r="I27" i="13"/>
  <c r="J27" i="13"/>
  <c r="K27" i="13"/>
  <c r="L27" i="13"/>
  <c r="M27" i="13"/>
  <c r="N27" i="13"/>
  <c r="O27" i="13"/>
  <c r="Q27" i="13"/>
  <c r="R27" i="13"/>
  <c r="S27" i="13"/>
  <c r="T27" i="13"/>
  <c r="U27" i="13"/>
  <c r="V27" i="13"/>
  <c r="X27" i="13"/>
  <c r="Y27" i="13"/>
  <c r="Z27" i="13"/>
  <c r="AA27" i="13"/>
  <c r="AB27" i="13"/>
  <c r="AC27" i="13"/>
  <c r="AE27" i="13"/>
  <c r="AF27" i="13"/>
  <c r="AG27" i="13"/>
  <c r="AH27" i="13"/>
  <c r="AI27" i="13"/>
  <c r="AJ27" i="13"/>
  <c r="AL27" i="13"/>
  <c r="AM27" i="13"/>
  <c r="AN27" i="13"/>
  <c r="AO27" i="13"/>
  <c r="AP27" i="13"/>
  <c r="AQ27" i="13"/>
  <c r="A28" i="13"/>
  <c r="B28" i="13"/>
  <c r="C28" i="13"/>
  <c r="D28" i="13"/>
  <c r="E28" i="13"/>
  <c r="AU28" i="13" s="1"/>
  <c r="F28" i="13"/>
  <c r="G28" i="13"/>
  <c r="H28" i="13"/>
  <c r="I28" i="13"/>
  <c r="J28" i="13"/>
  <c r="K28" i="13"/>
  <c r="L28" i="13"/>
  <c r="M28" i="13"/>
  <c r="N28" i="13"/>
  <c r="O28" i="13"/>
  <c r="Q28" i="13"/>
  <c r="R28" i="13"/>
  <c r="S28" i="13"/>
  <c r="T28" i="13"/>
  <c r="U28" i="13"/>
  <c r="V28" i="13"/>
  <c r="X28" i="13"/>
  <c r="Y28" i="13"/>
  <c r="Z28" i="13"/>
  <c r="AA28" i="13"/>
  <c r="AB28" i="13"/>
  <c r="AC28" i="13"/>
  <c r="AE28" i="13"/>
  <c r="AF28" i="13"/>
  <c r="AG28" i="13"/>
  <c r="AH28" i="13"/>
  <c r="AI28" i="13"/>
  <c r="AJ28" i="13"/>
  <c r="AL28" i="13"/>
  <c r="AM28" i="13"/>
  <c r="AN28" i="13"/>
  <c r="AO28" i="13"/>
  <c r="AP28" i="13"/>
  <c r="AQ28" i="13"/>
  <c r="A29" i="13"/>
  <c r="B29" i="13"/>
  <c r="C29" i="13"/>
  <c r="D29" i="13"/>
  <c r="E29" i="13"/>
  <c r="AT29" i="13" s="1"/>
  <c r="F29" i="13"/>
  <c r="G29" i="13"/>
  <c r="H29" i="13"/>
  <c r="I29" i="13"/>
  <c r="J29" i="13"/>
  <c r="K29" i="13"/>
  <c r="L29" i="13"/>
  <c r="M29" i="13"/>
  <c r="N29" i="13"/>
  <c r="O29" i="13"/>
  <c r="Q29" i="13"/>
  <c r="R29" i="13"/>
  <c r="S29" i="13"/>
  <c r="T29" i="13"/>
  <c r="U29" i="13"/>
  <c r="V29" i="13"/>
  <c r="X29" i="13"/>
  <c r="Y29" i="13"/>
  <c r="Z29" i="13"/>
  <c r="AA29" i="13"/>
  <c r="AB29" i="13"/>
  <c r="AC29" i="13"/>
  <c r="AE29" i="13"/>
  <c r="AF29" i="13"/>
  <c r="AG29" i="13"/>
  <c r="AH29" i="13"/>
  <c r="AI29" i="13"/>
  <c r="AJ29" i="13"/>
  <c r="AL29" i="13"/>
  <c r="AM29" i="13"/>
  <c r="AN29" i="13"/>
  <c r="AO29" i="13"/>
  <c r="AP29" i="13"/>
  <c r="AQ29" i="13"/>
  <c r="A30" i="13"/>
  <c r="B30" i="13"/>
  <c r="C30" i="13"/>
  <c r="D30" i="13"/>
  <c r="E30" i="13"/>
  <c r="AT30" i="13" s="1"/>
  <c r="F30" i="13"/>
  <c r="G30" i="13"/>
  <c r="H30" i="13"/>
  <c r="I30" i="13"/>
  <c r="J30" i="13"/>
  <c r="K30" i="13"/>
  <c r="L30" i="13"/>
  <c r="M30" i="13"/>
  <c r="N30" i="13"/>
  <c r="O30" i="13"/>
  <c r="Q30" i="13"/>
  <c r="R30" i="13"/>
  <c r="S30" i="13"/>
  <c r="T30" i="13"/>
  <c r="U30" i="13"/>
  <c r="V30" i="13"/>
  <c r="X30" i="13"/>
  <c r="Y30" i="13"/>
  <c r="Z30" i="13"/>
  <c r="AA30" i="13"/>
  <c r="AB30" i="13"/>
  <c r="AC30" i="13"/>
  <c r="AE30" i="13"/>
  <c r="AF30" i="13"/>
  <c r="AG30" i="13"/>
  <c r="AH30" i="13"/>
  <c r="AI30" i="13"/>
  <c r="AJ30" i="13"/>
  <c r="AL30" i="13"/>
  <c r="AM30" i="13"/>
  <c r="AN30" i="13"/>
  <c r="AO30" i="13"/>
  <c r="AP30" i="13"/>
  <c r="AQ30" i="13"/>
  <c r="A31" i="13"/>
  <c r="B31" i="13"/>
  <c r="C31" i="13"/>
  <c r="D31" i="13"/>
  <c r="E31" i="13"/>
  <c r="AT31" i="13" s="1"/>
  <c r="F31" i="13"/>
  <c r="G31" i="13"/>
  <c r="H31" i="13"/>
  <c r="I31" i="13"/>
  <c r="J31" i="13"/>
  <c r="K31" i="13"/>
  <c r="L31" i="13"/>
  <c r="M31" i="13"/>
  <c r="N31" i="13"/>
  <c r="O31" i="13"/>
  <c r="Q31" i="13"/>
  <c r="R31" i="13"/>
  <c r="S31" i="13"/>
  <c r="T31" i="13"/>
  <c r="U31" i="13"/>
  <c r="V31" i="13"/>
  <c r="X31" i="13"/>
  <c r="Y31" i="13"/>
  <c r="Z31" i="13"/>
  <c r="AA31" i="13"/>
  <c r="AB31" i="13"/>
  <c r="AC31" i="13"/>
  <c r="AE31" i="13"/>
  <c r="AF31" i="13"/>
  <c r="AG31" i="13"/>
  <c r="AH31" i="13"/>
  <c r="AI31" i="13"/>
  <c r="AJ31" i="13"/>
  <c r="AL31" i="13"/>
  <c r="AM31" i="13"/>
  <c r="AN31" i="13"/>
  <c r="AO31" i="13"/>
  <c r="AP31" i="13"/>
  <c r="AQ31" i="13"/>
  <c r="A32" i="13"/>
  <c r="B32" i="13"/>
  <c r="C32" i="13"/>
  <c r="D32" i="13"/>
  <c r="E32" i="13"/>
  <c r="AT32" i="13" s="1"/>
  <c r="F32" i="13"/>
  <c r="G32" i="13"/>
  <c r="H32" i="13"/>
  <c r="I32" i="13"/>
  <c r="J32" i="13"/>
  <c r="K32" i="13"/>
  <c r="L32" i="13"/>
  <c r="M32" i="13"/>
  <c r="N32" i="13"/>
  <c r="O32" i="13"/>
  <c r="Q32" i="13"/>
  <c r="R32" i="13"/>
  <c r="S32" i="13"/>
  <c r="T32" i="13"/>
  <c r="U32" i="13"/>
  <c r="V32" i="13"/>
  <c r="X32" i="13"/>
  <c r="Y32" i="13"/>
  <c r="Z32" i="13"/>
  <c r="AA32" i="13"/>
  <c r="AB32" i="13"/>
  <c r="AC32" i="13"/>
  <c r="AE32" i="13"/>
  <c r="AF32" i="13"/>
  <c r="AG32" i="13"/>
  <c r="AH32" i="13"/>
  <c r="AI32" i="13"/>
  <c r="AJ32" i="13"/>
  <c r="AL32" i="13"/>
  <c r="AM32" i="13"/>
  <c r="AN32" i="13"/>
  <c r="AO32" i="13"/>
  <c r="AP32" i="13"/>
  <c r="AQ32" i="13"/>
  <c r="A33" i="13"/>
  <c r="B33" i="13"/>
  <c r="C33" i="13"/>
  <c r="D33" i="13"/>
  <c r="E33" i="13"/>
  <c r="AU33" i="13" s="1"/>
  <c r="F33" i="13"/>
  <c r="G33" i="13"/>
  <c r="H33" i="13"/>
  <c r="I33" i="13"/>
  <c r="J33" i="13"/>
  <c r="K33" i="13"/>
  <c r="L33" i="13"/>
  <c r="M33" i="13"/>
  <c r="N33" i="13"/>
  <c r="O33" i="13"/>
  <c r="Q33" i="13"/>
  <c r="R33" i="13"/>
  <c r="S33" i="13"/>
  <c r="T33" i="13"/>
  <c r="U33" i="13"/>
  <c r="V33" i="13"/>
  <c r="X33" i="13"/>
  <c r="Y33" i="13"/>
  <c r="Z33" i="13"/>
  <c r="AA33" i="13"/>
  <c r="AB33" i="13"/>
  <c r="AC33" i="13"/>
  <c r="AE33" i="13"/>
  <c r="AF33" i="13"/>
  <c r="AG33" i="13"/>
  <c r="AH33" i="13"/>
  <c r="AI33" i="13"/>
  <c r="AJ33" i="13"/>
  <c r="AL33" i="13"/>
  <c r="AM33" i="13"/>
  <c r="AN33" i="13"/>
  <c r="AO33" i="13"/>
  <c r="AP33" i="13"/>
  <c r="AQ33" i="13"/>
  <c r="A34" i="13"/>
  <c r="B34" i="13"/>
  <c r="C34" i="13"/>
  <c r="D34" i="13"/>
  <c r="E34" i="13"/>
  <c r="AT34" i="13" s="1"/>
  <c r="F34" i="13"/>
  <c r="G34" i="13"/>
  <c r="H34" i="13"/>
  <c r="I34" i="13"/>
  <c r="J34" i="13"/>
  <c r="K34" i="13"/>
  <c r="L34" i="13"/>
  <c r="M34" i="13"/>
  <c r="N34" i="13"/>
  <c r="O34" i="13"/>
  <c r="Q34" i="13"/>
  <c r="R34" i="13"/>
  <c r="S34" i="13"/>
  <c r="T34" i="13"/>
  <c r="U34" i="13"/>
  <c r="V34" i="13"/>
  <c r="X34" i="13"/>
  <c r="Y34" i="13"/>
  <c r="Z34" i="13"/>
  <c r="AA34" i="13"/>
  <c r="AB34" i="13"/>
  <c r="AC34" i="13"/>
  <c r="AE34" i="13"/>
  <c r="AF34" i="13"/>
  <c r="AG34" i="13"/>
  <c r="AH34" i="13"/>
  <c r="AI34" i="13"/>
  <c r="AJ34" i="13"/>
  <c r="AL34" i="13"/>
  <c r="AM34" i="13"/>
  <c r="AN34" i="13"/>
  <c r="AO34" i="13"/>
  <c r="AP34" i="13"/>
  <c r="AQ34" i="13"/>
  <c r="A35" i="13"/>
  <c r="B35" i="13"/>
  <c r="C35" i="13"/>
  <c r="D35" i="13"/>
  <c r="E35" i="13"/>
  <c r="AT35" i="13" s="1"/>
  <c r="F35" i="13"/>
  <c r="G35" i="13"/>
  <c r="H35" i="13"/>
  <c r="I35" i="13"/>
  <c r="J35" i="13"/>
  <c r="K35" i="13"/>
  <c r="L35" i="13"/>
  <c r="M35" i="13"/>
  <c r="N35" i="13"/>
  <c r="O35" i="13"/>
  <c r="Q35" i="13"/>
  <c r="R35" i="13"/>
  <c r="S35" i="13"/>
  <c r="T35" i="13"/>
  <c r="U35" i="13"/>
  <c r="V35" i="13"/>
  <c r="X35" i="13"/>
  <c r="Y35" i="13"/>
  <c r="Z35" i="13"/>
  <c r="AA35" i="13"/>
  <c r="AB35" i="13"/>
  <c r="AC35" i="13"/>
  <c r="AE35" i="13"/>
  <c r="AF35" i="13"/>
  <c r="AG35" i="13"/>
  <c r="AH35" i="13"/>
  <c r="AI35" i="13"/>
  <c r="AJ35" i="13"/>
  <c r="AL35" i="13"/>
  <c r="AM35" i="13"/>
  <c r="AN35" i="13"/>
  <c r="AO35" i="13"/>
  <c r="AP35" i="13"/>
  <c r="AQ35" i="13"/>
  <c r="A36" i="13"/>
  <c r="B36" i="13"/>
  <c r="C36" i="13"/>
  <c r="D36" i="13"/>
  <c r="E36" i="13"/>
  <c r="AT36" i="13" s="1"/>
  <c r="F36" i="13"/>
  <c r="G36" i="13"/>
  <c r="H36" i="13"/>
  <c r="I36" i="13"/>
  <c r="J36" i="13"/>
  <c r="K36" i="13"/>
  <c r="L36" i="13"/>
  <c r="M36" i="13"/>
  <c r="N36" i="13"/>
  <c r="O36" i="13"/>
  <c r="Q36" i="13"/>
  <c r="R36" i="13"/>
  <c r="S36" i="13"/>
  <c r="T36" i="13"/>
  <c r="U36" i="13"/>
  <c r="V36" i="13"/>
  <c r="X36" i="13"/>
  <c r="Y36" i="13"/>
  <c r="Z36" i="13"/>
  <c r="AA36" i="13"/>
  <c r="AB36" i="13"/>
  <c r="AC36" i="13"/>
  <c r="AE36" i="13"/>
  <c r="AF36" i="13"/>
  <c r="AG36" i="13"/>
  <c r="AH36" i="13"/>
  <c r="AI36" i="13"/>
  <c r="AJ36" i="13"/>
  <c r="AL36" i="13"/>
  <c r="AM36" i="13"/>
  <c r="AN36" i="13"/>
  <c r="AO36" i="13"/>
  <c r="AP36" i="13"/>
  <c r="AQ36" i="13"/>
  <c r="A37" i="13"/>
  <c r="B37" i="13"/>
  <c r="C37" i="13"/>
  <c r="D37" i="13"/>
  <c r="E37" i="13"/>
  <c r="AT37" i="13" s="1"/>
  <c r="F37" i="13"/>
  <c r="G37" i="13"/>
  <c r="H37" i="13"/>
  <c r="I37" i="13"/>
  <c r="J37" i="13"/>
  <c r="K37" i="13"/>
  <c r="L37" i="13"/>
  <c r="M37" i="13"/>
  <c r="N37" i="13"/>
  <c r="O37" i="13"/>
  <c r="Q37" i="13"/>
  <c r="R37" i="13"/>
  <c r="S37" i="13"/>
  <c r="T37" i="13"/>
  <c r="U37" i="13"/>
  <c r="V37" i="13"/>
  <c r="X37" i="13"/>
  <c r="Y37" i="13"/>
  <c r="Z37" i="13"/>
  <c r="AA37" i="13"/>
  <c r="AB37" i="13"/>
  <c r="AC37" i="13"/>
  <c r="AE37" i="13"/>
  <c r="AF37" i="13"/>
  <c r="AG37" i="13"/>
  <c r="AH37" i="13"/>
  <c r="AI37" i="13"/>
  <c r="AJ37" i="13"/>
  <c r="AL37" i="13"/>
  <c r="AM37" i="13"/>
  <c r="AN37" i="13"/>
  <c r="AO37" i="13"/>
  <c r="AP37" i="13"/>
  <c r="AQ37" i="13"/>
  <c r="A38" i="13"/>
  <c r="B38" i="13"/>
  <c r="C38" i="13"/>
  <c r="D38" i="13"/>
  <c r="E38" i="13"/>
  <c r="AT38" i="13" s="1"/>
  <c r="F38" i="13"/>
  <c r="G38" i="13"/>
  <c r="H38" i="13"/>
  <c r="I38" i="13"/>
  <c r="J38" i="13"/>
  <c r="K38" i="13"/>
  <c r="L38" i="13"/>
  <c r="M38" i="13"/>
  <c r="N38" i="13"/>
  <c r="O38" i="13"/>
  <c r="Q38" i="13"/>
  <c r="R38" i="13"/>
  <c r="S38" i="13"/>
  <c r="T38" i="13"/>
  <c r="U38" i="13"/>
  <c r="V38" i="13"/>
  <c r="X38" i="13"/>
  <c r="Y38" i="13"/>
  <c r="Z38" i="13"/>
  <c r="AA38" i="13"/>
  <c r="AB38" i="13"/>
  <c r="AC38" i="13"/>
  <c r="AE38" i="13"/>
  <c r="AF38" i="13"/>
  <c r="AG38" i="13"/>
  <c r="AH38" i="13"/>
  <c r="AI38" i="13"/>
  <c r="AJ38" i="13"/>
  <c r="AL38" i="13"/>
  <c r="AM38" i="13"/>
  <c r="AN38" i="13"/>
  <c r="AO38" i="13"/>
  <c r="AP38" i="13"/>
  <c r="AQ38" i="13"/>
  <c r="A39" i="13"/>
  <c r="B39" i="13"/>
  <c r="C39" i="13"/>
  <c r="D39" i="13"/>
  <c r="E39" i="13"/>
  <c r="AT39" i="13" s="1"/>
  <c r="F39" i="13"/>
  <c r="G39" i="13"/>
  <c r="H39" i="13"/>
  <c r="I39" i="13"/>
  <c r="J39" i="13"/>
  <c r="K39" i="13"/>
  <c r="L39" i="13"/>
  <c r="M39" i="13"/>
  <c r="N39" i="13"/>
  <c r="O39" i="13"/>
  <c r="Q39" i="13"/>
  <c r="R39" i="13"/>
  <c r="S39" i="13"/>
  <c r="T39" i="13"/>
  <c r="U39" i="13"/>
  <c r="V39" i="13"/>
  <c r="X39" i="13"/>
  <c r="Y39" i="13"/>
  <c r="Z39" i="13"/>
  <c r="AA39" i="13"/>
  <c r="AB39" i="13"/>
  <c r="AC39" i="13"/>
  <c r="AE39" i="13"/>
  <c r="AF39" i="13"/>
  <c r="AG39" i="13"/>
  <c r="AH39" i="13"/>
  <c r="AI39" i="13"/>
  <c r="AJ39" i="13"/>
  <c r="AL39" i="13"/>
  <c r="AM39" i="13"/>
  <c r="AN39" i="13"/>
  <c r="AO39" i="13"/>
  <c r="AP39" i="13"/>
  <c r="AQ39" i="13"/>
  <c r="A40" i="13"/>
  <c r="B40" i="13"/>
  <c r="C40" i="13"/>
  <c r="D40" i="13"/>
  <c r="E40" i="13"/>
  <c r="AT40" i="13" s="1"/>
  <c r="F40" i="13"/>
  <c r="G40" i="13"/>
  <c r="H40" i="13"/>
  <c r="I40" i="13"/>
  <c r="J40" i="13"/>
  <c r="K40" i="13"/>
  <c r="L40" i="13"/>
  <c r="M40" i="13"/>
  <c r="N40" i="13"/>
  <c r="O40" i="13"/>
  <c r="Q40" i="13"/>
  <c r="R40" i="13"/>
  <c r="S40" i="13"/>
  <c r="T40" i="13"/>
  <c r="U40" i="13"/>
  <c r="V40" i="13"/>
  <c r="X40" i="13"/>
  <c r="Y40" i="13"/>
  <c r="Z40" i="13"/>
  <c r="AA40" i="13"/>
  <c r="AB40" i="13"/>
  <c r="AC40" i="13"/>
  <c r="AE40" i="13"/>
  <c r="AF40" i="13"/>
  <c r="AG40" i="13"/>
  <c r="AH40" i="13"/>
  <c r="AI40" i="13"/>
  <c r="AJ40" i="13"/>
  <c r="AL40" i="13"/>
  <c r="AM40" i="13"/>
  <c r="AN40" i="13"/>
  <c r="AO40" i="13"/>
  <c r="AP40" i="13"/>
  <c r="AQ40" i="13"/>
  <c r="A41" i="13"/>
  <c r="B41" i="13"/>
  <c r="C41" i="13"/>
  <c r="D41" i="13"/>
  <c r="E41" i="13"/>
  <c r="AT41" i="13" s="1"/>
  <c r="F41" i="13"/>
  <c r="G41" i="13"/>
  <c r="H41" i="13"/>
  <c r="I41" i="13"/>
  <c r="J41" i="13"/>
  <c r="K41" i="13"/>
  <c r="L41" i="13"/>
  <c r="M41" i="13"/>
  <c r="N41" i="13"/>
  <c r="O41" i="13"/>
  <c r="Q41" i="13"/>
  <c r="R41" i="13"/>
  <c r="S41" i="13"/>
  <c r="T41" i="13"/>
  <c r="U41" i="13"/>
  <c r="V41" i="13"/>
  <c r="X41" i="13"/>
  <c r="Y41" i="13"/>
  <c r="Z41" i="13"/>
  <c r="AA41" i="13"/>
  <c r="AB41" i="13"/>
  <c r="AC41" i="13"/>
  <c r="AE41" i="13"/>
  <c r="AF41" i="13"/>
  <c r="AG41" i="13"/>
  <c r="AH41" i="13"/>
  <c r="AI41" i="13"/>
  <c r="AJ41" i="13"/>
  <c r="AL41" i="13"/>
  <c r="AM41" i="13"/>
  <c r="AN41" i="13"/>
  <c r="AO41" i="13"/>
  <c r="AP41" i="13"/>
  <c r="AQ41" i="13"/>
  <c r="A42" i="13"/>
  <c r="B42" i="13"/>
  <c r="C42" i="13"/>
  <c r="D42" i="13"/>
  <c r="E42" i="13"/>
  <c r="AT42" i="13" s="1"/>
  <c r="F42" i="13"/>
  <c r="G42" i="13"/>
  <c r="H42" i="13"/>
  <c r="I42" i="13"/>
  <c r="J42" i="13"/>
  <c r="K42" i="13"/>
  <c r="L42" i="13"/>
  <c r="M42" i="13"/>
  <c r="N42" i="13"/>
  <c r="O42" i="13"/>
  <c r="Q42" i="13"/>
  <c r="R42" i="13"/>
  <c r="S42" i="13"/>
  <c r="T42" i="13"/>
  <c r="U42" i="13"/>
  <c r="V42" i="13"/>
  <c r="X42" i="13"/>
  <c r="Y42" i="13"/>
  <c r="Z42" i="13"/>
  <c r="AA42" i="13"/>
  <c r="AB42" i="13"/>
  <c r="AC42" i="13"/>
  <c r="AE42" i="13"/>
  <c r="AF42" i="13"/>
  <c r="AG42" i="13"/>
  <c r="AH42" i="13"/>
  <c r="AI42" i="13"/>
  <c r="AJ42" i="13"/>
  <c r="AL42" i="13"/>
  <c r="AM42" i="13"/>
  <c r="AN42" i="13"/>
  <c r="AO42" i="13"/>
  <c r="AP42" i="13"/>
  <c r="AQ42" i="13"/>
  <c r="A43" i="13"/>
  <c r="B43" i="13"/>
  <c r="C43" i="13"/>
  <c r="D43" i="13"/>
  <c r="E43" i="13"/>
  <c r="AT43" i="13" s="1"/>
  <c r="F43" i="13"/>
  <c r="G43" i="13"/>
  <c r="H43" i="13"/>
  <c r="I43" i="13"/>
  <c r="J43" i="13"/>
  <c r="K43" i="13"/>
  <c r="L43" i="13"/>
  <c r="M43" i="13"/>
  <c r="N43" i="13"/>
  <c r="O43" i="13"/>
  <c r="Q43" i="13"/>
  <c r="R43" i="13"/>
  <c r="S43" i="13"/>
  <c r="T43" i="13"/>
  <c r="U43" i="13"/>
  <c r="V43" i="13"/>
  <c r="X43" i="13"/>
  <c r="Y43" i="13"/>
  <c r="Z43" i="13"/>
  <c r="AA43" i="13"/>
  <c r="AB43" i="13"/>
  <c r="AC43" i="13"/>
  <c r="AE43" i="13"/>
  <c r="AF43" i="13"/>
  <c r="AG43" i="13"/>
  <c r="AH43" i="13"/>
  <c r="AI43" i="13"/>
  <c r="AJ43" i="13"/>
  <c r="AL43" i="13"/>
  <c r="AM43" i="13"/>
  <c r="AN43" i="13"/>
  <c r="AO43" i="13"/>
  <c r="AP43" i="13"/>
  <c r="AQ43" i="13"/>
  <c r="A44" i="13"/>
  <c r="B44" i="13"/>
  <c r="C44" i="13"/>
  <c r="D44" i="13"/>
  <c r="E44" i="13"/>
  <c r="AT44" i="13" s="1"/>
  <c r="F44" i="13"/>
  <c r="G44" i="13"/>
  <c r="H44" i="13"/>
  <c r="I44" i="13"/>
  <c r="J44" i="13"/>
  <c r="K44" i="13"/>
  <c r="L44" i="13"/>
  <c r="M44" i="13"/>
  <c r="N44" i="13"/>
  <c r="O44" i="13"/>
  <c r="Q44" i="13"/>
  <c r="R44" i="13"/>
  <c r="S44" i="13"/>
  <c r="T44" i="13"/>
  <c r="U44" i="13"/>
  <c r="V44" i="13"/>
  <c r="X44" i="13"/>
  <c r="Y44" i="13"/>
  <c r="Z44" i="13"/>
  <c r="AA44" i="13"/>
  <c r="AB44" i="13"/>
  <c r="AC44" i="13"/>
  <c r="AE44" i="13"/>
  <c r="AF44" i="13"/>
  <c r="AG44" i="13"/>
  <c r="AH44" i="13"/>
  <c r="AI44" i="13"/>
  <c r="AJ44" i="13"/>
  <c r="AL44" i="13"/>
  <c r="AM44" i="13"/>
  <c r="AN44" i="13"/>
  <c r="AO44" i="13"/>
  <c r="AP44" i="13"/>
  <c r="AQ44" i="13"/>
  <c r="A45" i="13"/>
  <c r="B45" i="13"/>
  <c r="C45" i="13"/>
  <c r="D45" i="13"/>
  <c r="E45" i="13"/>
  <c r="AT45" i="13" s="1"/>
  <c r="F45" i="13"/>
  <c r="G45" i="13"/>
  <c r="H45" i="13"/>
  <c r="I45" i="13"/>
  <c r="J45" i="13"/>
  <c r="K45" i="13"/>
  <c r="L45" i="13"/>
  <c r="M45" i="13"/>
  <c r="N45" i="13"/>
  <c r="O45" i="13"/>
  <c r="Q45" i="13"/>
  <c r="R45" i="13"/>
  <c r="S45" i="13"/>
  <c r="T45" i="13"/>
  <c r="U45" i="13"/>
  <c r="V45" i="13"/>
  <c r="X45" i="13"/>
  <c r="Y45" i="13"/>
  <c r="Z45" i="13"/>
  <c r="AA45" i="13"/>
  <c r="AB45" i="13"/>
  <c r="AC45" i="13"/>
  <c r="AE45" i="13"/>
  <c r="AF45" i="13"/>
  <c r="AG45" i="13"/>
  <c r="AH45" i="13"/>
  <c r="AI45" i="13"/>
  <c r="AJ45" i="13"/>
  <c r="AL45" i="13"/>
  <c r="AM45" i="13"/>
  <c r="AN45" i="13"/>
  <c r="AO45" i="13"/>
  <c r="AP45" i="13"/>
  <c r="AQ45" i="13"/>
  <c r="A46" i="13"/>
  <c r="B46" i="13"/>
  <c r="C46" i="13"/>
  <c r="D46" i="13"/>
  <c r="E46" i="13"/>
  <c r="AU46" i="13" s="1"/>
  <c r="F46" i="13"/>
  <c r="G46" i="13"/>
  <c r="H46" i="13"/>
  <c r="I46" i="13"/>
  <c r="J46" i="13"/>
  <c r="K46" i="13"/>
  <c r="L46" i="13"/>
  <c r="M46" i="13"/>
  <c r="N46" i="13"/>
  <c r="O46" i="13"/>
  <c r="Q46" i="13"/>
  <c r="R46" i="13"/>
  <c r="S46" i="13"/>
  <c r="T46" i="13"/>
  <c r="U46" i="13"/>
  <c r="V46" i="13"/>
  <c r="X46" i="13"/>
  <c r="Y46" i="13"/>
  <c r="Z46" i="13"/>
  <c r="AA46" i="13"/>
  <c r="AB46" i="13"/>
  <c r="AC46" i="13"/>
  <c r="AE46" i="13"/>
  <c r="AF46" i="13"/>
  <c r="AG46" i="13"/>
  <c r="AH46" i="13"/>
  <c r="AI46" i="13"/>
  <c r="AJ46" i="13"/>
  <c r="AL46" i="13"/>
  <c r="AM46" i="13"/>
  <c r="AN46" i="13"/>
  <c r="AO46" i="13"/>
  <c r="AP46" i="13"/>
  <c r="AQ46" i="13"/>
  <c r="A47" i="13"/>
  <c r="B47" i="13"/>
  <c r="C47" i="13"/>
  <c r="D47" i="13"/>
  <c r="E47" i="13"/>
  <c r="AT47" i="13" s="1"/>
  <c r="F47" i="13"/>
  <c r="G47" i="13"/>
  <c r="H47" i="13"/>
  <c r="I47" i="13"/>
  <c r="J47" i="13"/>
  <c r="K47" i="13"/>
  <c r="L47" i="13"/>
  <c r="M47" i="13"/>
  <c r="N47" i="13"/>
  <c r="O47" i="13"/>
  <c r="Q47" i="13"/>
  <c r="R47" i="13"/>
  <c r="S47" i="13"/>
  <c r="T47" i="13"/>
  <c r="U47" i="13"/>
  <c r="V47" i="13"/>
  <c r="X47" i="13"/>
  <c r="Y47" i="13"/>
  <c r="Z47" i="13"/>
  <c r="AA47" i="13"/>
  <c r="AB47" i="13"/>
  <c r="AC47" i="13"/>
  <c r="AE47" i="13"/>
  <c r="AF47" i="13"/>
  <c r="AG47" i="13"/>
  <c r="AH47" i="13"/>
  <c r="AI47" i="13"/>
  <c r="AJ47" i="13"/>
  <c r="AL47" i="13"/>
  <c r="AM47" i="13"/>
  <c r="AN47" i="13"/>
  <c r="AO47" i="13"/>
  <c r="AP47" i="13"/>
  <c r="AQ47" i="13"/>
  <c r="A48" i="13"/>
  <c r="B48" i="13"/>
  <c r="C48" i="13"/>
  <c r="D48" i="13"/>
  <c r="E48" i="13"/>
  <c r="AT48" i="13" s="1"/>
  <c r="F48" i="13"/>
  <c r="G48" i="13"/>
  <c r="H48" i="13"/>
  <c r="I48" i="13"/>
  <c r="J48" i="13"/>
  <c r="K48" i="13"/>
  <c r="L48" i="13"/>
  <c r="M48" i="13"/>
  <c r="N48" i="13"/>
  <c r="O48" i="13"/>
  <c r="Q48" i="13"/>
  <c r="R48" i="13"/>
  <c r="S48" i="13"/>
  <c r="T48" i="13"/>
  <c r="U48" i="13"/>
  <c r="V48" i="13"/>
  <c r="X48" i="13"/>
  <c r="Y48" i="13"/>
  <c r="Z48" i="13"/>
  <c r="AA48" i="13"/>
  <c r="AB48" i="13"/>
  <c r="AC48" i="13"/>
  <c r="AE48" i="13"/>
  <c r="AF48" i="13"/>
  <c r="AG48" i="13"/>
  <c r="AH48" i="13"/>
  <c r="AI48" i="13"/>
  <c r="AJ48" i="13"/>
  <c r="AL48" i="13"/>
  <c r="AM48" i="13"/>
  <c r="AN48" i="13"/>
  <c r="AO48" i="13"/>
  <c r="AP48" i="13"/>
  <c r="AQ48" i="13"/>
  <c r="A49" i="13"/>
  <c r="B49" i="13"/>
  <c r="C49" i="13"/>
  <c r="D49" i="13"/>
  <c r="E49" i="13"/>
  <c r="AT49" i="13" s="1"/>
  <c r="F49" i="13"/>
  <c r="G49" i="13"/>
  <c r="H49" i="13"/>
  <c r="I49" i="13"/>
  <c r="J49" i="13"/>
  <c r="K49" i="13"/>
  <c r="L49" i="13"/>
  <c r="M49" i="13"/>
  <c r="N49" i="13"/>
  <c r="O49" i="13"/>
  <c r="Q49" i="13"/>
  <c r="R49" i="13"/>
  <c r="S49" i="13"/>
  <c r="T49" i="13"/>
  <c r="U49" i="13"/>
  <c r="V49" i="13"/>
  <c r="X49" i="13"/>
  <c r="Y49" i="13"/>
  <c r="Z49" i="13"/>
  <c r="AA49" i="13"/>
  <c r="AB49" i="13"/>
  <c r="AC49" i="13"/>
  <c r="AE49" i="13"/>
  <c r="AF49" i="13"/>
  <c r="AG49" i="13"/>
  <c r="AH49" i="13"/>
  <c r="AI49" i="13"/>
  <c r="AJ49" i="13"/>
  <c r="AL49" i="13"/>
  <c r="AM49" i="13"/>
  <c r="AN49" i="13"/>
  <c r="AO49" i="13"/>
  <c r="AP49" i="13"/>
  <c r="AQ49" i="13"/>
  <c r="A50" i="13"/>
  <c r="B50" i="13"/>
  <c r="C50" i="13"/>
  <c r="D50" i="13"/>
  <c r="E50" i="13"/>
  <c r="AT50" i="13" s="1"/>
  <c r="F50" i="13"/>
  <c r="G50" i="13"/>
  <c r="H50" i="13"/>
  <c r="I50" i="13"/>
  <c r="J50" i="13"/>
  <c r="K50" i="13"/>
  <c r="L50" i="13"/>
  <c r="M50" i="13"/>
  <c r="N50" i="13"/>
  <c r="O50" i="13"/>
  <c r="Q50" i="13"/>
  <c r="R50" i="13"/>
  <c r="S50" i="13"/>
  <c r="T50" i="13"/>
  <c r="U50" i="13"/>
  <c r="V50" i="13"/>
  <c r="X50" i="13"/>
  <c r="Y50" i="13"/>
  <c r="Z50" i="13"/>
  <c r="AA50" i="13"/>
  <c r="AB50" i="13"/>
  <c r="AC50" i="13"/>
  <c r="AE50" i="13"/>
  <c r="AF50" i="13"/>
  <c r="AG50" i="13"/>
  <c r="AH50" i="13"/>
  <c r="AI50" i="13"/>
  <c r="AJ50" i="13"/>
  <c r="AL50" i="13"/>
  <c r="AM50" i="13"/>
  <c r="AN50" i="13"/>
  <c r="AO50" i="13"/>
  <c r="AP50" i="13"/>
  <c r="AQ50" i="13"/>
  <c r="A51" i="13"/>
  <c r="B51" i="13"/>
  <c r="C51" i="13"/>
  <c r="D51" i="13"/>
  <c r="E51" i="13"/>
  <c r="AT51" i="13" s="1"/>
  <c r="F51" i="13"/>
  <c r="G51" i="13"/>
  <c r="H51" i="13"/>
  <c r="I51" i="13"/>
  <c r="J51" i="13"/>
  <c r="K51" i="13"/>
  <c r="L51" i="13"/>
  <c r="M51" i="13"/>
  <c r="N51" i="13"/>
  <c r="O51" i="13"/>
  <c r="Q51" i="13"/>
  <c r="R51" i="13"/>
  <c r="S51" i="13"/>
  <c r="T51" i="13"/>
  <c r="U51" i="13"/>
  <c r="V51" i="13"/>
  <c r="X51" i="13"/>
  <c r="Y51" i="13"/>
  <c r="Z51" i="13"/>
  <c r="AA51" i="13"/>
  <c r="AB51" i="13"/>
  <c r="AC51" i="13"/>
  <c r="AE51" i="13"/>
  <c r="AF51" i="13"/>
  <c r="AG51" i="13"/>
  <c r="AH51" i="13"/>
  <c r="AI51" i="13"/>
  <c r="AJ51" i="13"/>
  <c r="AL51" i="13"/>
  <c r="AM51" i="13"/>
  <c r="AN51" i="13"/>
  <c r="AO51" i="13"/>
  <c r="AP51" i="13"/>
  <c r="AQ51" i="13"/>
  <c r="A52" i="13"/>
  <c r="B52" i="13"/>
  <c r="C52" i="13"/>
  <c r="D52" i="13"/>
  <c r="E52" i="13"/>
  <c r="AT52" i="13" s="1"/>
  <c r="F52" i="13"/>
  <c r="G52" i="13"/>
  <c r="H52" i="13"/>
  <c r="I52" i="13"/>
  <c r="J52" i="13"/>
  <c r="K52" i="13"/>
  <c r="L52" i="13"/>
  <c r="M52" i="13"/>
  <c r="N52" i="13"/>
  <c r="O52" i="13"/>
  <c r="Q52" i="13"/>
  <c r="R52" i="13"/>
  <c r="S52" i="13"/>
  <c r="T52" i="13"/>
  <c r="U52" i="13"/>
  <c r="V52" i="13"/>
  <c r="X52" i="13"/>
  <c r="Y52" i="13"/>
  <c r="Z52" i="13"/>
  <c r="AA52" i="13"/>
  <c r="AB52" i="13"/>
  <c r="AC52" i="13"/>
  <c r="AE52" i="13"/>
  <c r="AF52" i="13"/>
  <c r="AG52" i="13"/>
  <c r="AH52" i="13"/>
  <c r="AI52" i="13"/>
  <c r="AJ52" i="13"/>
  <c r="AL52" i="13"/>
  <c r="AM52" i="13"/>
  <c r="AN52" i="13"/>
  <c r="AO52" i="13"/>
  <c r="AP52" i="13"/>
  <c r="AQ52" i="13"/>
  <c r="A53" i="13"/>
  <c r="B53" i="13"/>
  <c r="C53" i="13"/>
  <c r="D53" i="13"/>
  <c r="E53" i="13"/>
  <c r="AT53" i="13" s="1"/>
  <c r="F53" i="13"/>
  <c r="G53" i="13"/>
  <c r="H53" i="13"/>
  <c r="I53" i="13"/>
  <c r="J53" i="13"/>
  <c r="K53" i="13"/>
  <c r="L53" i="13"/>
  <c r="M53" i="13"/>
  <c r="N53" i="13"/>
  <c r="O53" i="13"/>
  <c r="Q53" i="13"/>
  <c r="R53" i="13"/>
  <c r="S53" i="13"/>
  <c r="T53" i="13"/>
  <c r="U53" i="13"/>
  <c r="V53" i="13"/>
  <c r="X53" i="13"/>
  <c r="Y53" i="13"/>
  <c r="Z53" i="13"/>
  <c r="AA53" i="13"/>
  <c r="AB53" i="13"/>
  <c r="AC53" i="13"/>
  <c r="AE53" i="13"/>
  <c r="AF53" i="13"/>
  <c r="AG53" i="13"/>
  <c r="AH53" i="13"/>
  <c r="AI53" i="13"/>
  <c r="AJ53" i="13"/>
  <c r="AL53" i="13"/>
  <c r="AM53" i="13"/>
  <c r="AN53" i="13"/>
  <c r="AO53" i="13"/>
  <c r="AP53" i="13"/>
  <c r="AQ53" i="13"/>
  <c r="A54" i="13"/>
  <c r="B54" i="13"/>
  <c r="C54" i="13"/>
  <c r="D54" i="13"/>
  <c r="E54" i="13"/>
  <c r="AT54" i="13" s="1"/>
  <c r="F54" i="13"/>
  <c r="G54" i="13"/>
  <c r="H54" i="13"/>
  <c r="I54" i="13"/>
  <c r="J54" i="13"/>
  <c r="K54" i="13"/>
  <c r="L54" i="13"/>
  <c r="M54" i="13"/>
  <c r="N54" i="13"/>
  <c r="O54" i="13"/>
  <c r="Q54" i="13"/>
  <c r="R54" i="13"/>
  <c r="S54" i="13"/>
  <c r="T54" i="13"/>
  <c r="U54" i="13"/>
  <c r="V54" i="13"/>
  <c r="X54" i="13"/>
  <c r="Y54" i="13"/>
  <c r="Z54" i="13"/>
  <c r="AA54" i="13"/>
  <c r="AB54" i="13"/>
  <c r="AC54" i="13"/>
  <c r="AE54" i="13"/>
  <c r="AF54" i="13"/>
  <c r="AG54" i="13"/>
  <c r="AH54" i="13"/>
  <c r="AI54" i="13"/>
  <c r="AJ54" i="13"/>
  <c r="AL54" i="13"/>
  <c r="AM54" i="13"/>
  <c r="AN54" i="13"/>
  <c r="AO54" i="13"/>
  <c r="AP54" i="13"/>
  <c r="AQ54" i="13"/>
  <c r="A55" i="13"/>
  <c r="B55" i="13"/>
  <c r="C55" i="13"/>
  <c r="D55" i="13"/>
  <c r="E55" i="13"/>
  <c r="AU55" i="13" s="1"/>
  <c r="F55" i="13"/>
  <c r="G55" i="13"/>
  <c r="H55" i="13"/>
  <c r="I55" i="13"/>
  <c r="J55" i="13"/>
  <c r="K55" i="13"/>
  <c r="L55" i="13"/>
  <c r="M55" i="13"/>
  <c r="N55" i="13"/>
  <c r="O55" i="13"/>
  <c r="Q55" i="13"/>
  <c r="R55" i="13"/>
  <c r="S55" i="13"/>
  <c r="T55" i="13"/>
  <c r="U55" i="13"/>
  <c r="V55" i="13"/>
  <c r="X55" i="13"/>
  <c r="Y55" i="13"/>
  <c r="Z55" i="13"/>
  <c r="AA55" i="13"/>
  <c r="AB55" i="13"/>
  <c r="AC55" i="13"/>
  <c r="AE55" i="13"/>
  <c r="AF55" i="13"/>
  <c r="AG55" i="13"/>
  <c r="AH55" i="13"/>
  <c r="AI55" i="13"/>
  <c r="AJ55" i="13"/>
  <c r="AL55" i="13"/>
  <c r="AM55" i="13"/>
  <c r="AN55" i="13"/>
  <c r="AO55" i="13"/>
  <c r="AP55" i="13"/>
  <c r="AQ55" i="13"/>
  <c r="A56" i="13"/>
  <c r="B56" i="13"/>
  <c r="C56" i="13"/>
  <c r="D56" i="13"/>
  <c r="E56" i="13"/>
  <c r="F56" i="13"/>
  <c r="G56" i="13"/>
  <c r="H56" i="13"/>
  <c r="I56" i="13"/>
  <c r="J56" i="13"/>
  <c r="K56" i="13"/>
  <c r="L56" i="13"/>
  <c r="M56" i="13"/>
  <c r="N56" i="13"/>
  <c r="O56" i="13"/>
  <c r="Q56" i="13"/>
  <c r="R56" i="13"/>
  <c r="S56" i="13"/>
  <c r="T56" i="13"/>
  <c r="U56" i="13"/>
  <c r="V56" i="13"/>
  <c r="X56" i="13"/>
  <c r="Y56" i="13"/>
  <c r="Z56" i="13"/>
  <c r="AA56" i="13"/>
  <c r="AB56" i="13"/>
  <c r="AC56" i="13"/>
  <c r="AE56" i="13"/>
  <c r="AF56" i="13"/>
  <c r="AG56" i="13"/>
  <c r="AH56" i="13"/>
  <c r="AI56" i="13"/>
  <c r="AJ56" i="13"/>
  <c r="AL56" i="13"/>
  <c r="AM56" i="13"/>
  <c r="AN56" i="13"/>
  <c r="AO56" i="13"/>
  <c r="AP56" i="13"/>
  <c r="AQ56" i="13"/>
  <c r="A57" i="13"/>
  <c r="B57" i="13"/>
  <c r="C57" i="13"/>
  <c r="D57" i="13"/>
  <c r="E57" i="13"/>
  <c r="AU57" i="13" s="1"/>
  <c r="F57" i="13"/>
  <c r="G57" i="13"/>
  <c r="H57" i="13"/>
  <c r="I57" i="13"/>
  <c r="J57" i="13"/>
  <c r="K57" i="13"/>
  <c r="L57" i="13"/>
  <c r="M57" i="13"/>
  <c r="N57" i="13"/>
  <c r="O57" i="13"/>
  <c r="Q57" i="13"/>
  <c r="R57" i="13"/>
  <c r="S57" i="13"/>
  <c r="T57" i="13"/>
  <c r="U57" i="13"/>
  <c r="V57" i="13"/>
  <c r="X57" i="13"/>
  <c r="Y57" i="13"/>
  <c r="Z57" i="13"/>
  <c r="AA57" i="13"/>
  <c r="AB57" i="13"/>
  <c r="AC57" i="13"/>
  <c r="AE57" i="13"/>
  <c r="AF57" i="13"/>
  <c r="AG57" i="13"/>
  <c r="AH57" i="13"/>
  <c r="AI57" i="13"/>
  <c r="AJ57" i="13"/>
  <c r="AL57" i="13"/>
  <c r="AM57" i="13"/>
  <c r="AN57" i="13"/>
  <c r="AO57" i="13"/>
  <c r="AP57" i="13"/>
  <c r="AQ57" i="13"/>
  <c r="A58" i="13"/>
  <c r="B58" i="13"/>
  <c r="C58" i="13"/>
  <c r="D58" i="13"/>
  <c r="E58" i="13"/>
  <c r="F58" i="13"/>
  <c r="G58" i="13"/>
  <c r="H58" i="13"/>
  <c r="I58" i="13"/>
  <c r="J58" i="13"/>
  <c r="K58" i="13"/>
  <c r="L58" i="13"/>
  <c r="M58" i="13"/>
  <c r="N58" i="13"/>
  <c r="O58" i="13"/>
  <c r="Q58" i="13"/>
  <c r="R58" i="13"/>
  <c r="S58" i="13"/>
  <c r="T58" i="13"/>
  <c r="U58" i="13"/>
  <c r="V58" i="13"/>
  <c r="X58" i="13"/>
  <c r="Y58" i="13"/>
  <c r="Z58" i="13"/>
  <c r="AA58" i="13"/>
  <c r="AB58" i="13"/>
  <c r="AC58" i="13"/>
  <c r="AE58" i="13"/>
  <c r="AF58" i="13"/>
  <c r="AG58" i="13"/>
  <c r="AH58" i="13"/>
  <c r="AI58" i="13"/>
  <c r="AJ58" i="13"/>
  <c r="AL58" i="13"/>
  <c r="AM58" i="13"/>
  <c r="AN58" i="13"/>
  <c r="AO58" i="13"/>
  <c r="AP58" i="13"/>
  <c r="AQ58" i="13"/>
  <c r="A59" i="13"/>
  <c r="B59" i="13"/>
  <c r="C59" i="13"/>
  <c r="D59" i="13"/>
  <c r="E59" i="13"/>
  <c r="F59" i="13"/>
  <c r="G59" i="13"/>
  <c r="H59" i="13"/>
  <c r="I59" i="13"/>
  <c r="J59" i="13"/>
  <c r="K59" i="13"/>
  <c r="L59" i="13"/>
  <c r="M59" i="13"/>
  <c r="N59" i="13"/>
  <c r="O59" i="13"/>
  <c r="Q59" i="13"/>
  <c r="R59" i="13"/>
  <c r="S59" i="13"/>
  <c r="T59" i="13"/>
  <c r="U59" i="13"/>
  <c r="V59" i="13"/>
  <c r="X59" i="13"/>
  <c r="Y59" i="13"/>
  <c r="Z59" i="13"/>
  <c r="AA59" i="13"/>
  <c r="AB59" i="13"/>
  <c r="AC59" i="13"/>
  <c r="AE59" i="13"/>
  <c r="AF59" i="13"/>
  <c r="AG59" i="13"/>
  <c r="AH59" i="13"/>
  <c r="AI59" i="13"/>
  <c r="AJ59" i="13"/>
  <c r="AL59" i="13"/>
  <c r="AM59" i="13"/>
  <c r="AN59" i="13"/>
  <c r="AO59" i="13"/>
  <c r="AP59" i="13"/>
  <c r="AQ59" i="13"/>
  <c r="A60" i="13"/>
  <c r="B60" i="13"/>
  <c r="C60" i="13"/>
  <c r="D60" i="13"/>
  <c r="E60" i="13"/>
  <c r="AU60" i="13" s="1"/>
  <c r="F60" i="13"/>
  <c r="G60" i="13"/>
  <c r="H60" i="13"/>
  <c r="I60" i="13"/>
  <c r="J60" i="13"/>
  <c r="K60" i="13"/>
  <c r="L60" i="13"/>
  <c r="M60" i="13"/>
  <c r="N60" i="13"/>
  <c r="O60" i="13"/>
  <c r="Q60" i="13"/>
  <c r="R60" i="13"/>
  <c r="S60" i="13"/>
  <c r="T60" i="13"/>
  <c r="U60" i="13"/>
  <c r="V60" i="13"/>
  <c r="X60" i="13"/>
  <c r="Y60" i="13"/>
  <c r="Z60" i="13"/>
  <c r="AA60" i="13"/>
  <c r="AB60" i="13"/>
  <c r="AC60" i="13"/>
  <c r="AE60" i="13"/>
  <c r="AF60" i="13"/>
  <c r="AG60" i="13"/>
  <c r="AH60" i="13"/>
  <c r="AI60" i="13"/>
  <c r="AJ60" i="13"/>
  <c r="AL60" i="13"/>
  <c r="AM60" i="13"/>
  <c r="AN60" i="13"/>
  <c r="AO60" i="13"/>
  <c r="AP60" i="13"/>
  <c r="AQ60" i="13"/>
  <c r="A61" i="13"/>
  <c r="B61" i="13"/>
  <c r="C61" i="13"/>
  <c r="D61" i="13"/>
  <c r="E61" i="13"/>
  <c r="F61" i="13"/>
  <c r="G61" i="13"/>
  <c r="H61" i="13"/>
  <c r="I61" i="13"/>
  <c r="J61" i="13"/>
  <c r="K61" i="13"/>
  <c r="L61" i="13"/>
  <c r="M61" i="13"/>
  <c r="N61" i="13"/>
  <c r="O61" i="13"/>
  <c r="Q61" i="13"/>
  <c r="R61" i="13"/>
  <c r="S61" i="13"/>
  <c r="T61" i="13"/>
  <c r="U61" i="13"/>
  <c r="V61" i="13"/>
  <c r="X61" i="13"/>
  <c r="Y61" i="13"/>
  <c r="Z61" i="13"/>
  <c r="AA61" i="13"/>
  <c r="AB61" i="13"/>
  <c r="AC61" i="13"/>
  <c r="AE61" i="13"/>
  <c r="AF61" i="13"/>
  <c r="AG61" i="13"/>
  <c r="AH61" i="13"/>
  <c r="AI61" i="13"/>
  <c r="AJ61" i="13"/>
  <c r="AL61" i="13"/>
  <c r="AM61" i="13"/>
  <c r="AN61" i="13"/>
  <c r="AO61" i="13"/>
  <c r="AP61" i="13"/>
  <c r="AQ61" i="13"/>
  <c r="A62" i="13"/>
  <c r="B62" i="13"/>
  <c r="C62" i="13"/>
  <c r="D62" i="13"/>
  <c r="E62" i="13"/>
  <c r="F62" i="13"/>
  <c r="G62" i="13"/>
  <c r="H62" i="13"/>
  <c r="I62" i="13"/>
  <c r="J62" i="13"/>
  <c r="K62" i="13"/>
  <c r="L62" i="13"/>
  <c r="M62" i="13"/>
  <c r="N62" i="13"/>
  <c r="O62" i="13"/>
  <c r="Q62" i="13"/>
  <c r="R62" i="13"/>
  <c r="S62" i="13"/>
  <c r="T62" i="13"/>
  <c r="U62" i="13"/>
  <c r="V62" i="13"/>
  <c r="X62" i="13"/>
  <c r="Y62" i="13"/>
  <c r="Z62" i="13"/>
  <c r="AA62" i="13"/>
  <c r="AB62" i="13"/>
  <c r="AC62" i="13"/>
  <c r="AE62" i="13"/>
  <c r="AF62" i="13"/>
  <c r="AG62" i="13"/>
  <c r="AH62" i="13"/>
  <c r="AI62" i="13"/>
  <c r="AJ62" i="13"/>
  <c r="AL62" i="13"/>
  <c r="AM62" i="13"/>
  <c r="AN62" i="13"/>
  <c r="AO62" i="13"/>
  <c r="AP62" i="13"/>
  <c r="AQ62" i="13"/>
  <c r="A63" i="13"/>
  <c r="B63" i="13"/>
  <c r="C63" i="13"/>
  <c r="D63" i="13"/>
  <c r="E63" i="13"/>
  <c r="AU63" i="13" s="1"/>
  <c r="F63" i="13"/>
  <c r="G63" i="13"/>
  <c r="H63" i="13"/>
  <c r="I63" i="13"/>
  <c r="J63" i="13"/>
  <c r="K63" i="13"/>
  <c r="L63" i="13"/>
  <c r="M63" i="13"/>
  <c r="N63" i="13"/>
  <c r="O63" i="13"/>
  <c r="Q63" i="13"/>
  <c r="R63" i="13"/>
  <c r="S63" i="13"/>
  <c r="T63" i="13"/>
  <c r="U63" i="13"/>
  <c r="V63" i="13"/>
  <c r="X63" i="13"/>
  <c r="Y63" i="13"/>
  <c r="Z63" i="13"/>
  <c r="AA63" i="13"/>
  <c r="AB63" i="13"/>
  <c r="AC63" i="13"/>
  <c r="AE63" i="13"/>
  <c r="AF63" i="13"/>
  <c r="AG63" i="13"/>
  <c r="AH63" i="13"/>
  <c r="AI63" i="13"/>
  <c r="AJ63" i="13"/>
  <c r="AL63" i="13"/>
  <c r="AM63" i="13"/>
  <c r="AN63" i="13"/>
  <c r="AO63" i="13"/>
  <c r="AP63" i="13"/>
  <c r="AQ63" i="13"/>
  <c r="A64" i="13"/>
  <c r="B64" i="13"/>
  <c r="C64" i="13"/>
  <c r="D64" i="13"/>
  <c r="E64" i="13"/>
  <c r="F64" i="13"/>
  <c r="G64" i="13"/>
  <c r="H64" i="13"/>
  <c r="I64" i="13"/>
  <c r="J64" i="13"/>
  <c r="K64" i="13"/>
  <c r="L64" i="13"/>
  <c r="M64" i="13"/>
  <c r="N64" i="13"/>
  <c r="O64" i="13"/>
  <c r="Q64" i="13"/>
  <c r="R64" i="13"/>
  <c r="S64" i="13"/>
  <c r="T64" i="13"/>
  <c r="U64" i="13"/>
  <c r="V64" i="13"/>
  <c r="X64" i="13"/>
  <c r="Y64" i="13"/>
  <c r="Z64" i="13"/>
  <c r="AA64" i="13"/>
  <c r="AB64" i="13"/>
  <c r="AC64" i="13"/>
  <c r="AE64" i="13"/>
  <c r="AF64" i="13"/>
  <c r="AG64" i="13"/>
  <c r="AH64" i="13"/>
  <c r="AI64" i="13"/>
  <c r="AJ64" i="13"/>
  <c r="AL64" i="13"/>
  <c r="AM64" i="13"/>
  <c r="AN64" i="13"/>
  <c r="AO64" i="13"/>
  <c r="AP64" i="13"/>
  <c r="AQ64" i="13"/>
  <c r="A65" i="13"/>
  <c r="B65" i="13"/>
  <c r="C65" i="13"/>
  <c r="D65" i="13"/>
  <c r="E65" i="13"/>
  <c r="F65" i="13"/>
  <c r="G65" i="13"/>
  <c r="H65" i="13"/>
  <c r="I65" i="13"/>
  <c r="J65" i="13"/>
  <c r="K65" i="13"/>
  <c r="L65" i="13"/>
  <c r="M65" i="13"/>
  <c r="N65" i="13"/>
  <c r="O65" i="13"/>
  <c r="Q65" i="13"/>
  <c r="R65" i="13"/>
  <c r="S65" i="13"/>
  <c r="T65" i="13"/>
  <c r="U65" i="13"/>
  <c r="V65" i="13"/>
  <c r="X65" i="13"/>
  <c r="Y65" i="13"/>
  <c r="Z65" i="13"/>
  <c r="AA65" i="13"/>
  <c r="AB65" i="13"/>
  <c r="AC65" i="13"/>
  <c r="AE65" i="13"/>
  <c r="AF65" i="13"/>
  <c r="AG65" i="13"/>
  <c r="AH65" i="13"/>
  <c r="AI65" i="13"/>
  <c r="AJ65" i="13"/>
  <c r="AL65" i="13"/>
  <c r="AM65" i="13"/>
  <c r="AN65" i="13"/>
  <c r="AO65" i="13"/>
  <c r="AP65" i="13"/>
  <c r="AQ65" i="13"/>
  <c r="A66" i="13"/>
  <c r="B66" i="13"/>
  <c r="C66" i="13"/>
  <c r="D66" i="13"/>
  <c r="E66" i="13"/>
  <c r="AU66" i="13" s="1"/>
  <c r="F66" i="13"/>
  <c r="G66" i="13"/>
  <c r="H66" i="13"/>
  <c r="I66" i="13"/>
  <c r="J66" i="13"/>
  <c r="K66" i="13"/>
  <c r="L66" i="13"/>
  <c r="M66" i="13"/>
  <c r="N66" i="13"/>
  <c r="O66" i="13"/>
  <c r="Q66" i="13"/>
  <c r="R66" i="13"/>
  <c r="S66" i="13"/>
  <c r="T66" i="13"/>
  <c r="U66" i="13"/>
  <c r="V66" i="13"/>
  <c r="X66" i="13"/>
  <c r="Y66" i="13"/>
  <c r="Z66" i="13"/>
  <c r="AA66" i="13"/>
  <c r="AB66" i="13"/>
  <c r="AC66" i="13"/>
  <c r="AE66" i="13"/>
  <c r="AF66" i="13"/>
  <c r="AG66" i="13"/>
  <c r="AH66" i="13"/>
  <c r="AI66" i="13"/>
  <c r="AJ66" i="13"/>
  <c r="AL66" i="13"/>
  <c r="AM66" i="13"/>
  <c r="AN66" i="13"/>
  <c r="AO66" i="13"/>
  <c r="AP66" i="13"/>
  <c r="AQ66" i="13"/>
  <c r="A67" i="13"/>
  <c r="B67" i="13"/>
  <c r="C67" i="13"/>
  <c r="D67" i="13"/>
  <c r="E67" i="13"/>
  <c r="F67" i="13"/>
  <c r="G67" i="13"/>
  <c r="H67" i="13"/>
  <c r="I67" i="13"/>
  <c r="J67" i="13"/>
  <c r="K67" i="13"/>
  <c r="L67" i="13"/>
  <c r="M67" i="13"/>
  <c r="N67" i="13"/>
  <c r="O67" i="13"/>
  <c r="Q67" i="13"/>
  <c r="R67" i="13"/>
  <c r="S67" i="13"/>
  <c r="T67" i="13"/>
  <c r="U67" i="13"/>
  <c r="V67" i="13"/>
  <c r="X67" i="13"/>
  <c r="Y67" i="13"/>
  <c r="Z67" i="13"/>
  <c r="AA67" i="13"/>
  <c r="AB67" i="13"/>
  <c r="AC67" i="13"/>
  <c r="AE67" i="13"/>
  <c r="AF67" i="13"/>
  <c r="AG67" i="13"/>
  <c r="AH67" i="13"/>
  <c r="AI67" i="13"/>
  <c r="AJ67" i="13"/>
  <c r="AL67" i="13"/>
  <c r="AM67" i="13"/>
  <c r="AN67" i="13"/>
  <c r="AO67" i="13"/>
  <c r="AP67" i="13"/>
  <c r="AQ67" i="13"/>
  <c r="A68" i="13"/>
  <c r="B68" i="13"/>
  <c r="C68" i="13"/>
  <c r="D68" i="13"/>
  <c r="E68" i="13"/>
  <c r="F68" i="13"/>
  <c r="G68" i="13"/>
  <c r="H68" i="13"/>
  <c r="I68" i="13"/>
  <c r="J68" i="13"/>
  <c r="K68" i="13"/>
  <c r="L68" i="13"/>
  <c r="M68" i="13"/>
  <c r="N68" i="13"/>
  <c r="O68" i="13"/>
  <c r="Q68" i="13"/>
  <c r="R68" i="13"/>
  <c r="S68" i="13"/>
  <c r="T68" i="13"/>
  <c r="U68" i="13"/>
  <c r="V68" i="13"/>
  <c r="X68" i="13"/>
  <c r="Y68" i="13"/>
  <c r="Z68" i="13"/>
  <c r="AA68" i="13"/>
  <c r="AB68" i="13"/>
  <c r="AC68" i="13"/>
  <c r="AE68" i="13"/>
  <c r="AF68" i="13"/>
  <c r="AG68" i="13"/>
  <c r="AH68" i="13"/>
  <c r="AI68" i="13"/>
  <c r="AJ68" i="13"/>
  <c r="AL68" i="13"/>
  <c r="AM68" i="13"/>
  <c r="AN68" i="13"/>
  <c r="AO68" i="13"/>
  <c r="AP68" i="13"/>
  <c r="AQ68" i="13"/>
  <c r="A69" i="13"/>
  <c r="B69" i="13"/>
  <c r="C69" i="13"/>
  <c r="D69" i="13"/>
  <c r="E69" i="13"/>
  <c r="AU69" i="13" s="1"/>
  <c r="F69" i="13"/>
  <c r="G69" i="13"/>
  <c r="H69" i="13"/>
  <c r="I69" i="13"/>
  <c r="J69" i="13"/>
  <c r="K69" i="13"/>
  <c r="L69" i="13"/>
  <c r="M69" i="13"/>
  <c r="N69" i="13"/>
  <c r="O69" i="13"/>
  <c r="Q69" i="13"/>
  <c r="R69" i="13"/>
  <c r="S69" i="13"/>
  <c r="T69" i="13"/>
  <c r="U69" i="13"/>
  <c r="V69" i="13"/>
  <c r="X69" i="13"/>
  <c r="Y69" i="13"/>
  <c r="Z69" i="13"/>
  <c r="AA69" i="13"/>
  <c r="AB69" i="13"/>
  <c r="AC69" i="13"/>
  <c r="AE69" i="13"/>
  <c r="AF69" i="13"/>
  <c r="AG69" i="13"/>
  <c r="AH69" i="13"/>
  <c r="AI69" i="13"/>
  <c r="AJ69" i="13"/>
  <c r="AL69" i="13"/>
  <c r="AM69" i="13"/>
  <c r="AN69" i="13"/>
  <c r="AO69" i="13"/>
  <c r="AP69" i="13"/>
  <c r="AQ69" i="13"/>
  <c r="A70" i="13"/>
  <c r="B70" i="13"/>
  <c r="C70" i="13"/>
  <c r="D70" i="13"/>
  <c r="E70" i="13"/>
  <c r="F70" i="13"/>
  <c r="G70" i="13"/>
  <c r="H70" i="13"/>
  <c r="I70" i="13"/>
  <c r="J70" i="13"/>
  <c r="K70" i="13"/>
  <c r="L70" i="13"/>
  <c r="M70" i="13"/>
  <c r="N70" i="13"/>
  <c r="O70" i="13"/>
  <c r="Q70" i="13"/>
  <c r="R70" i="13"/>
  <c r="S70" i="13"/>
  <c r="T70" i="13"/>
  <c r="U70" i="13"/>
  <c r="V70" i="13"/>
  <c r="X70" i="13"/>
  <c r="Y70" i="13"/>
  <c r="Z70" i="13"/>
  <c r="AA70" i="13"/>
  <c r="AB70" i="13"/>
  <c r="AC70" i="13"/>
  <c r="AE70" i="13"/>
  <c r="AF70" i="13"/>
  <c r="AG70" i="13"/>
  <c r="AH70" i="13"/>
  <c r="AI70" i="13"/>
  <c r="AJ70" i="13"/>
  <c r="AL70" i="13"/>
  <c r="AM70" i="13"/>
  <c r="AN70" i="13"/>
  <c r="AO70" i="13"/>
  <c r="AP70" i="13"/>
  <c r="AQ70" i="13"/>
  <c r="A71" i="13"/>
  <c r="B71" i="13"/>
  <c r="C71" i="13"/>
  <c r="D71" i="13"/>
  <c r="E71" i="13"/>
  <c r="F71" i="13"/>
  <c r="G71" i="13"/>
  <c r="H71" i="13"/>
  <c r="I71" i="13"/>
  <c r="J71" i="13"/>
  <c r="K71" i="13"/>
  <c r="L71" i="13"/>
  <c r="M71" i="13"/>
  <c r="N71" i="13"/>
  <c r="O71" i="13"/>
  <c r="Q71" i="13"/>
  <c r="R71" i="13"/>
  <c r="S71" i="13"/>
  <c r="T71" i="13"/>
  <c r="U71" i="13"/>
  <c r="V71" i="13"/>
  <c r="X71" i="13"/>
  <c r="Y71" i="13"/>
  <c r="Z71" i="13"/>
  <c r="AA71" i="13"/>
  <c r="AB71" i="13"/>
  <c r="AC71" i="13"/>
  <c r="AE71" i="13"/>
  <c r="AF71" i="13"/>
  <c r="AG71" i="13"/>
  <c r="AH71" i="13"/>
  <c r="AI71" i="13"/>
  <c r="AJ71" i="13"/>
  <c r="AL71" i="13"/>
  <c r="AM71" i="13"/>
  <c r="AN71" i="13"/>
  <c r="AO71" i="13"/>
  <c r="AP71" i="13"/>
  <c r="AQ71" i="13"/>
  <c r="A72" i="13"/>
  <c r="B72" i="13"/>
  <c r="C72" i="13"/>
  <c r="D72" i="13"/>
  <c r="E72" i="13"/>
  <c r="AU72" i="13" s="1"/>
  <c r="F72" i="13"/>
  <c r="G72" i="13"/>
  <c r="H72" i="13"/>
  <c r="I72" i="13"/>
  <c r="J72" i="13"/>
  <c r="K72" i="13"/>
  <c r="L72" i="13"/>
  <c r="M72" i="13"/>
  <c r="N72" i="13"/>
  <c r="O72" i="13"/>
  <c r="Q72" i="13"/>
  <c r="R72" i="13"/>
  <c r="S72" i="13"/>
  <c r="T72" i="13"/>
  <c r="U72" i="13"/>
  <c r="V72" i="13"/>
  <c r="X72" i="13"/>
  <c r="Y72" i="13"/>
  <c r="Z72" i="13"/>
  <c r="AA72" i="13"/>
  <c r="AB72" i="13"/>
  <c r="AC72" i="13"/>
  <c r="AE72" i="13"/>
  <c r="AF72" i="13"/>
  <c r="AG72" i="13"/>
  <c r="AH72" i="13"/>
  <c r="AI72" i="13"/>
  <c r="AJ72" i="13"/>
  <c r="AL72" i="13"/>
  <c r="AM72" i="13"/>
  <c r="AN72" i="13"/>
  <c r="AO72" i="13"/>
  <c r="AP72" i="13"/>
  <c r="AQ72" i="13"/>
  <c r="A73" i="13"/>
  <c r="B73" i="13"/>
  <c r="C73" i="13"/>
  <c r="D73" i="13"/>
  <c r="E73" i="13"/>
  <c r="F73" i="13"/>
  <c r="G73" i="13"/>
  <c r="H73" i="13"/>
  <c r="I73" i="13"/>
  <c r="J73" i="13"/>
  <c r="K73" i="13"/>
  <c r="L73" i="13"/>
  <c r="M73" i="13"/>
  <c r="N73" i="13"/>
  <c r="O73" i="13"/>
  <c r="Q73" i="13"/>
  <c r="R73" i="13"/>
  <c r="S73" i="13"/>
  <c r="T73" i="13"/>
  <c r="U73" i="13"/>
  <c r="V73" i="13"/>
  <c r="X73" i="13"/>
  <c r="Y73" i="13"/>
  <c r="Z73" i="13"/>
  <c r="AA73" i="13"/>
  <c r="AB73" i="13"/>
  <c r="AC73" i="13"/>
  <c r="AE73" i="13"/>
  <c r="AF73" i="13"/>
  <c r="AG73" i="13"/>
  <c r="AH73" i="13"/>
  <c r="AI73" i="13"/>
  <c r="AJ73" i="13"/>
  <c r="AL73" i="13"/>
  <c r="AM73" i="13"/>
  <c r="AN73" i="13"/>
  <c r="AO73" i="13"/>
  <c r="AP73" i="13"/>
  <c r="AQ73" i="13"/>
  <c r="A74" i="13"/>
  <c r="B74" i="13"/>
  <c r="C74" i="13"/>
  <c r="D74" i="13"/>
  <c r="E74" i="13"/>
  <c r="F74" i="13"/>
  <c r="G74" i="13"/>
  <c r="H74" i="13"/>
  <c r="I74" i="13"/>
  <c r="J74" i="13"/>
  <c r="K74" i="13"/>
  <c r="L74" i="13"/>
  <c r="M74" i="13"/>
  <c r="N74" i="13"/>
  <c r="O74" i="13"/>
  <c r="Q74" i="13"/>
  <c r="R74" i="13"/>
  <c r="S74" i="13"/>
  <c r="T74" i="13"/>
  <c r="U74" i="13"/>
  <c r="V74" i="13"/>
  <c r="X74" i="13"/>
  <c r="Y74" i="13"/>
  <c r="Z74" i="13"/>
  <c r="AA74" i="13"/>
  <c r="AB74" i="13"/>
  <c r="AC74" i="13"/>
  <c r="AE74" i="13"/>
  <c r="AF74" i="13"/>
  <c r="AG74" i="13"/>
  <c r="AH74" i="13"/>
  <c r="AI74" i="13"/>
  <c r="AJ74" i="13"/>
  <c r="AL74" i="13"/>
  <c r="AM74" i="13"/>
  <c r="AN74" i="13"/>
  <c r="AO74" i="13"/>
  <c r="AP74" i="13"/>
  <c r="AQ74" i="13"/>
  <c r="A75" i="13"/>
  <c r="B75" i="13"/>
  <c r="C75" i="13"/>
  <c r="D75" i="13"/>
  <c r="E75" i="13"/>
  <c r="AU75" i="13" s="1"/>
  <c r="F75" i="13"/>
  <c r="G75" i="13"/>
  <c r="H75" i="13"/>
  <c r="I75" i="13"/>
  <c r="J75" i="13"/>
  <c r="K75" i="13"/>
  <c r="L75" i="13"/>
  <c r="M75" i="13"/>
  <c r="N75" i="13"/>
  <c r="O75" i="13"/>
  <c r="Q75" i="13"/>
  <c r="R75" i="13"/>
  <c r="S75" i="13"/>
  <c r="T75" i="13"/>
  <c r="U75" i="13"/>
  <c r="V75" i="13"/>
  <c r="X75" i="13"/>
  <c r="Y75" i="13"/>
  <c r="Z75" i="13"/>
  <c r="AA75" i="13"/>
  <c r="AB75" i="13"/>
  <c r="AC75" i="13"/>
  <c r="AE75" i="13"/>
  <c r="AF75" i="13"/>
  <c r="AG75" i="13"/>
  <c r="AH75" i="13"/>
  <c r="AI75" i="13"/>
  <c r="AJ75" i="13"/>
  <c r="AL75" i="13"/>
  <c r="AM75" i="13"/>
  <c r="AN75" i="13"/>
  <c r="AO75" i="13"/>
  <c r="AP75" i="13"/>
  <c r="AQ75" i="13"/>
  <c r="A76" i="13"/>
  <c r="B76" i="13"/>
  <c r="C76" i="13"/>
  <c r="D76" i="13"/>
  <c r="E76" i="13"/>
  <c r="F76" i="13"/>
  <c r="G76" i="13"/>
  <c r="H76" i="13"/>
  <c r="I76" i="13"/>
  <c r="J76" i="13"/>
  <c r="K76" i="13"/>
  <c r="L76" i="13"/>
  <c r="M76" i="13"/>
  <c r="N76" i="13"/>
  <c r="O76" i="13"/>
  <c r="Q76" i="13"/>
  <c r="R76" i="13"/>
  <c r="S76" i="13"/>
  <c r="T76" i="13"/>
  <c r="U76" i="13"/>
  <c r="V76" i="13"/>
  <c r="X76" i="13"/>
  <c r="Y76" i="13"/>
  <c r="Z76" i="13"/>
  <c r="AA76" i="13"/>
  <c r="AB76" i="13"/>
  <c r="AC76" i="13"/>
  <c r="AE76" i="13"/>
  <c r="AF76" i="13"/>
  <c r="AG76" i="13"/>
  <c r="AH76" i="13"/>
  <c r="AI76" i="13"/>
  <c r="AJ76" i="13"/>
  <c r="AL76" i="13"/>
  <c r="AM76" i="13"/>
  <c r="AN76" i="13"/>
  <c r="AO76" i="13"/>
  <c r="AP76" i="13"/>
  <c r="AQ76" i="13"/>
  <c r="A77" i="13"/>
  <c r="B77" i="13"/>
  <c r="C77" i="13"/>
  <c r="D77" i="13"/>
  <c r="E77" i="13"/>
  <c r="F77" i="13"/>
  <c r="G77" i="13"/>
  <c r="H77" i="13"/>
  <c r="I77" i="13"/>
  <c r="J77" i="13"/>
  <c r="K77" i="13"/>
  <c r="L77" i="13"/>
  <c r="M77" i="13"/>
  <c r="N77" i="13"/>
  <c r="O77" i="13"/>
  <c r="Q77" i="13"/>
  <c r="R77" i="13"/>
  <c r="S77" i="13"/>
  <c r="T77" i="13"/>
  <c r="U77" i="13"/>
  <c r="V77" i="13"/>
  <c r="X77" i="13"/>
  <c r="Y77" i="13"/>
  <c r="Z77" i="13"/>
  <c r="AA77" i="13"/>
  <c r="AB77" i="13"/>
  <c r="AC77" i="13"/>
  <c r="AE77" i="13"/>
  <c r="AF77" i="13"/>
  <c r="AG77" i="13"/>
  <c r="AH77" i="13"/>
  <c r="AI77" i="13"/>
  <c r="AJ77" i="13"/>
  <c r="AL77" i="13"/>
  <c r="AM77" i="13"/>
  <c r="AN77" i="13"/>
  <c r="AO77" i="13"/>
  <c r="AP77" i="13"/>
  <c r="AQ77" i="13"/>
  <c r="A78" i="13"/>
  <c r="B78" i="13"/>
  <c r="C78" i="13"/>
  <c r="D78" i="13"/>
  <c r="E78" i="13"/>
  <c r="AU78" i="13" s="1"/>
  <c r="F78" i="13"/>
  <c r="G78" i="13"/>
  <c r="H78" i="13"/>
  <c r="I78" i="13"/>
  <c r="J78" i="13"/>
  <c r="K78" i="13"/>
  <c r="L78" i="13"/>
  <c r="M78" i="13"/>
  <c r="N78" i="13"/>
  <c r="O78" i="13"/>
  <c r="Q78" i="13"/>
  <c r="R78" i="13"/>
  <c r="S78" i="13"/>
  <c r="T78" i="13"/>
  <c r="U78" i="13"/>
  <c r="V78" i="13"/>
  <c r="X78" i="13"/>
  <c r="Y78" i="13"/>
  <c r="Z78" i="13"/>
  <c r="AA78" i="13"/>
  <c r="AB78" i="13"/>
  <c r="AC78" i="13"/>
  <c r="AE78" i="13"/>
  <c r="AF78" i="13"/>
  <c r="AG78" i="13"/>
  <c r="AH78" i="13"/>
  <c r="AI78" i="13"/>
  <c r="AJ78" i="13"/>
  <c r="AL78" i="13"/>
  <c r="AM78" i="13"/>
  <c r="AN78" i="13"/>
  <c r="AO78" i="13"/>
  <c r="AP78" i="13"/>
  <c r="AQ78" i="13"/>
  <c r="A79" i="13"/>
  <c r="B79" i="13"/>
  <c r="C79" i="13"/>
  <c r="D79" i="13"/>
  <c r="E79" i="13"/>
  <c r="F79" i="13"/>
  <c r="G79" i="13"/>
  <c r="H79" i="13"/>
  <c r="I79" i="13"/>
  <c r="J79" i="13"/>
  <c r="K79" i="13"/>
  <c r="L79" i="13"/>
  <c r="M79" i="13"/>
  <c r="N79" i="13"/>
  <c r="O79" i="13"/>
  <c r="Q79" i="13"/>
  <c r="R79" i="13"/>
  <c r="S79" i="13"/>
  <c r="T79" i="13"/>
  <c r="U79" i="13"/>
  <c r="V79" i="13"/>
  <c r="X79" i="13"/>
  <c r="Y79" i="13"/>
  <c r="Z79" i="13"/>
  <c r="AA79" i="13"/>
  <c r="AB79" i="13"/>
  <c r="AC79" i="13"/>
  <c r="AE79" i="13"/>
  <c r="AF79" i="13"/>
  <c r="AG79" i="13"/>
  <c r="AH79" i="13"/>
  <c r="AI79" i="13"/>
  <c r="AJ79" i="13"/>
  <c r="AL79" i="13"/>
  <c r="AM79" i="13"/>
  <c r="AN79" i="13"/>
  <c r="AO79" i="13"/>
  <c r="AP79" i="13"/>
  <c r="AQ79" i="13"/>
  <c r="A80" i="13"/>
  <c r="B80" i="13"/>
  <c r="C80" i="13"/>
  <c r="D80" i="13"/>
  <c r="E80" i="13"/>
  <c r="AT80" i="13" s="1"/>
  <c r="F80" i="13"/>
  <c r="G80" i="13"/>
  <c r="H80" i="13"/>
  <c r="I80" i="13"/>
  <c r="J80" i="13"/>
  <c r="K80" i="13"/>
  <c r="L80" i="13"/>
  <c r="M80" i="13"/>
  <c r="N80" i="13"/>
  <c r="O80" i="13"/>
  <c r="Q80" i="13"/>
  <c r="R80" i="13"/>
  <c r="S80" i="13"/>
  <c r="T80" i="13"/>
  <c r="U80" i="13"/>
  <c r="V80" i="13"/>
  <c r="X80" i="13"/>
  <c r="Y80" i="13"/>
  <c r="Z80" i="13"/>
  <c r="AA80" i="13"/>
  <c r="AB80" i="13"/>
  <c r="AC80" i="13"/>
  <c r="AE80" i="13"/>
  <c r="AF80" i="13"/>
  <c r="AG80" i="13"/>
  <c r="AH80" i="13"/>
  <c r="AI80" i="13"/>
  <c r="AJ80" i="13"/>
  <c r="AL80" i="13"/>
  <c r="AM80" i="13"/>
  <c r="AN80" i="13"/>
  <c r="AO80" i="13"/>
  <c r="AP80" i="13"/>
  <c r="AQ80" i="13"/>
  <c r="A81" i="13"/>
  <c r="B81" i="13"/>
  <c r="C81" i="13"/>
  <c r="D81" i="13"/>
  <c r="E81" i="13"/>
  <c r="AU81" i="13" s="1"/>
  <c r="F81" i="13"/>
  <c r="G81" i="13"/>
  <c r="H81" i="13"/>
  <c r="I81" i="13"/>
  <c r="J81" i="13"/>
  <c r="K81" i="13"/>
  <c r="L81" i="13"/>
  <c r="M81" i="13"/>
  <c r="N81" i="13"/>
  <c r="O81" i="13"/>
  <c r="Q81" i="13"/>
  <c r="R81" i="13"/>
  <c r="S81" i="13"/>
  <c r="T81" i="13"/>
  <c r="U81" i="13"/>
  <c r="V81" i="13"/>
  <c r="X81" i="13"/>
  <c r="Y81" i="13"/>
  <c r="Z81" i="13"/>
  <c r="AA81" i="13"/>
  <c r="AB81" i="13"/>
  <c r="AC81" i="13"/>
  <c r="AE81" i="13"/>
  <c r="AF81" i="13"/>
  <c r="AG81" i="13"/>
  <c r="AH81" i="13"/>
  <c r="AI81" i="13"/>
  <c r="AJ81" i="13"/>
  <c r="AL81" i="13"/>
  <c r="AM81" i="13"/>
  <c r="AN81" i="13"/>
  <c r="AO81" i="13"/>
  <c r="AP81" i="13"/>
  <c r="AQ81" i="13"/>
  <c r="A82" i="13"/>
  <c r="B82" i="13"/>
  <c r="C82" i="13"/>
  <c r="D82" i="13"/>
  <c r="E82" i="13"/>
  <c r="F82" i="13"/>
  <c r="G82" i="13"/>
  <c r="H82" i="13"/>
  <c r="I82" i="13"/>
  <c r="J82" i="13"/>
  <c r="K82" i="13"/>
  <c r="L82" i="13"/>
  <c r="M82" i="13"/>
  <c r="N82" i="13"/>
  <c r="O82" i="13"/>
  <c r="Q82" i="13"/>
  <c r="R82" i="13"/>
  <c r="S82" i="13"/>
  <c r="T82" i="13"/>
  <c r="U82" i="13"/>
  <c r="V82" i="13"/>
  <c r="X82" i="13"/>
  <c r="Y82" i="13"/>
  <c r="Z82" i="13"/>
  <c r="AA82" i="13"/>
  <c r="AB82" i="13"/>
  <c r="AC82" i="13"/>
  <c r="AE82" i="13"/>
  <c r="AF82" i="13"/>
  <c r="AG82" i="13"/>
  <c r="AH82" i="13"/>
  <c r="AI82" i="13"/>
  <c r="AJ82" i="13"/>
  <c r="AL82" i="13"/>
  <c r="AM82" i="13"/>
  <c r="AN82" i="13"/>
  <c r="AO82" i="13"/>
  <c r="AP82" i="13"/>
  <c r="AQ82" i="13"/>
  <c r="A83" i="13"/>
  <c r="B83" i="13"/>
  <c r="C83" i="13"/>
  <c r="D83" i="13"/>
  <c r="E83" i="13"/>
  <c r="AT83" i="13" s="1"/>
  <c r="F83" i="13"/>
  <c r="G83" i="13"/>
  <c r="H83" i="13"/>
  <c r="I83" i="13"/>
  <c r="J83" i="13"/>
  <c r="K83" i="13"/>
  <c r="L83" i="13"/>
  <c r="M83" i="13"/>
  <c r="N83" i="13"/>
  <c r="O83" i="13"/>
  <c r="Q83" i="13"/>
  <c r="R83" i="13"/>
  <c r="S83" i="13"/>
  <c r="T83" i="13"/>
  <c r="U83" i="13"/>
  <c r="V83" i="13"/>
  <c r="X83" i="13"/>
  <c r="Y83" i="13"/>
  <c r="Z83" i="13"/>
  <c r="AA83" i="13"/>
  <c r="AB83" i="13"/>
  <c r="AC83" i="13"/>
  <c r="AE83" i="13"/>
  <c r="AF83" i="13"/>
  <c r="AG83" i="13"/>
  <c r="AH83" i="13"/>
  <c r="AI83" i="13"/>
  <c r="AJ83" i="13"/>
  <c r="AL83" i="13"/>
  <c r="AM83" i="13"/>
  <c r="AN83" i="13"/>
  <c r="AO83" i="13"/>
  <c r="AP83" i="13"/>
  <c r="AQ83" i="13"/>
  <c r="A84" i="13"/>
  <c r="B84" i="13"/>
  <c r="C84" i="13"/>
  <c r="D84" i="13"/>
  <c r="E84" i="13"/>
  <c r="AU84" i="13" s="1"/>
  <c r="F84" i="13"/>
  <c r="G84" i="13"/>
  <c r="H84" i="13"/>
  <c r="I84" i="13"/>
  <c r="J84" i="13"/>
  <c r="K84" i="13"/>
  <c r="L84" i="13"/>
  <c r="M84" i="13"/>
  <c r="N84" i="13"/>
  <c r="O84" i="13"/>
  <c r="Q84" i="13"/>
  <c r="R84" i="13"/>
  <c r="S84" i="13"/>
  <c r="T84" i="13"/>
  <c r="U84" i="13"/>
  <c r="V84" i="13"/>
  <c r="X84" i="13"/>
  <c r="Y84" i="13"/>
  <c r="Z84" i="13"/>
  <c r="AA84" i="13"/>
  <c r="AB84" i="13"/>
  <c r="AC84" i="13"/>
  <c r="AE84" i="13"/>
  <c r="AF84" i="13"/>
  <c r="AG84" i="13"/>
  <c r="AH84" i="13"/>
  <c r="AI84" i="13"/>
  <c r="AJ84" i="13"/>
  <c r="AL84" i="13"/>
  <c r="AM84" i="13"/>
  <c r="AN84" i="13"/>
  <c r="AO84" i="13"/>
  <c r="AP84" i="13"/>
  <c r="AQ84" i="13"/>
  <c r="A85" i="13"/>
  <c r="B85" i="13"/>
  <c r="C85" i="13"/>
  <c r="D85" i="13"/>
  <c r="E85" i="13"/>
  <c r="F85" i="13"/>
  <c r="G85" i="13"/>
  <c r="H85" i="13"/>
  <c r="I85" i="13"/>
  <c r="J85" i="13"/>
  <c r="K85" i="13"/>
  <c r="L85" i="13"/>
  <c r="M85" i="13"/>
  <c r="N85" i="13"/>
  <c r="O85" i="13"/>
  <c r="Q85" i="13"/>
  <c r="R85" i="13"/>
  <c r="S85" i="13"/>
  <c r="T85" i="13"/>
  <c r="U85" i="13"/>
  <c r="V85" i="13"/>
  <c r="X85" i="13"/>
  <c r="Y85" i="13"/>
  <c r="Z85" i="13"/>
  <c r="AA85" i="13"/>
  <c r="AB85" i="13"/>
  <c r="AC85" i="13"/>
  <c r="AE85" i="13"/>
  <c r="AF85" i="13"/>
  <c r="AG85" i="13"/>
  <c r="AH85" i="13"/>
  <c r="AI85" i="13"/>
  <c r="AJ85" i="13"/>
  <c r="AL85" i="13"/>
  <c r="AM85" i="13"/>
  <c r="AN85" i="13"/>
  <c r="AO85" i="13"/>
  <c r="AP85" i="13"/>
  <c r="AQ85" i="13"/>
  <c r="A86" i="13"/>
  <c r="B86" i="13"/>
  <c r="C86" i="13"/>
  <c r="D86" i="13"/>
  <c r="E86" i="13"/>
  <c r="AT86" i="13" s="1"/>
  <c r="F86" i="13"/>
  <c r="G86" i="13"/>
  <c r="H86" i="13"/>
  <c r="I86" i="13"/>
  <c r="J86" i="13"/>
  <c r="K86" i="13"/>
  <c r="L86" i="13"/>
  <c r="M86" i="13"/>
  <c r="N86" i="13"/>
  <c r="O86" i="13"/>
  <c r="Q86" i="13"/>
  <c r="R86" i="13"/>
  <c r="S86" i="13"/>
  <c r="T86" i="13"/>
  <c r="U86" i="13"/>
  <c r="V86" i="13"/>
  <c r="X86" i="13"/>
  <c r="Y86" i="13"/>
  <c r="Z86" i="13"/>
  <c r="AA86" i="13"/>
  <c r="AB86" i="13"/>
  <c r="AC86" i="13"/>
  <c r="AE86" i="13"/>
  <c r="AF86" i="13"/>
  <c r="AG86" i="13"/>
  <c r="AH86" i="13"/>
  <c r="AI86" i="13"/>
  <c r="AJ86" i="13"/>
  <c r="AL86" i="13"/>
  <c r="AM86" i="13"/>
  <c r="AN86" i="13"/>
  <c r="AO86" i="13"/>
  <c r="AP86" i="13"/>
  <c r="AQ86" i="13"/>
  <c r="A87" i="13"/>
  <c r="B87" i="13"/>
  <c r="C87" i="13"/>
  <c r="D87" i="13"/>
  <c r="E87" i="13"/>
  <c r="AU87" i="13" s="1"/>
  <c r="F87" i="13"/>
  <c r="G87" i="13"/>
  <c r="H87" i="13"/>
  <c r="I87" i="13"/>
  <c r="J87" i="13"/>
  <c r="K87" i="13"/>
  <c r="L87" i="13"/>
  <c r="M87" i="13"/>
  <c r="N87" i="13"/>
  <c r="O87" i="13"/>
  <c r="Q87" i="13"/>
  <c r="R87" i="13"/>
  <c r="S87" i="13"/>
  <c r="T87" i="13"/>
  <c r="U87" i="13"/>
  <c r="V87" i="13"/>
  <c r="X87" i="13"/>
  <c r="Y87" i="13"/>
  <c r="Z87" i="13"/>
  <c r="AA87" i="13"/>
  <c r="AB87" i="13"/>
  <c r="AC87" i="13"/>
  <c r="AE87" i="13"/>
  <c r="AF87" i="13"/>
  <c r="AG87" i="13"/>
  <c r="AH87" i="13"/>
  <c r="AI87" i="13"/>
  <c r="AJ87" i="13"/>
  <c r="AL87" i="13"/>
  <c r="AM87" i="13"/>
  <c r="AN87" i="13"/>
  <c r="AO87" i="13"/>
  <c r="AP87" i="13"/>
  <c r="AQ87" i="13"/>
  <c r="A88" i="13"/>
  <c r="B88" i="13"/>
  <c r="C88" i="13"/>
  <c r="D88" i="13"/>
  <c r="E88" i="13"/>
  <c r="F88" i="13"/>
  <c r="G88" i="13"/>
  <c r="H88" i="13"/>
  <c r="I88" i="13"/>
  <c r="J88" i="13"/>
  <c r="K88" i="13"/>
  <c r="L88" i="13"/>
  <c r="M88" i="13"/>
  <c r="N88" i="13"/>
  <c r="O88" i="13"/>
  <c r="Q88" i="13"/>
  <c r="R88" i="13"/>
  <c r="S88" i="13"/>
  <c r="T88" i="13"/>
  <c r="U88" i="13"/>
  <c r="V88" i="13"/>
  <c r="X88" i="13"/>
  <c r="Y88" i="13"/>
  <c r="Z88" i="13"/>
  <c r="AA88" i="13"/>
  <c r="AB88" i="13"/>
  <c r="AC88" i="13"/>
  <c r="AE88" i="13"/>
  <c r="AF88" i="13"/>
  <c r="AG88" i="13"/>
  <c r="AH88" i="13"/>
  <c r="AI88" i="13"/>
  <c r="AJ88" i="13"/>
  <c r="AL88" i="13"/>
  <c r="AM88" i="13"/>
  <c r="AN88" i="13"/>
  <c r="AO88" i="13"/>
  <c r="AP88" i="13"/>
  <c r="AQ88" i="13"/>
  <c r="A89" i="13"/>
  <c r="B89" i="13"/>
  <c r="C89" i="13"/>
  <c r="D89" i="13"/>
  <c r="E89" i="13"/>
  <c r="AT89" i="13" s="1"/>
  <c r="F89" i="13"/>
  <c r="G89" i="13"/>
  <c r="H89" i="13"/>
  <c r="I89" i="13"/>
  <c r="J89" i="13"/>
  <c r="K89" i="13"/>
  <c r="L89" i="13"/>
  <c r="M89" i="13"/>
  <c r="N89" i="13"/>
  <c r="O89" i="13"/>
  <c r="Q89" i="13"/>
  <c r="R89" i="13"/>
  <c r="S89" i="13"/>
  <c r="T89" i="13"/>
  <c r="U89" i="13"/>
  <c r="V89" i="13"/>
  <c r="X89" i="13"/>
  <c r="Y89" i="13"/>
  <c r="Z89" i="13"/>
  <c r="AA89" i="13"/>
  <c r="AB89" i="13"/>
  <c r="AC89" i="13"/>
  <c r="AE89" i="13"/>
  <c r="AF89" i="13"/>
  <c r="AG89" i="13"/>
  <c r="AH89" i="13"/>
  <c r="AI89" i="13"/>
  <c r="AJ89" i="13"/>
  <c r="AL89" i="13"/>
  <c r="AM89" i="13"/>
  <c r="AN89" i="13"/>
  <c r="AO89" i="13"/>
  <c r="AP89" i="13"/>
  <c r="AQ89" i="13"/>
  <c r="A90" i="13"/>
  <c r="B90" i="13"/>
  <c r="C90" i="13"/>
  <c r="D90" i="13"/>
  <c r="E90" i="13"/>
  <c r="AU90" i="13" s="1"/>
  <c r="F90" i="13"/>
  <c r="G90" i="13"/>
  <c r="H90" i="13"/>
  <c r="I90" i="13"/>
  <c r="J90" i="13"/>
  <c r="K90" i="13"/>
  <c r="L90" i="13"/>
  <c r="M90" i="13"/>
  <c r="N90" i="13"/>
  <c r="O90" i="13"/>
  <c r="Q90" i="13"/>
  <c r="R90" i="13"/>
  <c r="S90" i="13"/>
  <c r="T90" i="13"/>
  <c r="U90" i="13"/>
  <c r="V90" i="13"/>
  <c r="X90" i="13"/>
  <c r="Y90" i="13"/>
  <c r="Z90" i="13"/>
  <c r="AA90" i="13"/>
  <c r="AB90" i="13"/>
  <c r="AC90" i="13"/>
  <c r="AE90" i="13"/>
  <c r="AF90" i="13"/>
  <c r="AG90" i="13"/>
  <c r="AH90" i="13"/>
  <c r="AI90" i="13"/>
  <c r="AJ90" i="13"/>
  <c r="AL90" i="13"/>
  <c r="AM90" i="13"/>
  <c r="AN90" i="13"/>
  <c r="AO90" i="13"/>
  <c r="AP90" i="13"/>
  <c r="AQ90" i="13"/>
  <c r="A91" i="13"/>
  <c r="B91" i="13"/>
  <c r="C91" i="13"/>
  <c r="D91" i="13"/>
  <c r="E91" i="13"/>
  <c r="F91" i="13"/>
  <c r="G91" i="13"/>
  <c r="H91" i="13"/>
  <c r="I91" i="13"/>
  <c r="J91" i="13"/>
  <c r="K91" i="13"/>
  <c r="L91" i="13"/>
  <c r="M91" i="13"/>
  <c r="N91" i="13"/>
  <c r="O91" i="13"/>
  <c r="Q91" i="13"/>
  <c r="R91" i="13"/>
  <c r="S91" i="13"/>
  <c r="T91" i="13"/>
  <c r="U91" i="13"/>
  <c r="V91" i="13"/>
  <c r="X91" i="13"/>
  <c r="Y91" i="13"/>
  <c r="Z91" i="13"/>
  <c r="AA91" i="13"/>
  <c r="AB91" i="13"/>
  <c r="AC91" i="13"/>
  <c r="AE91" i="13"/>
  <c r="AF91" i="13"/>
  <c r="AG91" i="13"/>
  <c r="AH91" i="13"/>
  <c r="AI91" i="13"/>
  <c r="AJ91" i="13"/>
  <c r="AL91" i="13"/>
  <c r="AM91" i="13"/>
  <c r="AN91" i="13"/>
  <c r="AO91" i="13"/>
  <c r="AP91" i="13"/>
  <c r="AQ91" i="13"/>
  <c r="A92" i="13"/>
  <c r="B92" i="13"/>
  <c r="C92" i="13"/>
  <c r="D92" i="13"/>
  <c r="E92" i="13"/>
  <c r="AT92" i="13" s="1"/>
  <c r="F92" i="13"/>
  <c r="G92" i="13"/>
  <c r="H92" i="13"/>
  <c r="I92" i="13"/>
  <c r="J92" i="13"/>
  <c r="K92" i="13"/>
  <c r="L92" i="13"/>
  <c r="M92" i="13"/>
  <c r="N92" i="13"/>
  <c r="O92" i="13"/>
  <c r="Q92" i="13"/>
  <c r="R92" i="13"/>
  <c r="S92" i="13"/>
  <c r="T92" i="13"/>
  <c r="U92" i="13"/>
  <c r="V92" i="13"/>
  <c r="X92" i="13"/>
  <c r="Y92" i="13"/>
  <c r="Z92" i="13"/>
  <c r="AA92" i="13"/>
  <c r="AB92" i="13"/>
  <c r="AC92" i="13"/>
  <c r="AE92" i="13"/>
  <c r="AF92" i="13"/>
  <c r="AG92" i="13"/>
  <c r="AH92" i="13"/>
  <c r="AI92" i="13"/>
  <c r="AJ92" i="13"/>
  <c r="AL92" i="13"/>
  <c r="AM92" i="13"/>
  <c r="AN92" i="13"/>
  <c r="AO92" i="13"/>
  <c r="AP92" i="13"/>
  <c r="AQ92" i="13"/>
  <c r="A93" i="13"/>
  <c r="B93" i="13"/>
  <c r="C93" i="13"/>
  <c r="D93" i="13"/>
  <c r="E93" i="13"/>
  <c r="AU93" i="13" s="1"/>
  <c r="F93" i="13"/>
  <c r="G93" i="13"/>
  <c r="H93" i="13"/>
  <c r="I93" i="13"/>
  <c r="J93" i="13"/>
  <c r="K93" i="13"/>
  <c r="L93" i="13"/>
  <c r="M93" i="13"/>
  <c r="N93" i="13"/>
  <c r="O93" i="13"/>
  <c r="Q93" i="13"/>
  <c r="R93" i="13"/>
  <c r="S93" i="13"/>
  <c r="T93" i="13"/>
  <c r="U93" i="13"/>
  <c r="V93" i="13"/>
  <c r="X93" i="13"/>
  <c r="Y93" i="13"/>
  <c r="Z93" i="13"/>
  <c r="AA93" i="13"/>
  <c r="AB93" i="13"/>
  <c r="AC93" i="13"/>
  <c r="AE93" i="13"/>
  <c r="AF93" i="13"/>
  <c r="AG93" i="13"/>
  <c r="AH93" i="13"/>
  <c r="AI93" i="13"/>
  <c r="AJ93" i="13"/>
  <c r="AL93" i="13"/>
  <c r="AM93" i="13"/>
  <c r="AN93" i="13"/>
  <c r="AO93" i="13"/>
  <c r="AP93" i="13"/>
  <c r="AQ93" i="13"/>
  <c r="A94" i="13"/>
  <c r="B94" i="13"/>
  <c r="C94" i="13"/>
  <c r="D94" i="13"/>
  <c r="E94" i="13"/>
  <c r="F94" i="13"/>
  <c r="G94" i="13"/>
  <c r="H94" i="13"/>
  <c r="I94" i="13"/>
  <c r="J94" i="13"/>
  <c r="K94" i="13"/>
  <c r="L94" i="13"/>
  <c r="M94" i="13"/>
  <c r="N94" i="13"/>
  <c r="O94" i="13"/>
  <c r="Q94" i="13"/>
  <c r="R94" i="13"/>
  <c r="S94" i="13"/>
  <c r="T94" i="13"/>
  <c r="U94" i="13"/>
  <c r="V94" i="13"/>
  <c r="X94" i="13"/>
  <c r="Y94" i="13"/>
  <c r="Z94" i="13"/>
  <c r="AA94" i="13"/>
  <c r="AB94" i="13"/>
  <c r="AC94" i="13"/>
  <c r="AE94" i="13"/>
  <c r="AF94" i="13"/>
  <c r="AG94" i="13"/>
  <c r="AH94" i="13"/>
  <c r="AI94" i="13"/>
  <c r="AJ94" i="13"/>
  <c r="AL94" i="13"/>
  <c r="AM94" i="13"/>
  <c r="AN94" i="13"/>
  <c r="AO94" i="13"/>
  <c r="AP94" i="13"/>
  <c r="AQ94" i="13"/>
  <c r="A95" i="13"/>
  <c r="B95" i="13"/>
  <c r="C95" i="13"/>
  <c r="D95" i="13"/>
  <c r="E95" i="13"/>
  <c r="F95" i="13"/>
  <c r="G95" i="13"/>
  <c r="H95" i="13"/>
  <c r="I95" i="13"/>
  <c r="J95" i="13"/>
  <c r="K95" i="13"/>
  <c r="L95" i="13"/>
  <c r="M95" i="13"/>
  <c r="N95" i="13"/>
  <c r="O95" i="13"/>
  <c r="Q95" i="13"/>
  <c r="R95" i="13"/>
  <c r="S95" i="13"/>
  <c r="T95" i="13"/>
  <c r="U95" i="13"/>
  <c r="V95" i="13"/>
  <c r="X95" i="13"/>
  <c r="Y95" i="13"/>
  <c r="Z95" i="13"/>
  <c r="AA95" i="13"/>
  <c r="AB95" i="13"/>
  <c r="AC95" i="13"/>
  <c r="AE95" i="13"/>
  <c r="AF95" i="13"/>
  <c r="AG95" i="13"/>
  <c r="AH95" i="13"/>
  <c r="AI95" i="13"/>
  <c r="AJ95" i="13"/>
  <c r="AL95" i="13"/>
  <c r="AM95" i="13"/>
  <c r="AN95" i="13"/>
  <c r="AO95" i="13"/>
  <c r="AP95" i="13"/>
  <c r="AQ95" i="13"/>
  <c r="A96" i="13"/>
  <c r="B96" i="13"/>
  <c r="C96" i="13"/>
  <c r="D96" i="13"/>
  <c r="E96" i="13"/>
  <c r="AT96" i="13" s="1"/>
  <c r="F96" i="13"/>
  <c r="G96" i="13"/>
  <c r="H96" i="13"/>
  <c r="I96" i="13"/>
  <c r="J96" i="13"/>
  <c r="K96" i="13"/>
  <c r="L96" i="13"/>
  <c r="M96" i="13"/>
  <c r="N96" i="13"/>
  <c r="O96" i="13"/>
  <c r="Q96" i="13"/>
  <c r="R96" i="13"/>
  <c r="S96" i="13"/>
  <c r="T96" i="13"/>
  <c r="U96" i="13"/>
  <c r="V96" i="13"/>
  <c r="X96" i="13"/>
  <c r="Y96" i="13"/>
  <c r="Z96" i="13"/>
  <c r="AA96" i="13"/>
  <c r="AB96" i="13"/>
  <c r="AC96" i="13"/>
  <c r="AE96" i="13"/>
  <c r="AF96" i="13"/>
  <c r="AG96" i="13"/>
  <c r="AH96" i="13"/>
  <c r="AI96" i="13"/>
  <c r="AJ96" i="13"/>
  <c r="AL96" i="13"/>
  <c r="AM96" i="13"/>
  <c r="AN96" i="13"/>
  <c r="AO96" i="13"/>
  <c r="AP96" i="13"/>
  <c r="AQ96" i="13"/>
  <c r="A97" i="13"/>
  <c r="B97" i="13"/>
  <c r="C97" i="13"/>
  <c r="D97" i="13"/>
  <c r="E97" i="13"/>
  <c r="F97" i="13"/>
  <c r="G97" i="13"/>
  <c r="H97" i="13"/>
  <c r="I97" i="13"/>
  <c r="J97" i="13"/>
  <c r="K97" i="13"/>
  <c r="L97" i="13"/>
  <c r="M97" i="13"/>
  <c r="N97" i="13"/>
  <c r="O97" i="13"/>
  <c r="Q97" i="13"/>
  <c r="R97" i="13"/>
  <c r="S97" i="13"/>
  <c r="T97" i="13"/>
  <c r="U97" i="13"/>
  <c r="V97" i="13"/>
  <c r="X97" i="13"/>
  <c r="Y97" i="13"/>
  <c r="Z97" i="13"/>
  <c r="AA97" i="13"/>
  <c r="AB97" i="13"/>
  <c r="AC97" i="13"/>
  <c r="AE97" i="13"/>
  <c r="AF97" i="13"/>
  <c r="AG97" i="13"/>
  <c r="AH97" i="13"/>
  <c r="AI97" i="13"/>
  <c r="AJ97" i="13"/>
  <c r="AL97" i="13"/>
  <c r="AM97" i="13"/>
  <c r="AN97" i="13"/>
  <c r="AO97" i="13"/>
  <c r="AP97" i="13"/>
  <c r="AQ97" i="13"/>
  <c r="A98" i="13"/>
  <c r="B98" i="13"/>
  <c r="C98" i="13"/>
  <c r="D98" i="13"/>
  <c r="E98" i="13"/>
  <c r="AT98" i="13" s="1"/>
  <c r="F98" i="13"/>
  <c r="G98" i="13"/>
  <c r="H98" i="13"/>
  <c r="I98" i="13"/>
  <c r="J98" i="13"/>
  <c r="K98" i="13"/>
  <c r="L98" i="13"/>
  <c r="M98" i="13"/>
  <c r="N98" i="13"/>
  <c r="O98" i="13"/>
  <c r="Q98" i="13"/>
  <c r="R98" i="13"/>
  <c r="S98" i="13"/>
  <c r="T98" i="13"/>
  <c r="U98" i="13"/>
  <c r="V98" i="13"/>
  <c r="X98" i="13"/>
  <c r="Y98" i="13"/>
  <c r="Z98" i="13"/>
  <c r="AA98" i="13"/>
  <c r="AB98" i="13"/>
  <c r="AC98" i="13"/>
  <c r="AE98" i="13"/>
  <c r="AF98" i="13"/>
  <c r="AG98" i="13"/>
  <c r="AH98" i="13"/>
  <c r="AI98" i="13"/>
  <c r="AJ98" i="13"/>
  <c r="AL98" i="13"/>
  <c r="AM98" i="13"/>
  <c r="AN98" i="13"/>
  <c r="AO98" i="13"/>
  <c r="AP98" i="13"/>
  <c r="AQ98" i="13"/>
  <c r="A99" i="13"/>
  <c r="B99" i="13"/>
  <c r="C99" i="13"/>
  <c r="D99" i="13"/>
  <c r="E99" i="13"/>
  <c r="AU99" i="13" s="1"/>
  <c r="F99" i="13"/>
  <c r="G99" i="13"/>
  <c r="H99" i="13"/>
  <c r="I99" i="13"/>
  <c r="J99" i="13"/>
  <c r="K99" i="13"/>
  <c r="L99" i="13"/>
  <c r="M99" i="13"/>
  <c r="N99" i="13"/>
  <c r="O99" i="13"/>
  <c r="Q99" i="13"/>
  <c r="R99" i="13"/>
  <c r="S99" i="13"/>
  <c r="T99" i="13"/>
  <c r="U99" i="13"/>
  <c r="V99" i="13"/>
  <c r="X99" i="13"/>
  <c r="Y99" i="13"/>
  <c r="Z99" i="13"/>
  <c r="AA99" i="13"/>
  <c r="AB99" i="13"/>
  <c r="AC99" i="13"/>
  <c r="AE99" i="13"/>
  <c r="AF99" i="13"/>
  <c r="AG99" i="13"/>
  <c r="AH99" i="13"/>
  <c r="AI99" i="13"/>
  <c r="AJ99" i="13"/>
  <c r="AL99" i="13"/>
  <c r="AM99" i="13"/>
  <c r="AN99" i="13"/>
  <c r="AO99" i="13"/>
  <c r="AP99" i="13"/>
  <c r="AQ99" i="13"/>
  <c r="A100" i="13"/>
  <c r="B100" i="13"/>
  <c r="C100" i="13"/>
  <c r="D100" i="13"/>
  <c r="E100" i="13"/>
  <c r="AT100" i="13" s="1"/>
  <c r="F100" i="13"/>
  <c r="G100" i="13"/>
  <c r="H100" i="13"/>
  <c r="I100" i="13"/>
  <c r="J100" i="13"/>
  <c r="K100" i="13"/>
  <c r="L100" i="13"/>
  <c r="M100" i="13"/>
  <c r="N100" i="13"/>
  <c r="O100" i="13"/>
  <c r="Q100" i="13"/>
  <c r="R100" i="13"/>
  <c r="S100" i="13"/>
  <c r="T100" i="13"/>
  <c r="U100" i="13"/>
  <c r="V100" i="13"/>
  <c r="X100" i="13"/>
  <c r="Y100" i="13"/>
  <c r="Z100" i="13"/>
  <c r="AA100" i="13"/>
  <c r="AB100" i="13"/>
  <c r="AC100" i="13"/>
  <c r="AE100" i="13"/>
  <c r="AF100" i="13"/>
  <c r="AG100" i="13"/>
  <c r="AH100" i="13"/>
  <c r="AI100" i="13"/>
  <c r="AJ100" i="13"/>
  <c r="AL100" i="13"/>
  <c r="AM100" i="13"/>
  <c r="AN100" i="13"/>
  <c r="AO100" i="13"/>
  <c r="AP100" i="13"/>
  <c r="AQ100" i="13"/>
  <c r="A101" i="13"/>
  <c r="B101" i="13"/>
  <c r="C101" i="13"/>
  <c r="D101" i="13"/>
  <c r="E101" i="13"/>
  <c r="F101" i="13"/>
  <c r="G101" i="13"/>
  <c r="H101" i="13"/>
  <c r="I101" i="13"/>
  <c r="J101" i="13"/>
  <c r="K101" i="13"/>
  <c r="L101" i="13"/>
  <c r="M101" i="13"/>
  <c r="N101" i="13"/>
  <c r="O101" i="13"/>
  <c r="Q101" i="13"/>
  <c r="R101" i="13"/>
  <c r="S101" i="13"/>
  <c r="T101" i="13"/>
  <c r="U101" i="13"/>
  <c r="V101" i="13"/>
  <c r="X101" i="13"/>
  <c r="Y101" i="13"/>
  <c r="Z101" i="13"/>
  <c r="AA101" i="13"/>
  <c r="AB101" i="13"/>
  <c r="AC101" i="13"/>
  <c r="AE101" i="13"/>
  <c r="AF101" i="13"/>
  <c r="AG101" i="13"/>
  <c r="AH101" i="13"/>
  <c r="AI101" i="13"/>
  <c r="AJ101" i="13"/>
  <c r="AL101" i="13"/>
  <c r="AM101" i="13"/>
  <c r="AN101" i="13"/>
  <c r="AO101" i="13"/>
  <c r="AP101" i="13"/>
  <c r="AQ101" i="13"/>
  <c r="A102" i="13"/>
  <c r="B102" i="13"/>
  <c r="C102" i="13"/>
  <c r="D102" i="13"/>
  <c r="E102" i="13"/>
  <c r="AT102" i="13" s="1"/>
  <c r="F102" i="13"/>
  <c r="G102" i="13"/>
  <c r="H102" i="13"/>
  <c r="I102" i="13"/>
  <c r="J102" i="13"/>
  <c r="K102" i="13"/>
  <c r="L102" i="13"/>
  <c r="M102" i="13"/>
  <c r="N102" i="13"/>
  <c r="O102" i="13"/>
  <c r="Q102" i="13"/>
  <c r="R102" i="13"/>
  <c r="S102" i="13"/>
  <c r="T102" i="13"/>
  <c r="U102" i="13"/>
  <c r="V102" i="13"/>
  <c r="X102" i="13"/>
  <c r="Y102" i="13"/>
  <c r="Z102" i="13"/>
  <c r="AA102" i="13"/>
  <c r="AB102" i="13"/>
  <c r="AC102" i="13"/>
  <c r="AE102" i="13"/>
  <c r="AF102" i="13"/>
  <c r="AG102" i="13"/>
  <c r="AH102" i="13"/>
  <c r="AI102" i="13"/>
  <c r="AJ102" i="13"/>
  <c r="AL102" i="13"/>
  <c r="AM102" i="13"/>
  <c r="AN102" i="13"/>
  <c r="AO102" i="13"/>
  <c r="AP102" i="13"/>
  <c r="AQ102" i="13"/>
  <c r="A103" i="13"/>
  <c r="B103" i="13"/>
  <c r="C103" i="13"/>
  <c r="D103" i="13"/>
  <c r="E103" i="13"/>
  <c r="AU103" i="13" s="1"/>
  <c r="F103" i="13"/>
  <c r="G103" i="13"/>
  <c r="H103" i="13"/>
  <c r="I103" i="13"/>
  <c r="J103" i="13"/>
  <c r="K103" i="13"/>
  <c r="L103" i="13"/>
  <c r="M103" i="13"/>
  <c r="N103" i="13"/>
  <c r="O103" i="13"/>
  <c r="Q103" i="13"/>
  <c r="R103" i="13"/>
  <c r="S103" i="13"/>
  <c r="T103" i="13"/>
  <c r="U103" i="13"/>
  <c r="V103" i="13"/>
  <c r="X103" i="13"/>
  <c r="Y103" i="13"/>
  <c r="Z103" i="13"/>
  <c r="AA103" i="13"/>
  <c r="AB103" i="13"/>
  <c r="AC103" i="13"/>
  <c r="AE103" i="13"/>
  <c r="AF103" i="13"/>
  <c r="AG103" i="13"/>
  <c r="AH103" i="13"/>
  <c r="AI103" i="13"/>
  <c r="AJ103" i="13"/>
  <c r="AL103" i="13"/>
  <c r="AM103" i="13"/>
  <c r="AN103" i="13"/>
  <c r="AO103" i="13"/>
  <c r="AP103" i="13"/>
  <c r="AQ103" i="13"/>
  <c r="A104" i="13"/>
  <c r="B104" i="13"/>
  <c r="C104" i="13"/>
  <c r="D104" i="13"/>
  <c r="E104" i="13"/>
  <c r="F104" i="13"/>
  <c r="G104" i="13"/>
  <c r="H104" i="13"/>
  <c r="I104" i="13"/>
  <c r="J104" i="13"/>
  <c r="K104" i="13"/>
  <c r="L104" i="13"/>
  <c r="M104" i="13"/>
  <c r="N104" i="13"/>
  <c r="O104" i="13"/>
  <c r="Q104" i="13"/>
  <c r="R104" i="13"/>
  <c r="S104" i="13"/>
  <c r="T104" i="13"/>
  <c r="U104" i="13"/>
  <c r="V104" i="13"/>
  <c r="X104" i="13"/>
  <c r="Y104" i="13"/>
  <c r="Z104" i="13"/>
  <c r="AA104" i="13"/>
  <c r="AB104" i="13"/>
  <c r="AC104" i="13"/>
  <c r="AE104" i="13"/>
  <c r="AF104" i="13"/>
  <c r="AG104" i="13"/>
  <c r="AH104" i="13"/>
  <c r="AI104" i="13"/>
  <c r="AJ104" i="13"/>
  <c r="AL104" i="13"/>
  <c r="AM104" i="13"/>
  <c r="AN104" i="13"/>
  <c r="AO104" i="13"/>
  <c r="AP104" i="13"/>
  <c r="AQ104" i="13"/>
  <c r="A105" i="13"/>
  <c r="B105" i="13"/>
  <c r="C105" i="13"/>
  <c r="D105" i="13"/>
  <c r="E105" i="13"/>
  <c r="AT105" i="13" s="1"/>
  <c r="F105" i="13"/>
  <c r="G105" i="13"/>
  <c r="H105" i="13"/>
  <c r="I105" i="13"/>
  <c r="J105" i="13"/>
  <c r="K105" i="13"/>
  <c r="L105" i="13"/>
  <c r="M105" i="13"/>
  <c r="N105" i="13"/>
  <c r="O105" i="13"/>
  <c r="Q105" i="13"/>
  <c r="R105" i="13"/>
  <c r="S105" i="13"/>
  <c r="T105" i="13"/>
  <c r="U105" i="13"/>
  <c r="V105" i="13"/>
  <c r="X105" i="13"/>
  <c r="Y105" i="13"/>
  <c r="Z105" i="13"/>
  <c r="AA105" i="13"/>
  <c r="AB105" i="13"/>
  <c r="AC105" i="13"/>
  <c r="AE105" i="13"/>
  <c r="AF105" i="13"/>
  <c r="AG105" i="13"/>
  <c r="AH105" i="13"/>
  <c r="AI105" i="13"/>
  <c r="AJ105" i="13"/>
  <c r="AL105" i="13"/>
  <c r="AM105" i="13"/>
  <c r="AN105" i="13"/>
  <c r="AO105" i="13"/>
  <c r="AP105" i="13"/>
  <c r="AQ105" i="13"/>
  <c r="A106" i="13"/>
  <c r="B106" i="13"/>
  <c r="C106" i="13"/>
  <c r="D106" i="13"/>
  <c r="E106" i="13"/>
  <c r="AT106" i="13" s="1"/>
  <c r="F106" i="13"/>
  <c r="AW106" i="13" s="1"/>
  <c r="G106" i="13"/>
  <c r="H106" i="13"/>
  <c r="I106" i="13"/>
  <c r="J106" i="13"/>
  <c r="K106" i="13"/>
  <c r="L106" i="13"/>
  <c r="M106" i="13"/>
  <c r="N106" i="13"/>
  <c r="O106" i="13"/>
  <c r="Q106" i="13"/>
  <c r="R106" i="13"/>
  <c r="S106" i="13"/>
  <c r="T106" i="13"/>
  <c r="U106" i="13"/>
  <c r="V106" i="13"/>
  <c r="X106" i="13"/>
  <c r="Y106" i="13"/>
  <c r="Z106" i="13"/>
  <c r="AA106" i="13"/>
  <c r="AB106" i="13"/>
  <c r="AC106" i="13"/>
  <c r="AE106" i="13"/>
  <c r="AF106" i="13"/>
  <c r="AG106" i="13"/>
  <c r="AH106" i="13"/>
  <c r="AI106" i="13"/>
  <c r="AJ106" i="13"/>
  <c r="AL106" i="13"/>
  <c r="AM106" i="13"/>
  <c r="AN106" i="13"/>
  <c r="AO106" i="13"/>
  <c r="AP106" i="13"/>
  <c r="AQ106" i="13"/>
  <c r="A107" i="13"/>
  <c r="B107" i="13"/>
  <c r="C107" i="13"/>
  <c r="D107" i="13"/>
  <c r="E107" i="13"/>
  <c r="AT107" i="13" s="1"/>
  <c r="F107" i="13"/>
  <c r="G107" i="13"/>
  <c r="H107" i="13"/>
  <c r="I107" i="13"/>
  <c r="J107" i="13"/>
  <c r="K107" i="13"/>
  <c r="L107" i="13"/>
  <c r="M107" i="13"/>
  <c r="N107" i="13"/>
  <c r="O107" i="13"/>
  <c r="Q107" i="13"/>
  <c r="R107" i="13"/>
  <c r="S107" i="13"/>
  <c r="T107" i="13"/>
  <c r="U107" i="13"/>
  <c r="V107" i="13"/>
  <c r="X107" i="13"/>
  <c r="Y107" i="13"/>
  <c r="Z107" i="13"/>
  <c r="AA107" i="13"/>
  <c r="AB107" i="13"/>
  <c r="AC107" i="13"/>
  <c r="AE107" i="13"/>
  <c r="AF107" i="13"/>
  <c r="AG107" i="13"/>
  <c r="AH107" i="13"/>
  <c r="AI107" i="13"/>
  <c r="AJ107" i="13"/>
  <c r="AL107" i="13"/>
  <c r="AM107" i="13"/>
  <c r="AN107" i="13"/>
  <c r="AO107" i="13"/>
  <c r="AP107" i="13"/>
  <c r="AQ107" i="13"/>
  <c r="A108" i="13"/>
  <c r="B108" i="13"/>
  <c r="C108" i="13"/>
  <c r="D108" i="13"/>
  <c r="E108" i="13"/>
  <c r="AT108" i="13" s="1"/>
  <c r="F108" i="13"/>
  <c r="G108" i="13"/>
  <c r="H108" i="13"/>
  <c r="I108" i="13"/>
  <c r="J108" i="13"/>
  <c r="K108" i="13"/>
  <c r="L108" i="13"/>
  <c r="M108" i="13"/>
  <c r="N108" i="13"/>
  <c r="O108" i="13"/>
  <c r="Q108" i="13"/>
  <c r="R108" i="13"/>
  <c r="S108" i="13"/>
  <c r="T108" i="13"/>
  <c r="U108" i="13"/>
  <c r="V108" i="13"/>
  <c r="X108" i="13"/>
  <c r="Y108" i="13"/>
  <c r="Z108" i="13"/>
  <c r="AA108" i="13"/>
  <c r="AB108" i="13"/>
  <c r="AC108" i="13"/>
  <c r="AE108" i="13"/>
  <c r="AF108" i="13"/>
  <c r="AG108" i="13"/>
  <c r="AH108" i="13"/>
  <c r="AI108" i="13"/>
  <c r="AJ108" i="13"/>
  <c r="AL108" i="13"/>
  <c r="AM108" i="13"/>
  <c r="AN108" i="13"/>
  <c r="AO108" i="13"/>
  <c r="AP108" i="13"/>
  <c r="AQ108" i="13"/>
  <c r="A109" i="13"/>
  <c r="B109" i="13"/>
  <c r="C109" i="13"/>
  <c r="D109" i="13"/>
  <c r="E109" i="13"/>
  <c r="F109" i="13"/>
  <c r="G109" i="13"/>
  <c r="H109" i="13"/>
  <c r="I109" i="13"/>
  <c r="J109" i="13"/>
  <c r="K109" i="13"/>
  <c r="L109" i="13"/>
  <c r="M109" i="13"/>
  <c r="N109" i="13"/>
  <c r="O109" i="13"/>
  <c r="Q109" i="13"/>
  <c r="R109" i="13"/>
  <c r="S109" i="13"/>
  <c r="T109" i="13"/>
  <c r="U109" i="13"/>
  <c r="V109" i="13"/>
  <c r="X109" i="13"/>
  <c r="Y109" i="13"/>
  <c r="Z109" i="13"/>
  <c r="AA109" i="13"/>
  <c r="AB109" i="13"/>
  <c r="AC109" i="13"/>
  <c r="AE109" i="13"/>
  <c r="AF109" i="13"/>
  <c r="AG109" i="13"/>
  <c r="AH109" i="13"/>
  <c r="AI109" i="13"/>
  <c r="AJ109" i="13"/>
  <c r="AL109" i="13"/>
  <c r="AM109" i="13"/>
  <c r="AN109" i="13"/>
  <c r="AO109" i="13"/>
  <c r="AP109" i="13"/>
  <c r="AQ109" i="13"/>
  <c r="A110" i="13"/>
  <c r="B110" i="13"/>
  <c r="C110" i="13"/>
  <c r="D110" i="13"/>
  <c r="E110" i="13"/>
  <c r="F110" i="13"/>
  <c r="G110" i="13"/>
  <c r="H110" i="13"/>
  <c r="I110" i="13"/>
  <c r="J110" i="13"/>
  <c r="K110" i="13"/>
  <c r="L110" i="13"/>
  <c r="M110" i="13"/>
  <c r="N110" i="13"/>
  <c r="O110" i="13"/>
  <c r="Q110" i="13"/>
  <c r="R110" i="13"/>
  <c r="S110" i="13"/>
  <c r="T110" i="13"/>
  <c r="U110" i="13"/>
  <c r="V110" i="13"/>
  <c r="X110" i="13"/>
  <c r="Y110" i="13"/>
  <c r="Z110" i="13"/>
  <c r="AA110" i="13"/>
  <c r="AB110" i="13"/>
  <c r="AC110" i="13"/>
  <c r="AE110" i="13"/>
  <c r="AF110" i="13"/>
  <c r="AG110" i="13"/>
  <c r="AH110" i="13"/>
  <c r="AI110" i="13"/>
  <c r="AJ110" i="13"/>
  <c r="AL110" i="13"/>
  <c r="AM110" i="13"/>
  <c r="AN110" i="13"/>
  <c r="AO110" i="13"/>
  <c r="AP110" i="13"/>
  <c r="AQ110" i="13"/>
  <c r="A111" i="13"/>
  <c r="B111" i="13"/>
  <c r="C111" i="13"/>
  <c r="D111" i="13"/>
  <c r="E111" i="13"/>
  <c r="AU111" i="13" s="1"/>
  <c r="F111" i="13"/>
  <c r="G111" i="13"/>
  <c r="H111" i="13"/>
  <c r="I111" i="13"/>
  <c r="J111" i="13"/>
  <c r="K111" i="13"/>
  <c r="L111" i="13"/>
  <c r="M111" i="13"/>
  <c r="N111" i="13"/>
  <c r="O111" i="13"/>
  <c r="Q111" i="13"/>
  <c r="R111" i="13"/>
  <c r="S111" i="13"/>
  <c r="T111" i="13"/>
  <c r="U111" i="13"/>
  <c r="V111" i="13"/>
  <c r="X111" i="13"/>
  <c r="Y111" i="13"/>
  <c r="Z111" i="13"/>
  <c r="AA111" i="13"/>
  <c r="AB111" i="13"/>
  <c r="AC111" i="13"/>
  <c r="AE111" i="13"/>
  <c r="AF111" i="13"/>
  <c r="AG111" i="13"/>
  <c r="AH111" i="13"/>
  <c r="AI111" i="13"/>
  <c r="AJ111" i="13"/>
  <c r="AL111" i="13"/>
  <c r="AM111" i="13"/>
  <c r="AN111" i="13"/>
  <c r="AO111" i="13"/>
  <c r="AP111" i="13"/>
  <c r="AQ111" i="13"/>
  <c r="A112" i="13"/>
  <c r="B112" i="13"/>
  <c r="C112" i="13"/>
  <c r="D112" i="13"/>
  <c r="E112" i="13"/>
  <c r="AT112" i="13" s="1"/>
  <c r="F112" i="13"/>
  <c r="AW112" i="13" s="1"/>
  <c r="G112" i="13"/>
  <c r="H112" i="13"/>
  <c r="I112" i="13"/>
  <c r="J112" i="13"/>
  <c r="K112" i="13"/>
  <c r="L112" i="13"/>
  <c r="M112" i="13"/>
  <c r="N112" i="13"/>
  <c r="O112" i="13"/>
  <c r="Q112" i="13"/>
  <c r="R112" i="13"/>
  <c r="S112" i="13"/>
  <c r="T112" i="13"/>
  <c r="U112" i="13"/>
  <c r="V112" i="13"/>
  <c r="X112" i="13"/>
  <c r="Y112" i="13"/>
  <c r="Z112" i="13"/>
  <c r="AA112" i="13"/>
  <c r="AB112" i="13"/>
  <c r="AC112" i="13"/>
  <c r="AE112" i="13"/>
  <c r="AF112" i="13"/>
  <c r="AG112" i="13"/>
  <c r="AH112" i="13"/>
  <c r="AI112" i="13"/>
  <c r="AJ112" i="13"/>
  <c r="AL112" i="13"/>
  <c r="AM112" i="13"/>
  <c r="AN112" i="13"/>
  <c r="AO112" i="13"/>
  <c r="AP112" i="13"/>
  <c r="AQ112" i="13"/>
  <c r="A113" i="13"/>
  <c r="B113" i="13"/>
  <c r="C113" i="13"/>
  <c r="D113" i="13"/>
  <c r="E113" i="13"/>
  <c r="F113" i="13"/>
  <c r="G113" i="13"/>
  <c r="H113" i="13"/>
  <c r="I113" i="13"/>
  <c r="J113" i="13"/>
  <c r="K113" i="13"/>
  <c r="L113" i="13"/>
  <c r="M113" i="13"/>
  <c r="N113" i="13"/>
  <c r="O113" i="13"/>
  <c r="Q113" i="13"/>
  <c r="R113" i="13"/>
  <c r="S113" i="13"/>
  <c r="T113" i="13"/>
  <c r="U113" i="13"/>
  <c r="V113" i="13"/>
  <c r="X113" i="13"/>
  <c r="Y113" i="13"/>
  <c r="Z113" i="13"/>
  <c r="AA113" i="13"/>
  <c r="AB113" i="13"/>
  <c r="AC113" i="13"/>
  <c r="AE113" i="13"/>
  <c r="AF113" i="13"/>
  <c r="AG113" i="13"/>
  <c r="AH113" i="13"/>
  <c r="AI113" i="13"/>
  <c r="AJ113" i="13"/>
  <c r="AL113" i="13"/>
  <c r="AM113" i="13"/>
  <c r="AN113" i="13"/>
  <c r="AO113" i="13"/>
  <c r="AP113" i="13"/>
  <c r="AQ113" i="13"/>
  <c r="A114" i="13"/>
  <c r="B114" i="13"/>
  <c r="C114" i="13"/>
  <c r="D114" i="13"/>
  <c r="E114" i="13"/>
  <c r="AT114" i="13" s="1"/>
  <c r="F114" i="13"/>
  <c r="AW114" i="13" s="1"/>
  <c r="G114" i="13"/>
  <c r="H114" i="13"/>
  <c r="I114" i="13"/>
  <c r="J114" i="13"/>
  <c r="K114" i="13"/>
  <c r="L114" i="13"/>
  <c r="M114" i="13"/>
  <c r="N114" i="13"/>
  <c r="O114" i="13"/>
  <c r="Q114" i="13"/>
  <c r="R114" i="13"/>
  <c r="S114" i="13"/>
  <c r="T114" i="13"/>
  <c r="U114" i="13"/>
  <c r="V114" i="13"/>
  <c r="X114" i="13"/>
  <c r="Y114" i="13"/>
  <c r="Z114" i="13"/>
  <c r="AA114" i="13"/>
  <c r="AB114" i="13"/>
  <c r="AC114" i="13"/>
  <c r="AE114" i="13"/>
  <c r="AF114" i="13"/>
  <c r="AG114" i="13"/>
  <c r="AH114" i="13"/>
  <c r="AI114" i="13"/>
  <c r="AJ114" i="13"/>
  <c r="AL114" i="13"/>
  <c r="AM114" i="13"/>
  <c r="AN114" i="13"/>
  <c r="AO114" i="13"/>
  <c r="AP114" i="13"/>
  <c r="AQ114" i="13"/>
  <c r="A115" i="13"/>
  <c r="B115" i="13"/>
  <c r="C115" i="13"/>
  <c r="D115" i="13"/>
  <c r="E115" i="13"/>
  <c r="AT115" i="13" s="1"/>
  <c r="F115" i="13"/>
  <c r="G115" i="13"/>
  <c r="H115" i="13"/>
  <c r="I115" i="13"/>
  <c r="J115" i="13"/>
  <c r="K115" i="13"/>
  <c r="L115" i="13"/>
  <c r="M115" i="13"/>
  <c r="N115" i="13"/>
  <c r="O115" i="13"/>
  <c r="Q115" i="13"/>
  <c r="R115" i="13"/>
  <c r="S115" i="13"/>
  <c r="T115" i="13"/>
  <c r="U115" i="13"/>
  <c r="V115" i="13"/>
  <c r="X115" i="13"/>
  <c r="Y115" i="13"/>
  <c r="Z115" i="13"/>
  <c r="AA115" i="13"/>
  <c r="AB115" i="13"/>
  <c r="AC115" i="13"/>
  <c r="AE115" i="13"/>
  <c r="AF115" i="13"/>
  <c r="AG115" i="13"/>
  <c r="AH115" i="13"/>
  <c r="AI115" i="13"/>
  <c r="AJ115" i="13"/>
  <c r="AL115" i="13"/>
  <c r="AM115" i="13"/>
  <c r="AN115" i="13"/>
  <c r="AO115" i="13"/>
  <c r="AP115" i="13"/>
  <c r="AQ115" i="13"/>
  <c r="A116" i="13"/>
  <c r="B116" i="13"/>
  <c r="C116" i="13"/>
  <c r="D116" i="13"/>
  <c r="E116" i="13"/>
  <c r="AT116" i="13" s="1"/>
  <c r="F116" i="13"/>
  <c r="G116" i="13"/>
  <c r="H116" i="13"/>
  <c r="I116" i="13"/>
  <c r="J116" i="13"/>
  <c r="K116" i="13"/>
  <c r="L116" i="13"/>
  <c r="M116" i="13"/>
  <c r="N116" i="13"/>
  <c r="O116" i="13"/>
  <c r="Q116" i="13"/>
  <c r="R116" i="13"/>
  <c r="S116" i="13"/>
  <c r="T116" i="13"/>
  <c r="U116" i="13"/>
  <c r="V116" i="13"/>
  <c r="X116" i="13"/>
  <c r="Y116" i="13"/>
  <c r="Z116" i="13"/>
  <c r="AA116" i="13"/>
  <c r="AB116" i="13"/>
  <c r="AC116" i="13"/>
  <c r="AE116" i="13"/>
  <c r="AF116" i="13"/>
  <c r="AG116" i="13"/>
  <c r="AH116" i="13"/>
  <c r="AI116" i="13"/>
  <c r="AJ116" i="13"/>
  <c r="AL116" i="13"/>
  <c r="AM116" i="13"/>
  <c r="AN116" i="13"/>
  <c r="AO116" i="13"/>
  <c r="AP116" i="13"/>
  <c r="AQ116" i="13"/>
  <c r="A117" i="13"/>
  <c r="B117" i="13"/>
  <c r="C117" i="13"/>
  <c r="D117" i="13"/>
  <c r="E117" i="13"/>
  <c r="AT117" i="13" s="1"/>
  <c r="F117" i="13"/>
  <c r="G117" i="13"/>
  <c r="H117" i="13"/>
  <c r="I117" i="13"/>
  <c r="J117" i="13"/>
  <c r="K117" i="13"/>
  <c r="L117" i="13"/>
  <c r="M117" i="13"/>
  <c r="N117" i="13"/>
  <c r="O117" i="13"/>
  <c r="Q117" i="13"/>
  <c r="R117" i="13"/>
  <c r="S117" i="13"/>
  <c r="T117" i="13"/>
  <c r="U117" i="13"/>
  <c r="V117" i="13"/>
  <c r="X117" i="13"/>
  <c r="Y117" i="13"/>
  <c r="Z117" i="13"/>
  <c r="AA117" i="13"/>
  <c r="AB117" i="13"/>
  <c r="AC117" i="13"/>
  <c r="AE117" i="13"/>
  <c r="AF117" i="13"/>
  <c r="AG117" i="13"/>
  <c r="AH117" i="13"/>
  <c r="AI117" i="13"/>
  <c r="AJ117" i="13"/>
  <c r="AL117" i="13"/>
  <c r="AM117" i="13"/>
  <c r="AN117" i="13"/>
  <c r="AO117" i="13"/>
  <c r="AP117" i="13"/>
  <c r="AQ117" i="13"/>
  <c r="A118" i="13"/>
  <c r="B118" i="13"/>
  <c r="C118" i="13"/>
  <c r="D118" i="13"/>
  <c r="E118" i="13"/>
  <c r="AT118" i="13" s="1"/>
  <c r="F118" i="13"/>
  <c r="G118" i="13"/>
  <c r="H118" i="13"/>
  <c r="I118" i="13"/>
  <c r="J118" i="13"/>
  <c r="K118" i="13"/>
  <c r="L118" i="13"/>
  <c r="M118" i="13"/>
  <c r="N118" i="13"/>
  <c r="O118" i="13"/>
  <c r="Q118" i="13"/>
  <c r="R118" i="13"/>
  <c r="S118" i="13"/>
  <c r="T118" i="13"/>
  <c r="U118" i="13"/>
  <c r="V118" i="13"/>
  <c r="X118" i="13"/>
  <c r="Y118" i="13"/>
  <c r="Z118" i="13"/>
  <c r="AA118" i="13"/>
  <c r="AB118" i="13"/>
  <c r="AC118" i="13"/>
  <c r="AE118" i="13"/>
  <c r="AF118" i="13"/>
  <c r="AG118" i="13"/>
  <c r="AH118" i="13"/>
  <c r="AI118" i="13"/>
  <c r="AJ118" i="13"/>
  <c r="AL118" i="13"/>
  <c r="AM118" i="13"/>
  <c r="AN118" i="13"/>
  <c r="AO118" i="13"/>
  <c r="AP118" i="13"/>
  <c r="AQ118" i="13"/>
  <c r="A119" i="13"/>
  <c r="B119" i="13"/>
  <c r="C119" i="13"/>
  <c r="D119" i="13"/>
  <c r="E119" i="13"/>
  <c r="AU119" i="13" s="1"/>
  <c r="F119" i="13"/>
  <c r="G119" i="13"/>
  <c r="H119" i="13"/>
  <c r="I119" i="13"/>
  <c r="J119" i="13"/>
  <c r="K119" i="13"/>
  <c r="L119" i="13"/>
  <c r="M119" i="13"/>
  <c r="N119" i="13"/>
  <c r="O119" i="13"/>
  <c r="Q119" i="13"/>
  <c r="R119" i="13"/>
  <c r="S119" i="13"/>
  <c r="T119" i="13"/>
  <c r="U119" i="13"/>
  <c r="V119" i="13"/>
  <c r="X119" i="13"/>
  <c r="Y119" i="13"/>
  <c r="Z119" i="13"/>
  <c r="AA119" i="13"/>
  <c r="AB119" i="13"/>
  <c r="AC119" i="13"/>
  <c r="AE119" i="13"/>
  <c r="AF119" i="13"/>
  <c r="AG119" i="13"/>
  <c r="AH119" i="13"/>
  <c r="AI119" i="13"/>
  <c r="AJ119" i="13"/>
  <c r="AL119" i="13"/>
  <c r="AM119" i="13"/>
  <c r="AN119" i="13"/>
  <c r="AO119" i="13"/>
  <c r="AP119" i="13"/>
  <c r="AQ119" i="13"/>
  <c r="A120" i="13"/>
  <c r="B120" i="13"/>
  <c r="C120" i="13"/>
  <c r="D120" i="13"/>
  <c r="E120" i="13"/>
  <c r="AT120" i="13" s="1"/>
  <c r="F120" i="13"/>
  <c r="AW120" i="13" s="1"/>
  <c r="G120" i="13"/>
  <c r="H120" i="13"/>
  <c r="I120" i="13"/>
  <c r="J120" i="13"/>
  <c r="K120" i="13"/>
  <c r="L120" i="13"/>
  <c r="M120" i="13"/>
  <c r="N120" i="13"/>
  <c r="O120" i="13"/>
  <c r="Q120" i="13"/>
  <c r="R120" i="13"/>
  <c r="S120" i="13"/>
  <c r="T120" i="13"/>
  <c r="U120" i="13"/>
  <c r="V120" i="13"/>
  <c r="X120" i="13"/>
  <c r="Y120" i="13"/>
  <c r="Z120" i="13"/>
  <c r="AA120" i="13"/>
  <c r="AB120" i="13"/>
  <c r="AC120" i="13"/>
  <c r="AE120" i="13"/>
  <c r="AF120" i="13"/>
  <c r="AG120" i="13"/>
  <c r="AH120" i="13"/>
  <c r="AI120" i="13"/>
  <c r="AJ120" i="13"/>
  <c r="AL120" i="13"/>
  <c r="AM120" i="13"/>
  <c r="AN120" i="13"/>
  <c r="AO120" i="13"/>
  <c r="AP120" i="13"/>
  <c r="AQ120" i="13"/>
  <c r="A121" i="13"/>
  <c r="B121" i="13"/>
  <c r="C121" i="13"/>
  <c r="D121" i="13"/>
  <c r="E121" i="13"/>
  <c r="AT121" i="13" s="1"/>
  <c r="F121" i="13"/>
  <c r="G121" i="13"/>
  <c r="H121" i="13"/>
  <c r="I121" i="13"/>
  <c r="J121" i="13"/>
  <c r="K121" i="13"/>
  <c r="L121" i="13"/>
  <c r="M121" i="13"/>
  <c r="N121" i="13"/>
  <c r="O121" i="13"/>
  <c r="Q121" i="13"/>
  <c r="R121" i="13"/>
  <c r="S121" i="13"/>
  <c r="T121" i="13"/>
  <c r="U121" i="13"/>
  <c r="V121" i="13"/>
  <c r="X121" i="13"/>
  <c r="Y121" i="13"/>
  <c r="Z121" i="13"/>
  <c r="AA121" i="13"/>
  <c r="AB121" i="13"/>
  <c r="AC121" i="13"/>
  <c r="AE121" i="13"/>
  <c r="AF121" i="13"/>
  <c r="AG121" i="13"/>
  <c r="AH121" i="13"/>
  <c r="AI121" i="13"/>
  <c r="AJ121" i="13"/>
  <c r="AL121" i="13"/>
  <c r="AM121" i="13"/>
  <c r="AN121" i="13"/>
  <c r="AO121" i="13"/>
  <c r="AP121" i="13"/>
  <c r="AQ121" i="13"/>
  <c r="A122" i="13"/>
  <c r="B122" i="13"/>
  <c r="C122" i="13"/>
  <c r="D122" i="13"/>
  <c r="E122" i="13"/>
  <c r="F122" i="13"/>
  <c r="G122" i="13"/>
  <c r="H122" i="13"/>
  <c r="I122" i="13"/>
  <c r="J122" i="13"/>
  <c r="K122" i="13"/>
  <c r="L122" i="13"/>
  <c r="M122" i="13"/>
  <c r="N122" i="13"/>
  <c r="O122" i="13"/>
  <c r="Q122" i="13"/>
  <c r="R122" i="13"/>
  <c r="S122" i="13"/>
  <c r="T122" i="13"/>
  <c r="U122" i="13"/>
  <c r="V122" i="13"/>
  <c r="X122" i="13"/>
  <c r="Y122" i="13"/>
  <c r="Z122" i="13"/>
  <c r="AA122" i="13"/>
  <c r="AB122" i="13"/>
  <c r="AC122" i="13"/>
  <c r="AE122" i="13"/>
  <c r="AF122" i="13"/>
  <c r="AG122" i="13"/>
  <c r="AH122" i="13"/>
  <c r="AI122" i="13"/>
  <c r="AJ122" i="13"/>
  <c r="AL122" i="13"/>
  <c r="AM122" i="13"/>
  <c r="AN122" i="13"/>
  <c r="AO122" i="13"/>
  <c r="AP122" i="13"/>
  <c r="AQ122" i="13"/>
  <c r="A123" i="13"/>
  <c r="B123" i="13"/>
  <c r="C123" i="13"/>
  <c r="D123" i="13"/>
  <c r="E123" i="13"/>
  <c r="AT123" i="13" s="1"/>
  <c r="F123" i="13"/>
  <c r="G123" i="13"/>
  <c r="H123" i="13"/>
  <c r="I123" i="13"/>
  <c r="J123" i="13"/>
  <c r="K123" i="13"/>
  <c r="L123" i="13"/>
  <c r="M123" i="13"/>
  <c r="N123" i="13"/>
  <c r="O123" i="13"/>
  <c r="Q123" i="13"/>
  <c r="R123" i="13"/>
  <c r="S123" i="13"/>
  <c r="T123" i="13"/>
  <c r="U123" i="13"/>
  <c r="V123" i="13"/>
  <c r="X123" i="13"/>
  <c r="Y123" i="13"/>
  <c r="Z123" i="13"/>
  <c r="AA123" i="13"/>
  <c r="AB123" i="13"/>
  <c r="AC123" i="13"/>
  <c r="AE123" i="13"/>
  <c r="AF123" i="13"/>
  <c r="AG123" i="13"/>
  <c r="AH123" i="13"/>
  <c r="AI123" i="13"/>
  <c r="AJ123" i="13"/>
  <c r="AL123" i="13"/>
  <c r="AM123" i="13"/>
  <c r="AN123" i="13"/>
  <c r="AO123" i="13"/>
  <c r="AP123" i="13"/>
  <c r="AQ123" i="13"/>
  <c r="A124" i="13"/>
  <c r="B124" i="13"/>
  <c r="C124" i="13"/>
  <c r="D124" i="13"/>
  <c r="E124" i="13"/>
  <c r="AT124" i="13" s="1"/>
  <c r="F124" i="13"/>
  <c r="AW124" i="13" s="1"/>
  <c r="G124" i="13"/>
  <c r="H124" i="13"/>
  <c r="I124" i="13"/>
  <c r="J124" i="13"/>
  <c r="K124" i="13"/>
  <c r="L124" i="13"/>
  <c r="M124" i="13"/>
  <c r="N124" i="13"/>
  <c r="O124" i="13"/>
  <c r="Q124" i="13"/>
  <c r="R124" i="13"/>
  <c r="S124" i="13"/>
  <c r="T124" i="13"/>
  <c r="U124" i="13"/>
  <c r="V124" i="13"/>
  <c r="X124" i="13"/>
  <c r="Y124" i="13"/>
  <c r="Z124" i="13"/>
  <c r="AA124" i="13"/>
  <c r="AB124" i="13"/>
  <c r="AC124" i="13"/>
  <c r="AE124" i="13"/>
  <c r="AF124" i="13"/>
  <c r="AG124" i="13"/>
  <c r="AH124" i="13"/>
  <c r="AI124" i="13"/>
  <c r="AJ124" i="13"/>
  <c r="AL124" i="13"/>
  <c r="AM124" i="13"/>
  <c r="AN124" i="13"/>
  <c r="AO124" i="13"/>
  <c r="AP124" i="13"/>
  <c r="AQ124" i="13"/>
  <c r="A125" i="13"/>
  <c r="B125" i="13"/>
  <c r="C125" i="13"/>
  <c r="D125" i="13"/>
  <c r="E125" i="13"/>
  <c r="AT125" i="13" s="1"/>
  <c r="F125" i="13"/>
  <c r="G125" i="13"/>
  <c r="H125" i="13"/>
  <c r="I125" i="13"/>
  <c r="J125" i="13"/>
  <c r="K125" i="13"/>
  <c r="L125" i="13"/>
  <c r="M125" i="13"/>
  <c r="N125" i="13"/>
  <c r="O125" i="13"/>
  <c r="Q125" i="13"/>
  <c r="R125" i="13"/>
  <c r="S125" i="13"/>
  <c r="T125" i="13"/>
  <c r="U125" i="13"/>
  <c r="V125" i="13"/>
  <c r="X125" i="13"/>
  <c r="Y125" i="13"/>
  <c r="Z125" i="13"/>
  <c r="AA125" i="13"/>
  <c r="AB125" i="13"/>
  <c r="AC125" i="13"/>
  <c r="AE125" i="13"/>
  <c r="AF125" i="13"/>
  <c r="AG125" i="13"/>
  <c r="AH125" i="13"/>
  <c r="AI125" i="13"/>
  <c r="AJ125" i="13"/>
  <c r="AL125" i="13"/>
  <c r="AM125" i="13"/>
  <c r="AN125" i="13"/>
  <c r="AO125" i="13"/>
  <c r="AP125" i="13"/>
  <c r="AQ125" i="13"/>
  <c r="A126" i="13"/>
  <c r="B126" i="13"/>
  <c r="C126" i="13"/>
  <c r="D126" i="13"/>
  <c r="E126" i="13"/>
  <c r="AU126" i="13" s="1"/>
  <c r="F126" i="13"/>
  <c r="AW126" i="13" s="1"/>
  <c r="G126" i="13"/>
  <c r="H126" i="13"/>
  <c r="I126" i="13"/>
  <c r="J126" i="13"/>
  <c r="K126" i="13"/>
  <c r="L126" i="13"/>
  <c r="M126" i="13"/>
  <c r="N126" i="13"/>
  <c r="O126" i="13"/>
  <c r="Q126" i="13"/>
  <c r="R126" i="13"/>
  <c r="S126" i="13"/>
  <c r="T126" i="13"/>
  <c r="U126" i="13"/>
  <c r="V126" i="13"/>
  <c r="X126" i="13"/>
  <c r="Y126" i="13"/>
  <c r="Z126" i="13"/>
  <c r="AA126" i="13"/>
  <c r="AB126" i="13"/>
  <c r="AC126" i="13"/>
  <c r="AE126" i="13"/>
  <c r="AF126" i="13"/>
  <c r="AG126" i="13"/>
  <c r="AH126" i="13"/>
  <c r="AI126" i="13"/>
  <c r="AJ126" i="13"/>
  <c r="AL126" i="13"/>
  <c r="AM126" i="13"/>
  <c r="AN126" i="13"/>
  <c r="AO126" i="13"/>
  <c r="AP126" i="13"/>
  <c r="AQ126" i="13"/>
  <c r="A127" i="13"/>
  <c r="B127" i="13"/>
  <c r="C127" i="13"/>
  <c r="D127" i="13"/>
  <c r="E127" i="13"/>
  <c r="AU127" i="13" s="1"/>
  <c r="F127" i="13"/>
  <c r="G127" i="13"/>
  <c r="H127" i="13"/>
  <c r="I127" i="13"/>
  <c r="J127" i="13"/>
  <c r="K127" i="13"/>
  <c r="L127" i="13"/>
  <c r="M127" i="13"/>
  <c r="N127" i="13"/>
  <c r="O127" i="13"/>
  <c r="Q127" i="13"/>
  <c r="R127" i="13"/>
  <c r="S127" i="13"/>
  <c r="T127" i="13"/>
  <c r="U127" i="13"/>
  <c r="V127" i="13"/>
  <c r="X127" i="13"/>
  <c r="Y127" i="13"/>
  <c r="Z127" i="13"/>
  <c r="AA127" i="13"/>
  <c r="AB127" i="13"/>
  <c r="AC127" i="13"/>
  <c r="AE127" i="13"/>
  <c r="AF127" i="13"/>
  <c r="AG127" i="13"/>
  <c r="AH127" i="13"/>
  <c r="AI127" i="13"/>
  <c r="AJ127" i="13"/>
  <c r="AL127" i="13"/>
  <c r="AM127" i="13"/>
  <c r="AN127" i="13"/>
  <c r="AO127" i="13"/>
  <c r="AP127" i="13"/>
  <c r="AQ127" i="13"/>
  <c r="A128" i="13"/>
  <c r="B128" i="13"/>
  <c r="C128" i="13"/>
  <c r="D128" i="13"/>
  <c r="E128" i="13"/>
  <c r="AT128" i="13" s="1"/>
  <c r="F128" i="13"/>
  <c r="AW128" i="13" s="1"/>
  <c r="G128" i="13"/>
  <c r="H128" i="13"/>
  <c r="I128" i="13"/>
  <c r="J128" i="13"/>
  <c r="K128" i="13"/>
  <c r="L128" i="13"/>
  <c r="M128" i="13"/>
  <c r="N128" i="13"/>
  <c r="O128" i="13"/>
  <c r="Q128" i="13"/>
  <c r="R128" i="13"/>
  <c r="S128" i="13"/>
  <c r="T128" i="13"/>
  <c r="U128" i="13"/>
  <c r="V128" i="13"/>
  <c r="X128" i="13"/>
  <c r="Y128" i="13"/>
  <c r="Z128" i="13"/>
  <c r="AA128" i="13"/>
  <c r="AB128" i="13"/>
  <c r="AC128" i="13"/>
  <c r="AE128" i="13"/>
  <c r="AF128" i="13"/>
  <c r="AG128" i="13"/>
  <c r="AH128" i="13"/>
  <c r="AI128" i="13"/>
  <c r="AJ128" i="13"/>
  <c r="AL128" i="13"/>
  <c r="AM128" i="13"/>
  <c r="AN128" i="13"/>
  <c r="AO128" i="13"/>
  <c r="AP128" i="13"/>
  <c r="AQ128" i="13"/>
  <c r="AU128" i="13"/>
  <c r="A129" i="13"/>
  <c r="B129" i="13"/>
  <c r="C129" i="13"/>
  <c r="D129" i="13"/>
  <c r="E129" i="13"/>
  <c r="AU129" i="13" s="1"/>
  <c r="F129" i="13"/>
  <c r="AW129" i="13" s="1"/>
  <c r="G129" i="13"/>
  <c r="H129" i="13"/>
  <c r="I129" i="13"/>
  <c r="J129" i="13"/>
  <c r="K129" i="13"/>
  <c r="L129" i="13"/>
  <c r="M129" i="13"/>
  <c r="N129" i="13"/>
  <c r="O129" i="13"/>
  <c r="Q129" i="13"/>
  <c r="R129" i="13"/>
  <c r="S129" i="13"/>
  <c r="T129" i="13"/>
  <c r="U129" i="13"/>
  <c r="V129" i="13"/>
  <c r="X129" i="13"/>
  <c r="Y129" i="13"/>
  <c r="Z129" i="13"/>
  <c r="AA129" i="13"/>
  <c r="AB129" i="13"/>
  <c r="AC129" i="13"/>
  <c r="AE129" i="13"/>
  <c r="AF129" i="13"/>
  <c r="AG129" i="13"/>
  <c r="AH129" i="13"/>
  <c r="AI129" i="13"/>
  <c r="AJ129" i="13"/>
  <c r="AL129" i="13"/>
  <c r="AM129" i="13"/>
  <c r="AN129" i="13"/>
  <c r="AO129" i="13"/>
  <c r="AP129" i="13"/>
  <c r="AQ129" i="13"/>
  <c r="A130" i="13"/>
  <c r="B130" i="13"/>
  <c r="C130" i="13"/>
  <c r="D130" i="13"/>
  <c r="E130" i="13"/>
  <c r="F130" i="13"/>
  <c r="G130" i="13"/>
  <c r="H130" i="13"/>
  <c r="I130" i="13"/>
  <c r="J130" i="13"/>
  <c r="K130" i="13"/>
  <c r="L130" i="13"/>
  <c r="M130" i="13"/>
  <c r="N130" i="13"/>
  <c r="O130" i="13"/>
  <c r="Q130" i="13"/>
  <c r="R130" i="13"/>
  <c r="S130" i="13"/>
  <c r="T130" i="13"/>
  <c r="U130" i="13"/>
  <c r="V130" i="13"/>
  <c r="X130" i="13"/>
  <c r="Y130" i="13"/>
  <c r="Z130" i="13"/>
  <c r="AA130" i="13"/>
  <c r="AB130" i="13"/>
  <c r="AC130" i="13"/>
  <c r="AE130" i="13"/>
  <c r="AF130" i="13"/>
  <c r="AG130" i="13"/>
  <c r="AH130" i="13"/>
  <c r="AI130" i="13"/>
  <c r="AJ130" i="13"/>
  <c r="AL130" i="13"/>
  <c r="AM130" i="13"/>
  <c r="AN130" i="13"/>
  <c r="AO130" i="13"/>
  <c r="AP130" i="13"/>
  <c r="AQ130" i="13"/>
  <c r="A131" i="13"/>
  <c r="B131" i="13"/>
  <c r="C131" i="13"/>
  <c r="D131" i="13"/>
  <c r="E131" i="13"/>
  <c r="AU131" i="13" s="1"/>
  <c r="F131" i="13"/>
  <c r="G131" i="13"/>
  <c r="H131" i="13"/>
  <c r="I131" i="13"/>
  <c r="J131" i="13"/>
  <c r="K131" i="13"/>
  <c r="L131" i="13"/>
  <c r="M131" i="13"/>
  <c r="N131" i="13"/>
  <c r="O131" i="13"/>
  <c r="Q131" i="13"/>
  <c r="R131" i="13"/>
  <c r="S131" i="13"/>
  <c r="T131" i="13"/>
  <c r="U131" i="13"/>
  <c r="V131" i="13"/>
  <c r="X131" i="13"/>
  <c r="Y131" i="13"/>
  <c r="Z131" i="13"/>
  <c r="AA131" i="13"/>
  <c r="AB131" i="13"/>
  <c r="AC131" i="13"/>
  <c r="AE131" i="13"/>
  <c r="AF131" i="13"/>
  <c r="AG131" i="13"/>
  <c r="AH131" i="13"/>
  <c r="AI131" i="13"/>
  <c r="AJ131" i="13"/>
  <c r="AL131" i="13"/>
  <c r="AM131" i="13"/>
  <c r="AN131" i="13"/>
  <c r="AO131" i="13"/>
  <c r="AP131" i="13"/>
  <c r="AQ131" i="13"/>
  <c r="A132" i="13"/>
  <c r="B132" i="13"/>
  <c r="C132" i="13"/>
  <c r="D132" i="13"/>
  <c r="E132" i="13"/>
  <c r="AU132" i="13" s="1"/>
  <c r="F132" i="13"/>
  <c r="G132" i="13"/>
  <c r="H132" i="13"/>
  <c r="I132" i="13"/>
  <c r="J132" i="13"/>
  <c r="K132" i="13"/>
  <c r="L132" i="13"/>
  <c r="M132" i="13"/>
  <c r="N132" i="13"/>
  <c r="O132" i="13"/>
  <c r="Q132" i="13"/>
  <c r="R132" i="13"/>
  <c r="S132" i="13"/>
  <c r="T132" i="13"/>
  <c r="U132" i="13"/>
  <c r="V132" i="13"/>
  <c r="X132" i="13"/>
  <c r="Y132" i="13"/>
  <c r="Z132" i="13"/>
  <c r="AA132" i="13"/>
  <c r="AB132" i="13"/>
  <c r="AC132" i="13"/>
  <c r="AE132" i="13"/>
  <c r="AF132" i="13"/>
  <c r="AG132" i="13"/>
  <c r="AH132" i="13"/>
  <c r="AI132" i="13"/>
  <c r="AJ132" i="13"/>
  <c r="AL132" i="13"/>
  <c r="AM132" i="13"/>
  <c r="AN132" i="13"/>
  <c r="AO132" i="13"/>
  <c r="AP132" i="13"/>
  <c r="AQ132" i="13"/>
  <c r="A133" i="13"/>
  <c r="B133" i="13"/>
  <c r="C133" i="13"/>
  <c r="D133" i="13"/>
  <c r="E133" i="13"/>
  <c r="F133" i="13"/>
  <c r="G133" i="13"/>
  <c r="H133" i="13"/>
  <c r="I133" i="13"/>
  <c r="J133" i="13"/>
  <c r="K133" i="13"/>
  <c r="L133" i="13"/>
  <c r="M133" i="13"/>
  <c r="N133" i="13"/>
  <c r="O133" i="13"/>
  <c r="Q133" i="13"/>
  <c r="R133" i="13"/>
  <c r="S133" i="13"/>
  <c r="T133" i="13"/>
  <c r="U133" i="13"/>
  <c r="V133" i="13"/>
  <c r="X133" i="13"/>
  <c r="Y133" i="13"/>
  <c r="Z133" i="13"/>
  <c r="AA133" i="13"/>
  <c r="AB133" i="13"/>
  <c r="AC133" i="13"/>
  <c r="AE133" i="13"/>
  <c r="AF133" i="13"/>
  <c r="AG133" i="13"/>
  <c r="AH133" i="13"/>
  <c r="AI133" i="13"/>
  <c r="AJ133" i="13"/>
  <c r="AL133" i="13"/>
  <c r="AM133" i="13"/>
  <c r="AN133" i="13"/>
  <c r="AO133" i="13"/>
  <c r="AP133" i="13"/>
  <c r="AQ133" i="13"/>
  <c r="A134" i="13"/>
  <c r="B134" i="13"/>
  <c r="C134" i="13"/>
  <c r="D134" i="13"/>
  <c r="E134" i="13"/>
  <c r="AT134" i="13" s="1"/>
  <c r="F134" i="13"/>
  <c r="G134" i="13"/>
  <c r="H134" i="13"/>
  <c r="I134" i="13"/>
  <c r="J134" i="13"/>
  <c r="K134" i="13"/>
  <c r="L134" i="13"/>
  <c r="M134" i="13"/>
  <c r="N134" i="13"/>
  <c r="O134" i="13"/>
  <c r="Q134" i="13"/>
  <c r="R134" i="13"/>
  <c r="S134" i="13"/>
  <c r="T134" i="13"/>
  <c r="U134" i="13"/>
  <c r="V134" i="13"/>
  <c r="X134" i="13"/>
  <c r="Y134" i="13"/>
  <c r="Z134" i="13"/>
  <c r="AA134" i="13"/>
  <c r="AB134" i="13"/>
  <c r="AC134" i="13"/>
  <c r="AE134" i="13"/>
  <c r="AF134" i="13"/>
  <c r="AG134" i="13"/>
  <c r="AH134" i="13"/>
  <c r="AI134" i="13"/>
  <c r="AJ134" i="13"/>
  <c r="AL134" i="13"/>
  <c r="AM134" i="13"/>
  <c r="AN134" i="13"/>
  <c r="AO134" i="13"/>
  <c r="AP134" i="13"/>
  <c r="AQ134" i="13"/>
  <c r="A135" i="13"/>
  <c r="B135" i="13"/>
  <c r="C135" i="13"/>
  <c r="D135" i="13"/>
  <c r="E135" i="13"/>
  <c r="AU135" i="13" s="1"/>
  <c r="F135" i="13"/>
  <c r="G135" i="13"/>
  <c r="H135" i="13"/>
  <c r="I135" i="13"/>
  <c r="J135" i="13"/>
  <c r="K135" i="13"/>
  <c r="L135" i="13"/>
  <c r="M135" i="13"/>
  <c r="N135" i="13"/>
  <c r="O135" i="13"/>
  <c r="Q135" i="13"/>
  <c r="R135" i="13"/>
  <c r="S135" i="13"/>
  <c r="T135" i="13"/>
  <c r="U135" i="13"/>
  <c r="V135" i="13"/>
  <c r="X135" i="13"/>
  <c r="Y135" i="13"/>
  <c r="Z135" i="13"/>
  <c r="AA135" i="13"/>
  <c r="AB135" i="13"/>
  <c r="AC135" i="13"/>
  <c r="AE135" i="13"/>
  <c r="AF135" i="13"/>
  <c r="AG135" i="13"/>
  <c r="AH135" i="13"/>
  <c r="AI135" i="13"/>
  <c r="AJ135" i="13"/>
  <c r="AL135" i="13"/>
  <c r="AM135" i="13"/>
  <c r="AN135" i="13"/>
  <c r="AO135" i="13"/>
  <c r="AP135" i="13"/>
  <c r="AQ135" i="13"/>
  <c r="A136" i="13"/>
  <c r="B136" i="13"/>
  <c r="C136" i="13"/>
  <c r="D136" i="13"/>
  <c r="E136" i="13"/>
  <c r="F136" i="13"/>
  <c r="G136" i="13"/>
  <c r="H136" i="13"/>
  <c r="I136" i="13"/>
  <c r="J136" i="13"/>
  <c r="K136" i="13"/>
  <c r="L136" i="13"/>
  <c r="M136" i="13"/>
  <c r="N136" i="13"/>
  <c r="O136" i="13"/>
  <c r="Q136" i="13"/>
  <c r="R136" i="13"/>
  <c r="S136" i="13"/>
  <c r="T136" i="13"/>
  <c r="U136" i="13"/>
  <c r="V136" i="13"/>
  <c r="X136" i="13"/>
  <c r="Y136" i="13"/>
  <c r="Z136" i="13"/>
  <c r="AA136" i="13"/>
  <c r="AB136" i="13"/>
  <c r="AC136" i="13"/>
  <c r="AE136" i="13"/>
  <c r="AF136" i="13"/>
  <c r="AG136" i="13"/>
  <c r="AH136" i="13"/>
  <c r="AI136" i="13"/>
  <c r="AJ136" i="13"/>
  <c r="AL136" i="13"/>
  <c r="AM136" i="13"/>
  <c r="AN136" i="13"/>
  <c r="AO136" i="13"/>
  <c r="AP136" i="13"/>
  <c r="AQ136" i="13"/>
  <c r="A137" i="13"/>
  <c r="B137" i="13"/>
  <c r="C137" i="13"/>
  <c r="D137" i="13"/>
  <c r="E137" i="13"/>
  <c r="AU137" i="13" s="1"/>
  <c r="F137" i="13"/>
  <c r="G137" i="13"/>
  <c r="H137" i="13"/>
  <c r="I137" i="13"/>
  <c r="J137" i="13"/>
  <c r="K137" i="13"/>
  <c r="L137" i="13"/>
  <c r="M137" i="13"/>
  <c r="N137" i="13"/>
  <c r="O137" i="13"/>
  <c r="Q137" i="13"/>
  <c r="R137" i="13"/>
  <c r="S137" i="13"/>
  <c r="T137" i="13"/>
  <c r="U137" i="13"/>
  <c r="V137" i="13"/>
  <c r="X137" i="13"/>
  <c r="Y137" i="13"/>
  <c r="Z137" i="13"/>
  <c r="AA137" i="13"/>
  <c r="AB137" i="13"/>
  <c r="AC137" i="13"/>
  <c r="AE137" i="13"/>
  <c r="AF137" i="13"/>
  <c r="AG137" i="13"/>
  <c r="AH137" i="13"/>
  <c r="AI137" i="13"/>
  <c r="AJ137" i="13"/>
  <c r="AL137" i="13"/>
  <c r="AM137" i="13"/>
  <c r="AN137" i="13"/>
  <c r="AO137" i="13"/>
  <c r="AP137" i="13"/>
  <c r="AQ137" i="13"/>
  <c r="A138" i="13"/>
  <c r="B138" i="13"/>
  <c r="C138" i="13"/>
  <c r="D138" i="13"/>
  <c r="E138" i="13"/>
  <c r="F138" i="13"/>
  <c r="G138" i="13"/>
  <c r="H138" i="13"/>
  <c r="I138" i="13"/>
  <c r="J138" i="13"/>
  <c r="K138" i="13"/>
  <c r="L138" i="13"/>
  <c r="M138" i="13"/>
  <c r="N138" i="13"/>
  <c r="O138" i="13"/>
  <c r="Q138" i="13"/>
  <c r="R138" i="13"/>
  <c r="S138" i="13"/>
  <c r="T138" i="13"/>
  <c r="U138" i="13"/>
  <c r="V138" i="13"/>
  <c r="X138" i="13"/>
  <c r="Y138" i="13"/>
  <c r="Z138" i="13"/>
  <c r="AA138" i="13"/>
  <c r="AB138" i="13"/>
  <c r="AC138" i="13"/>
  <c r="AE138" i="13"/>
  <c r="AF138" i="13"/>
  <c r="AG138" i="13"/>
  <c r="AH138" i="13"/>
  <c r="AI138" i="13"/>
  <c r="AJ138" i="13"/>
  <c r="AL138" i="13"/>
  <c r="AM138" i="13"/>
  <c r="AN138" i="13"/>
  <c r="AO138" i="13"/>
  <c r="AP138" i="13"/>
  <c r="AQ138" i="13"/>
  <c r="A139" i="13"/>
  <c r="B139" i="13"/>
  <c r="C139" i="13"/>
  <c r="D139" i="13"/>
  <c r="E139" i="13"/>
  <c r="AU139" i="13" s="1"/>
  <c r="F139" i="13"/>
  <c r="G139" i="13"/>
  <c r="H139" i="13"/>
  <c r="I139" i="13"/>
  <c r="J139" i="13"/>
  <c r="K139" i="13"/>
  <c r="L139" i="13"/>
  <c r="M139" i="13"/>
  <c r="N139" i="13"/>
  <c r="O139" i="13"/>
  <c r="Q139" i="13"/>
  <c r="R139" i="13"/>
  <c r="S139" i="13"/>
  <c r="T139" i="13"/>
  <c r="U139" i="13"/>
  <c r="V139" i="13"/>
  <c r="X139" i="13"/>
  <c r="Y139" i="13"/>
  <c r="Z139" i="13"/>
  <c r="AA139" i="13"/>
  <c r="AB139" i="13"/>
  <c r="AC139" i="13"/>
  <c r="AE139" i="13"/>
  <c r="AF139" i="13"/>
  <c r="AG139" i="13"/>
  <c r="AH139" i="13"/>
  <c r="AI139" i="13"/>
  <c r="AJ139" i="13"/>
  <c r="AL139" i="13"/>
  <c r="AM139" i="13"/>
  <c r="AN139" i="13"/>
  <c r="AO139" i="13"/>
  <c r="AP139" i="13"/>
  <c r="AQ139" i="13"/>
  <c r="A140" i="13"/>
  <c r="B140" i="13"/>
  <c r="C140" i="13"/>
  <c r="D140" i="13"/>
  <c r="E140" i="13"/>
  <c r="AT140" i="13" s="1"/>
  <c r="F140" i="13"/>
  <c r="G140" i="13"/>
  <c r="H140" i="13"/>
  <c r="I140" i="13"/>
  <c r="J140" i="13"/>
  <c r="K140" i="13"/>
  <c r="L140" i="13"/>
  <c r="M140" i="13"/>
  <c r="N140" i="13"/>
  <c r="O140" i="13"/>
  <c r="Q140" i="13"/>
  <c r="R140" i="13"/>
  <c r="S140" i="13"/>
  <c r="T140" i="13"/>
  <c r="U140" i="13"/>
  <c r="V140" i="13"/>
  <c r="X140" i="13"/>
  <c r="Y140" i="13"/>
  <c r="Z140" i="13"/>
  <c r="AA140" i="13"/>
  <c r="AB140" i="13"/>
  <c r="AC140" i="13"/>
  <c r="AE140" i="13"/>
  <c r="AF140" i="13"/>
  <c r="AG140" i="13"/>
  <c r="AH140" i="13"/>
  <c r="AI140" i="13"/>
  <c r="AJ140" i="13"/>
  <c r="AL140" i="13"/>
  <c r="AM140" i="13"/>
  <c r="AN140" i="13"/>
  <c r="AO140" i="13"/>
  <c r="AP140" i="13"/>
  <c r="AQ140" i="13"/>
  <c r="A141" i="13"/>
  <c r="B141" i="13"/>
  <c r="C141" i="13"/>
  <c r="D141" i="13"/>
  <c r="E141" i="13"/>
  <c r="AU141" i="13" s="1"/>
  <c r="F141" i="13"/>
  <c r="G141" i="13"/>
  <c r="H141" i="13"/>
  <c r="I141" i="13"/>
  <c r="J141" i="13"/>
  <c r="K141" i="13"/>
  <c r="L141" i="13"/>
  <c r="M141" i="13"/>
  <c r="N141" i="13"/>
  <c r="O141" i="13"/>
  <c r="Q141" i="13"/>
  <c r="R141" i="13"/>
  <c r="S141" i="13"/>
  <c r="T141" i="13"/>
  <c r="U141" i="13"/>
  <c r="V141" i="13"/>
  <c r="X141" i="13"/>
  <c r="Y141" i="13"/>
  <c r="Z141" i="13"/>
  <c r="AA141" i="13"/>
  <c r="AB141" i="13"/>
  <c r="AC141" i="13"/>
  <c r="AE141" i="13"/>
  <c r="AF141" i="13"/>
  <c r="AG141" i="13"/>
  <c r="AH141" i="13"/>
  <c r="AI141" i="13"/>
  <c r="AJ141" i="13"/>
  <c r="AL141" i="13"/>
  <c r="AM141" i="13"/>
  <c r="AN141" i="13"/>
  <c r="AO141" i="13"/>
  <c r="AP141" i="13"/>
  <c r="AQ141" i="13"/>
  <c r="A142" i="13"/>
  <c r="B142" i="13"/>
  <c r="C142" i="13"/>
  <c r="D142" i="13"/>
  <c r="E142" i="13"/>
  <c r="F142" i="13"/>
  <c r="G142" i="13"/>
  <c r="H142" i="13"/>
  <c r="I142" i="13"/>
  <c r="J142" i="13"/>
  <c r="K142" i="13"/>
  <c r="L142" i="13"/>
  <c r="M142" i="13"/>
  <c r="N142" i="13"/>
  <c r="O142" i="13"/>
  <c r="Q142" i="13"/>
  <c r="R142" i="13"/>
  <c r="S142" i="13"/>
  <c r="T142" i="13"/>
  <c r="U142" i="13"/>
  <c r="V142" i="13"/>
  <c r="X142" i="13"/>
  <c r="Y142" i="13"/>
  <c r="Z142" i="13"/>
  <c r="AA142" i="13"/>
  <c r="AB142" i="13"/>
  <c r="AC142" i="13"/>
  <c r="AE142" i="13"/>
  <c r="AF142" i="13"/>
  <c r="AG142" i="13"/>
  <c r="AH142" i="13"/>
  <c r="AI142" i="13"/>
  <c r="AJ142" i="13"/>
  <c r="AL142" i="13"/>
  <c r="AM142" i="13"/>
  <c r="AN142" i="13"/>
  <c r="AO142" i="13"/>
  <c r="AP142" i="13"/>
  <c r="AQ142" i="13"/>
  <c r="A143" i="13"/>
  <c r="B143" i="13"/>
  <c r="C143" i="13"/>
  <c r="D143" i="13"/>
  <c r="E143" i="13"/>
  <c r="AT143" i="13" s="1"/>
  <c r="F143" i="13"/>
  <c r="G143" i="13"/>
  <c r="H143" i="13"/>
  <c r="I143" i="13"/>
  <c r="J143" i="13"/>
  <c r="K143" i="13"/>
  <c r="L143" i="13"/>
  <c r="M143" i="13"/>
  <c r="N143" i="13"/>
  <c r="O143" i="13"/>
  <c r="Q143" i="13"/>
  <c r="R143" i="13"/>
  <c r="S143" i="13"/>
  <c r="T143" i="13"/>
  <c r="U143" i="13"/>
  <c r="V143" i="13"/>
  <c r="X143" i="13"/>
  <c r="Y143" i="13"/>
  <c r="Z143" i="13"/>
  <c r="AA143" i="13"/>
  <c r="AB143" i="13"/>
  <c r="AC143" i="13"/>
  <c r="AE143" i="13"/>
  <c r="AF143" i="13"/>
  <c r="AG143" i="13"/>
  <c r="AH143" i="13"/>
  <c r="AI143" i="13"/>
  <c r="AJ143" i="13"/>
  <c r="AL143" i="13"/>
  <c r="AM143" i="13"/>
  <c r="AN143" i="13"/>
  <c r="AO143" i="13"/>
  <c r="AP143" i="13"/>
  <c r="AQ143" i="13"/>
  <c r="A144" i="13"/>
  <c r="B144" i="13"/>
  <c r="C144" i="13"/>
  <c r="D144" i="13"/>
  <c r="E144" i="13"/>
  <c r="AU144" i="13" s="1"/>
  <c r="F144" i="13"/>
  <c r="G144" i="13"/>
  <c r="H144" i="13"/>
  <c r="I144" i="13"/>
  <c r="J144" i="13"/>
  <c r="K144" i="13"/>
  <c r="L144" i="13"/>
  <c r="M144" i="13"/>
  <c r="N144" i="13"/>
  <c r="O144" i="13"/>
  <c r="Q144" i="13"/>
  <c r="R144" i="13"/>
  <c r="S144" i="13"/>
  <c r="T144" i="13"/>
  <c r="U144" i="13"/>
  <c r="V144" i="13"/>
  <c r="X144" i="13"/>
  <c r="Y144" i="13"/>
  <c r="Z144" i="13"/>
  <c r="AA144" i="13"/>
  <c r="AB144" i="13"/>
  <c r="AC144" i="13"/>
  <c r="AE144" i="13"/>
  <c r="AF144" i="13"/>
  <c r="AG144" i="13"/>
  <c r="AH144" i="13"/>
  <c r="AI144" i="13"/>
  <c r="AJ144" i="13"/>
  <c r="AL144" i="13"/>
  <c r="AM144" i="13"/>
  <c r="AN144" i="13"/>
  <c r="AO144" i="13"/>
  <c r="AP144" i="13"/>
  <c r="AQ144" i="13"/>
  <c r="A145" i="13"/>
  <c r="B145" i="13"/>
  <c r="C145" i="13"/>
  <c r="D145" i="13"/>
  <c r="E145" i="13"/>
  <c r="F145" i="13"/>
  <c r="G145" i="13"/>
  <c r="H145" i="13"/>
  <c r="I145" i="13"/>
  <c r="J145" i="13"/>
  <c r="K145" i="13"/>
  <c r="L145" i="13"/>
  <c r="M145" i="13"/>
  <c r="N145" i="13"/>
  <c r="O145" i="13"/>
  <c r="Q145" i="13"/>
  <c r="R145" i="13"/>
  <c r="S145" i="13"/>
  <c r="T145" i="13"/>
  <c r="U145" i="13"/>
  <c r="V145" i="13"/>
  <c r="X145" i="13"/>
  <c r="Y145" i="13"/>
  <c r="Z145" i="13"/>
  <c r="AA145" i="13"/>
  <c r="AB145" i="13"/>
  <c r="AC145" i="13"/>
  <c r="AE145" i="13"/>
  <c r="AF145" i="13"/>
  <c r="AG145" i="13"/>
  <c r="AH145" i="13"/>
  <c r="AI145" i="13"/>
  <c r="AJ145" i="13"/>
  <c r="AL145" i="13"/>
  <c r="AM145" i="13"/>
  <c r="AN145" i="13"/>
  <c r="AO145" i="13"/>
  <c r="AP145" i="13"/>
  <c r="AQ145" i="13"/>
  <c r="A146" i="13"/>
  <c r="B146" i="13"/>
  <c r="C146" i="13"/>
  <c r="D146" i="13"/>
  <c r="E146" i="13"/>
  <c r="AU146" i="13" s="1"/>
  <c r="F146" i="13"/>
  <c r="G146" i="13"/>
  <c r="H146" i="13"/>
  <c r="I146" i="13"/>
  <c r="J146" i="13"/>
  <c r="K146" i="13"/>
  <c r="L146" i="13"/>
  <c r="M146" i="13"/>
  <c r="N146" i="13"/>
  <c r="O146" i="13"/>
  <c r="Q146" i="13"/>
  <c r="R146" i="13"/>
  <c r="S146" i="13"/>
  <c r="T146" i="13"/>
  <c r="U146" i="13"/>
  <c r="V146" i="13"/>
  <c r="X146" i="13"/>
  <c r="Y146" i="13"/>
  <c r="Z146" i="13"/>
  <c r="AA146" i="13"/>
  <c r="AB146" i="13"/>
  <c r="AC146" i="13"/>
  <c r="AE146" i="13"/>
  <c r="AF146" i="13"/>
  <c r="AG146" i="13"/>
  <c r="AH146" i="13"/>
  <c r="AI146" i="13"/>
  <c r="AJ146" i="13"/>
  <c r="AL146" i="13"/>
  <c r="AM146" i="13"/>
  <c r="AN146" i="13"/>
  <c r="AO146" i="13"/>
  <c r="AP146" i="13"/>
  <c r="AQ146" i="13"/>
  <c r="A147" i="13"/>
  <c r="B147" i="13"/>
  <c r="C147" i="13"/>
  <c r="D147" i="13"/>
  <c r="E147" i="13"/>
  <c r="AU147" i="13" s="1"/>
  <c r="F147" i="13"/>
  <c r="G147" i="13"/>
  <c r="H147" i="13"/>
  <c r="I147" i="13"/>
  <c r="J147" i="13"/>
  <c r="K147" i="13"/>
  <c r="L147" i="13"/>
  <c r="M147" i="13"/>
  <c r="N147" i="13"/>
  <c r="O147" i="13"/>
  <c r="Q147" i="13"/>
  <c r="R147" i="13"/>
  <c r="S147" i="13"/>
  <c r="T147" i="13"/>
  <c r="U147" i="13"/>
  <c r="V147" i="13"/>
  <c r="X147" i="13"/>
  <c r="Y147" i="13"/>
  <c r="Z147" i="13"/>
  <c r="AA147" i="13"/>
  <c r="AB147" i="13"/>
  <c r="AC147" i="13"/>
  <c r="AE147" i="13"/>
  <c r="AF147" i="13"/>
  <c r="AG147" i="13"/>
  <c r="AH147" i="13"/>
  <c r="AI147" i="13"/>
  <c r="AJ147" i="13"/>
  <c r="AL147" i="13"/>
  <c r="AM147" i="13"/>
  <c r="AN147" i="13"/>
  <c r="AO147" i="13"/>
  <c r="AP147" i="13"/>
  <c r="AQ147" i="13"/>
  <c r="A148" i="13"/>
  <c r="B148" i="13"/>
  <c r="C148" i="13"/>
  <c r="D148" i="13"/>
  <c r="E148" i="13"/>
  <c r="AU148" i="13" s="1"/>
  <c r="F148" i="13"/>
  <c r="G148" i="13"/>
  <c r="H148" i="13"/>
  <c r="I148" i="13"/>
  <c r="J148" i="13"/>
  <c r="K148" i="13"/>
  <c r="L148" i="13"/>
  <c r="M148" i="13"/>
  <c r="N148" i="13"/>
  <c r="O148" i="13"/>
  <c r="Q148" i="13"/>
  <c r="R148" i="13"/>
  <c r="S148" i="13"/>
  <c r="T148" i="13"/>
  <c r="U148" i="13"/>
  <c r="V148" i="13"/>
  <c r="X148" i="13"/>
  <c r="Y148" i="13"/>
  <c r="Z148" i="13"/>
  <c r="AA148" i="13"/>
  <c r="AB148" i="13"/>
  <c r="AC148" i="13"/>
  <c r="AE148" i="13"/>
  <c r="AF148" i="13"/>
  <c r="AG148" i="13"/>
  <c r="AH148" i="13"/>
  <c r="AI148" i="13"/>
  <c r="AJ148" i="13"/>
  <c r="AL148" i="13"/>
  <c r="AM148" i="13"/>
  <c r="AN148" i="13"/>
  <c r="AO148" i="13"/>
  <c r="AP148" i="13"/>
  <c r="AQ148" i="13"/>
  <c r="A149" i="13"/>
  <c r="B149" i="13"/>
  <c r="C149" i="13"/>
  <c r="D149" i="13"/>
  <c r="E149" i="13"/>
  <c r="AT149" i="13" s="1"/>
  <c r="F149" i="13"/>
  <c r="G149" i="13"/>
  <c r="H149" i="13"/>
  <c r="I149" i="13"/>
  <c r="J149" i="13"/>
  <c r="K149" i="13"/>
  <c r="L149" i="13"/>
  <c r="M149" i="13"/>
  <c r="N149" i="13"/>
  <c r="O149" i="13"/>
  <c r="Q149" i="13"/>
  <c r="R149" i="13"/>
  <c r="S149" i="13"/>
  <c r="T149" i="13"/>
  <c r="U149" i="13"/>
  <c r="V149" i="13"/>
  <c r="X149" i="13"/>
  <c r="Y149" i="13"/>
  <c r="Z149" i="13"/>
  <c r="AA149" i="13"/>
  <c r="AB149" i="13"/>
  <c r="AC149" i="13"/>
  <c r="AE149" i="13"/>
  <c r="AF149" i="13"/>
  <c r="AG149" i="13"/>
  <c r="AH149" i="13"/>
  <c r="AI149" i="13"/>
  <c r="AJ149" i="13"/>
  <c r="AL149" i="13"/>
  <c r="AM149" i="13"/>
  <c r="AN149" i="13"/>
  <c r="AO149" i="13"/>
  <c r="AP149" i="13"/>
  <c r="AQ149" i="13"/>
  <c r="A150" i="13"/>
  <c r="B150" i="13"/>
  <c r="C150" i="13"/>
  <c r="D150" i="13"/>
  <c r="E150" i="13"/>
  <c r="AU150" i="13" s="1"/>
  <c r="F150" i="13"/>
  <c r="G150" i="13"/>
  <c r="H150" i="13"/>
  <c r="I150" i="13"/>
  <c r="J150" i="13"/>
  <c r="K150" i="13"/>
  <c r="L150" i="13"/>
  <c r="M150" i="13"/>
  <c r="N150" i="13"/>
  <c r="O150" i="13"/>
  <c r="Q150" i="13"/>
  <c r="R150" i="13"/>
  <c r="S150" i="13"/>
  <c r="T150" i="13"/>
  <c r="U150" i="13"/>
  <c r="V150" i="13"/>
  <c r="X150" i="13"/>
  <c r="Y150" i="13"/>
  <c r="Z150" i="13"/>
  <c r="AA150" i="13"/>
  <c r="AB150" i="13"/>
  <c r="AC150" i="13"/>
  <c r="AE150" i="13"/>
  <c r="AF150" i="13"/>
  <c r="AG150" i="13"/>
  <c r="AH150" i="13"/>
  <c r="AI150" i="13"/>
  <c r="AJ150" i="13"/>
  <c r="AL150" i="13"/>
  <c r="AM150" i="13"/>
  <c r="AN150" i="13"/>
  <c r="AO150" i="13"/>
  <c r="AP150" i="13"/>
  <c r="AQ150" i="13"/>
  <c r="A151" i="13"/>
  <c r="B151" i="13"/>
  <c r="C151" i="13"/>
  <c r="D151" i="13"/>
  <c r="E151" i="13"/>
  <c r="F151" i="13"/>
  <c r="G151" i="13"/>
  <c r="H151" i="13"/>
  <c r="I151" i="13"/>
  <c r="J151" i="13"/>
  <c r="K151" i="13"/>
  <c r="L151" i="13"/>
  <c r="M151" i="13"/>
  <c r="N151" i="13"/>
  <c r="O151" i="13"/>
  <c r="Q151" i="13"/>
  <c r="R151" i="13"/>
  <c r="S151" i="13"/>
  <c r="T151" i="13"/>
  <c r="U151" i="13"/>
  <c r="V151" i="13"/>
  <c r="X151" i="13"/>
  <c r="Y151" i="13"/>
  <c r="Z151" i="13"/>
  <c r="AA151" i="13"/>
  <c r="AB151" i="13"/>
  <c r="AC151" i="13"/>
  <c r="AE151" i="13"/>
  <c r="AF151" i="13"/>
  <c r="AG151" i="13"/>
  <c r="AH151" i="13"/>
  <c r="AI151" i="13"/>
  <c r="AJ151" i="13"/>
  <c r="AL151" i="13"/>
  <c r="AM151" i="13"/>
  <c r="AN151" i="13"/>
  <c r="AO151" i="13"/>
  <c r="AP151" i="13"/>
  <c r="AQ151" i="13"/>
  <c r="A152" i="13"/>
  <c r="B152" i="13"/>
  <c r="C152" i="13"/>
  <c r="D152" i="13"/>
  <c r="E152" i="13"/>
  <c r="AT152" i="13" s="1"/>
  <c r="F152" i="13"/>
  <c r="AW152" i="13" s="1"/>
  <c r="G152" i="13"/>
  <c r="H152" i="13"/>
  <c r="I152" i="13"/>
  <c r="J152" i="13"/>
  <c r="K152" i="13"/>
  <c r="L152" i="13"/>
  <c r="M152" i="13"/>
  <c r="N152" i="13"/>
  <c r="O152" i="13"/>
  <c r="Q152" i="13"/>
  <c r="R152" i="13"/>
  <c r="S152" i="13"/>
  <c r="T152" i="13"/>
  <c r="U152" i="13"/>
  <c r="V152" i="13"/>
  <c r="X152" i="13"/>
  <c r="Y152" i="13"/>
  <c r="Z152" i="13"/>
  <c r="AA152" i="13"/>
  <c r="AB152" i="13"/>
  <c r="AC152" i="13"/>
  <c r="AE152" i="13"/>
  <c r="AF152" i="13"/>
  <c r="AG152" i="13"/>
  <c r="AH152" i="13"/>
  <c r="AI152" i="13"/>
  <c r="AJ152" i="13"/>
  <c r="AL152" i="13"/>
  <c r="AM152" i="13"/>
  <c r="AN152" i="13"/>
  <c r="AO152" i="13"/>
  <c r="AP152" i="13"/>
  <c r="AQ152" i="13"/>
  <c r="A153" i="13"/>
  <c r="B153" i="13"/>
  <c r="C153" i="13"/>
  <c r="D153" i="13"/>
  <c r="E153" i="13"/>
  <c r="AU153" i="13" s="1"/>
  <c r="F153" i="13"/>
  <c r="G153" i="13"/>
  <c r="H153" i="13"/>
  <c r="I153" i="13"/>
  <c r="J153" i="13"/>
  <c r="K153" i="13"/>
  <c r="L153" i="13"/>
  <c r="M153" i="13"/>
  <c r="N153" i="13"/>
  <c r="O153" i="13"/>
  <c r="Q153" i="13"/>
  <c r="R153" i="13"/>
  <c r="S153" i="13"/>
  <c r="T153" i="13"/>
  <c r="U153" i="13"/>
  <c r="V153" i="13"/>
  <c r="X153" i="13"/>
  <c r="Y153" i="13"/>
  <c r="Z153" i="13"/>
  <c r="AA153" i="13"/>
  <c r="AB153" i="13"/>
  <c r="AC153" i="13"/>
  <c r="AE153" i="13"/>
  <c r="AF153" i="13"/>
  <c r="AG153" i="13"/>
  <c r="AH153" i="13"/>
  <c r="AI153" i="13"/>
  <c r="AJ153" i="13"/>
  <c r="AL153" i="13"/>
  <c r="AM153" i="13"/>
  <c r="AN153" i="13"/>
  <c r="AO153" i="13"/>
  <c r="AP153" i="13"/>
  <c r="AQ153" i="13"/>
  <c r="A154" i="13"/>
  <c r="B154" i="13"/>
  <c r="C154" i="13"/>
  <c r="D154" i="13"/>
  <c r="E154" i="13"/>
  <c r="F154" i="13"/>
  <c r="G154" i="13"/>
  <c r="H154" i="13"/>
  <c r="I154" i="13"/>
  <c r="J154" i="13"/>
  <c r="K154" i="13"/>
  <c r="L154" i="13"/>
  <c r="M154" i="13"/>
  <c r="N154" i="13"/>
  <c r="O154" i="13"/>
  <c r="Q154" i="13"/>
  <c r="R154" i="13"/>
  <c r="S154" i="13"/>
  <c r="T154" i="13"/>
  <c r="U154" i="13"/>
  <c r="V154" i="13"/>
  <c r="X154" i="13"/>
  <c r="Y154" i="13"/>
  <c r="Z154" i="13"/>
  <c r="AA154" i="13"/>
  <c r="AB154" i="13"/>
  <c r="AC154" i="13"/>
  <c r="AE154" i="13"/>
  <c r="AF154" i="13"/>
  <c r="AG154" i="13"/>
  <c r="AH154" i="13"/>
  <c r="AI154" i="13"/>
  <c r="AJ154" i="13"/>
  <c r="AL154" i="13"/>
  <c r="AM154" i="13"/>
  <c r="AN154" i="13"/>
  <c r="AO154" i="13"/>
  <c r="AP154" i="13"/>
  <c r="AQ154" i="13"/>
  <c r="A155" i="13"/>
  <c r="B155" i="13"/>
  <c r="C155" i="13"/>
  <c r="D155" i="13"/>
  <c r="E155" i="13"/>
  <c r="AT155" i="13" s="1"/>
  <c r="F155" i="13"/>
  <c r="AW155" i="13" s="1"/>
  <c r="G155" i="13"/>
  <c r="H155" i="13"/>
  <c r="I155" i="13"/>
  <c r="J155" i="13"/>
  <c r="K155" i="13"/>
  <c r="L155" i="13"/>
  <c r="M155" i="13"/>
  <c r="N155" i="13"/>
  <c r="O155" i="13"/>
  <c r="Q155" i="13"/>
  <c r="R155" i="13"/>
  <c r="S155" i="13"/>
  <c r="T155" i="13"/>
  <c r="U155" i="13"/>
  <c r="V155" i="13"/>
  <c r="X155" i="13"/>
  <c r="Y155" i="13"/>
  <c r="Z155" i="13"/>
  <c r="AA155" i="13"/>
  <c r="AB155" i="13"/>
  <c r="AC155" i="13"/>
  <c r="AE155" i="13"/>
  <c r="AF155" i="13"/>
  <c r="AG155" i="13"/>
  <c r="AH155" i="13"/>
  <c r="AI155" i="13"/>
  <c r="AJ155" i="13"/>
  <c r="AL155" i="13"/>
  <c r="AM155" i="13"/>
  <c r="AN155" i="13"/>
  <c r="AO155" i="13"/>
  <c r="AP155" i="13"/>
  <c r="AQ155" i="13"/>
  <c r="A156" i="13"/>
  <c r="B156" i="13"/>
  <c r="C156" i="13"/>
  <c r="D156" i="13"/>
  <c r="E156" i="13"/>
  <c r="AT156" i="13" s="1"/>
  <c r="F156" i="13"/>
  <c r="G156" i="13"/>
  <c r="H156" i="13"/>
  <c r="I156" i="13"/>
  <c r="J156" i="13"/>
  <c r="K156" i="13"/>
  <c r="L156" i="13"/>
  <c r="M156" i="13"/>
  <c r="N156" i="13"/>
  <c r="O156" i="13"/>
  <c r="Q156" i="13"/>
  <c r="R156" i="13"/>
  <c r="S156" i="13"/>
  <c r="T156" i="13"/>
  <c r="U156" i="13"/>
  <c r="V156" i="13"/>
  <c r="X156" i="13"/>
  <c r="Y156" i="13"/>
  <c r="Z156" i="13"/>
  <c r="AA156" i="13"/>
  <c r="AB156" i="13"/>
  <c r="AC156" i="13"/>
  <c r="AE156" i="13"/>
  <c r="AF156" i="13"/>
  <c r="AG156" i="13"/>
  <c r="AH156" i="13"/>
  <c r="AI156" i="13"/>
  <c r="AJ156" i="13"/>
  <c r="AL156" i="13"/>
  <c r="AM156" i="13"/>
  <c r="AN156" i="13"/>
  <c r="AO156" i="13"/>
  <c r="AP156" i="13"/>
  <c r="AQ156" i="13"/>
  <c r="A157" i="13"/>
  <c r="B157" i="13"/>
  <c r="C157" i="13"/>
  <c r="D157" i="13"/>
  <c r="E157" i="13"/>
  <c r="AU157" i="13" s="1"/>
  <c r="F157" i="13"/>
  <c r="G157" i="13"/>
  <c r="H157" i="13"/>
  <c r="I157" i="13"/>
  <c r="J157" i="13"/>
  <c r="K157" i="13"/>
  <c r="L157" i="13"/>
  <c r="M157" i="13"/>
  <c r="N157" i="13"/>
  <c r="O157" i="13"/>
  <c r="Q157" i="13"/>
  <c r="R157" i="13"/>
  <c r="S157" i="13"/>
  <c r="T157" i="13"/>
  <c r="U157" i="13"/>
  <c r="V157" i="13"/>
  <c r="X157" i="13"/>
  <c r="Y157" i="13"/>
  <c r="Z157" i="13"/>
  <c r="AA157" i="13"/>
  <c r="AB157" i="13"/>
  <c r="AC157" i="13"/>
  <c r="AE157" i="13"/>
  <c r="AF157" i="13"/>
  <c r="AG157" i="13"/>
  <c r="AH157" i="13"/>
  <c r="AI157" i="13"/>
  <c r="AJ157" i="13"/>
  <c r="AL157" i="13"/>
  <c r="AM157" i="13"/>
  <c r="AN157" i="13"/>
  <c r="AO157" i="13"/>
  <c r="AP157" i="13"/>
  <c r="AQ157" i="13"/>
  <c r="A158" i="13"/>
  <c r="B158" i="13"/>
  <c r="C158" i="13"/>
  <c r="D158" i="13"/>
  <c r="E158" i="13"/>
  <c r="AU158" i="13" s="1"/>
  <c r="F158" i="13"/>
  <c r="G158" i="13"/>
  <c r="H158" i="13"/>
  <c r="I158" i="13"/>
  <c r="J158" i="13"/>
  <c r="K158" i="13"/>
  <c r="L158" i="13"/>
  <c r="M158" i="13"/>
  <c r="N158" i="13"/>
  <c r="O158" i="13"/>
  <c r="Q158" i="13"/>
  <c r="R158" i="13"/>
  <c r="S158" i="13"/>
  <c r="T158" i="13"/>
  <c r="U158" i="13"/>
  <c r="V158" i="13"/>
  <c r="X158" i="13"/>
  <c r="Y158" i="13"/>
  <c r="Z158" i="13"/>
  <c r="AA158" i="13"/>
  <c r="AB158" i="13"/>
  <c r="AC158" i="13"/>
  <c r="AE158" i="13"/>
  <c r="AF158" i="13"/>
  <c r="AG158" i="13"/>
  <c r="AH158" i="13"/>
  <c r="AI158" i="13"/>
  <c r="AJ158" i="13"/>
  <c r="AL158" i="13"/>
  <c r="AM158" i="13"/>
  <c r="AN158" i="13"/>
  <c r="AO158" i="13"/>
  <c r="AP158" i="13"/>
  <c r="AQ158" i="13"/>
  <c r="A159" i="13"/>
  <c r="B159" i="13"/>
  <c r="C159" i="13"/>
  <c r="D159" i="13"/>
  <c r="E159" i="13"/>
  <c r="AU159" i="13" s="1"/>
  <c r="F159" i="13"/>
  <c r="G159" i="13"/>
  <c r="H159" i="13"/>
  <c r="I159" i="13"/>
  <c r="J159" i="13"/>
  <c r="K159" i="13"/>
  <c r="L159" i="13"/>
  <c r="M159" i="13"/>
  <c r="N159" i="13"/>
  <c r="O159" i="13"/>
  <c r="Q159" i="13"/>
  <c r="R159" i="13"/>
  <c r="S159" i="13"/>
  <c r="T159" i="13"/>
  <c r="U159" i="13"/>
  <c r="V159" i="13"/>
  <c r="X159" i="13"/>
  <c r="Y159" i="13"/>
  <c r="Z159" i="13"/>
  <c r="AA159" i="13"/>
  <c r="AB159" i="13"/>
  <c r="AC159" i="13"/>
  <c r="AE159" i="13"/>
  <c r="AF159" i="13"/>
  <c r="AG159" i="13"/>
  <c r="AH159" i="13"/>
  <c r="AI159" i="13"/>
  <c r="AJ159" i="13"/>
  <c r="AL159" i="13"/>
  <c r="AM159" i="13"/>
  <c r="AN159" i="13"/>
  <c r="AO159" i="13"/>
  <c r="AP159" i="13"/>
  <c r="AQ159" i="13"/>
  <c r="A160" i="13"/>
  <c r="B160" i="13"/>
  <c r="C160" i="13"/>
  <c r="D160" i="13"/>
  <c r="E160" i="13"/>
  <c r="F160" i="13"/>
  <c r="G160" i="13"/>
  <c r="H160" i="13"/>
  <c r="I160" i="13"/>
  <c r="J160" i="13"/>
  <c r="K160" i="13"/>
  <c r="L160" i="13"/>
  <c r="M160" i="13"/>
  <c r="N160" i="13"/>
  <c r="O160" i="13"/>
  <c r="Q160" i="13"/>
  <c r="R160" i="13"/>
  <c r="S160" i="13"/>
  <c r="T160" i="13"/>
  <c r="U160" i="13"/>
  <c r="V160" i="13"/>
  <c r="X160" i="13"/>
  <c r="Y160" i="13"/>
  <c r="Z160" i="13"/>
  <c r="AA160" i="13"/>
  <c r="AB160" i="13"/>
  <c r="AC160" i="13"/>
  <c r="AE160" i="13"/>
  <c r="AF160" i="13"/>
  <c r="AG160" i="13"/>
  <c r="AH160" i="13"/>
  <c r="AI160" i="13"/>
  <c r="AJ160" i="13"/>
  <c r="AL160" i="13"/>
  <c r="AM160" i="13"/>
  <c r="AN160" i="13"/>
  <c r="AO160" i="13"/>
  <c r="AP160" i="13"/>
  <c r="AQ160" i="13"/>
  <c r="A161" i="13"/>
  <c r="B161" i="13"/>
  <c r="C161" i="13"/>
  <c r="D161" i="13"/>
  <c r="E161" i="13"/>
  <c r="AT161" i="13" s="1"/>
  <c r="F161" i="13"/>
  <c r="G161" i="13"/>
  <c r="H161" i="13"/>
  <c r="I161" i="13"/>
  <c r="J161" i="13"/>
  <c r="K161" i="13"/>
  <c r="L161" i="13"/>
  <c r="M161" i="13"/>
  <c r="N161" i="13"/>
  <c r="O161" i="13"/>
  <c r="Q161" i="13"/>
  <c r="R161" i="13"/>
  <c r="S161" i="13"/>
  <c r="T161" i="13"/>
  <c r="U161" i="13"/>
  <c r="V161" i="13"/>
  <c r="X161" i="13"/>
  <c r="Y161" i="13"/>
  <c r="Z161" i="13"/>
  <c r="AA161" i="13"/>
  <c r="AB161" i="13"/>
  <c r="AC161" i="13"/>
  <c r="AE161" i="13"/>
  <c r="AF161" i="13"/>
  <c r="AG161" i="13"/>
  <c r="AH161" i="13"/>
  <c r="AI161" i="13"/>
  <c r="AJ161" i="13"/>
  <c r="AL161" i="13"/>
  <c r="AM161" i="13"/>
  <c r="AN161" i="13"/>
  <c r="AO161" i="13"/>
  <c r="AP161" i="13"/>
  <c r="AQ161" i="13"/>
  <c r="A162" i="13"/>
  <c r="B162" i="13"/>
  <c r="C162" i="13"/>
  <c r="D162" i="13"/>
  <c r="E162" i="13"/>
  <c r="AU162" i="13" s="1"/>
  <c r="F162" i="13"/>
  <c r="G162" i="13"/>
  <c r="H162" i="13"/>
  <c r="I162" i="13"/>
  <c r="J162" i="13"/>
  <c r="K162" i="13"/>
  <c r="L162" i="13"/>
  <c r="M162" i="13"/>
  <c r="N162" i="13"/>
  <c r="O162" i="13"/>
  <c r="Q162" i="13"/>
  <c r="R162" i="13"/>
  <c r="S162" i="13"/>
  <c r="T162" i="13"/>
  <c r="U162" i="13"/>
  <c r="V162" i="13"/>
  <c r="X162" i="13"/>
  <c r="Y162" i="13"/>
  <c r="Z162" i="13"/>
  <c r="AA162" i="13"/>
  <c r="AB162" i="13"/>
  <c r="AC162" i="13"/>
  <c r="AE162" i="13"/>
  <c r="AF162" i="13"/>
  <c r="AG162" i="13"/>
  <c r="AH162" i="13"/>
  <c r="AI162" i="13"/>
  <c r="AJ162" i="13"/>
  <c r="AL162" i="13"/>
  <c r="AM162" i="13"/>
  <c r="AN162" i="13"/>
  <c r="AO162" i="13"/>
  <c r="AP162" i="13"/>
  <c r="AQ162" i="13"/>
  <c r="A163" i="13"/>
  <c r="B163" i="13"/>
  <c r="C163" i="13"/>
  <c r="D163" i="13"/>
  <c r="E163" i="13"/>
  <c r="AT163" i="13" s="1"/>
  <c r="F163" i="13"/>
  <c r="AW163" i="13" s="1"/>
  <c r="G163" i="13"/>
  <c r="H163" i="13"/>
  <c r="I163" i="13"/>
  <c r="J163" i="13"/>
  <c r="K163" i="13"/>
  <c r="L163" i="13"/>
  <c r="M163" i="13"/>
  <c r="N163" i="13"/>
  <c r="O163" i="13"/>
  <c r="Q163" i="13"/>
  <c r="R163" i="13"/>
  <c r="S163" i="13"/>
  <c r="T163" i="13"/>
  <c r="U163" i="13"/>
  <c r="V163" i="13"/>
  <c r="X163" i="13"/>
  <c r="Y163" i="13"/>
  <c r="Z163" i="13"/>
  <c r="AA163" i="13"/>
  <c r="AB163" i="13"/>
  <c r="AC163" i="13"/>
  <c r="AE163" i="13"/>
  <c r="AF163" i="13"/>
  <c r="AG163" i="13"/>
  <c r="AH163" i="13"/>
  <c r="AI163" i="13"/>
  <c r="AJ163" i="13"/>
  <c r="AL163" i="13"/>
  <c r="AM163" i="13"/>
  <c r="AN163" i="13"/>
  <c r="AO163" i="13"/>
  <c r="AP163" i="13"/>
  <c r="AQ163" i="13"/>
  <c r="A164" i="13"/>
  <c r="B164" i="13"/>
  <c r="C164" i="13"/>
  <c r="D164" i="13"/>
  <c r="E164" i="13"/>
  <c r="AT164" i="13" s="1"/>
  <c r="F164" i="13"/>
  <c r="G164" i="13"/>
  <c r="H164" i="13"/>
  <c r="I164" i="13"/>
  <c r="J164" i="13"/>
  <c r="K164" i="13"/>
  <c r="L164" i="13"/>
  <c r="M164" i="13"/>
  <c r="N164" i="13"/>
  <c r="O164" i="13"/>
  <c r="Q164" i="13"/>
  <c r="R164" i="13"/>
  <c r="S164" i="13"/>
  <c r="T164" i="13"/>
  <c r="U164" i="13"/>
  <c r="V164" i="13"/>
  <c r="X164" i="13"/>
  <c r="Y164" i="13"/>
  <c r="Z164" i="13"/>
  <c r="AA164" i="13"/>
  <c r="AB164" i="13"/>
  <c r="AC164" i="13"/>
  <c r="AE164" i="13"/>
  <c r="AF164" i="13"/>
  <c r="AG164" i="13"/>
  <c r="AH164" i="13"/>
  <c r="AI164" i="13"/>
  <c r="AJ164" i="13"/>
  <c r="AL164" i="13"/>
  <c r="AM164" i="13"/>
  <c r="AN164" i="13"/>
  <c r="AO164" i="13"/>
  <c r="AP164" i="13"/>
  <c r="AQ164" i="13"/>
  <c r="A165" i="13"/>
  <c r="B165" i="13"/>
  <c r="C165" i="13"/>
  <c r="D165" i="13"/>
  <c r="E165" i="13"/>
  <c r="AT165" i="13" s="1"/>
  <c r="F165" i="13"/>
  <c r="AW165" i="13" s="1"/>
  <c r="G165" i="13"/>
  <c r="H165" i="13"/>
  <c r="I165" i="13"/>
  <c r="J165" i="13"/>
  <c r="K165" i="13"/>
  <c r="L165" i="13"/>
  <c r="M165" i="13"/>
  <c r="N165" i="13"/>
  <c r="O165" i="13"/>
  <c r="Q165" i="13"/>
  <c r="R165" i="13"/>
  <c r="S165" i="13"/>
  <c r="T165" i="13"/>
  <c r="U165" i="13"/>
  <c r="V165" i="13"/>
  <c r="X165" i="13"/>
  <c r="Y165" i="13"/>
  <c r="Z165" i="13"/>
  <c r="AA165" i="13"/>
  <c r="AB165" i="13"/>
  <c r="AC165" i="13"/>
  <c r="AE165" i="13"/>
  <c r="AF165" i="13"/>
  <c r="AG165" i="13"/>
  <c r="AH165" i="13"/>
  <c r="AI165" i="13"/>
  <c r="AJ165" i="13"/>
  <c r="AL165" i="13"/>
  <c r="AM165" i="13"/>
  <c r="AN165" i="13"/>
  <c r="AO165" i="13"/>
  <c r="AP165" i="13"/>
  <c r="AQ165" i="13"/>
  <c r="A166" i="13"/>
  <c r="B166" i="13"/>
  <c r="C166" i="13"/>
  <c r="D166" i="13"/>
  <c r="E166" i="13"/>
  <c r="AT166" i="13" s="1"/>
  <c r="F166" i="13"/>
  <c r="G166" i="13"/>
  <c r="H166" i="13"/>
  <c r="I166" i="13"/>
  <c r="J166" i="13"/>
  <c r="K166" i="13"/>
  <c r="L166" i="13"/>
  <c r="M166" i="13"/>
  <c r="N166" i="13"/>
  <c r="O166" i="13"/>
  <c r="Q166" i="13"/>
  <c r="R166" i="13"/>
  <c r="S166" i="13"/>
  <c r="T166" i="13"/>
  <c r="U166" i="13"/>
  <c r="V166" i="13"/>
  <c r="X166" i="13"/>
  <c r="Y166" i="13"/>
  <c r="Z166" i="13"/>
  <c r="AA166" i="13"/>
  <c r="AB166" i="13"/>
  <c r="AC166" i="13"/>
  <c r="AE166" i="13"/>
  <c r="AF166" i="13"/>
  <c r="AG166" i="13"/>
  <c r="AH166" i="13"/>
  <c r="AI166" i="13"/>
  <c r="AJ166" i="13"/>
  <c r="AL166" i="13"/>
  <c r="AM166" i="13"/>
  <c r="AN166" i="13"/>
  <c r="AO166" i="13"/>
  <c r="AP166" i="13"/>
  <c r="AQ166" i="13"/>
  <c r="A167" i="13"/>
  <c r="B167" i="13"/>
  <c r="C167" i="13"/>
  <c r="D167" i="13"/>
  <c r="E167" i="13"/>
  <c r="AT167" i="13" s="1"/>
  <c r="F167" i="13"/>
  <c r="G167" i="13"/>
  <c r="H167" i="13"/>
  <c r="I167" i="13"/>
  <c r="J167" i="13"/>
  <c r="K167" i="13"/>
  <c r="L167" i="13"/>
  <c r="M167" i="13"/>
  <c r="N167" i="13"/>
  <c r="O167" i="13"/>
  <c r="Q167" i="13"/>
  <c r="R167" i="13"/>
  <c r="S167" i="13"/>
  <c r="T167" i="13"/>
  <c r="U167" i="13"/>
  <c r="V167" i="13"/>
  <c r="X167" i="13"/>
  <c r="Y167" i="13"/>
  <c r="Z167" i="13"/>
  <c r="AA167" i="13"/>
  <c r="AB167" i="13"/>
  <c r="AC167" i="13"/>
  <c r="AE167" i="13"/>
  <c r="AF167" i="13"/>
  <c r="AG167" i="13"/>
  <c r="AH167" i="13"/>
  <c r="AI167" i="13"/>
  <c r="AJ167" i="13"/>
  <c r="AL167" i="13"/>
  <c r="AM167" i="13"/>
  <c r="AN167" i="13"/>
  <c r="AO167" i="13"/>
  <c r="AP167" i="13"/>
  <c r="AQ167" i="13"/>
  <c r="A168" i="13"/>
  <c r="B168" i="13"/>
  <c r="C168" i="13"/>
  <c r="D168" i="13"/>
  <c r="E168" i="13"/>
  <c r="F168" i="13"/>
  <c r="G168" i="13"/>
  <c r="H168" i="13"/>
  <c r="I168" i="13"/>
  <c r="J168" i="13"/>
  <c r="K168" i="13"/>
  <c r="L168" i="13"/>
  <c r="M168" i="13"/>
  <c r="N168" i="13"/>
  <c r="O168" i="13"/>
  <c r="Q168" i="13"/>
  <c r="R168" i="13"/>
  <c r="S168" i="13"/>
  <c r="T168" i="13"/>
  <c r="U168" i="13"/>
  <c r="V168" i="13"/>
  <c r="X168" i="13"/>
  <c r="Y168" i="13"/>
  <c r="Z168" i="13"/>
  <c r="AA168" i="13"/>
  <c r="AB168" i="13"/>
  <c r="AC168" i="13"/>
  <c r="AE168" i="13"/>
  <c r="AF168" i="13"/>
  <c r="AG168" i="13"/>
  <c r="AH168" i="13"/>
  <c r="AI168" i="13"/>
  <c r="AJ168" i="13"/>
  <c r="AL168" i="13"/>
  <c r="AM168" i="13"/>
  <c r="AN168" i="13"/>
  <c r="AO168" i="13"/>
  <c r="AP168" i="13"/>
  <c r="AQ168" i="13"/>
  <c r="A169" i="13"/>
  <c r="B169" i="13"/>
  <c r="C169" i="13"/>
  <c r="D169" i="13"/>
  <c r="E169" i="13"/>
  <c r="AU169" i="13" s="1"/>
  <c r="F169" i="13"/>
  <c r="G169" i="13"/>
  <c r="H169" i="13"/>
  <c r="I169" i="13"/>
  <c r="J169" i="13"/>
  <c r="K169" i="13"/>
  <c r="L169" i="13"/>
  <c r="M169" i="13"/>
  <c r="N169" i="13"/>
  <c r="O169" i="13"/>
  <c r="Q169" i="13"/>
  <c r="R169" i="13"/>
  <c r="S169" i="13"/>
  <c r="T169" i="13"/>
  <c r="U169" i="13"/>
  <c r="V169" i="13"/>
  <c r="X169" i="13"/>
  <c r="Y169" i="13"/>
  <c r="Z169" i="13"/>
  <c r="AA169" i="13"/>
  <c r="AB169" i="13"/>
  <c r="AC169" i="13"/>
  <c r="AE169" i="13"/>
  <c r="AF169" i="13"/>
  <c r="AG169" i="13"/>
  <c r="AH169" i="13"/>
  <c r="AI169" i="13"/>
  <c r="AJ169" i="13"/>
  <c r="AL169" i="13"/>
  <c r="AM169" i="13"/>
  <c r="AN169" i="13"/>
  <c r="AO169" i="13"/>
  <c r="AP169" i="13"/>
  <c r="AQ169" i="13"/>
  <c r="A170" i="13"/>
  <c r="B170" i="13"/>
  <c r="C170" i="13"/>
  <c r="D170" i="13"/>
  <c r="E170" i="13"/>
  <c r="AT170" i="13" s="1"/>
  <c r="F170" i="13"/>
  <c r="G170" i="13"/>
  <c r="H170" i="13"/>
  <c r="I170" i="13"/>
  <c r="J170" i="13"/>
  <c r="K170" i="13"/>
  <c r="L170" i="13"/>
  <c r="M170" i="13"/>
  <c r="N170" i="13"/>
  <c r="O170" i="13"/>
  <c r="Q170" i="13"/>
  <c r="R170" i="13"/>
  <c r="S170" i="13"/>
  <c r="T170" i="13"/>
  <c r="U170" i="13"/>
  <c r="V170" i="13"/>
  <c r="X170" i="13"/>
  <c r="Y170" i="13"/>
  <c r="Z170" i="13"/>
  <c r="AA170" i="13"/>
  <c r="AB170" i="13"/>
  <c r="AC170" i="13"/>
  <c r="AE170" i="13"/>
  <c r="AF170" i="13"/>
  <c r="AG170" i="13"/>
  <c r="AH170" i="13"/>
  <c r="AI170" i="13"/>
  <c r="AJ170" i="13"/>
  <c r="AL170" i="13"/>
  <c r="AM170" i="13"/>
  <c r="AN170" i="13"/>
  <c r="AO170" i="13"/>
  <c r="AP170" i="13"/>
  <c r="AQ170" i="13"/>
  <c r="A171" i="13"/>
  <c r="B171" i="13"/>
  <c r="C171" i="13"/>
  <c r="D171" i="13"/>
  <c r="E171" i="13"/>
  <c r="AT171" i="13" s="1"/>
  <c r="F171" i="13"/>
  <c r="AW171" i="13" s="1"/>
  <c r="G171" i="13"/>
  <c r="H171" i="13"/>
  <c r="I171" i="13"/>
  <c r="J171" i="13"/>
  <c r="K171" i="13"/>
  <c r="L171" i="13"/>
  <c r="M171" i="13"/>
  <c r="N171" i="13"/>
  <c r="O171" i="13"/>
  <c r="Q171" i="13"/>
  <c r="R171" i="13"/>
  <c r="S171" i="13"/>
  <c r="T171" i="13"/>
  <c r="U171" i="13"/>
  <c r="V171" i="13"/>
  <c r="X171" i="13"/>
  <c r="Y171" i="13"/>
  <c r="Z171" i="13"/>
  <c r="AA171" i="13"/>
  <c r="AB171" i="13"/>
  <c r="AC171" i="13"/>
  <c r="AE171" i="13"/>
  <c r="AF171" i="13"/>
  <c r="AG171" i="13"/>
  <c r="AH171" i="13"/>
  <c r="AI171" i="13"/>
  <c r="AJ171" i="13"/>
  <c r="AL171" i="13"/>
  <c r="AM171" i="13"/>
  <c r="AN171" i="13"/>
  <c r="AO171" i="13"/>
  <c r="AP171" i="13"/>
  <c r="AQ171" i="13"/>
  <c r="A172" i="13"/>
  <c r="B172" i="13"/>
  <c r="C172" i="13"/>
  <c r="D172" i="13"/>
  <c r="E172" i="13"/>
  <c r="AU172" i="13" s="1"/>
  <c r="F172" i="13"/>
  <c r="G172" i="13"/>
  <c r="H172" i="13"/>
  <c r="I172" i="13"/>
  <c r="J172" i="13"/>
  <c r="K172" i="13"/>
  <c r="L172" i="13"/>
  <c r="M172" i="13"/>
  <c r="N172" i="13"/>
  <c r="O172" i="13"/>
  <c r="Q172" i="13"/>
  <c r="R172" i="13"/>
  <c r="S172" i="13"/>
  <c r="T172" i="13"/>
  <c r="U172" i="13"/>
  <c r="V172" i="13"/>
  <c r="X172" i="13"/>
  <c r="Y172" i="13"/>
  <c r="Z172" i="13"/>
  <c r="AA172" i="13"/>
  <c r="AB172" i="13"/>
  <c r="AC172" i="13"/>
  <c r="AE172" i="13"/>
  <c r="AF172" i="13"/>
  <c r="AG172" i="13"/>
  <c r="AH172" i="13"/>
  <c r="AI172" i="13"/>
  <c r="AJ172" i="13"/>
  <c r="AL172" i="13"/>
  <c r="AM172" i="13"/>
  <c r="AN172" i="13"/>
  <c r="AO172" i="13"/>
  <c r="AP172" i="13"/>
  <c r="AQ172" i="13"/>
  <c r="A173" i="13"/>
  <c r="B173" i="13"/>
  <c r="C173" i="13"/>
  <c r="D173" i="13"/>
  <c r="E173" i="13"/>
  <c r="AT173" i="13" s="1"/>
  <c r="F173" i="13"/>
  <c r="G173" i="13"/>
  <c r="H173" i="13"/>
  <c r="I173" i="13"/>
  <c r="J173" i="13"/>
  <c r="K173" i="13"/>
  <c r="L173" i="13"/>
  <c r="M173" i="13"/>
  <c r="N173" i="13"/>
  <c r="O173" i="13"/>
  <c r="Q173" i="13"/>
  <c r="R173" i="13"/>
  <c r="S173" i="13"/>
  <c r="T173" i="13"/>
  <c r="U173" i="13"/>
  <c r="V173" i="13"/>
  <c r="X173" i="13"/>
  <c r="Y173" i="13"/>
  <c r="Z173" i="13"/>
  <c r="AA173" i="13"/>
  <c r="AB173" i="13"/>
  <c r="AC173" i="13"/>
  <c r="AE173" i="13"/>
  <c r="AF173" i="13"/>
  <c r="AG173" i="13"/>
  <c r="AH173" i="13"/>
  <c r="AI173" i="13"/>
  <c r="AJ173" i="13"/>
  <c r="AL173" i="13"/>
  <c r="AM173" i="13"/>
  <c r="AN173" i="13"/>
  <c r="AO173" i="13"/>
  <c r="AP173" i="13"/>
  <c r="AQ173" i="13"/>
  <c r="A174" i="13"/>
  <c r="B174" i="13"/>
  <c r="C174" i="13"/>
  <c r="D174" i="13"/>
  <c r="E174" i="13"/>
  <c r="F174" i="13"/>
  <c r="G174" i="13"/>
  <c r="H174" i="13"/>
  <c r="I174" i="13"/>
  <c r="J174" i="13"/>
  <c r="K174" i="13"/>
  <c r="L174" i="13"/>
  <c r="M174" i="13"/>
  <c r="N174" i="13"/>
  <c r="O174" i="13"/>
  <c r="Q174" i="13"/>
  <c r="R174" i="13"/>
  <c r="S174" i="13"/>
  <c r="T174" i="13"/>
  <c r="U174" i="13"/>
  <c r="V174" i="13"/>
  <c r="X174" i="13"/>
  <c r="Y174" i="13"/>
  <c r="Z174" i="13"/>
  <c r="AA174" i="13"/>
  <c r="AB174" i="13"/>
  <c r="AC174" i="13"/>
  <c r="AE174" i="13"/>
  <c r="AF174" i="13"/>
  <c r="AG174" i="13"/>
  <c r="AH174" i="13"/>
  <c r="AI174" i="13"/>
  <c r="AJ174" i="13"/>
  <c r="AL174" i="13"/>
  <c r="AM174" i="13"/>
  <c r="AN174" i="13"/>
  <c r="AO174" i="13"/>
  <c r="AP174" i="13"/>
  <c r="AQ174" i="13"/>
  <c r="A175" i="13"/>
  <c r="B175" i="13"/>
  <c r="C175" i="13"/>
  <c r="D175" i="13"/>
  <c r="E175" i="13"/>
  <c r="AT175" i="13" s="1"/>
  <c r="F175" i="13"/>
  <c r="AW175" i="13" s="1"/>
  <c r="G175" i="13"/>
  <c r="H175" i="13"/>
  <c r="I175" i="13"/>
  <c r="J175" i="13"/>
  <c r="K175" i="13"/>
  <c r="L175" i="13"/>
  <c r="M175" i="13"/>
  <c r="N175" i="13"/>
  <c r="O175" i="13"/>
  <c r="Q175" i="13"/>
  <c r="R175" i="13"/>
  <c r="S175" i="13"/>
  <c r="T175" i="13"/>
  <c r="U175" i="13"/>
  <c r="V175" i="13"/>
  <c r="X175" i="13"/>
  <c r="Y175" i="13"/>
  <c r="Z175" i="13"/>
  <c r="AA175" i="13"/>
  <c r="AB175" i="13"/>
  <c r="AC175" i="13"/>
  <c r="AE175" i="13"/>
  <c r="AF175" i="13"/>
  <c r="AG175" i="13"/>
  <c r="AH175" i="13"/>
  <c r="AI175" i="13"/>
  <c r="AJ175" i="13"/>
  <c r="AL175" i="13"/>
  <c r="AM175" i="13"/>
  <c r="AN175" i="13"/>
  <c r="AO175" i="13"/>
  <c r="AP175" i="13"/>
  <c r="AQ175" i="13"/>
  <c r="A176" i="13"/>
  <c r="B176" i="13"/>
  <c r="C176" i="13"/>
  <c r="D176" i="13"/>
  <c r="E176" i="13"/>
  <c r="AT176" i="13" s="1"/>
  <c r="F176" i="13"/>
  <c r="G176" i="13"/>
  <c r="H176" i="13"/>
  <c r="I176" i="13"/>
  <c r="J176" i="13"/>
  <c r="K176" i="13"/>
  <c r="L176" i="13"/>
  <c r="M176" i="13"/>
  <c r="N176" i="13"/>
  <c r="O176" i="13"/>
  <c r="Q176" i="13"/>
  <c r="R176" i="13"/>
  <c r="S176" i="13"/>
  <c r="T176" i="13"/>
  <c r="U176" i="13"/>
  <c r="V176" i="13"/>
  <c r="X176" i="13"/>
  <c r="Y176" i="13"/>
  <c r="Z176" i="13"/>
  <c r="AA176" i="13"/>
  <c r="AB176" i="13"/>
  <c r="AC176" i="13"/>
  <c r="AE176" i="13"/>
  <c r="AK176" i="13" s="1"/>
  <c r="AF176" i="13"/>
  <c r="AG176" i="13"/>
  <c r="AH176" i="13"/>
  <c r="AI176" i="13"/>
  <c r="AJ176" i="13"/>
  <c r="AL176" i="13"/>
  <c r="AM176" i="13"/>
  <c r="AN176" i="13"/>
  <c r="AO176" i="13"/>
  <c r="AP176" i="13"/>
  <c r="AQ176" i="13"/>
  <c r="AU176" i="13"/>
  <c r="AW176" i="13"/>
  <c r="A177" i="13"/>
  <c r="B177" i="13"/>
  <c r="C177" i="13"/>
  <c r="D177" i="13"/>
  <c r="E177" i="13"/>
  <c r="AT177" i="13" s="1"/>
  <c r="F177" i="13"/>
  <c r="AW177" i="13" s="1"/>
  <c r="G177" i="13"/>
  <c r="H177" i="13"/>
  <c r="I177" i="13"/>
  <c r="J177" i="13"/>
  <c r="K177" i="13"/>
  <c r="L177" i="13"/>
  <c r="M177" i="13"/>
  <c r="N177" i="13"/>
  <c r="O177" i="13"/>
  <c r="Q177" i="13"/>
  <c r="R177" i="13"/>
  <c r="S177" i="13"/>
  <c r="T177" i="13"/>
  <c r="U177" i="13"/>
  <c r="V177" i="13"/>
  <c r="X177" i="13"/>
  <c r="Y177" i="13"/>
  <c r="Z177" i="13"/>
  <c r="AA177" i="13"/>
  <c r="AB177" i="13"/>
  <c r="AC177" i="13"/>
  <c r="AE177" i="13"/>
  <c r="AF177" i="13"/>
  <c r="AG177" i="13"/>
  <c r="AH177" i="13"/>
  <c r="AI177" i="13"/>
  <c r="AJ177" i="13"/>
  <c r="AL177" i="13"/>
  <c r="AM177" i="13"/>
  <c r="AN177" i="13"/>
  <c r="AO177" i="13"/>
  <c r="AP177" i="13"/>
  <c r="AQ177" i="13"/>
  <c r="A178" i="13"/>
  <c r="B178" i="13"/>
  <c r="C178" i="13"/>
  <c r="D178" i="13"/>
  <c r="E178" i="13"/>
  <c r="AU178" i="13" s="1"/>
  <c r="F178" i="13"/>
  <c r="AW178" i="13" s="1"/>
  <c r="G178" i="13"/>
  <c r="H178" i="13"/>
  <c r="I178" i="13"/>
  <c r="J178" i="13"/>
  <c r="P178" i="13" s="1"/>
  <c r="K178" i="13"/>
  <c r="L178" i="13"/>
  <c r="M178" i="13"/>
  <c r="N178" i="13"/>
  <c r="O178" i="13"/>
  <c r="Q178" i="13"/>
  <c r="R178" i="13"/>
  <c r="S178" i="13"/>
  <c r="T178" i="13"/>
  <c r="U178" i="13"/>
  <c r="V178" i="13"/>
  <c r="X178" i="13"/>
  <c r="Y178" i="13"/>
  <c r="Z178" i="13"/>
  <c r="AA178" i="13"/>
  <c r="AB178" i="13"/>
  <c r="AC178" i="13"/>
  <c r="AE178" i="13"/>
  <c r="AF178" i="13"/>
  <c r="AG178" i="13"/>
  <c r="AH178" i="13"/>
  <c r="AI178" i="13"/>
  <c r="AJ178" i="13"/>
  <c r="AL178" i="13"/>
  <c r="AM178" i="13"/>
  <c r="AN178" i="13"/>
  <c r="AO178" i="13"/>
  <c r="AP178" i="13"/>
  <c r="AQ178" i="13"/>
  <c r="AT178" i="13"/>
  <c r="A179" i="13"/>
  <c r="B179" i="13"/>
  <c r="C179" i="13"/>
  <c r="D179" i="13"/>
  <c r="E179" i="13"/>
  <c r="F179" i="13"/>
  <c r="G179" i="13"/>
  <c r="H179" i="13"/>
  <c r="I179" i="13"/>
  <c r="J179" i="13"/>
  <c r="K179" i="13"/>
  <c r="L179" i="13"/>
  <c r="M179" i="13"/>
  <c r="P179" i="13" s="1"/>
  <c r="N179" i="13"/>
  <c r="O179" i="13"/>
  <c r="Q179" i="13"/>
  <c r="R179" i="13"/>
  <c r="S179" i="13"/>
  <c r="T179" i="13"/>
  <c r="U179" i="13"/>
  <c r="V179" i="13"/>
  <c r="X179" i="13"/>
  <c r="Y179" i="13"/>
  <c r="Z179" i="13"/>
  <c r="AA179" i="13"/>
  <c r="AB179" i="13"/>
  <c r="AC179" i="13"/>
  <c r="AE179" i="13"/>
  <c r="AF179" i="13"/>
  <c r="AG179" i="13"/>
  <c r="AH179" i="13"/>
  <c r="AI179" i="13"/>
  <c r="AJ179" i="13"/>
  <c r="AL179" i="13"/>
  <c r="AM179" i="13"/>
  <c r="AN179" i="13"/>
  <c r="AO179" i="13"/>
  <c r="AP179" i="13"/>
  <c r="AQ179" i="13"/>
  <c r="A180" i="13"/>
  <c r="B180" i="13"/>
  <c r="C180" i="13"/>
  <c r="D180" i="13"/>
  <c r="E180" i="13"/>
  <c r="AT180" i="13" s="1"/>
  <c r="F180" i="13"/>
  <c r="AW180" i="13" s="1"/>
  <c r="G180" i="13"/>
  <c r="H180" i="13"/>
  <c r="I180" i="13"/>
  <c r="J180" i="13"/>
  <c r="K180" i="13"/>
  <c r="L180" i="13"/>
  <c r="M180" i="13"/>
  <c r="N180" i="13"/>
  <c r="O180" i="13"/>
  <c r="Q180" i="13"/>
  <c r="R180" i="13"/>
  <c r="S180" i="13"/>
  <c r="T180" i="13"/>
  <c r="U180" i="13"/>
  <c r="V180" i="13"/>
  <c r="W180" i="13"/>
  <c r="X180" i="13"/>
  <c r="AD180" i="13" s="1"/>
  <c r="Y180" i="13"/>
  <c r="Z180" i="13"/>
  <c r="AA180" i="13"/>
  <c r="AB180" i="13"/>
  <c r="AC180" i="13"/>
  <c r="AE180" i="13"/>
  <c r="AF180" i="13"/>
  <c r="AG180" i="13"/>
  <c r="AH180" i="13"/>
  <c r="AI180" i="13"/>
  <c r="AJ180" i="13"/>
  <c r="AL180" i="13"/>
  <c r="AM180" i="13"/>
  <c r="AN180" i="13"/>
  <c r="AO180" i="13"/>
  <c r="AR180" i="13" s="1"/>
  <c r="AS180" i="13" s="1"/>
  <c r="AP180" i="13"/>
  <c r="AQ180" i="13"/>
  <c r="A181" i="13"/>
  <c r="B181" i="13"/>
  <c r="C181" i="13"/>
  <c r="D181" i="13"/>
  <c r="E181" i="13"/>
  <c r="F181" i="13"/>
  <c r="G181" i="13"/>
  <c r="H181" i="13"/>
  <c r="I181" i="13"/>
  <c r="J181" i="13"/>
  <c r="K181" i="13"/>
  <c r="L181" i="13"/>
  <c r="M181" i="13"/>
  <c r="N181" i="13"/>
  <c r="O181" i="13"/>
  <c r="Q181" i="13"/>
  <c r="R181" i="13"/>
  <c r="S181" i="13"/>
  <c r="T181" i="13"/>
  <c r="U181" i="13"/>
  <c r="V181" i="13"/>
  <c r="X181" i="13"/>
  <c r="Y181" i="13"/>
  <c r="Z181" i="13"/>
  <c r="AA181" i="13"/>
  <c r="AB181" i="13"/>
  <c r="AC181" i="13"/>
  <c r="AE181" i="13"/>
  <c r="AF181" i="13"/>
  <c r="AK181" i="13" s="1"/>
  <c r="AG181" i="13"/>
  <c r="AH181" i="13"/>
  <c r="AI181" i="13"/>
  <c r="AJ181" i="13"/>
  <c r="AL181" i="13"/>
  <c r="AM181" i="13"/>
  <c r="AN181" i="13"/>
  <c r="AO181" i="13"/>
  <c r="AP181" i="13"/>
  <c r="AQ181" i="13"/>
  <c r="A182" i="13"/>
  <c r="B182" i="13"/>
  <c r="C182" i="13"/>
  <c r="D182" i="13"/>
  <c r="E182" i="13"/>
  <c r="AT182" i="13" s="1"/>
  <c r="F182" i="13"/>
  <c r="G182" i="13"/>
  <c r="H182" i="13"/>
  <c r="I182" i="13"/>
  <c r="J182" i="13"/>
  <c r="K182" i="13"/>
  <c r="L182" i="13"/>
  <c r="M182" i="13"/>
  <c r="N182" i="13"/>
  <c r="O182" i="13"/>
  <c r="Q182" i="13"/>
  <c r="R182" i="13"/>
  <c r="W182" i="13" s="1"/>
  <c r="S182" i="13"/>
  <c r="T182" i="13"/>
  <c r="U182" i="13"/>
  <c r="V182" i="13"/>
  <c r="X182" i="13"/>
  <c r="Y182" i="13"/>
  <c r="Z182" i="13"/>
  <c r="AA182" i="13"/>
  <c r="AB182" i="13"/>
  <c r="AC182" i="13"/>
  <c r="AE182" i="13"/>
  <c r="AF182" i="13"/>
  <c r="AG182" i="13"/>
  <c r="AH182" i="13"/>
  <c r="AI182" i="13"/>
  <c r="AJ182" i="13"/>
  <c r="AL182" i="13"/>
  <c r="AM182" i="13"/>
  <c r="AN182" i="13"/>
  <c r="AO182" i="13"/>
  <c r="AP182" i="13"/>
  <c r="AQ182" i="13"/>
  <c r="AR182" i="13"/>
  <c r="AS182" i="13" s="1"/>
  <c r="A183" i="13"/>
  <c r="B183" i="13"/>
  <c r="C183" i="13"/>
  <c r="D183" i="13"/>
  <c r="E183" i="13"/>
  <c r="AT183" i="13" s="1"/>
  <c r="F183" i="13"/>
  <c r="G183" i="13"/>
  <c r="H183" i="13"/>
  <c r="I183" i="13"/>
  <c r="J183" i="13"/>
  <c r="K183" i="13"/>
  <c r="L183" i="13"/>
  <c r="M183" i="13"/>
  <c r="N183" i="13"/>
  <c r="O183" i="13"/>
  <c r="Q183" i="13"/>
  <c r="R183" i="13"/>
  <c r="S183" i="13"/>
  <c r="T183" i="13"/>
  <c r="U183" i="13"/>
  <c r="V183" i="13"/>
  <c r="X183" i="13"/>
  <c r="Y183" i="13"/>
  <c r="Z183" i="13"/>
  <c r="AA183" i="13"/>
  <c r="AD183" i="13" s="1"/>
  <c r="AB183" i="13"/>
  <c r="AC183" i="13"/>
  <c r="AE183" i="13"/>
  <c r="AF183" i="13"/>
  <c r="AG183" i="13"/>
  <c r="AH183" i="13"/>
  <c r="AI183" i="13"/>
  <c r="AJ183" i="13"/>
  <c r="AL183" i="13"/>
  <c r="AM183" i="13"/>
  <c r="AN183" i="13"/>
  <c r="AO183" i="13"/>
  <c r="AR183" i="13" s="1"/>
  <c r="AS183" i="13" s="1"/>
  <c r="AP183" i="13"/>
  <c r="AQ183" i="13"/>
  <c r="AU183" i="13"/>
  <c r="A184" i="13"/>
  <c r="B184" i="13"/>
  <c r="C184" i="13"/>
  <c r="D184" i="13"/>
  <c r="E184" i="13"/>
  <c r="F184" i="13"/>
  <c r="AW184" i="13" s="1"/>
  <c r="G184" i="13"/>
  <c r="H184" i="13"/>
  <c r="I184" i="13"/>
  <c r="J184" i="13"/>
  <c r="K184" i="13"/>
  <c r="L184" i="13"/>
  <c r="M184" i="13"/>
  <c r="N184" i="13"/>
  <c r="O184" i="13"/>
  <c r="Q184" i="13"/>
  <c r="R184" i="13"/>
  <c r="S184" i="13"/>
  <c r="T184" i="13"/>
  <c r="U184" i="13"/>
  <c r="V184" i="13"/>
  <c r="X184" i="13"/>
  <c r="Y184" i="13"/>
  <c r="Z184" i="13"/>
  <c r="AA184" i="13"/>
  <c r="AB184" i="13"/>
  <c r="AC184" i="13"/>
  <c r="AE184" i="13"/>
  <c r="AF184" i="13"/>
  <c r="AG184" i="13"/>
  <c r="AH184" i="13"/>
  <c r="AI184" i="13"/>
  <c r="AJ184" i="13"/>
  <c r="AL184" i="13"/>
  <c r="AM184" i="13"/>
  <c r="AN184" i="13"/>
  <c r="AO184" i="13"/>
  <c r="AP184" i="13"/>
  <c r="AQ184" i="13"/>
  <c r="AT184" i="13"/>
  <c r="AU184" i="13"/>
  <c r="A185" i="13"/>
  <c r="B185" i="13"/>
  <c r="C185" i="13"/>
  <c r="D185" i="13"/>
  <c r="E185" i="13"/>
  <c r="AT185" i="13" s="1"/>
  <c r="F185" i="13"/>
  <c r="G185" i="13"/>
  <c r="H185" i="13"/>
  <c r="I185" i="13"/>
  <c r="J185" i="13"/>
  <c r="K185" i="13"/>
  <c r="L185" i="13"/>
  <c r="M185" i="13"/>
  <c r="N185" i="13"/>
  <c r="O185" i="13"/>
  <c r="Q185" i="13"/>
  <c r="R185" i="13"/>
  <c r="S185" i="13"/>
  <c r="T185" i="13"/>
  <c r="U185" i="13"/>
  <c r="V185" i="13"/>
  <c r="X185" i="13"/>
  <c r="Y185" i="13"/>
  <c r="Z185" i="13"/>
  <c r="AA185" i="13"/>
  <c r="AB185" i="13"/>
  <c r="AC185" i="13"/>
  <c r="AE185" i="13"/>
  <c r="AF185" i="13"/>
  <c r="AG185" i="13"/>
  <c r="AH185" i="13"/>
  <c r="AI185" i="13"/>
  <c r="AJ185" i="13"/>
  <c r="AL185" i="13"/>
  <c r="AM185" i="13"/>
  <c r="AN185" i="13"/>
  <c r="AO185" i="13"/>
  <c r="AP185" i="13"/>
  <c r="AQ185" i="13"/>
  <c r="A186" i="13"/>
  <c r="B186" i="13"/>
  <c r="C186" i="13"/>
  <c r="D186" i="13"/>
  <c r="E186" i="13"/>
  <c r="AT186" i="13" s="1"/>
  <c r="F186" i="13"/>
  <c r="AW186" i="13" s="1"/>
  <c r="G186" i="13"/>
  <c r="H186" i="13"/>
  <c r="I186" i="13"/>
  <c r="J186" i="13"/>
  <c r="K186" i="13"/>
  <c r="L186" i="13"/>
  <c r="M186" i="13"/>
  <c r="N186" i="13"/>
  <c r="O186" i="13"/>
  <c r="Q186" i="13"/>
  <c r="W186" i="13" s="1"/>
  <c r="R186" i="13"/>
  <c r="S186" i="13"/>
  <c r="T186" i="13"/>
  <c r="U186" i="13"/>
  <c r="V186" i="13"/>
  <c r="X186" i="13"/>
  <c r="Y186" i="13"/>
  <c r="Z186" i="13"/>
  <c r="AA186" i="13"/>
  <c r="AB186" i="13"/>
  <c r="AC186" i="13"/>
  <c r="AE186" i="13"/>
  <c r="AF186" i="13"/>
  <c r="AG186" i="13"/>
  <c r="AH186" i="13"/>
  <c r="AI186" i="13"/>
  <c r="AJ186" i="13"/>
  <c r="AL186" i="13"/>
  <c r="AM186" i="13"/>
  <c r="AN186" i="13"/>
  <c r="AO186" i="13"/>
  <c r="AP186" i="13"/>
  <c r="AQ186" i="13"/>
  <c r="AU186" i="13"/>
  <c r="A187" i="13"/>
  <c r="B187" i="13"/>
  <c r="C187" i="13"/>
  <c r="D187" i="13"/>
  <c r="E187" i="13"/>
  <c r="AU187" i="13" s="1"/>
  <c r="F187" i="13"/>
  <c r="AW187" i="13" s="1"/>
  <c r="G187" i="13"/>
  <c r="H187" i="13"/>
  <c r="I187" i="13"/>
  <c r="J187" i="13"/>
  <c r="K187" i="13"/>
  <c r="L187" i="13"/>
  <c r="M187" i="13"/>
  <c r="N187" i="13"/>
  <c r="O187" i="13"/>
  <c r="Q187" i="13"/>
  <c r="R187" i="13"/>
  <c r="S187" i="13"/>
  <c r="T187" i="13"/>
  <c r="U187" i="13"/>
  <c r="V187" i="13"/>
  <c r="X187" i="13"/>
  <c r="Y187" i="13"/>
  <c r="Z187" i="13"/>
  <c r="AA187" i="13"/>
  <c r="AB187" i="13"/>
  <c r="AC187" i="13"/>
  <c r="AE187" i="13"/>
  <c r="AF187" i="13"/>
  <c r="AG187" i="13"/>
  <c r="AH187" i="13"/>
  <c r="AI187" i="13"/>
  <c r="AJ187" i="13"/>
  <c r="AL187" i="13"/>
  <c r="AM187" i="13"/>
  <c r="AN187" i="13"/>
  <c r="AO187" i="13"/>
  <c r="AP187" i="13"/>
  <c r="AQ187" i="13"/>
  <c r="AT187" i="13"/>
  <c r="A188" i="13"/>
  <c r="B188" i="13"/>
  <c r="C188" i="13"/>
  <c r="D188" i="13"/>
  <c r="E188" i="13"/>
  <c r="F188" i="13"/>
  <c r="G188" i="13"/>
  <c r="H188" i="13"/>
  <c r="I188" i="13"/>
  <c r="J188" i="13"/>
  <c r="K188" i="13"/>
  <c r="L188" i="13"/>
  <c r="M188" i="13"/>
  <c r="N188" i="13"/>
  <c r="O188" i="13"/>
  <c r="Q188" i="13"/>
  <c r="R188" i="13"/>
  <c r="S188" i="13"/>
  <c r="T188" i="13"/>
  <c r="U188" i="13"/>
  <c r="V188" i="13"/>
  <c r="X188" i="13"/>
  <c r="Y188" i="13"/>
  <c r="Z188" i="13"/>
  <c r="AA188" i="13"/>
  <c r="AB188" i="13"/>
  <c r="AC188" i="13"/>
  <c r="AE188" i="13"/>
  <c r="AF188" i="13"/>
  <c r="AK188" i="13" s="1"/>
  <c r="AG188" i="13"/>
  <c r="AH188" i="13"/>
  <c r="AI188" i="13"/>
  <c r="AJ188" i="13"/>
  <c r="AL188" i="13"/>
  <c r="AM188" i="13"/>
  <c r="AN188" i="13"/>
  <c r="AO188" i="13"/>
  <c r="AP188" i="13"/>
  <c r="AQ188" i="13"/>
  <c r="A189" i="13"/>
  <c r="B189" i="13"/>
  <c r="C189" i="13"/>
  <c r="D189" i="13"/>
  <c r="E189" i="13"/>
  <c r="F189" i="13"/>
  <c r="AW189" i="13" s="1"/>
  <c r="G189" i="13"/>
  <c r="H189" i="13"/>
  <c r="I189" i="13"/>
  <c r="J189" i="13"/>
  <c r="K189" i="13"/>
  <c r="L189" i="13"/>
  <c r="M189" i="13"/>
  <c r="N189" i="13"/>
  <c r="O189" i="13"/>
  <c r="Q189" i="13"/>
  <c r="R189" i="13"/>
  <c r="S189" i="13"/>
  <c r="T189" i="13"/>
  <c r="U189" i="13"/>
  <c r="V189" i="13"/>
  <c r="X189" i="13"/>
  <c r="Y189" i="13"/>
  <c r="Z189" i="13"/>
  <c r="AA189" i="13"/>
  <c r="AB189" i="13"/>
  <c r="AC189" i="13"/>
  <c r="AD189" i="13"/>
  <c r="AE189" i="13"/>
  <c r="AF189" i="13"/>
  <c r="AG189" i="13"/>
  <c r="AH189" i="13"/>
  <c r="AI189" i="13"/>
  <c r="AJ189" i="13"/>
  <c r="AL189" i="13"/>
  <c r="AM189" i="13"/>
  <c r="AN189" i="13"/>
  <c r="AO189" i="13"/>
  <c r="AP189" i="13"/>
  <c r="AQ189" i="13"/>
  <c r="A190" i="13"/>
  <c r="B190" i="13"/>
  <c r="C190" i="13"/>
  <c r="D190" i="13"/>
  <c r="E190" i="13"/>
  <c r="F190" i="13"/>
  <c r="G190" i="13"/>
  <c r="H190" i="13"/>
  <c r="I190" i="13"/>
  <c r="J190" i="13"/>
  <c r="K190" i="13"/>
  <c r="L190" i="13"/>
  <c r="M190" i="13"/>
  <c r="N190" i="13"/>
  <c r="O190" i="13"/>
  <c r="Q190" i="13"/>
  <c r="R190" i="13"/>
  <c r="S190" i="13"/>
  <c r="T190" i="13"/>
  <c r="U190" i="13"/>
  <c r="V190" i="13"/>
  <c r="X190" i="13"/>
  <c r="Y190" i="13"/>
  <c r="Z190" i="13"/>
  <c r="AA190" i="13"/>
  <c r="AB190" i="13"/>
  <c r="AC190" i="13"/>
  <c r="AE190" i="13"/>
  <c r="AF190" i="13"/>
  <c r="AG190" i="13"/>
  <c r="AH190" i="13"/>
  <c r="AI190" i="13"/>
  <c r="AJ190" i="13"/>
  <c r="AL190" i="13"/>
  <c r="AM190" i="13"/>
  <c r="AN190" i="13"/>
  <c r="AO190" i="13"/>
  <c r="AP190" i="13"/>
  <c r="AQ190" i="13"/>
  <c r="AT190" i="13"/>
  <c r="AU190" i="13"/>
  <c r="AW190" i="13"/>
  <c r="A191" i="13"/>
  <c r="B191" i="13"/>
  <c r="C191" i="13"/>
  <c r="D191" i="13"/>
  <c r="E191" i="13"/>
  <c r="AT191" i="13" s="1"/>
  <c r="F191" i="13"/>
  <c r="G191" i="13"/>
  <c r="H191" i="13"/>
  <c r="I191" i="13"/>
  <c r="J191" i="13"/>
  <c r="K191" i="13"/>
  <c r="L191" i="13"/>
  <c r="M191" i="13"/>
  <c r="N191" i="13"/>
  <c r="O191" i="13"/>
  <c r="Q191" i="13"/>
  <c r="W191" i="13" s="1"/>
  <c r="R191" i="13"/>
  <c r="S191" i="13"/>
  <c r="T191" i="13"/>
  <c r="U191" i="13"/>
  <c r="V191" i="13"/>
  <c r="X191" i="13"/>
  <c r="Y191" i="13"/>
  <c r="Z191" i="13"/>
  <c r="AA191" i="13"/>
  <c r="AB191" i="13"/>
  <c r="AC191" i="13"/>
  <c r="AE191" i="13"/>
  <c r="AF191" i="13"/>
  <c r="AG191" i="13"/>
  <c r="AH191" i="13"/>
  <c r="AI191" i="13"/>
  <c r="AJ191" i="13"/>
  <c r="AL191" i="13"/>
  <c r="AM191" i="13"/>
  <c r="AN191" i="13"/>
  <c r="AO191" i="13"/>
  <c r="AP191" i="13"/>
  <c r="AQ191" i="13"/>
  <c r="AU191" i="13"/>
  <c r="A192" i="13"/>
  <c r="B192" i="13"/>
  <c r="C192" i="13"/>
  <c r="D192" i="13"/>
  <c r="E192" i="13"/>
  <c r="AT192" i="13" s="1"/>
  <c r="F192" i="13"/>
  <c r="AW192" i="13" s="1"/>
  <c r="G192" i="13"/>
  <c r="H192" i="13"/>
  <c r="I192" i="13"/>
  <c r="J192" i="13"/>
  <c r="K192" i="13"/>
  <c r="L192" i="13"/>
  <c r="M192" i="13"/>
  <c r="N192" i="13"/>
  <c r="O192" i="13"/>
  <c r="Q192" i="13"/>
  <c r="R192" i="13"/>
  <c r="S192" i="13"/>
  <c r="T192" i="13"/>
  <c r="U192" i="13"/>
  <c r="V192" i="13"/>
  <c r="X192" i="13"/>
  <c r="Y192" i="13"/>
  <c r="Z192" i="13"/>
  <c r="AA192" i="13"/>
  <c r="AB192" i="13"/>
  <c r="AC192" i="13"/>
  <c r="AE192" i="13"/>
  <c r="AF192" i="13"/>
  <c r="AG192" i="13"/>
  <c r="AH192" i="13"/>
  <c r="AI192" i="13"/>
  <c r="AJ192" i="13"/>
  <c r="AL192" i="13"/>
  <c r="AM192" i="13"/>
  <c r="AN192" i="13"/>
  <c r="AO192" i="13"/>
  <c r="AP192" i="13"/>
  <c r="AQ192" i="13"/>
  <c r="A193" i="13"/>
  <c r="B193" i="13"/>
  <c r="C193" i="13"/>
  <c r="D193" i="13"/>
  <c r="E193" i="13"/>
  <c r="AT193" i="13" s="1"/>
  <c r="F193" i="13"/>
  <c r="G193" i="13"/>
  <c r="H193" i="13"/>
  <c r="I193" i="13"/>
  <c r="J193" i="13"/>
  <c r="K193" i="13"/>
  <c r="L193" i="13"/>
  <c r="M193" i="13"/>
  <c r="N193" i="13"/>
  <c r="O193" i="13"/>
  <c r="Q193" i="13"/>
  <c r="R193" i="13"/>
  <c r="S193" i="13"/>
  <c r="T193" i="13"/>
  <c r="U193" i="13"/>
  <c r="V193" i="13"/>
  <c r="X193" i="13"/>
  <c r="Y193" i="13"/>
  <c r="Z193" i="13"/>
  <c r="AA193" i="13"/>
  <c r="AB193" i="13"/>
  <c r="AC193" i="13"/>
  <c r="AE193" i="13"/>
  <c r="AF193" i="13"/>
  <c r="AG193" i="13"/>
  <c r="AH193" i="13"/>
  <c r="AI193" i="13"/>
  <c r="AJ193" i="13"/>
  <c r="AL193" i="13"/>
  <c r="AM193" i="13"/>
  <c r="AN193" i="13"/>
  <c r="AO193" i="13"/>
  <c r="AP193" i="13"/>
  <c r="AQ193" i="13"/>
  <c r="AW193" i="13"/>
  <c r="A194" i="13"/>
  <c r="B194" i="13"/>
  <c r="C194" i="13"/>
  <c r="D194" i="13"/>
  <c r="E194" i="13"/>
  <c r="AT194" i="13" s="1"/>
  <c r="F194" i="13"/>
  <c r="G194" i="13"/>
  <c r="H194" i="13"/>
  <c r="I194" i="13"/>
  <c r="J194" i="13"/>
  <c r="K194" i="13"/>
  <c r="L194" i="13"/>
  <c r="M194" i="13"/>
  <c r="N194" i="13"/>
  <c r="O194" i="13"/>
  <c r="Q194" i="13"/>
  <c r="R194" i="13"/>
  <c r="S194" i="13"/>
  <c r="T194" i="13"/>
  <c r="U194" i="13"/>
  <c r="V194" i="13"/>
  <c r="X194" i="13"/>
  <c r="Y194" i="13"/>
  <c r="Z194" i="13"/>
  <c r="AA194" i="13"/>
  <c r="AB194" i="13"/>
  <c r="AC194" i="13"/>
  <c r="AE194" i="13"/>
  <c r="AF194" i="13"/>
  <c r="AG194" i="13"/>
  <c r="AH194" i="13"/>
  <c r="AI194" i="13"/>
  <c r="AJ194" i="13"/>
  <c r="AL194" i="13"/>
  <c r="AM194" i="13"/>
  <c r="AN194" i="13"/>
  <c r="AO194" i="13"/>
  <c r="AP194" i="13"/>
  <c r="AQ194" i="13"/>
  <c r="AU194" i="13"/>
  <c r="AW194" i="13"/>
  <c r="A195" i="13"/>
  <c r="B195" i="13"/>
  <c r="C195" i="13"/>
  <c r="D195" i="13"/>
  <c r="E195" i="13"/>
  <c r="F195" i="13"/>
  <c r="AW195" i="13" s="1"/>
  <c r="G195" i="13"/>
  <c r="H195" i="13"/>
  <c r="I195" i="13"/>
  <c r="J195" i="13"/>
  <c r="K195" i="13"/>
  <c r="L195" i="13"/>
  <c r="M195" i="13"/>
  <c r="N195" i="13"/>
  <c r="O195" i="13"/>
  <c r="Q195" i="13"/>
  <c r="R195" i="13"/>
  <c r="S195" i="13"/>
  <c r="T195" i="13"/>
  <c r="U195" i="13"/>
  <c r="V195" i="13"/>
  <c r="X195" i="13"/>
  <c r="Y195" i="13"/>
  <c r="Z195" i="13"/>
  <c r="AA195" i="13"/>
  <c r="AB195" i="13"/>
  <c r="AC195" i="13"/>
  <c r="AE195" i="13"/>
  <c r="AF195" i="13"/>
  <c r="AG195" i="13"/>
  <c r="AH195" i="13"/>
  <c r="AI195" i="13"/>
  <c r="AJ195" i="13"/>
  <c r="AL195" i="13"/>
  <c r="AM195" i="13"/>
  <c r="AN195" i="13"/>
  <c r="AO195" i="13"/>
  <c r="AP195" i="13"/>
  <c r="AQ195" i="13"/>
  <c r="AT195" i="13"/>
  <c r="AU195" i="13"/>
  <c r="A196" i="13"/>
  <c r="B196" i="13"/>
  <c r="C196" i="13"/>
  <c r="D196" i="13"/>
  <c r="E196" i="13"/>
  <c r="AU196" i="13" s="1"/>
  <c r="F196" i="13"/>
  <c r="AW196" i="13" s="1"/>
  <c r="G196" i="13"/>
  <c r="H196" i="13"/>
  <c r="I196" i="13"/>
  <c r="J196" i="13"/>
  <c r="K196" i="13"/>
  <c r="L196" i="13"/>
  <c r="M196" i="13"/>
  <c r="N196" i="13"/>
  <c r="O196" i="13"/>
  <c r="P196" i="13"/>
  <c r="Q196" i="13"/>
  <c r="R196" i="13"/>
  <c r="S196" i="13"/>
  <c r="T196" i="13"/>
  <c r="U196" i="13"/>
  <c r="V196" i="13"/>
  <c r="X196" i="13"/>
  <c r="Y196" i="13"/>
  <c r="Z196" i="13"/>
  <c r="AA196" i="13"/>
  <c r="AB196" i="13"/>
  <c r="AC196" i="13"/>
  <c r="AE196" i="13"/>
  <c r="AF196" i="13"/>
  <c r="AG196" i="13"/>
  <c r="AH196" i="13"/>
  <c r="AI196" i="13"/>
  <c r="AJ196" i="13"/>
  <c r="AL196" i="13"/>
  <c r="AM196" i="13"/>
  <c r="AN196" i="13"/>
  <c r="AO196" i="13"/>
  <c r="AP196" i="13"/>
  <c r="AQ196" i="13"/>
  <c r="AT196" i="13"/>
  <c r="A197" i="13"/>
  <c r="B197" i="13"/>
  <c r="C197" i="13"/>
  <c r="D197" i="13"/>
  <c r="E197" i="13"/>
  <c r="F197" i="13"/>
  <c r="G197" i="13"/>
  <c r="H197" i="13"/>
  <c r="I197" i="13"/>
  <c r="J197" i="13"/>
  <c r="K197" i="13"/>
  <c r="L197" i="13"/>
  <c r="M197" i="13"/>
  <c r="N197" i="13"/>
  <c r="O197" i="13"/>
  <c r="Q197" i="13"/>
  <c r="R197" i="13"/>
  <c r="S197" i="13"/>
  <c r="T197" i="13"/>
  <c r="U197" i="13"/>
  <c r="V197" i="13"/>
  <c r="X197" i="13"/>
  <c r="Y197" i="13"/>
  <c r="Z197" i="13"/>
  <c r="AA197" i="13"/>
  <c r="AB197" i="13"/>
  <c r="AC197" i="13"/>
  <c r="AE197" i="13"/>
  <c r="AF197" i="13"/>
  <c r="AG197" i="13"/>
  <c r="AH197" i="13"/>
  <c r="AI197" i="13"/>
  <c r="AJ197" i="13"/>
  <c r="AL197" i="13"/>
  <c r="AM197" i="13"/>
  <c r="AN197" i="13"/>
  <c r="AO197" i="13"/>
  <c r="AP197" i="13"/>
  <c r="AQ197" i="13"/>
  <c r="A198" i="13"/>
  <c r="B198" i="13"/>
  <c r="C198" i="13"/>
  <c r="D198" i="13"/>
  <c r="E198" i="13"/>
  <c r="AU198" i="13" s="1"/>
  <c r="F198" i="13"/>
  <c r="G198" i="13"/>
  <c r="H198" i="13"/>
  <c r="I198" i="13"/>
  <c r="J198" i="13"/>
  <c r="K198" i="13"/>
  <c r="L198" i="13"/>
  <c r="M198" i="13"/>
  <c r="N198" i="13"/>
  <c r="O198" i="13"/>
  <c r="Q198" i="13"/>
  <c r="R198" i="13"/>
  <c r="S198" i="13"/>
  <c r="T198" i="13"/>
  <c r="U198" i="13"/>
  <c r="V198" i="13"/>
  <c r="X198" i="13"/>
  <c r="Y198" i="13"/>
  <c r="Z198" i="13"/>
  <c r="AA198" i="13"/>
  <c r="AB198" i="13"/>
  <c r="AC198" i="13"/>
  <c r="AE198" i="13"/>
  <c r="AF198" i="13"/>
  <c r="AG198" i="13"/>
  <c r="AH198" i="13"/>
  <c r="AI198" i="13"/>
  <c r="AJ198" i="13"/>
  <c r="AL198" i="13"/>
  <c r="AM198" i="13"/>
  <c r="AR198" i="13" s="1"/>
  <c r="AS198" i="13" s="1"/>
  <c r="AN198" i="13"/>
  <c r="AO198" i="13"/>
  <c r="AP198" i="13"/>
  <c r="AQ198" i="13"/>
  <c r="AT198" i="13"/>
  <c r="A199" i="13"/>
  <c r="B199" i="13"/>
  <c r="C199" i="13"/>
  <c r="D199" i="13"/>
  <c r="E199" i="13"/>
  <c r="F199" i="13"/>
  <c r="G199" i="13"/>
  <c r="H199" i="13"/>
  <c r="I199" i="13"/>
  <c r="J199" i="13"/>
  <c r="P199" i="13" s="1"/>
  <c r="K199" i="13"/>
  <c r="L199" i="13"/>
  <c r="M199" i="13"/>
  <c r="N199" i="13"/>
  <c r="O199" i="13"/>
  <c r="Q199" i="13"/>
  <c r="R199" i="13"/>
  <c r="S199" i="13"/>
  <c r="T199" i="13"/>
  <c r="U199" i="13"/>
  <c r="V199" i="13"/>
  <c r="X199" i="13"/>
  <c r="Y199" i="13"/>
  <c r="Z199" i="13"/>
  <c r="AA199" i="13"/>
  <c r="AB199" i="13"/>
  <c r="AC199" i="13"/>
  <c r="AE199" i="13"/>
  <c r="AF199" i="13"/>
  <c r="AG199" i="13"/>
  <c r="AH199" i="13"/>
  <c r="AI199" i="13"/>
  <c r="AJ199" i="13"/>
  <c r="AL199" i="13"/>
  <c r="AR199" i="13" s="1"/>
  <c r="AS199" i="13" s="1"/>
  <c r="AM199" i="13"/>
  <c r="AN199" i="13"/>
  <c r="AO199" i="13"/>
  <c r="AP199" i="13"/>
  <c r="AQ199" i="13"/>
  <c r="AT199" i="13"/>
  <c r="AU199" i="13"/>
  <c r="AW199" i="13"/>
  <c r="A200" i="13"/>
  <c r="B200" i="13"/>
  <c r="C200" i="13"/>
  <c r="D200" i="13"/>
  <c r="E200" i="13"/>
  <c r="AT200" i="13" s="1"/>
  <c r="F200" i="13"/>
  <c r="AW200" i="13" s="1"/>
  <c r="G200" i="13"/>
  <c r="H200" i="13"/>
  <c r="I200" i="13"/>
  <c r="J200" i="13"/>
  <c r="K200" i="13"/>
  <c r="L200" i="13"/>
  <c r="M200" i="13"/>
  <c r="N200" i="13"/>
  <c r="O200" i="13"/>
  <c r="Q200" i="13"/>
  <c r="R200" i="13"/>
  <c r="S200" i="13"/>
  <c r="T200" i="13"/>
  <c r="U200" i="13"/>
  <c r="V200" i="13"/>
  <c r="X200" i="13"/>
  <c r="Y200" i="13"/>
  <c r="Z200" i="13"/>
  <c r="AD200" i="13" s="1"/>
  <c r="AA200" i="13"/>
  <c r="AB200" i="13"/>
  <c r="AC200" i="13"/>
  <c r="AE200" i="13"/>
  <c r="AF200" i="13"/>
  <c r="AG200" i="13"/>
  <c r="AH200" i="13"/>
  <c r="AI200" i="13"/>
  <c r="AJ200" i="13"/>
  <c r="AL200" i="13"/>
  <c r="AM200" i="13"/>
  <c r="AN200" i="13"/>
  <c r="AO200" i="13"/>
  <c r="AP200" i="13"/>
  <c r="AQ200" i="13"/>
  <c r="AR200" i="13" s="1"/>
  <c r="AS200" i="13" s="1"/>
  <c r="AU200" i="13"/>
  <c r="A201" i="13"/>
  <c r="B201" i="13"/>
  <c r="C201" i="13"/>
  <c r="D201" i="13"/>
  <c r="E201" i="13"/>
  <c r="AT201" i="13" s="1"/>
  <c r="F201" i="13"/>
  <c r="AW201" i="13" s="1"/>
  <c r="G201" i="13"/>
  <c r="H201" i="13"/>
  <c r="I201" i="13"/>
  <c r="J201" i="13"/>
  <c r="K201" i="13"/>
  <c r="L201" i="13"/>
  <c r="M201" i="13"/>
  <c r="N201" i="13"/>
  <c r="O201" i="13"/>
  <c r="Q201" i="13"/>
  <c r="R201" i="13"/>
  <c r="S201" i="13"/>
  <c r="T201" i="13"/>
  <c r="U201" i="13"/>
  <c r="V201" i="13"/>
  <c r="W201" i="13"/>
  <c r="X201" i="13"/>
  <c r="AD201" i="13" s="1"/>
  <c r="Y201" i="13"/>
  <c r="Z201" i="13"/>
  <c r="AA201" i="13"/>
  <c r="AB201" i="13"/>
  <c r="AC201" i="13"/>
  <c r="AE201" i="13"/>
  <c r="AF201" i="13"/>
  <c r="AG201" i="13"/>
  <c r="AH201" i="13"/>
  <c r="AI201" i="13"/>
  <c r="AJ201" i="13"/>
  <c r="AL201" i="13"/>
  <c r="AM201" i="13"/>
  <c r="AN201" i="13"/>
  <c r="AO201" i="13"/>
  <c r="AP201" i="13"/>
  <c r="AQ201" i="13"/>
  <c r="A202" i="13"/>
  <c r="B202" i="13"/>
  <c r="C202" i="13"/>
  <c r="D202" i="13"/>
  <c r="E202" i="13"/>
  <c r="F202" i="13"/>
  <c r="G202" i="13"/>
  <c r="H202" i="13"/>
  <c r="I202" i="13"/>
  <c r="J202" i="13"/>
  <c r="K202" i="13"/>
  <c r="L202" i="13"/>
  <c r="M202" i="13"/>
  <c r="N202" i="13"/>
  <c r="O202" i="13"/>
  <c r="Q202" i="13"/>
  <c r="R202" i="13"/>
  <c r="S202" i="13"/>
  <c r="T202" i="13"/>
  <c r="U202" i="13"/>
  <c r="V202" i="13"/>
  <c r="X202" i="13"/>
  <c r="Y202" i="13"/>
  <c r="Z202" i="13"/>
  <c r="AA202" i="13"/>
  <c r="AB202" i="13"/>
  <c r="AC202" i="13"/>
  <c r="AE202" i="13"/>
  <c r="AF202" i="13"/>
  <c r="AG202" i="13"/>
  <c r="AH202" i="13"/>
  <c r="AI202" i="13"/>
  <c r="AJ202" i="13"/>
  <c r="AL202" i="13"/>
  <c r="AM202" i="13"/>
  <c r="AN202" i="13"/>
  <c r="AO202" i="13"/>
  <c r="AP202" i="13"/>
  <c r="AQ202" i="13"/>
  <c r="AT202" i="13"/>
  <c r="A203" i="13"/>
  <c r="B203" i="13"/>
  <c r="C203" i="13"/>
  <c r="D203" i="13"/>
  <c r="E203" i="13"/>
  <c r="AT203" i="13" s="1"/>
  <c r="F203" i="13"/>
  <c r="AW203" i="13" s="1"/>
  <c r="G203" i="13"/>
  <c r="H203" i="13"/>
  <c r="I203" i="13"/>
  <c r="J203" i="13"/>
  <c r="K203" i="13"/>
  <c r="L203" i="13"/>
  <c r="M203" i="13"/>
  <c r="N203" i="13"/>
  <c r="O203" i="13"/>
  <c r="Q203" i="13"/>
  <c r="R203" i="13"/>
  <c r="S203" i="13"/>
  <c r="T203" i="13"/>
  <c r="U203" i="13"/>
  <c r="V203" i="13"/>
  <c r="X203" i="13"/>
  <c r="Y203" i="13"/>
  <c r="Z203" i="13"/>
  <c r="AA203" i="13"/>
  <c r="AB203" i="13"/>
  <c r="AC203" i="13"/>
  <c r="AE203" i="13"/>
  <c r="AF203" i="13"/>
  <c r="AG203" i="13"/>
  <c r="AH203" i="13"/>
  <c r="AI203" i="13"/>
  <c r="AJ203" i="13"/>
  <c r="AL203" i="13"/>
  <c r="AM203" i="13"/>
  <c r="AN203" i="13"/>
  <c r="AO203" i="13"/>
  <c r="AP203" i="13"/>
  <c r="AQ203" i="13"/>
  <c r="AU203" i="13"/>
  <c r="A204" i="13"/>
  <c r="B204" i="13"/>
  <c r="C204" i="13"/>
  <c r="D204" i="13"/>
  <c r="E204" i="13"/>
  <c r="AU204" i="13" s="1"/>
  <c r="F204" i="13"/>
  <c r="G204" i="13"/>
  <c r="H204" i="13"/>
  <c r="I204" i="13"/>
  <c r="J204" i="13"/>
  <c r="K204" i="13"/>
  <c r="L204" i="13"/>
  <c r="M204" i="13"/>
  <c r="N204" i="13"/>
  <c r="O204" i="13"/>
  <c r="Q204" i="13"/>
  <c r="R204" i="13"/>
  <c r="S204" i="13"/>
  <c r="T204" i="13"/>
  <c r="U204" i="13"/>
  <c r="V204" i="13"/>
  <c r="X204" i="13"/>
  <c r="Y204" i="13"/>
  <c r="Z204" i="13"/>
  <c r="AA204" i="13"/>
  <c r="AB204" i="13"/>
  <c r="AC204" i="13"/>
  <c r="AE204" i="13"/>
  <c r="AF204" i="13"/>
  <c r="AG204" i="13"/>
  <c r="AH204" i="13"/>
  <c r="AI204" i="13"/>
  <c r="AJ204" i="13"/>
  <c r="AL204" i="13"/>
  <c r="AM204" i="13"/>
  <c r="AN204" i="13"/>
  <c r="AO204" i="13"/>
  <c r="AP204" i="13"/>
  <c r="AQ204" i="13"/>
  <c r="A205" i="13"/>
  <c r="B205" i="13"/>
  <c r="C205" i="13"/>
  <c r="D205" i="13"/>
  <c r="E205" i="13"/>
  <c r="AT205" i="13" s="1"/>
  <c r="F205" i="13"/>
  <c r="AW205" i="13" s="1"/>
  <c r="G205" i="13"/>
  <c r="H205" i="13"/>
  <c r="I205" i="13"/>
  <c r="J205" i="13"/>
  <c r="K205" i="13"/>
  <c r="L205" i="13"/>
  <c r="M205" i="13"/>
  <c r="N205" i="13"/>
  <c r="O205" i="13"/>
  <c r="Q205" i="13"/>
  <c r="R205" i="13"/>
  <c r="S205" i="13"/>
  <c r="T205" i="13"/>
  <c r="U205" i="13"/>
  <c r="V205" i="13"/>
  <c r="W205" i="13" s="1"/>
  <c r="X205" i="13"/>
  <c r="Y205" i="13"/>
  <c r="Z205" i="13"/>
  <c r="AA205" i="13"/>
  <c r="AB205" i="13"/>
  <c r="AC205" i="13"/>
  <c r="AE205" i="13"/>
  <c r="AF205" i="13"/>
  <c r="AG205" i="13"/>
  <c r="AH205" i="13"/>
  <c r="AI205" i="13"/>
  <c r="AJ205" i="13"/>
  <c r="AL205" i="13"/>
  <c r="AM205" i="13"/>
  <c r="AN205" i="13"/>
  <c r="AO205" i="13"/>
  <c r="AP205" i="13"/>
  <c r="AQ205" i="13"/>
  <c r="A206" i="13"/>
  <c r="B206" i="13"/>
  <c r="C206" i="13"/>
  <c r="D206" i="13"/>
  <c r="E206" i="13"/>
  <c r="AT206" i="13" s="1"/>
  <c r="F206" i="13"/>
  <c r="G206" i="13"/>
  <c r="H206" i="13"/>
  <c r="I206" i="13"/>
  <c r="J206" i="13"/>
  <c r="K206" i="13"/>
  <c r="P206" i="13" s="1"/>
  <c r="L206" i="13"/>
  <c r="M206" i="13"/>
  <c r="N206" i="13"/>
  <c r="O206" i="13"/>
  <c r="Q206" i="13"/>
  <c r="R206" i="13"/>
  <c r="S206" i="13"/>
  <c r="T206" i="13"/>
  <c r="U206" i="13"/>
  <c r="V206" i="13"/>
  <c r="X206" i="13"/>
  <c r="Y206" i="13"/>
  <c r="Z206" i="13"/>
  <c r="AA206" i="13"/>
  <c r="AB206" i="13"/>
  <c r="AC206" i="13"/>
  <c r="AE206" i="13"/>
  <c r="AF206" i="13"/>
  <c r="AG206" i="13"/>
  <c r="AH206" i="13"/>
  <c r="AI206" i="13"/>
  <c r="AJ206" i="13"/>
  <c r="AL206" i="13"/>
  <c r="AM206" i="13"/>
  <c r="AN206" i="13"/>
  <c r="AO206" i="13"/>
  <c r="AP206" i="13"/>
  <c r="AQ206" i="13"/>
  <c r="AU206" i="13"/>
  <c r="AW206" i="13"/>
  <c r="A207" i="13"/>
  <c r="B207" i="13"/>
  <c r="C207" i="13"/>
  <c r="D207" i="13"/>
  <c r="E207" i="13"/>
  <c r="F207" i="13"/>
  <c r="AW207" i="13" s="1"/>
  <c r="G207" i="13"/>
  <c r="H207" i="13"/>
  <c r="I207" i="13"/>
  <c r="J207" i="13"/>
  <c r="K207" i="13"/>
  <c r="L207" i="13"/>
  <c r="M207" i="13"/>
  <c r="N207" i="13"/>
  <c r="O207" i="13"/>
  <c r="Q207" i="13"/>
  <c r="R207" i="13"/>
  <c r="S207" i="13"/>
  <c r="T207" i="13"/>
  <c r="U207" i="13"/>
  <c r="V207" i="13"/>
  <c r="X207" i="13"/>
  <c r="AD207" i="13" s="1"/>
  <c r="Y207" i="13"/>
  <c r="Z207" i="13"/>
  <c r="AA207" i="13"/>
  <c r="AB207" i="13"/>
  <c r="AC207" i="13"/>
  <c r="AE207" i="13"/>
  <c r="AF207" i="13"/>
  <c r="AG207" i="13"/>
  <c r="AH207" i="13"/>
  <c r="AI207" i="13"/>
  <c r="AJ207" i="13"/>
  <c r="AL207" i="13"/>
  <c r="AM207" i="13"/>
  <c r="AN207" i="13"/>
  <c r="AO207" i="13"/>
  <c r="AP207" i="13"/>
  <c r="AQ207" i="13"/>
  <c r="AT207" i="13"/>
  <c r="AU207" i="13"/>
  <c r="A208" i="13"/>
  <c r="B208" i="13"/>
  <c r="C208" i="13"/>
  <c r="D208" i="13"/>
  <c r="E208" i="13"/>
  <c r="AU208" i="13" s="1"/>
  <c r="F208" i="13"/>
  <c r="G208" i="13"/>
  <c r="H208" i="13"/>
  <c r="I208" i="13"/>
  <c r="J208" i="13"/>
  <c r="K208" i="13"/>
  <c r="L208" i="13"/>
  <c r="M208" i="13"/>
  <c r="P208" i="13" s="1"/>
  <c r="N208" i="13"/>
  <c r="O208" i="13"/>
  <c r="Q208" i="13"/>
  <c r="R208" i="13"/>
  <c r="S208" i="13"/>
  <c r="T208" i="13"/>
  <c r="U208" i="13"/>
  <c r="V208" i="13"/>
  <c r="X208" i="13"/>
  <c r="Y208" i="13"/>
  <c r="Z208" i="13"/>
  <c r="AA208" i="13"/>
  <c r="AB208" i="13"/>
  <c r="AC208" i="13"/>
  <c r="AE208" i="13"/>
  <c r="AK208" i="13" s="1"/>
  <c r="AF208" i="13"/>
  <c r="AG208" i="13"/>
  <c r="AH208" i="13"/>
  <c r="AI208" i="13"/>
  <c r="AJ208" i="13"/>
  <c r="AL208" i="13"/>
  <c r="AM208" i="13"/>
  <c r="AN208" i="13"/>
  <c r="AO208" i="13"/>
  <c r="AP208" i="13"/>
  <c r="AQ208" i="13"/>
  <c r="A209" i="13"/>
  <c r="B209" i="13"/>
  <c r="C209" i="13"/>
  <c r="D209" i="13"/>
  <c r="E209" i="13"/>
  <c r="F209" i="13"/>
  <c r="G209" i="13"/>
  <c r="H209" i="13"/>
  <c r="I209" i="13"/>
  <c r="J209" i="13"/>
  <c r="K209" i="13"/>
  <c r="L209" i="13"/>
  <c r="M209" i="13"/>
  <c r="N209" i="13"/>
  <c r="O209" i="13"/>
  <c r="Q209" i="13"/>
  <c r="R209" i="13"/>
  <c r="S209" i="13"/>
  <c r="T209" i="13"/>
  <c r="U209" i="13"/>
  <c r="V209" i="13"/>
  <c r="X209" i="13"/>
  <c r="Y209" i="13"/>
  <c r="Z209" i="13"/>
  <c r="AA209" i="13"/>
  <c r="AB209" i="13"/>
  <c r="AC209" i="13"/>
  <c r="AE209" i="13"/>
  <c r="AF209" i="13"/>
  <c r="AG209" i="13"/>
  <c r="AH209" i="13"/>
  <c r="AI209" i="13"/>
  <c r="AJ209" i="13"/>
  <c r="AL209" i="13"/>
  <c r="AM209" i="13"/>
  <c r="AN209" i="13"/>
  <c r="AO209" i="13"/>
  <c r="AP209" i="13"/>
  <c r="AQ209" i="13"/>
  <c r="A210" i="13"/>
  <c r="B210" i="13"/>
  <c r="C210" i="13"/>
  <c r="D210" i="13"/>
  <c r="E210" i="13"/>
  <c r="F210" i="13"/>
  <c r="AW210" i="13" s="1"/>
  <c r="G210" i="13"/>
  <c r="H210" i="13"/>
  <c r="I210" i="13"/>
  <c r="J210" i="13"/>
  <c r="K210" i="13"/>
  <c r="L210" i="13"/>
  <c r="M210" i="13"/>
  <c r="N210" i="13"/>
  <c r="O210" i="13"/>
  <c r="Q210" i="13"/>
  <c r="R210" i="13"/>
  <c r="S210" i="13"/>
  <c r="T210" i="13"/>
  <c r="U210" i="13"/>
  <c r="V210" i="13"/>
  <c r="X210" i="13"/>
  <c r="Y210" i="13"/>
  <c r="Z210" i="13"/>
  <c r="AA210" i="13"/>
  <c r="AB210" i="13"/>
  <c r="AC210" i="13"/>
  <c r="AD210" i="13"/>
  <c r="AE210" i="13"/>
  <c r="AF210" i="13"/>
  <c r="AG210" i="13"/>
  <c r="AH210" i="13"/>
  <c r="AI210" i="13"/>
  <c r="AJ210" i="13"/>
  <c r="AL210" i="13"/>
  <c r="AM210" i="13"/>
  <c r="AN210" i="13"/>
  <c r="AO210" i="13"/>
  <c r="AP210" i="13"/>
  <c r="AQ210" i="13"/>
  <c r="AT210" i="13"/>
  <c r="AU210" i="13"/>
  <c r="A211" i="13"/>
  <c r="B211" i="13"/>
  <c r="C211" i="13"/>
  <c r="D211" i="13"/>
  <c r="E211" i="13"/>
  <c r="F211" i="13"/>
  <c r="G211" i="13"/>
  <c r="H211" i="13"/>
  <c r="I211" i="13"/>
  <c r="J211" i="13"/>
  <c r="P211" i="13" s="1"/>
  <c r="K211" i="13"/>
  <c r="L211" i="13"/>
  <c r="M211" i="13"/>
  <c r="N211" i="13"/>
  <c r="O211" i="13"/>
  <c r="Q211" i="13"/>
  <c r="R211" i="13"/>
  <c r="S211" i="13"/>
  <c r="T211" i="13"/>
  <c r="U211" i="13"/>
  <c r="V211" i="13"/>
  <c r="X211" i="13"/>
  <c r="Y211" i="13"/>
  <c r="Z211" i="13"/>
  <c r="AA211" i="13"/>
  <c r="AB211" i="13"/>
  <c r="AC211" i="13"/>
  <c r="AE211" i="13"/>
  <c r="AF211" i="13"/>
  <c r="AG211" i="13"/>
  <c r="AH211" i="13"/>
  <c r="AI211" i="13"/>
  <c r="AJ211" i="13"/>
  <c r="AL211" i="13"/>
  <c r="AR211" i="13" s="1"/>
  <c r="AS211" i="13" s="1"/>
  <c r="AM211" i="13"/>
  <c r="AN211" i="13"/>
  <c r="AO211" i="13"/>
  <c r="AP211" i="13"/>
  <c r="AQ211" i="13"/>
  <c r="AT211" i="13"/>
  <c r="AU211" i="13"/>
  <c r="AW211" i="13"/>
  <c r="A212" i="13"/>
  <c r="B212" i="13"/>
  <c r="C212" i="13"/>
  <c r="D212" i="13"/>
  <c r="E212" i="13"/>
  <c r="AT212" i="13" s="1"/>
  <c r="F212" i="13"/>
  <c r="G212" i="13"/>
  <c r="H212" i="13"/>
  <c r="I212" i="13"/>
  <c r="J212" i="13"/>
  <c r="K212" i="13"/>
  <c r="L212" i="13"/>
  <c r="M212" i="13"/>
  <c r="N212" i="13"/>
  <c r="O212" i="13"/>
  <c r="Q212" i="13"/>
  <c r="R212" i="13"/>
  <c r="S212" i="13"/>
  <c r="T212" i="13"/>
  <c r="U212" i="13"/>
  <c r="V212" i="13"/>
  <c r="X212" i="13"/>
  <c r="Y212" i="13"/>
  <c r="Z212" i="13"/>
  <c r="AA212" i="13"/>
  <c r="AB212" i="13"/>
  <c r="AC212" i="13"/>
  <c r="AE212" i="13"/>
  <c r="AF212" i="13"/>
  <c r="AG212" i="13"/>
  <c r="AH212" i="13"/>
  <c r="AI212" i="13"/>
  <c r="AJ212" i="13"/>
  <c r="AL212" i="13"/>
  <c r="AM212" i="13"/>
  <c r="AN212" i="13"/>
  <c r="AO212" i="13"/>
  <c r="AP212" i="13"/>
  <c r="AQ212" i="13"/>
  <c r="AU212" i="13"/>
  <c r="A213" i="13"/>
  <c r="B213" i="13"/>
  <c r="C213" i="13"/>
  <c r="D213" i="13"/>
  <c r="E213" i="13"/>
  <c r="AT213" i="13" s="1"/>
  <c r="F213" i="13"/>
  <c r="AW213" i="13" s="1"/>
  <c r="G213" i="13"/>
  <c r="H213" i="13"/>
  <c r="I213" i="13"/>
  <c r="J213" i="13"/>
  <c r="K213" i="13"/>
  <c r="L213" i="13"/>
  <c r="M213" i="13"/>
  <c r="N213" i="13"/>
  <c r="O213" i="13"/>
  <c r="Q213" i="13"/>
  <c r="R213" i="13"/>
  <c r="S213" i="13"/>
  <c r="T213" i="13"/>
  <c r="U213" i="13"/>
  <c r="V213" i="13"/>
  <c r="X213" i="13"/>
  <c r="Y213" i="13"/>
  <c r="AD213" i="13" s="1"/>
  <c r="Z213" i="13"/>
  <c r="AA213" i="13"/>
  <c r="AB213" i="13"/>
  <c r="AC213" i="13"/>
  <c r="AE213" i="13"/>
  <c r="AF213" i="13"/>
  <c r="AG213" i="13"/>
  <c r="AH213" i="13"/>
  <c r="AI213" i="13"/>
  <c r="AJ213" i="13"/>
  <c r="AL213" i="13"/>
  <c r="AM213" i="13"/>
  <c r="AN213" i="13"/>
  <c r="AO213" i="13"/>
  <c r="AP213" i="13"/>
  <c r="AQ213" i="13"/>
  <c r="A214" i="13"/>
  <c r="B214" i="13"/>
  <c r="C214" i="13"/>
  <c r="D214" i="13"/>
  <c r="E214" i="13"/>
  <c r="F214" i="13"/>
  <c r="G214" i="13"/>
  <c r="H214" i="13"/>
  <c r="I214" i="13"/>
  <c r="J214" i="13"/>
  <c r="K214" i="13"/>
  <c r="L214" i="13"/>
  <c r="M214" i="13"/>
  <c r="N214" i="13"/>
  <c r="O214" i="13"/>
  <c r="Q214" i="13"/>
  <c r="R214" i="13"/>
  <c r="S214" i="13"/>
  <c r="W214" i="13" s="1"/>
  <c r="T214" i="13"/>
  <c r="U214" i="13"/>
  <c r="V214" i="13"/>
  <c r="X214" i="13"/>
  <c r="Y214" i="13"/>
  <c r="Z214" i="13"/>
  <c r="AA214" i="13"/>
  <c r="AB214" i="13"/>
  <c r="AC214" i="13"/>
  <c r="AE214" i="13"/>
  <c r="AF214" i="13"/>
  <c r="AG214" i="13"/>
  <c r="AH214" i="13"/>
  <c r="AI214" i="13"/>
  <c r="AJ214" i="13"/>
  <c r="AL214" i="13"/>
  <c r="AM214" i="13"/>
  <c r="AN214" i="13"/>
  <c r="AO214" i="13"/>
  <c r="AP214" i="13"/>
  <c r="AQ214" i="13"/>
  <c r="AW214" i="13"/>
  <c r="A215" i="13"/>
  <c r="B215" i="13"/>
  <c r="C215" i="13"/>
  <c r="D215" i="13"/>
  <c r="E215" i="13"/>
  <c r="AT215" i="13" s="1"/>
  <c r="F215" i="13"/>
  <c r="G215" i="13"/>
  <c r="H215" i="13"/>
  <c r="I215" i="13"/>
  <c r="J215" i="13"/>
  <c r="K215" i="13"/>
  <c r="L215" i="13"/>
  <c r="M215" i="13"/>
  <c r="N215" i="13"/>
  <c r="O215" i="13"/>
  <c r="Q215" i="13"/>
  <c r="R215" i="13"/>
  <c r="S215" i="13"/>
  <c r="T215" i="13"/>
  <c r="U215" i="13"/>
  <c r="V215" i="13"/>
  <c r="X215" i="13"/>
  <c r="Y215" i="13"/>
  <c r="Z215" i="13"/>
  <c r="AD215" i="13" s="1"/>
  <c r="AA215" i="13"/>
  <c r="AB215" i="13"/>
  <c r="AC215" i="13"/>
  <c r="AE215" i="13"/>
  <c r="AF215" i="13"/>
  <c r="AG215" i="13"/>
  <c r="AH215" i="13"/>
  <c r="AI215" i="13"/>
  <c r="AJ215" i="13"/>
  <c r="AL215" i="13"/>
  <c r="AM215" i="13"/>
  <c r="AN215" i="13"/>
  <c r="AO215" i="13"/>
  <c r="AP215" i="13"/>
  <c r="AQ215" i="13"/>
  <c r="AU215" i="13"/>
  <c r="AW215" i="13"/>
  <c r="A216" i="13"/>
  <c r="B216" i="13"/>
  <c r="C216" i="13"/>
  <c r="D216" i="13"/>
  <c r="E216" i="13"/>
  <c r="F216" i="13"/>
  <c r="AW216" i="13" s="1"/>
  <c r="G216" i="13"/>
  <c r="H216" i="13"/>
  <c r="I216" i="13"/>
  <c r="J216" i="13"/>
  <c r="K216" i="13"/>
  <c r="L216" i="13"/>
  <c r="M216" i="13"/>
  <c r="N216" i="13"/>
  <c r="O216" i="13"/>
  <c r="Q216" i="13"/>
  <c r="R216" i="13"/>
  <c r="S216" i="13"/>
  <c r="T216" i="13"/>
  <c r="U216" i="13"/>
  <c r="V216" i="13"/>
  <c r="X216" i="13"/>
  <c r="AD216" i="13" s="1"/>
  <c r="Y216" i="13"/>
  <c r="Z216" i="13"/>
  <c r="AA216" i="13"/>
  <c r="AB216" i="13"/>
  <c r="AC216" i="13"/>
  <c r="AE216" i="13"/>
  <c r="AF216" i="13"/>
  <c r="AG216" i="13"/>
  <c r="AH216" i="13"/>
  <c r="AI216" i="13"/>
  <c r="AJ216" i="13"/>
  <c r="AL216" i="13"/>
  <c r="AM216" i="13"/>
  <c r="AN216" i="13"/>
  <c r="AO216" i="13"/>
  <c r="AP216" i="13"/>
  <c r="AQ216" i="13"/>
  <c r="AT216" i="13"/>
  <c r="AU216" i="13"/>
  <c r="A217" i="13"/>
  <c r="B217" i="13"/>
  <c r="C217" i="13"/>
  <c r="D217" i="13"/>
  <c r="E217" i="13"/>
  <c r="F217" i="13"/>
  <c r="G217" i="13"/>
  <c r="H217" i="13"/>
  <c r="I217" i="13"/>
  <c r="J217" i="13"/>
  <c r="K217" i="13"/>
  <c r="L217" i="13"/>
  <c r="M217" i="13"/>
  <c r="N217" i="13"/>
  <c r="O217" i="13"/>
  <c r="Q217" i="13"/>
  <c r="R217" i="13"/>
  <c r="S217" i="13"/>
  <c r="T217" i="13"/>
  <c r="U217" i="13"/>
  <c r="V217" i="13"/>
  <c r="X217" i="13"/>
  <c r="Y217" i="13"/>
  <c r="Z217" i="13"/>
  <c r="AA217" i="13"/>
  <c r="AB217" i="13"/>
  <c r="AC217" i="13"/>
  <c r="AE217" i="13"/>
  <c r="AF217" i="13"/>
  <c r="AG217" i="13"/>
  <c r="AH217" i="13"/>
  <c r="AI217" i="13"/>
  <c r="AJ217" i="13"/>
  <c r="AL217" i="13"/>
  <c r="AM217" i="13"/>
  <c r="AN217" i="13"/>
  <c r="AO217" i="13"/>
  <c r="AP217" i="13"/>
  <c r="AQ217" i="13"/>
  <c r="A218" i="13"/>
  <c r="B218" i="13"/>
  <c r="C218" i="13"/>
  <c r="D218" i="13"/>
  <c r="E218" i="13"/>
  <c r="AT218" i="13" s="1"/>
  <c r="F218" i="13"/>
  <c r="G218" i="13"/>
  <c r="H218" i="13"/>
  <c r="I218" i="13"/>
  <c r="J218" i="13"/>
  <c r="K218" i="13"/>
  <c r="L218" i="13"/>
  <c r="M218" i="13"/>
  <c r="N218" i="13"/>
  <c r="O218" i="13"/>
  <c r="Q218" i="13"/>
  <c r="R218" i="13"/>
  <c r="S218" i="13"/>
  <c r="T218" i="13"/>
  <c r="U218" i="13"/>
  <c r="V218" i="13"/>
  <c r="X218" i="13"/>
  <c r="Y218" i="13"/>
  <c r="Z218" i="13"/>
  <c r="AA218" i="13"/>
  <c r="AB218" i="13"/>
  <c r="AC218" i="13"/>
  <c r="AE218" i="13"/>
  <c r="AF218" i="13"/>
  <c r="AG218" i="13"/>
  <c r="AH218" i="13"/>
  <c r="AI218" i="13"/>
  <c r="AJ218" i="13"/>
  <c r="AL218" i="13"/>
  <c r="AR218" i="13" s="1"/>
  <c r="AS218" i="13" s="1"/>
  <c r="AM218" i="13"/>
  <c r="AN218" i="13"/>
  <c r="AO218" i="13"/>
  <c r="AP218" i="13"/>
  <c r="AQ218" i="13"/>
  <c r="A219" i="13"/>
  <c r="B219" i="13"/>
  <c r="C219" i="13"/>
  <c r="D219" i="13"/>
  <c r="E219" i="13"/>
  <c r="F219" i="13"/>
  <c r="AW219" i="13" s="1"/>
  <c r="G219" i="13"/>
  <c r="H219" i="13"/>
  <c r="I219" i="13"/>
  <c r="J219" i="13"/>
  <c r="K219" i="13"/>
  <c r="L219" i="13"/>
  <c r="M219" i="13"/>
  <c r="N219" i="13"/>
  <c r="O219" i="13"/>
  <c r="Q219" i="13"/>
  <c r="R219" i="13"/>
  <c r="S219" i="13"/>
  <c r="T219" i="13"/>
  <c r="U219" i="13"/>
  <c r="V219" i="13"/>
  <c r="X219" i="13"/>
  <c r="Y219" i="13"/>
  <c r="Z219" i="13"/>
  <c r="AA219" i="13"/>
  <c r="AB219" i="13"/>
  <c r="AC219" i="13"/>
  <c r="AE219" i="13"/>
  <c r="AF219" i="13"/>
  <c r="AG219" i="13"/>
  <c r="AH219" i="13"/>
  <c r="AI219" i="13"/>
  <c r="AJ219" i="13"/>
  <c r="AL219" i="13"/>
  <c r="AM219" i="13"/>
  <c r="AN219" i="13"/>
  <c r="AO219" i="13"/>
  <c r="AP219" i="13"/>
  <c r="AQ219" i="13"/>
  <c r="AT219" i="13"/>
  <c r="AU219" i="13"/>
  <c r="A220" i="13"/>
  <c r="B220" i="13"/>
  <c r="C220" i="13"/>
  <c r="D220" i="13"/>
  <c r="E220" i="13"/>
  <c r="AU220" i="13" s="1"/>
  <c r="F220" i="13"/>
  <c r="G220" i="13"/>
  <c r="H220" i="13"/>
  <c r="I220" i="13"/>
  <c r="J220" i="13"/>
  <c r="K220" i="13"/>
  <c r="L220" i="13"/>
  <c r="M220" i="13"/>
  <c r="N220" i="13"/>
  <c r="O220" i="13"/>
  <c r="Q220" i="13"/>
  <c r="R220" i="13"/>
  <c r="S220" i="13"/>
  <c r="T220" i="13"/>
  <c r="U220" i="13"/>
  <c r="V220" i="13"/>
  <c r="X220" i="13"/>
  <c r="Y220" i="13"/>
  <c r="Z220" i="13"/>
  <c r="AA220" i="13"/>
  <c r="AB220" i="13"/>
  <c r="AC220" i="13"/>
  <c r="AE220" i="13"/>
  <c r="AF220" i="13"/>
  <c r="AG220" i="13"/>
  <c r="AH220" i="13"/>
  <c r="AI220" i="13"/>
  <c r="AJ220" i="13"/>
  <c r="AL220" i="13"/>
  <c r="AM220" i="13"/>
  <c r="AN220" i="13"/>
  <c r="AO220" i="13"/>
  <c r="AP220" i="13"/>
  <c r="AQ220" i="13"/>
  <c r="AT220" i="13"/>
  <c r="A221" i="13"/>
  <c r="B221" i="13"/>
  <c r="C221" i="13"/>
  <c r="D221" i="13"/>
  <c r="E221" i="13"/>
  <c r="AT221" i="13" s="1"/>
  <c r="F221" i="13"/>
  <c r="AW221" i="13" s="1"/>
  <c r="G221" i="13"/>
  <c r="H221" i="13"/>
  <c r="I221" i="13"/>
  <c r="J221" i="13"/>
  <c r="K221" i="13"/>
  <c r="L221" i="13"/>
  <c r="M221" i="13"/>
  <c r="N221" i="13"/>
  <c r="O221" i="13"/>
  <c r="Q221" i="13"/>
  <c r="R221" i="13"/>
  <c r="S221" i="13"/>
  <c r="T221" i="13"/>
  <c r="U221" i="13"/>
  <c r="V221" i="13"/>
  <c r="X221" i="13"/>
  <c r="Y221" i="13"/>
  <c r="Z221" i="13"/>
  <c r="AA221" i="13"/>
  <c r="AB221" i="13"/>
  <c r="AC221" i="13"/>
  <c r="AE221" i="13"/>
  <c r="AK221" i="13" s="1"/>
  <c r="AF221" i="13"/>
  <c r="AG221" i="13"/>
  <c r="AH221" i="13"/>
  <c r="AI221" i="13"/>
  <c r="AJ221" i="13"/>
  <c r="AL221" i="13"/>
  <c r="AM221" i="13"/>
  <c r="AN221" i="13"/>
  <c r="AO221" i="13"/>
  <c r="AP221" i="13"/>
  <c r="AQ221" i="13"/>
  <c r="A222" i="13"/>
  <c r="B222" i="13"/>
  <c r="C222" i="13"/>
  <c r="D222" i="13"/>
  <c r="E222" i="13"/>
  <c r="F222" i="13"/>
  <c r="G222" i="13"/>
  <c r="H222" i="13"/>
  <c r="I222" i="13"/>
  <c r="J222" i="13"/>
  <c r="K222" i="13"/>
  <c r="L222" i="13"/>
  <c r="M222" i="13"/>
  <c r="N222" i="13"/>
  <c r="O222" i="13"/>
  <c r="Q222" i="13"/>
  <c r="R222" i="13"/>
  <c r="S222" i="13"/>
  <c r="T222" i="13"/>
  <c r="U222" i="13"/>
  <c r="V222" i="13"/>
  <c r="X222" i="13"/>
  <c r="Y222" i="13"/>
  <c r="Z222" i="13"/>
  <c r="AA222" i="13"/>
  <c r="AB222" i="13"/>
  <c r="AC222" i="13"/>
  <c r="AE222" i="13"/>
  <c r="AF222" i="13"/>
  <c r="AG222" i="13"/>
  <c r="AH222" i="13"/>
  <c r="AI222" i="13"/>
  <c r="AJ222" i="13"/>
  <c r="AL222" i="13"/>
  <c r="AM222" i="13"/>
  <c r="AN222" i="13"/>
  <c r="AO222" i="13"/>
  <c r="AP222" i="13"/>
  <c r="AQ222" i="13"/>
  <c r="AW222" i="13"/>
  <c r="A223" i="13"/>
  <c r="B223" i="13"/>
  <c r="C223" i="13"/>
  <c r="D223" i="13"/>
  <c r="E223" i="13"/>
  <c r="AT223" i="13" s="1"/>
  <c r="F223" i="13"/>
  <c r="G223" i="13"/>
  <c r="H223" i="13"/>
  <c r="I223" i="13"/>
  <c r="J223" i="13"/>
  <c r="K223" i="13"/>
  <c r="P223" i="13" s="1"/>
  <c r="L223" i="13"/>
  <c r="M223" i="13"/>
  <c r="N223" i="13"/>
  <c r="O223" i="13"/>
  <c r="Q223" i="13"/>
  <c r="R223" i="13"/>
  <c r="S223" i="13"/>
  <c r="T223" i="13"/>
  <c r="U223" i="13"/>
  <c r="V223" i="13"/>
  <c r="X223" i="13"/>
  <c r="Y223" i="13"/>
  <c r="Z223" i="13"/>
  <c r="AA223" i="13"/>
  <c r="AB223" i="13"/>
  <c r="AC223" i="13"/>
  <c r="AE223" i="13"/>
  <c r="AF223" i="13"/>
  <c r="AG223" i="13"/>
  <c r="AH223" i="13"/>
  <c r="AI223" i="13"/>
  <c r="AJ223" i="13"/>
  <c r="AK223" i="13"/>
  <c r="AL223" i="13"/>
  <c r="AM223" i="13"/>
  <c r="AN223" i="13"/>
  <c r="AO223" i="13"/>
  <c r="AP223" i="13"/>
  <c r="AQ223" i="13"/>
  <c r="AW223" i="13"/>
  <c r="A224" i="13"/>
  <c r="B224" i="13"/>
  <c r="C224" i="13"/>
  <c r="D224" i="13"/>
  <c r="E224" i="13"/>
  <c r="AT224" i="13" s="1"/>
  <c r="F224" i="13"/>
  <c r="AW224" i="13" s="1"/>
  <c r="G224" i="13"/>
  <c r="H224" i="13"/>
  <c r="I224" i="13"/>
  <c r="J224" i="13"/>
  <c r="P224" i="13" s="1"/>
  <c r="K224" i="13"/>
  <c r="L224" i="13"/>
  <c r="M224" i="13"/>
  <c r="N224" i="13"/>
  <c r="O224" i="13"/>
  <c r="Q224" i="13"/>
  <c r="R224" i="13"/>
  <c r="S224" i="13"/>
  <c r="T224" i="13"/>
  <c r="U224" i="13"/>
  <c r="V224" i="13"/>
  <c r="X224" i="13"/>
  <c r="Y224" i="13"/>
  <c r="Z224" i="13"/>
  <c r="AA224" i="13"/>
  <c r="AB224" i="13"/>
  <c r="AC224" i="13"/>
  <c r="AE224" i="13"/>
  <c r="AF224" i="13"/>
  <c r="AG224" i="13"/>
  <c r="AH224" i="13"/>
  <c r="AI224" i="13"/>
  <c r="AJ224" i="13"/>
  <c r="AL224" i="13"/>
  <c r="AR224" i="13" s="1"/>
  <c r="AS224" i="13" s="1"/>
  <c r="AM224" i="13"/>
  <c r="AN224" i="13"/>
  <c r="AO224" i="13"/>
  <c r="AP224" i="13"/>
  <c r="AQ224" i="13"/>
  <c r="A225" i="13"/>
  <c r="B225" i="13"/>
  <c r="C225" i="13"/>
  <c r="D225" i="13"/>
  <c r="E225" i="13"/>
  <c r="F225" i="13"/>
  <c r="G225" i="13"/>
  <c r="H225" i="13"/>
  <c r="I225" i="13"/>
  <c r="J225" i="13"/>
  <c r="K225" i="13"/>
  <c r="L225" i="13"/>
  <c r="M225" i="13"/>
  <c r="N225" i="13"/>
  <c r="O225" i="13"/>
  <c r="Q225" i="13"/>
  <c r="R225" i="13"/>
  <c r="S225" i="13"/>
  <c r="T225" i="13"/>
  <c r="U225" i="13"/>
  <c r="V225" i="13"/>
  <c r="X225" i="13"/>
  <c r="Y225" i="13"/>
  <c r="Z225" i="13"/>
  <c r="AA225" i="13"/>
  <c r="AB225" i="13"/>
  <c r="AC225" i="13"/>
  <c r="AE225" i="13"/>
  <c r="AF225" i="13"/>
  <c r="AG225" i="13"/>
  <c r="AH225" i="13"/>
  <c r="AI225" i="13"/>
  <c r="AJ225" i="13"/>
  <c r="AL225" i="13"/>
  <c r="AR225" i="13" s="1"/>
  <c r="AS225" i="13" s="1"/>
  <c r="AM225" i="13"/>
  <c r="AN225" i="13"/>
  <c r="AO225" i="13"/>
  <c r="AP225" i="13"/>
  <c r="AQ225" i="13"/>
  <c r="AT225" i="13"/>
  <c r="AU225" i="13"/>
  <c r="AW225" i="13"/>
  <c r="A226" i="13"/>
  <c r="B226" i="13"/>
  <c r="C226" i="13"/>
  <c r="D226" i="13"/>
  <c r="E226" i="13"/>
  <c r="AT226" i="13" s="1"/>
  <c r="F226" i="13"/>
  <c r="AW226" i="13" s="1"/>
  <c r="G226" i="13"/>
  <c r="H226" i="13"/>
  <c r="I226" i="13"/>
  <c r="J226" i="13"/>
  <c r="K226" i="13"/>
  <c r="L226" i="13"/>
  <c r="M226" i="13"/>
  <c r="N226" i="13"/>
  <c r="O226" i="13"/>
  <c r="P226" i="13"/>
  <c r="Q226" i="13"/>
  <c r="R226" i="13"/>
  <c r="S226" i="13"/>
  <c r="T226" i="13"/>
  <c r="U226" i="13"/>
  <c r="V226" i="13"/>
  <c r="X226" i="13"/>
  <c r="Y226" i="13"/>
  <c r="Z226" i="13"/>
  <c r="AA226" i="13"/>
  <c r="AB226" i="13"/>
  <c r="AC226" i="13"/>
  <c r="AE226" i="13"/>
  <c r="AF226" i="13"/>
  <c r="AG226" i="13"/>
  <c r="AH226" i="13"/>
  <c r="AI226" i="13"/>
  <c r="AJ226" i="13"/>
  <c r="AL226" i="13"/>
  <c r="AM226" i="13"/>
  <c r="AN226" i="13"/>
  <c r="AO226" i="13"/>
  <c r="AP226" i="13"/>
  <c r="AQ226" i="13"/>
  <c r="A227" i="13"/>
  <c r="B227" i="13"/>
  <c r="C227" i="13"/>
  <c r="D227" i="13"/>
  <c r="E227" i="13"/>
  <c r="AT227" i="13" s="1"/>
  <c r="F227" i="13"/>
  <c r="AW227" i="13" s="1"/>
  <c r="G227" i="13"/>
  <c r="H227" i="13"/>
  <c r="I227" i="13"/>
  <c r="J227" i="13"/>
  <c r="K227" i="13"/>
  <c r="L227" i="13"/>
  <c r="M227" i="13"/>
  <c r="N227" i="13"/>
  <c r="O227" i="13"/>
  <c r="Q227" i="13"/>
  <c r="R227" i="13"/>
  <c r="S227" i="13"/>
  <c r="T227" i="13"/>
  <c r="U227" i="13"/>
  <c r="V227" i="13"/>
  <c r="X227" i="13"/>
  <c r="Y227" i="13"/>
  <c r="Z227" i="13"/>
  <c r="AA227" i="13"/>
  <c r="AB227" i="13"/>
  <c r="AC227" i="13"/>
  <c r="AE227" i="13"/>
  <c r="AK227" i="13" s="1"/>
  <c r="AF227" i="13"/>
  <c r="AG227" i="13"/>
  <c r="AH227" i="13"/>
  <c r="AI227" i="13"/>
  <c r="AJ227" i="13"/>
  <c r="AL227" i="13"/>
  <c r="AM227" i="13"/>
  <c r="AN227" i="13"/>
  <c r="AO227" i="13"/>
  <c r="AP227" i="13"/>
  <c r="AQ227" i="13"/>
  <c r="A228" i="13"/>
  <c r="B228" i="13"/>
  <c r="C228" i="13"/>
  <c r="D228" i="13"/>
  <c r="E228" i="13"/>
  <c r="F228" i="13"/>
  <c r="G228" i="13"/>
  <c r="H228" i="13"/>
  <c r="I228" i="13"/>
  <c r="J228" i="13"/>
  <c r="K228" i="13"/>
  <c r="L228" i="13"/>
  <c r="M228" i="13"/>
  <c r="N228" i="13"/>
  <c r="O228" i="13"/>
  <c r="Q228" i="13"/>
  <c r="R228" i="13"/>
  <c r="S228" i="13"/>
  <c r="T228" i="13"/>
  <c r="U228" i="13"/>
  <c r="V228" i="13"/>
  <c r="X228" i="13"/>
  <c r="Y228" i="13"/>
  <c r="Z228" i="13"/>
  <c r="AA228" i="13"/>
  <c r="AB228" i="13"/>
  <c r="AC228" i="13"/>
  <c r="AE228" i="13"/>
  <c r="AF228" i="13"/>
  <c r="AG228" i="13"/>
  <c r="AH228" i="13"/>
  <c r="AI228" i="13"/>
  <c r="AJ228" i="13"/>
  <c r="AL228" i="13"/>
  <c r="AM228" i="13"/>
  <c r="AN228" i="13"/>
  <c r="AO228" i="13"/>
  <c r="AP228" i="13"/>
  <c r="AQ228" i="13"/>
  <c r="A229" i="13"/>
  <c r="B229" i="13"/>
  <c r="C229" i="13"/>
  <c r="D229" i="13"/>
  <c r="E229" i="13"/>
  <c r="AT229" i="13" s="1"/>
  <c r="F229" i="13"/>
  <c r="G229" i="13"/>
  <c r="H229" i="13"/>
  <c r="I229" i="13"/>
  <c r="J229" i="13"/>
  <c r="K229" i="13"/>
  <c r="L229" i="13"/>
  <c r="M229" i="13"/>
  <c r="N229" i="13"/>
  <c r="O229" i="13"/>
  <c r="Q229" i="13"/>
  <c r="R229" i="13"/>
  <c r="S229" i="13"/>
  <c r="T229" i="13"/>
  <c r="U229" i="13"/>
  <c r="V229" i="13"/>
  <c r="X229" i="13"/>
  <c r="Y229" i="13"/>
  <c r="Z229" i="13"/>
  <c r="AA229" i="13"/>
  <c r="AB229" i="13"/>
  <c r="AC229" i="13"/>
  <c r="AE229" i="13"/>
  <c r="AF229" i="13"/>
  <c r="AG229" i="13"/>
  <c r="AH229" i="13"/>
  <c r="AI229" i="13"/>
  <c r="AK229" i="13" s="1"/>
  <c r="AJ229" i="13"/>
  <c r="AL229" i="13"/>
  <c r="AM229" i="13"/>
  <c r="AN229" i="13"/>
  <c r="AO229" i="13"/>
  <c r="AP229" i="13"/>
  <c r="AQ229" i="13"/>
  <c r="AW229" i="13"/>
  <c r="A230" i="13"/>
  <c r="B230" i="13"/>
  <c r="C230" i="13"/>
  <c r="D230" i="13"/>
  <c r="E230" i="13"/>
  <c r="AT230" i="13" s="1"/>
  <c r="F230" i="13"/>
  <c r="G230" i="13"/>
  <c r="H230" i="13"/>
  <c r="I230" i="13"/>
  <c r="J230" i="13"/>
  <c r="K230" i="13"/>
  <c r="L230" i="13"/>
  <c r="M230" i="13"/>
  <c r="N230" i="13"/>
  <c r="O230" i="13"/>
  <c r="Q230" i="13"/>
  <c r="R230" i="13"/>
  <c r="S230" i="13"/>
  <c r="T230" i="13"/>
  <c r="U230" i="13"/>
  <c r="V230" i="13"/>
  <c r="X230" i="13"/>
  <c r="Y230" i="13"/>
  <c r="Z230" i="13"/>
  <c r="AA230" i="13"/>
  <c r="AB230" i="13"/>
  <c r="AC230" i="13"/>
  <c r="AE230" i="13"/>
  <c r="AF230" i="13"/>
  <c r="AG230" i="13"/>
  <c r="AH230" i="13"/>
  <c r="AI230" i="13"/>
  <c r="AJ230" i="13"/>
  <c r="AL230" i="13"/>
  <c r="AM230" i="13"/>
  <c r="AN230" i="13"/>
  <c r="AO230" i="13"/>
  <c r="AP230" i="13"/>
  <c r="AQ230" i="13"/>
  <c r="AR230" i="13"/>
  <c r="AS230" i="13" s="1"/>
  <c r="A231" i="13"/>
  <c r="B231" i="13"/>
  <c r="C231" i="13"/>
  <c r="D231" i="13"/>
  <c r="E231" i="13"/>
  <c r="F231" i="13"/>
  <c r="AW231" i="13" s="1"/>
  <c r="G231" i="13"/>
  <c r="H231" i="13"/>
  <c r="I231" i="13"/>
  <c r="J231" i="13"/>
  <c r="K231" i="13"/>
  <c r="L231" i="13"/>
  <c r="M231" i="13"/>
  <c r="N231" i="13"/>
  <c r="O231" i="13"/>
  <c r="Q231" i="13"/>
  <c r="R231" i="13"/>
  <c r="S231" i="13"/>
  <c r="T231" i="13"/>
  <c r="U231" i="13"/>
  <c r="V231" i="13"/>
  <c r="X231" i="13"/>
  <c r="Y231" i="13"/>
  <c r="Z231" i="13"/>
  <c r="AA231" i="13"/>
  <c r="AB231" i="13"/>
  <c r="AC231" i="13"/>
  <c r="AE231" i="13"/>
  <c r="AF231" i="13"/>
  <c r="AG231" i="13"/>
  <c r="AH231" i="13"/>
  <c r="AI231" i="13"/>
  <c r="AJ231" i="13"/>
  <c r="AL231" i="13"/>
  <c r="AM231" i="13"/>
  <c r="AN231" i="13"/>
  <c r="AO231" i="13"/>
  <c r="AP231" i="13"/>
  <c r="AQ231" i="13"/>
  <c r="AT231" i="13"/>
  <c r="AU231" i="13"/>
  <c r="A232" i="13"/>
  <c r="B232" i="13"/>
  <c r="C232" i="13"/>
  <c r="D232" i="13"/>
  <c r="E232" i="13"/>
  <c r="AT232" i="13" s="1"/>
  <c r="F232" i="13"/>
  <c r="AW232" i="13" s="1"/>
  <c r="G232" i="13"/>
  <c r="H232" i="13"/>
  <c r="I232" i="13"/>
  <c r="J232" i="13"/>
  <c r="K232" i="13"/>
  <c r="L232" i="13"/>
  <c r="M232" i="13"/>
  <c r="N232" i="13"/>
  <c r="O232" i="13"/>
  <c r="Q232" i="13"/>
  <c r="R232" i="13"/>
  <c r="S232" i="13"/>
  <c r="T232" i="13"/>
  <c r="U232" i="13"/>
  <c r="V232" i="13"/>
  <c r="X232" i="13"/>
  <c r="Y232" i="13"/>
  <c r="Z232" i="13"/>
  <c r="AA232" i="13"/>
  <c r="AB232" i="13"/>
  <c r="AC232" i="13"/>
  <c r="AE232" i="13"/>
  <c r="AF232" i="13"/>
  <c r="AK232" i="13" s="1"/>
  <c r="AG232" i="13"/>
  <c r="AH232" i="13"/>
  <c r="AI232" i="13"/>
  <c r="AJ232" i="13"/>
  <c r="AL232" i="13"/>
  <c r="AM232" i="13"/>
  <c r="AN232" i="13"/>
  <c r="AO232" i="13"/>
  <c r="AP232" i="13"/>
  <c r="AQ232" i="13"/>
  <c r="A233" i="13"/>
  <c r="B233" i="13"/>
  <c r="C233" i="13"/>
  <c r="D233" i="13"/>
  <c r="E233" i="13"/>
  <c r="AT233" i="13" s="1"/>
  <c r="F233" i="13"/>
  <c r="G233" i="13"/>
  <c r="H233" i="13"/>
  <c r="I233" i="13"/>
  <c r="J233" i="13"/>
  <c r="K233" i="13"/>
  <c r="L233" i="13"/>
  <c r="M233" i="13"/>
  <c r="N233" i="13"/>
  <c r="O233" i="13"/>
  <c r="Q233" i="13"/>
  <c r="R233" i="13"/>
  <c r="S233" i="13"/>
  <c r="T233" i="13"/>
  <c r="U233" i="13"/>
  <c r="V233" i="13"/>
  <c r="X233" i="13"/>
  <c r="Y233" i="13"/>
  <c r="Z233" i="13"/>
  <c r="AA233" i="13"/>
  <c r="AB233" i="13"/>
  <c r="AC233" i="13"/>
  <c r="AD233" i="13" s="1"/>
  <c r="AE233" i="13"/>
  <c r="AF233" i="13"/>
  <c r="AG233" i="13"/>
  <c r="AH233" i="13"/>
  <c r="AI233" i="13"/>
  <c r="AJ233" i="13"/>
  <c r="AL233" i="13"/>
  <c r="AM233" i="13"/>
  <c r="AR233" i="13" s="1"/>
  <c r="AS233" i="13" s="1"/>
  <c r="AN233" i="13"/>
  <c r="AO233" i="13"/>
  <c r="AP233" i="13"/>
  <c r="AQ233" i="13"/>
  <c r="A234" i="13"/>
  <c r="B234" i="13"/>
  <c r="C234" i="13"/>
  <c r="D234" i="13"/>
  <c r="E234" i="13"/>
  <c r="AT234" i="13" s="1"/>
  <c r="F234" i="13"/>
  <c r="G234" i="13"/>
  <c r="H234" i="13"/>
  <c r="I234" i="13"/>
  <c r="J234" i="13"/>
  <c r="K234" i="13"/>
  <c r="L234" i="13"/>
  <c r="M234" i="13"/>
  <c r="N234" i="13"/>
  <c r="O234" i="13"/>
  <c r="Q234" i="13"/>
  <c r="R234" i="13"/>
  <c r="S234" i="13"/>
  <c r="T234" i="13"/>
  <c r="U234" i="13"/>
  <c r="W234" i="13" s="1"/>
  <c r="V234" i="13"/>
  <c r="X234" i="13"/>
  <c r="Y234" i="13"/>
  <c r="Z234" i="13"/>
  <c r="AA234" i="13"/>
  <c r="AB234" i="13"/>
  <c r="AC234" i="13"/>
  <c r="AE234" i="13"/>
  <c r="AF234" i="13"/>
  <c r="AG234" i="13"/>
  <c r="AH234" i="13"/>
  <c r="AI234" i="13"/>
  <c r="AJ234" i="13"/>
  <c r="AL234" i="13"/>
  <c r="AM234" i="13"/>
  <c r="AN234" i="13"/>
  <c r="AO234" i="13"/>
  <c r="AP234" i="13"/>
  <c r="AQ234" i="13"/>
  <c r="AU234" i="13"/>
  <c r="AW234" i="13"/>
  <c r="A235" i="13"/>
  <c r="B235" i="13"/>
  <c r="C235" i="13"/>
  <c r="D235" i="13"/>
  <c r="E235" i="13"/>
  <c r="AU235" i="13" s="1"/>
  <c r="F235" i="13"/>
  <c r="AW235" i="13" s="1"/>
  <c r="G235" i="13"/>
  <c r="H235" i="13"/>
  <c r="I235" i="13"/>
  <c r="J235" i="13"/>
  <c r="K235" i="13"/>
  <c r="L235" i="13"/>
  <c r="M235" i="13"/>
  <c r="N235" i="13"/>
  <c r="P235" i="13" s="1"/>
  <c r="O235" i="13"/>
  <c r="Q235" i="13"/>
  <c r="R235" i="13"/>
  <c r="S235" i="13"/>
  <c r="T235" i="13"/>
  <c r="U235" i="13"/>
  <c r="V235" i="13"/>
  <c r="X235" i="13"/>
  <c r="Y235" i="13"/>
  <c r="AD235" i="13" s="1"/>
  <c r="Z235" i="13"/>
  <c r="AA235" i="13"/>
  <c r="AB235" i="13"/>
  <c r="AC235" i="13"/>
  <c r="AE235" i="13"/>
  <c r="AF235" i="13"/>
  <c r="AG235" i="13"/>
  <c r="AH235" i="13"/>
  <c r="AI235" i="13"/>
  <c r="AJ235" i="13"/>
  <c r="AL235" i="13"/>
  <c r="AM235" i="13"/>
  <c r="AN235" i="13"/>
  <c r="AO235" i="13"/>
  <c r="AP235" i="13"/>
  <c r="AQ235" i="13"/>
  <c r="AT235" i="13"/>
  <c r="A236" i="13"/>
  <c r="B236" i="13"/>
  <c r="C236" i="13"/>
  <c r="D236" i="13"/>
  <c r="E236" i="13"/>
  <c r="AT236" i="13" s="1"/>
  <c r="F236" i="13"/>
  <c r="AW236" i="13" s="1"/>
  <c r="G236" i="13"/>
  <c r="H236" i="13"/>
  <c r="I236" i="13"/>
  <c r="J236" i="13"/>
  <c r="K236" i="13"/>
  <c r="L236" i="13"/>
  <c r="M236" i="13"/>
  <c r="N236" i="13"/>
  <c r="O236" i="13"/>
  <c r="Q236" i="13"/>
  <c r="R236" i="13"/>
  <c r="S236" i="13"/>
  <c r="T236" i="13"/>
  <c r="U236" i="13"/>
  <c r="V236" i="13"/>
  <c r="X236" i="13"/>
  <c r="Y236" i="13"/>
  <c r="Z236" i="13"/>
  <c r="AA236" i="13"/>
  <c r="AB236" i="13"/>
  <c r="AC236" i="13"/>
  <c r="AE236" i="13"/>
  <c r="AF236" i="13"/>
  <c r="AG236" i="13"/>
  <c r="AH236" i="13"/>
  <c r="AI236" i="13"/>
  <c r="AJ236" i="13"/>
  <c r="AL236" i="13"/>
  <c r="AM236" i="13"/>
  <c r="AN236" i="13"/>
  <c r="AO236" i="13"/>
  <c r="AP236" i="13"/>
  <c r="AQ236" i="13"/>
  <c r="A237" i="13"/>
  <c r="B237" i="13"/>
  <c r="C237" i="13"/>
  <c r="D237" i="13"/>
  <c r="E237" i="13"/>
  <c r="F237" i="13"/>
  <c r="AW237" i="13" s="1"/>
  <c r="G237" i="13"/>
  <c r="H237" i="13"/>
  <c r="I237" i="13"/>
  <c r="J237" i="13"/>
  <c r="K237" i="13"/>
  <c r="L237" i="13"/>
  <c r="M237" i="13"/>
  <c r="N237" i="13"/>
  <c r="O237" i="13"/>
  <c r="Q237" i="13"/>
  <c r="R237" i="13"/>
  <c r="S237" i="13"/>
  <c r="T237" i="13"/>
  <c r="U237" i="13"/>
  <c r="V237" i="13"/>
  <c r="X237" i="13"/>
  <c r="AD237" i="13" s="1"/>
  <c r="Y237" i="13"/>
  <c r="Z237" i="13"/>
  <c r="AA237" i="13"/>
  <c r="AB237" i="13"/>
  <c r="AC237" i="13"/>
  <c r="AE237" i="13"/>
  <c r="AF237" i="13"/>
  <c r="AG237" i="13"/>
  <c r="AH237" i="13"/>
  <c r="AI237" i="13"/>
  <c r="AJ237" i="13"/>
  <c r="AL237" i="13"/>
  <c r="AM237" i="13"/>
  <c r="AN237" i="13"/>
  <c r="AO237" i="13"/>
  <c r="AP237" i="13"/>
  <c r="AQ237" i="13"/>
  <c r="A238" i="13"/>
  <c r="B238" i="13"/>
  <c r="C238" i="13"/>
  <c r="D238" i="13"/>
  <c r="E238" i="13"/>
  <c r="F238" i="13"/>
  <c r="AW238" i="13" s="1"/>
  <c r="G238" i="13"/>
  <c r="H238" i="13"/>
  <c r="I238" i="13"/>
  <c r="J238" i="13"/>
  <c r="K238" i="13"/>
  <c r="P238" i="13" s="1"/>
  <c r="L238" i="13"/>
  <c r="M238" i="13"/>
  <c r="N238" i="13"/>
  <c r="O238" i="13"/>
  <c r="Q238" i="13"/>
  <c r="R238" i="13"/>
  <c r="S238" i="13"/>
  <c r="T238" i="13"/>
  <c r="U238" i="13"/>
  <c r="V238" i="13"/>
  <c r="X238" i="13"/>
  <c r="Y238" i="13"/>
  <c r="Z238" i="13"/>
  <c r="AA238" i="13"/>
  <c r="AB238" i="13"/>
  <c r="AC238" i="13"/>
  <c r="AE238" i="13"/>
  <c r="AF238" i="13"/>
  <c r="AG238" i="13"/>
  <c r="AK238" i="13" s="1"/>
  <c r="AH238" i="13"/>
  <c r="AI238" i="13"/>
  <c r="AJ238" i="13"/>
  <c r="AL238" i="13"/>
  <c r="AM238" i="13"/>
  <c r="AN238" i="13"/>
  <c r="AO238" i="13"/>
  <c r="AP238" i="13"/>
  <c r="AQ238" i="13"/>
  <c r="AT238" i="13"/>
  <c r="AU238" i="13"/>
  <c r="A239" i="13"/>
  <c r="B239" i="13"/>
  <c r="C239" i="13"/>
  <c r="D239" i="13"/>
  <c r="E239" i="13"/>
  <c r="AT239" i="13" s="1"/>
  <c r="F239" i="13"/>
  <c r="G239" i="13"/>
  <c r="H239" i="13"/>
  <c r="I239" i="13"/>
  <c r="J239" i="13"/>
  <c r="K239" i="13"/>
  <c r="L239" i="13"/>
  <c r="M239" i="13"/>
  <c r="N239" i="13"/>
  <c r="O239" i="13"/>
  <c r="Q239" i="13"/>
  <c r="R239" i="13"/>
  <c r="S239" i="13"/>
  <c r="T239" i="13"/>
  <c r="U239" i="13"/>
  <c r="V239" i="13"/>
  <c r="X239" i="13"/>
  <c r="Y239" i="13"/>
  <c r="Z239" i="13"/>
  <c r="AA239" i="13"/>
  <c r="AB239" i="13"/>
  <c r="AC239" i="13"/>
  <c r="AD239" i="13" s="1"/>
  <c r="AE239" i="13"/>
  <c r="AF239" i="13"/>
  <c r="AG239" i="13"/>
  <c r="AH239" i="13"/>
  <c r="AI239" i="13"/>
  <c r="AJ239" i="13"/>
  <c r="AL239" i="13"/>
  <c r="AM239" i="13"/>
  <c r="AN239" i="13"/>
  <c r="AO239" i="13"/>
  <c r="AP239" i="13"/>
  <c r="AQ239" i="13"/>
  <c r="A240" i="13"/>
  <c r="B240" i="13"/>
  <c r="C240" i="13"/>
  <c r="D240" i="13"/>
  <c r="E240" i="13"/>
  <c r="F240" i="13"/>
  <c r="G240" i="13"/>
  <c r="H240" i="13"/>
  <c r="I240" i="13"/>
  <c r="J240" i="13"/>
  <c r="K240" i="13"/>
  <c r="L240" i="13"/>
  <c r="M240" i="13"/>
  <c r="N240" i="13"/>
  <c r="O240" i="13"/>
  <c r="Q240" i="13"/>
  <c r="R240" i="13"/>
  <c r="S240" i="13"/>
  <c r="T240" i="13"/>
  <c r="U240" i="13"/>
  <c r="V240" i="13"/>
  <c r="X240" i="13"/>
  <c r="Y240" i="13"/>
  <c r="Z240" i="13"/>
  <c r="AA240" i="13"/>
  <c r="AB240" i="13"/>
  <c r="AC240" i="13"/>
  <c r="AE240" i="13"/>
  <c r="AF240" i="13"/>
  <c r="AG240" i="13"/>
  <c r="AH240" i="13"/>
  <c r="AI240" i="13"/>
  <c r="AJ240" i="13"/>
  <c r="AL240" i="13"/>
  <c r="AM240" i="13"/>
  <c r="AN240" i="13"/>
  <c r="AO240" i="13"/>
  <c r="AP240" i="13"/>
  <c r="AQ240" i="13"/>
  <c r="A241" i="13"/>
  <c r="B241" i="13"/>
  <c r="C241" i="13"/>
  <c r="D241" i="13"/>
  <c r="E241" i="13"/>
  <c r="AU241" i="13" s="1"/>
  <c r="F241" i="13"/>
  <c r="G241" i="13"/>
  <c r="H241" i="13"/>
  <c r="I241" i="13"/>
  <c r="J241" i="13"/>
  <c r="K241" i="13"/>
  <c r="L241" i="13"/>
  <c r="M241" i="13"/>
  <c r="N241" i="13"/>
  <c r="O241" i="13"/>
  <c r="Q241" i="13"/>
  <c r="R241" i="13"/>
  <c r="S241" i="13"/>
  <c r="T241" i="13"/>
  <c r="U241" i="13"/>
  <c r="V241" i="13"/>
  <c r="X241" i="13"/>
  <c r="Y241" i="13"/>
  <c r="Z241" i="13"/>
  <c r="AA241" i="13"/>
  <c r="AB241" i="13"/>
  <c r="AC241" i="13"/>
  <c r="AE241" i="13"/>
  <c r="AF241" i="13"/>
  <c r="AG241" i="13"/>
  <c r="AH241" i="13"/>
  <c r="AI241" i="13"/>
  <c r="AJ241" i="13"/>
  <c r="AK241" i="13"/>
  <c r="AL241" i="13"/>
  <c r="AM241" i="13"/>
  <c r="AN241" i="13"/>
  <c r="AO241" i="13"/>
  <c r="AP241" i="13"/>
  <c r="AQ241" i="13"/>
  <c r="A242" i="13"/>
  <c r="B242" i="13"/>
  <c r="C242" i="13"/>
  <c r="D242" i="13"/>
  <c r="E242" i="13"/>
  <c r="AT242" i="13" s="1"/>
  <c r="F242" i="13"/>
  <c r="AW242" i="13" s="1"/>
  <c r="G242" i="13"/>
  <c r="H242" i="13"/>
  <c r="I242" i="13"/>
  <c r="J242" i="13"/>
  <c r="K242" i="13"/>
  <c r="L242" i="13"/>
  <c r="M242" i="13"/>
  <c r="N242" i="13"/>
  <c r="O242" i="13"/>
  <c r="P242" i="13" s="1"/>
  <c r="AX242" i="13" s="1"/>
  <c r="Q242" i="13"/>
  <c r="R242" i="13"/>
  <c r="S242" i="13"/>
  <c r="T242" i="13"/>
  <c r="U242" i="13"/>
  <c r="V242" i="13"/>
  <c r="X242" i="13"/>
  <c r="Y242" i="13"/>
  <c r="Z242" i="13"/>
  <c r="AA242" i="13"/>
  <c r="AB242" i="13"/>
  <c r="AC242" i="13"/>
  <c r="AE242" i="13"/>
  <c r="AF242" i="13"/>
  <c r="AG242" i="13"/>
  <c r="AH242" i="13"/>
  <c r="AI242" i="13"/>
  <c r="AJ242" i="13"/>
  <c r="AL242" i="13"/>
  <c r="AM242" i="13"/>
  <c r="AN242" i="13"/>
  <c r="AR242" i="13" s="1"/>
  <c r="AS242" i="13" s="1"/>
  <c r="AO242" i="13"/>
  <c r="AP242" i="13"/>
  <c r="AQ242" i="13"/>
  <c r="A243" i="13"/>
  <c r="B243" i="13"/>
  <c r="C243" i="13"/>
  <c r="D243" i="13"/>
  <c r="E243" i="13"/>
  <c r="AU243" i="13" s="1"/>
  <c r="F243" i="13"/>
  <c r="AW243" i="13" s="1"/>
  <c r="G243" i="13"/>
  <c r="H243" i="13"/>
  <c r="I243" i="13"/>
  <c r="J243" i="13"/>
  <c r="K243" i="13"/>
  <c r="L243" i="13"/>
  <c r="M243" i="13"/>
  <c r="N243" i="13"/>
  <c r="O243" i="13"/>
  <c r="Q243" i="13"/>
  <c r="R243" i="13"/>
  <c r="S243" i="13"/>
  <c r="T243" i="13"/>
  <c r="U243" i="13"/>
  <c r="W243" i="13" s="1"/>
  <c r="V243" i="13"/>
  <c r="X243" i="13"/>
  <c r="Y243" i="13"/>
  <c r="Z243" i="13"/>
  <c r="AA243" i="13"/>
  <c r="AB243" i="13"/>
  <c r="AC243" i="13"/>
  <c r="AE243" i="13"/>
  <c r="AF243" i="13"/>
  <c r="AG243" i="13"/>
  <c r="AH243" i="13"/>
  <c r="AI243" i="13"/>
  <c r="AJ243" i="13"/>
  <c r="AL243" i="13"/>
  <c r="AM243" i="13"/>
  <c r="AN243" i="13"/>
  <c r="AO243" i="13"/>
  <c r="AP243" i="13"/>
  <c r="AQ243" i="13"/>
  <c r="AT243" i="13"/>
  <c r="A244" i="13"/>
  <c r="B244" i="13"/>
  <c r="C244" i="13"/>
  <c r="D244" i="13"/>
  <c r="E244" i="13"/>
  <c r="AU244" i="13" s="1"/>
  <c r="F244" i="13"/>
  <c r="G244" i="13"/>
  <c r="H244" i="13"/>
  <c r="I244" i="13"/>
  <c r="J244" i="13"/>
  <c r="K244" i="13"/>
  <c r="L244" i="13"/>
  <c r="M244" i="13"/>
  <c r="N244" i="13"/>
  <c r="O244" i="13"/>
  <c r="Q244" i="13"/>
  <c r="R244" i="13"/>
  <c r="W244" i="13" s="1"/>
  <c r="S244" i="13"/>
  <c r="T244" i="13"/>
  <c r="U244" i="13"/>
  <c r="V244" i="13"/>
  <c r="X244" i="13"/>
  <c r="Y244" i="13"/>
  <c r="Z244" i="13"/>
  <c r="AA244" i="13"/>
  <c r="AB244" i="13"/>
  <c r="AC244" i="13"/>
  <c r="AE244" i="13"/>
  <c r="AF244" i="13"/>
  <c r="AG244" i="13"/>
  <c r="AH244" i="13"/>
  <c r="AI244" i="13"/>
  <c r="AJ244" i="13"/>
  <c r="AL244" i="13"/>
  <c r="AM244" i="13"/>
  <c r="AN244" i="13"/>
  <c r="AO244" i="13"/>
  <c r="AP244" i="13"/>
  <c r="AQ244" i="13"/>
  <c r="AT244" i="13"/>
  <c r="AW244" i="13"/>
  <c r="A245" i="13"/>
  <c r="B245" i="13"/>
  <c r="C245" i="13"/>
  <c r="D245" i="13"/>
  <c r="E245" i="13"/>
  <c r="F245" i="13"/>
  <c r="G245" i="13"/>
  <c r="H245" i="13"/>
  <c r="I245" i="13"/>
  <c r="J245" i="13"/>
  <c r="K245" i="13"/>
  <c r="L245" i="13"/>
  <c r="M245" i="13"/>
  <c r="N245" i="13"/>
  <c r="O245" i="13"/>
  <c r="Q245" i="13"/>
  <c r="R245" i="13"/>
  <c r="S245" i="13"/>
  <c r="T245" i="13"/>
  <c r="U245" i="13"/>
  <c r="V245" i="13"/>
  <c r="X245" i="13"/>
  <c r="Y245" i="13"/>
  <c r="Z245" i="13"/>
  <c r="AA245" i="13"/>
  <c r="AB245" i="13"/>
  <c r="AC245" i="13"/>
  <c r="AE245" i="13"/>
  <c r="AF245" i="13"/>
  <c r="AG245" i="13"/>
  <c r="AH245" i="13"/>
  <c r="AI245" i="13"/>
  <c r="AJ245" i="13"/>
  <c r="AL245" i="13"/>
  <c r="AM245" i="13"/>
  <c r="AN245" i="13"/>
  <c r="AO245" i="13"/>
  <c r="AP245" i="13"/>
  <c r="AQ245" i="13"/>
  <c r="AR245" i="13"/>
  <c r="AS245" i="13" s="1"/>
  <c r="A246" i="13"/>
  <c r="B246" i="13"/>
  <c r="C246" i="13"/>
  <c r="D246" i="13"/>
  <c r="E246" i="13"/>
  <c r="F246" i="13"/>
  <c r="G246" i="13"/>
  <c r="H246" i="13"/>
  <c r="I246" i="13"/>
  <c r="J246" i="13"/>
  <c r="K246" i="13"/>
  <c r="L246" i="13"/>
  <c r="M246" i="13"/>
  <c r="N246" i="13"/>
  <c r="O246" i="13"/>
  <c r="Q246" i="13"/>
  <c r="R246" i="13"/>
  <c r="S246" i="13"/>
  <c r="T246" i="13"/>
  <c r="U246" i="13"/>
  <c r="V246" i="13"/>
  <c r="X246" i="13"/>
  <c r="Y246" i="13"/>
  <c r="Z246" i="13"/>
  <c r="AA246" i="13"/>
  <c r="AB246" i="13"/>
  <c r="AC246" i="13"/>
  <c r="AE246" i="13"/>
  <c r="AF246" i="13"/>
  <c r="AG246" i="13"/>
  <c r="AH246" i="13"/>
  <c r="AI246" i="13"/>
  <c r="AJ246" i="13"/>
  <c r="AL246" i="13"/>
  <c r="AM246" i="13"/>
  <c r="AN246" i="13"/>
  <c r="AO246" i="13"/>
  <c r="AP246" i="13"/>
  <c r="AQ246" i="13"/>
  <c r="AT246" i="13"/>
  <c r="AU246" i="13"/>
  <c r="A247" i="13"/>
  <c r="B247" i="13"/>
  <c r="C247" i="13"/>
  <c r="D247" i="13"/>
  <c r="E247" i="13"/>
  <c r="AT247" i="13" s="1"/>
  <c r="F247" i="13"/>
  <c r="G247" i="13"/>
  <c r="H247" i="13"/>
  <c r="I247" i="13"/>
  <c r="J247" i="13"/>
  <c r="K247" i="13"/>
  <c r="L247" i="13"/>
  <c r="M247" i="13"/>
  <c r="N247" i="13"/>
  <c r="O247" i="13"/>
  <c r="P247" i="13"/>
  <c r="Q247" i="13"/>
  <c r="R247" i="13"/>
  <c r="S247" i="13"/>
  <c r="T247" i="13"/>
  <c r="U247" i="13"/>
  <c r="V247" i="13"/>
  <c r="W247" i="13"/>
  <c r="X247" i="13"/>
  <c r="Y247" i="13"/>
  <c r="Z247" i="13"/>
  <c r="AA247" i="13"/>
  <c r="AB247" i="13"/>
  <c r="AC247" i="13"/>
  <c r="AE247" i="13"/>
  <c r="AF247" i="13"/>
  <c r="AK247" i="13" s="1"/>
  <c r="AG247" i="13"/>
  <c r="AH247" i="13"/>
  <c r="AI247" i="13"/>
  <c r="AJ247" i="13"/>
  <c r="AL247" i="13"/>
  <c r="AM247" i="13"/>
  <c r="AN247" i="13"/>
  <c r="AO247" i="13"/>
  <c r="AP247" i="13"/>
  <c r="AQ247" i="13"/>
  <c r="AU247" i="13"/>
  <c r="AW247" i="13"/>
  <c r="A248" i="13"/>
  <c r="B248" i="13"/>
  <c r="C248" i="13"/>
  <c r="D248" i="13"/>
  <c r="E248" i="13"/>
  <c r="F248" i="13"/>
  <c r="G248" i="13"/>
  <c r="H248" i="13"/>
  <c r="I248" i="13"/>
  <c r="J248" i="13"/>
  <c r="K248" i="13"/>
  <c r="L248" i="13"/>
  <c r="M248" i="13"/>
  <c r="N248" i="13"/>
  <c r="O248" i="13"/>
  <c r="Q248" i="13"/>
  <c r="R248" i="13"/>
  <c r="S248" i="13"/>
  <c r="T248" i="13"/>
  <c r="U248" i="13"/>
  <c r="V248" i="13"/>
  <c r="X248" i="13"/>
  <c r="Y248" i="13"/>
  <c r="Z248" i="13"/>
  <c r="AA248" i="13"/>
  <c r="AB248" i="13"/>
  <c r="AC248" i="13"/>
  <c r="AD248" i="13" s="1"/>
  <c r="AE248" i="13"/>
  <c r="AK248" i="13" s="1"/>
  <c r="AF248" i="13"/>
  <c r="AG248" i="13"/>
  <c r="AH248" i="13"/>
  <c r="AI248" i="13"/>
  <c r="AJ248" i="13"/>
  <c r="AL248" i="13"/>
  <c r="AM248" i="13"/>
  <c r="AR248" i="13" s="1"/>
  <c r="AS248" i="13" s="1"/>
  <c r="AN248" i="13"/>
  <c r="AO248" i="13"/>
  <c r="AP248" i="13"/>
  <c r="AQ248" i="13"/>
  <c r="A249" i="13"/>
  <c r="B249" i="13"/>
  <c r="C249" i="13"/>
  <c r="D249" i="13"/>
  <c r="E249" i="13"/>
  <c r="F249" i="13"/>
  <c r="AW249" i="13" s="1"/>
  <c r="G249" i="13"/>
  <c r="H249" i="13"/>
  <c r="I249" i="13"/>
  <c r="J249" i="13"/>
  <c r="K249" i="13"/>
  <c r="L249" i="13"/>
  <c r="M249" i="13"/>
  <c r="N249" i="13"/>
  <c r="O249" i="13"/>
  <c r="Q249" i="13"/>
  <c r="R249" i="13"/>
  <c r="S249" i="13"/>
  <c r="T249" i="13"/>
  <c r="U249" i="13"/>
  <c r="V249" i="13"/>
  <c r="X249" i="13"/>
  <c r="Y249" i="13"/>
  <c r="Z249" i="13"/>
  <c r="AA249" i="13"/>
  <c r="AB249" i="13"/>
  <c r="AC249" i="13"/>
  <c r="AE249" i="13"/>
  <c r="AF249" i="13"/>
  <c r="AG249" i="13"/>
  <c r="AH249" i="13"/>
  <c r="AI249" i="13"/>
  <c r="AJ249" i="13"/>
  <c r="AL249" i="13"/>
  <c r="AM249" i="13"/>
  <c r="AN249" i="13"/>
  <c r="AO249" i="13"/>
  <c r="AP249" i="13"/>
  <c r="AQ249" i="13"/>
  <c r="AT249" i="13"/>
  <c r="AU249" i="13"/>
  <c r="A250" i="13"/>
  <c r="B250" i="13"/>
  <c r="C250" i="13"/>
  <c r="D250" i="13"/>
  <c r="E250" i="13"/>
  <c r="F250" i="13"/>
  <c r="G250" i="13"/>
  <c r="H250" i="13"/>
  <c r="I250" i="13"/>
  <c r="J250" i="13"/>
  <c r="P250" i="13" s="1"/>
  <c r="K250" i="13"/>
  <c r="L250" i="13"/>
  <c r="M250" i="13"/>
  <c r="N250" i="13"/>
  <c r="O250" i="13"/>
  <c r="Q250" i="13"/>
  <c r="R250" i="13"/>
  <c r="S250" i="13"/>
  <c r="T250" i="13"/>
  <c r="U250" i="13"/>
  <c r="V250" i="13"/>
  <c r="X250" i="13"/>
  <c r="Y250" i="13"/>
  <c r="Z250" i="13"/>
  <c r="AA250" i="13"/>
  <c r="AB250" i="13"/>
  <c r="AC250" i="13"/>
  <c r="AE250" i="13"/>
  <c r="AF250" i="13"/>
  <c r="AG250" i="13"/>
  <c r="AH250" i="13"/>
  <c r="AI250" i="13"/>
  <c r="AJ250" i="13"/>
  <c r="AL250" i="13"/>
  <c r="AM250" i="13"/>
  <c r="AN250" i="13"/>
  <c r="AO250" i="13"/>
  <c r="AP250" i="13"/>
  <c r="AQ250" i="13"/>
  <c r="AW250" i="13"/>
  <c r="A251" i="13"/>
  <c r="B251" i="13"/>
  <c r="C251" i="13"/>
  <c r="D251" i="13"/>
  <c r="E251" i="13"/>
  <c r="F251" i="13"/>
  <c r="G251" i="13"/>
  <c r="H251" i="13"/>
  <c r="I251" i="13"/>
  <c r="J251" i="13"/>
  <c r="K251" i="13"/>
  <c r="L251" i="13"/>
  <c r="M251" i="13"/>
  <c r="N251" i="13"/>
  <c r="O251" i="13"/>
  <c r="Q251" i="13"/>
  <c r="R251" i="13"/>
  <c r="S251" i="13"/>
  <c r="T251" i="13"/>
  <c r="U251" i="13"/>
  <c r="V251" i="13"/>
  <c r="X251" i="13"/>
  <c r="Y251" i="13"/>
  <c r="Z251" i="13"/>
  <c r="AD251" i="13" s="1"/>
  <c r="AA251" i="13"/>
  <c r="AB251" i="13"/>
  <c r="AC251" i="13"/>
  <c r="AE251" i="13"/>
  <c r="AF251" i="13"/>
  <c r="AG251" i="13"/>
  <c r="AH251" i="13"/>
  <c r="AI251" i="13"/>
  <c r="AJ251" i="13"/>
  <c r="AL251" i="13"/>
  <c r="AM251" i="13"/>
  <c r="AN251" i="13"/>
  <c r="AO251" i="13"/>
  <c r="AP251" i="13"/>
  <c r="AQ251" i="13"/>
  <c r="A252" i="13"/>
  <c r="B252" i="13"/>
  <c r="C252" i="13"/>
  <c r="D252" i="13"/>
  <c r="E252" i="13"/>
  <c r="AU252" i="13" s="1"/>
  <c r="F252" i="13"/>
  <c r="G252" i="13"/>
  <c r="H252" i="13"/>
  <c r="I252" i="13"/>
  <c r="J252" i="13"/>
  <c r="K252" i="13"/>
  <c r="L252" i="13"/>
  <c r="M252" i="13"/>
  <c r="N252" i="13"/>
  <c r="O252" i="13"/>
  <c r="Q252" i="13"/>
  <c r="R252" i="13"/>
  <c r="S252" i="13"/>
  <c r="T252" i="13"/>
  <c r="U252" i="13"/>
  <c r="V252" i="13"/>
  <c r="X252" i="13"/>
  <c r="Y252" i="13"/>
  <c r="Z252" i="13"/>
  <c r="AA252" i="13"/>
  <c r="AB252" i="13"/>
  <c r="AC252" i="13"/>
  <c r="AE252" i="13"/>
  <c r="AF252" i="13"/>
  <c r="AG252" i="13"/>
  <c r="AH252" i="13"/>
  <c r="AI252" i="13"/>
  <c r="AJ252" i="13"/>
  <c r="AL252" i="13"/>
  <c r="AM252" i="13"/>
  <c r="AN252" i="13"/>
  <c r="AO252" i="13"/>
  <c r="AP252" i="13"/>
  <c r="AQ252" i="13"/>
  <c r="AT252" i="13"/>
  <c r="A253" i="13"/>
  <c r="B253" i="13"/>
  <c r="C253" i="13"/>
  <c r="D253" i="13"/>
  <c r="E253" i="13"/>
  <c r="F253" i="13"/>
  <c r="AW253" i="13" s="1"/>
  <c r="G253" i="13"/>
  <c r="H253" i="13"/>
  <c r="I253" i="13"/>
  <c r="J253" i="13"/>
  <c r="K253" i="13"/>
  <c r="L253" i="13"/>
  <c r="M253" i="13"/>
  <c r="N253" i="13"/>
  <c r="O253" i="13"/>
  <c r="Q253" i="13"/>
  <c r="R253" i="13"/>
  <c r="S253" i="13"/>
  <c r="T253" i="13"/>
  <c r="U253" i="13"/>
  <c r="V253" i="13"/>
  <c r="W253" i="13"/>
  <c r="X253" i="13"/>
  <c r="Y253" i="13"/>
  <c r="Z253" i="13"/>
  <c r="AA253" i="13"/>
  <c r="AB253" i="13"/>
  <c r="AC253" i="13"/>
  <c r="AE253" i="13"/>
  <c r="AF253" i="13"/>
  <c r="AK253" i="13" s="1"/>
  <c r="AG253" i="13"/>
  <c r="AH253" i="13"/>
  <c r="AI253" i="13"/>
  <c r="AJ253" i="13"/>
  <c r="AL253" i="13"/>
  <c r="AM253" i="13"/>
  <c r="AN253" i="13"/>
  <c r="AO253" i="13"/>
  <c r="AP253" i="13"/>
  <c r="AQ253" i="13"/>
  <c r="AT253" i="13"/>
  <c r="AU253" i="13"/>
  <c r="A254" i="13"/>
  <c r="B254" i="13"/>
  <c r="C254" i="13"/>
  <c r="D254" i="13"/>
  <c r="E254" i="13"/>
  <c r="F254" i="13"/>
  <c r="G254" i="13"/>
  <c r="H254" i="13"/>
  <c r="I254" i="13"/>
  <c r="J254" i="13"/>
  <c r="K254" i="13"/>
  <c r="L254" i="13"/>
  <c r="M254" i="13"/>
  <c r="N254" i="13"/>
  <c r="O254" i="13"/>
  <c r="Q254" i="13"/>
  <c r="R254" i="13"/>
  <c r="S254" i="13"/>
  <c r="T254" i="13"/>
  <c r="U254" i="13"/>
  <c r="V254" i="13"/>
  <c r="X254" i="13"/>
  <c r="Y254" i="13"/>
  <c r="Z254" i="13"/>
  <c r="AA254" i="13"/>
  <c r="AB254" i="13"/>
  <c r="AC254" i="13"/>
  <c r="AD254" i="13" s="1"/>
  <c r="AE254" i="13"/>
  <c r="AF254" i="13"/>
  <c r="AG254" i="13"/>
  <c r="AH254" i="13"/>
  <c r="AI254" i="13"/>
  <c r="AJ254" i="13"/>
  <c r="AL254" i="13"/>
  <c r="AM254" i="13"/>
  <c r="AN254" i="13"/>
  <c r="AO254" i="13"/>
  <c r="AR254" i="13" s="1"/>
  <c r="AS254" i="13" s="1"/>
  <c r="AP254" i="13"/>
  <c r="AQ254" i="13"/>
  <c r="A255" i="13"/>
  <c r="B255" i="13"/>
  <c r="C255" i="13"/>
  <c r="D255" i="13"/>
  <c r="E255" i="13"/>
  <c r="AT255" i="13" s="1"/>
  <c r="F255" i="13"/>
  <c r="AW255" i="13" s="1"/>
  <c r="G255" i="13"/>
  <c r="H255" i="13"/>
  <c r="I255" i="13"/>
  <c r="J255" i="13"/>
  <c r="K255" i="13"/>
  <c r="L255" i="13"/>
  <c r="M255" i="13"/>
  <c r="N255" i="13"/>
  <c r="O255" i="13"/>
  <c r="Q255" i="13"/>
  <c r="R255" i="13"/>
  <c r="S255" i="13"/>
  <c r="T255" i="13"/>
  <c r="U255" i="13"/>
  <c r="W255" i="13" s="1"/>
  <c r="V255" i="13"/>
  <c r="X255" i="13"/>
  <c r="AD255" i="13" s="1"/>
  <c r="Y255" i="13"/>
  <c r="Z255" i="13"/>
  <c r="AA255" i="13"/>
  <c r="AB255" i="13"/>
  <c r="AC255" i="13"/>
  <c r="AE255" i="13"/>
  <c r="AF255" i="13"/>
  <c r="AG255" i="13"/>
  <c r="AH255" i="13"/>
  <c r="AI255" i="13"/>
  <c r="AJ255" i="13"/>
  <c r="AL255" i="13"/>
  <c r="AM255" i="13"/>
  <c r="AN255" i="13"/>
  <c r="AO255" i="13"/>
  <c r="AP255" i="13"/>
  <c r="AQ255" i="13"/>
  <c r="A256" i="13"/>
  <c r="B256" i="13"/>
  <c r="C256" i="13"/>
  <c r="D256" i="13"/>
  <c r="E256" i="13"/>
  <c r="AT256" i="13" s="1"/>
  <c r="F256" i="13"/>
  <c r="AW256" i="13" s="1"/>
  <c r="G256" i="13"/>
  <c r="H256" i="13"/>
  <c r="I256" i="13"/>
  <c r="J256" i="13"/>
  <c r="K256" i="13"/>
  <c r="L256" i="13"/>
  <c r="M256" i="13"/>
  <c r="N256" i="13"/>
  <c r="O256" i="13"/>
  <c r="Q256" i="13"/>
  <c r="R256" i="13"/>
  <c r="S256" i="13"/>
  <c r="T256" i="13"/>
  <c r="U256" i="13"/>
  <c r="V256" i="13"/>
  <c r="X256" i="13"/>
  <c r="Y256" i="13"/>
  <c r="Z256" i="13"/>
  <c r="AA256" i="13"/>
  <c r="AB256" i="13"/>
  <c r="AC256" i="13"/>
  <c r="AE256" i="13"/>
  <c r="AF256" i="13"/>
  <c r="AG256" i="13"/>
  <c r="AH256" i="13"/>
  <c r="AI256" i="13"/>
  <c r="AJ256" i="13"/>
  <c r="AK256" i="13"/>
  <c r="AL256" i="13"/>
  <c r="AM256" i="13"/>
  <c r="AN256" i="13"/>
  <c r="AO256" i="13"/>
  <c r="AP256" i="13"/>
  <c r="AQ256" i="13"/>
  <c r="A257" i="13"/>
  <c r="B257" i="13"/>
  <c r="C257" i="13"/>
  <c r="D257" i="13"/>
  <c r="E257" i="13"/>
  <c r="F257" i="13"/>
  <c r="G257" i="13"/>
  <c r="H257" i="13"/>
  <c r="I257" i="13"/>
  <c r="J257" i="13"/>
  <c r="K257" i="13"/>
  <c r="L257" i="13"/>
  <c r="M257" i="13"/>
  <c r="N257" i="13"/>
  <c r="O257" i="13"/>
  <c r="Q257" i="13"/>
  <c r="R257" i="13"/>
  <c r="S257" i="13"/>
  <c r="T257" i="13"/>
  <c r="U257" i="13"/>
  <c r="V257" i="13"/>
  <c r="X257" i="13"/>
  <c r="Y257" i="13"/>
  <c r="Z257" i="13"/>
  <c r="AA257" i="13"/>
  <c r="AB257" i="13"/>
  <c r="AC257" i="13"/>
  <c r="AD257" i="13"/>
  <c r="AE257" i="13"/>
  <c r="AF257" i="13"/>
  <c r="AG257" i="13"/>
  <c r="AH257" i="13"/>
  <c r="AI257" i="13"/>
  <c r="AJ257" i="13"/>
  <c r="AL257" i="13"/>
  <c r="AM257" i="13"/>
  <c r="AN257" i="13"/>
  <c r="AO257" i="13"/>
  <c r="AP257" i="13"/>
  <c r="AQ257" i="13"/>
  <c r="A258" i="13"/>
  <c r="B258" i="13"/>
  <c r="C258" i="13"/>
  <c r="D258" i="13"/>
  <c r="E258" i="13"/>
  <c r="AU258" i="13" s="1"/>
  <c r="F258" i="13"/>
  <c r="G258" i="13"/>
  <c r="H258" i="13"/>
  <c r="I258" i="13"/>
  <c r="J258" i="13"/>
  <c r="K258" i="13"/>
  <c r="L258" i="13"/>
  <c r="M258" i="13"/>
  <c r="N258" i="13"/>
  <c r="O258" i="13"/>
  <c r="Q258" i="13"/>
  <c r="R258" i="13"/>
  <c r="S258" i="13"/>
  <c r="T258" i="13"/>
  <c r="U258" i="13"/>
  <c r="V258" i="13"/>
  <c r="X258" i="13"/>
  <c r="Y258" i="13"/>
  <c r="Z258" i="13"/>
  <c r="AA258" i="13"/>
  <c r="AB258" i="13"/>
  <c r="AC258" i="13"/>
  <c r="AE258" i="13"/>
  <c r="AK258" i="13" s="1"/>
  <c r="AF258" i="13"/>
  <c r="AG258" i="13"/>
  <c r="AH258" i="13"/>
  <c r="AI258" i="13"/>
  <c r="AJ258" i="13"/>
  <c r="AL258" i="13"/>
  <c r="AM258" i="13"/>
  <c r="AN258" i="13"/>
  <c r="AO258" i="13"/>
  <c r="AP258" i="13"/>
  <c r="AQ258" i="13"/>
  <c r="AT258" i="13"/>
  <c r="A259" i="13"/>
  <c r="B259" i="13"/>
  <c r="C259" i="13"/>
  <c r="D259" i="13"/>
  <c r="E259" i="13"/>
  <c r="F259" i="13"/>
  <c r="G259" i="13"/>
  <c r="H259" i="13"/>
  <c r="I259" i="13"/>
  <c r="J259" i="13"/>
  <c r="K259" i="13"/>
  <c r="L259" i="13"/>
  <c r="M259" i="13"/>
  <c r="N259" i="13"/>
  <c r="O259" i="13"/>
  <c r="Q259" i="13"/>
  <c r="R259" i="13"/>
  <c r="W259" i="13" s="1"/>
  <c r="S259" i="13"/>
  <c r="T259" i="13"/>
  <c r="U259" i="13"/>
  <c r="V259" i="13"/>
  <c r="X259" i="13"/>
  <c r="Y259" i="13"/>
  <c r="Z259" i="13"/>
  <c r="AA259" i="13"/>
  <c r="AB259" i="13"/>
  <c r="AC259" i="13"/>
  <c r="AE259" i="13"/>
  <c r="AF259" i="13"/>
  <c r="AG259" i="13"/>
  <c r="AH259" i="13"/>
  <c r="AI259" i="13"/>
  <c r="AJ259" i="13"/>
  <c r="AK259" i="13"/>
  <c r="AL259" i="13"/>
  <c r="AM259" i="13"/>
  <c r="AN259" i="13"/>
  <c r="AO259" i="13"/>
  <c r="AP259" i="13"/>
  <c r="AQ259" i="13"/>
  <c r="AT259" i="13"/>
  <c r="AU259" i="13"/>
  <c r="AW259" i="13"/>
  <c r="A260" i="13"/>
  <c r="B260" i="13"/>
  <c r="C260" i="13"/>
  <c r="D260" i="13"/>
  <c r="E260" i="13"/>
  <c r="F260" i="13"/>
  <c r="AW260" i="13" s="1"/>
  <c r="G260" i="13"/>
  <c r="H260" i="13"/>
  <c r="I260" i="13"/>
  <c r="J260" i="13"/>
  <c r="K260" i="13"/>
  <c r="L260" i="13"/>
  <c r="M260" i="13"/>
  <c r="N260" i="13"/>
  <c r="O260" i="13"/>
  <c r="P260" i="13" s="1"/>
  <c r="Q260" i="13"/>
  <c r="R260" i="13"/>
  <c r="S260" i="13"/>
  <c r="T260" i="13"/>
  <c r="U260" i="13"/>
  <c r="V260" i="13"/>
  <c r="X260" i="13"/>
  <c r="Y260" i="13"/>
  <c r="Z260" i="13"/>
  <c r="AA260" i="13"/>
  <c r="AB260" i="13"/>
  <c r="AC260" i="13"/>
  <c r="AE260" i="13"/>
  <c r="AF260" i="13"/>
  <c r="AG260" i="13"/>
  <c r="AH260" i="13"/>
  <c r="AI260" i="13"/>
  <c r="AJ260" i="13"/>
  <c r="AL260" i="13"/>
  <c r="AM260" i="13"/>
  <c r="AN260" i="13"/>
  <c r="AO260" i="13"/>
  <c r="AP260" i="13"/>
  <c r="AQ260" i="13"/>
  <c r="A261" i="13"/>
  <c r="B261" i="13"/>
  <c r="C261" i="13"/>
  <c r="D261" i="13"/>
  <c r="E261" i="13"/>
  <c r="AU261" i="13" s="1"/>
  <c r="F261" i="13"/>
  <c r="AW261" i="13" s="1"/>
  <c r="G261" i="13"/>
  <c r="H261" i="13"/>
  <c r="I261" i="13"/>
  <c r="J261" i="13"/>
  <c r="K261" i="13"/>
  <c r="L261" i="13"/>
  <c r="M261" i="13"/>
  <c r="N261" i="13"/>
  <c r="O261" i="13"/>
  <c r="Q261" i="13"/>
  <c r="W261" i="13" s="1"/>
  <c r="R261" i="13"/>
  <c r="S261" i="13"/>
  <c r="T261" i="13"/>
  <c r="U261" i="13"/>
  <c r="V261" i="13"/>
  <c r="X261" i="13"/>
  <c r="Y261" i="13"/>
  <c r="Z261" i="13"/>
  <c r="AA261" i="13"/>
  <c r="AB261" i="13"/>
  <c r="AC261" i="13"/>
  <c r="AE261" i="13"/>
  <c r="AF261" i="13"/>
  <c r="AG261" i="13"/>
  <c r="AH261" i="13"/>
  <c r="AI261" i="13"/>
  <c r="AJ261" i="13"/>
  <c r="AL261" i="13"/>
  <c r="AM261" i="13"/>
  <c r="AN261" i="13"/>
  <c r="AO261" i="13"/>
  <c r="AP261" i="13"/>
  <c r="AQ261" i="13"/>
  <c r="AR261" i="13" s="1"/>
  <c r="AS261" i="13" s="1"/>
  <c r="AT261" i="13"/>
  <c r="A262" i="13"/>
  <c r="B262" i="13"/>
  <c r="C262" i="13"/>
  <c r="D262" i="13"/>
  <c r="E262" i="13"/>
  <c r="AT262" i="13" s="1"/>
  <c r="F262" i="13"/>
  <c r="AW262" i="13" s="1"/>
  <c r="G262" i="13"/>
  <c r="H262" i="13"/>
  <c r="I262" i="13"/>
  <c r="J262" i="13"/>
  <c r="K262" i="13"/>
  <c r="L262" i="13"/>
  <c r="M262" i="13"/>
  <c r="N262" i="13"/>
  <c r="O262" i="13"/>
  <c r="Q262" i="13"/>
  <c r="R262" i="13"/>
  <c r="S262" i="13"/>
  <c r="T262" i="13"/>
  <c r="U262" i="13"/>
  <c r="V262" i="13"/>
  <c r="W262" i="13"/>
  <c r="X262" i="13"/>
  <c r="Y262" i="13"/>
  <c r="Z262" i="13"/>
  <c r="AA262" i="13"/>
  <c r="AB262" i="13"/>
  <c r="AC262" i="13"/>
  <c r="AE262" i="13"/>
  <c r="AK262" i="13" s="1"/>
  <c r="AF262" i="13"/>
  <c r="AG262" i="13"/>
  <c r="AH262" i="13"/>
  <c r="AI262" i="13"/>
  <c r="AJ262" i="13"/>
  <c r="AL262" i="13"/>
  <c r="AM262" i="13"/>
  <c r="AN262" i="13"/>
  <c r="AO262" i="13"/>
  <c r="AP262" i="13"/>
  <c r="AQ262" i="13"/>
  <c r="A263" i="13"/>
  <c r="B263" i="13"/>
  <c r="C263" i="13"/>
  <c r="D263" i="13"/>
  <c r="E263" i="13"/>
  <c r="F263" i="13"/>
  <c r="AW263" i="13" s="1"/>
  <c r="G263" i="13"/>
  <c r="H263" i="13"/>
  <c r="I263" i="13"/>
  <c r="J263" i="13"/>
  <c r="K263" i="13"/>
  <c r="L263" i="13"/>
  <c r="M263" i="13"/>
  <c r="N263" i="13"/>
  <c r="O263" i="13"/>
  <c r="Q263" i="13"/>
  <c r="R263" i="13"/>
  <c r="S263" i="13"/>
  <c r="T263" i="13"/>
  <c r="U263" i="13"/>
  <c r="V263" i="13"/>
  <c r="X263" i="13"/>
  <c r="Y263" i="13"/>
  <c r="Z263" i="13"/>
  <c r="AA263" i="13"/>
  <c r="AB263" i="13"/>
  <c r="AC263" i="13"/>
  <c r="AE263" i="13"/>
  <c r="AF263" i="13"/>
  <c r="AG263" i="13"/>
  <c r="AH263" i="13"/>
  <c r="AI263" i="13"/>
  <c r="AJ263" i="13"/>
  <c r="AL263" i="13"/>
  <c r="AM263" i="13"/>
  <c r="AN263" i="13"/>
  <c r="AO263" i="13"/>
  <c r="AP263" i="13"/>
  <c r="AQ263" i="13"/>
  <c r="A264" i="13"/>
  <c r="B264" i="13"/>
  <c r="C264" i="13"/>
  <c r="D264" i="13"/>
  <c r="E264" i="13"/>
  <c r="F264" i="13"/>
  <c r="G264" i="13"/>
  <c r="H264" i="13"/>
  <c r="I264" i="13"/>
  <c r="J264" i="13"/>
  <c r="K264" i="13"/>
  <c r="L264" i="13"/>
  <c r="M264" i="13"/>
  <c r="N264" i="13"/>
  <c r="O264" i="13"/>
  <c r="Q264" i="13"/>
  <c r="R264" i="13"/>
  <c r="S264" i="13"/>
  <c r="T264" i="13"/>
  <c r="U264" i="13"/>
  <c r="V264" i="13"/>
  <c r="X264" i="13"/>
  <c r="Y264" i="13"/>
  <c r="Z264" i="13"/>
  <c r="AA264" i="13"/>
  <c r="AB264" i="13"/>
  <c r="AC264" i="13"/>
  <c r="AE264" i="13"/>
  <c r="AF264" i="13"/>
  <c r="AG264" i="13"/>
  <c r="AH264" i="13"/>
  <c r="AI264" i="13"/>
  <c r="AJ264" i="13"/>
  <c r="AL264" i="13"/>
  <c r="AM264" i="13"/>
  <c r="AN264" i="13"/>
  <c r="AO264" i="13"/>
  <c r="AP264" i="13"/>
  <c r="AQ264" i="13"/>
  <c r="AT264" i="13"/>
  <c r="AU264" i="13"/>
  <c r="AW264" i="13"/>
  <c r="A265" i="13"/>
  <c r="B265" i="13"/>
  <c r="C265" i="13"/>
  <c r="D265" i="13"/>
  <c r="E265" i="13"/>
  <c r="AT265" i="13" s="1"/>
  <c r="F265" i="13"/>
  <c r="AW265" i="13" s="1"/>
  <c r="G265" i="13"/>
  <c r="H265" i="13"/>
  <c r="I265" i="13"/>
  <c r="J265" i="13"/>
  <c r="K265" i="13"/>
  <c r="L265" i="13"/>
  <c r="M265" i="13"/>
  <c r="N265" i="13"/>
  <c r="O265" i="13"/>
  <c r="Q265" i="13"/>
  <c r="W265" i="13" s="1"/>
  <c r="R265" i="13"/>
  <c r="S265" i="13"/>
  <c r="T265" i="13"/>
  <c r="U265" i="13"/>
  <c r="V265" i="13"/>
  <c r="X265" i="13"/>
  <c r="Y265" i="13"/>
  <c r="Z265" i="13"/>
  <c r="AA265" i="13"/>
  <c r="AB265" i="13"/>
  <c r="AC265" i="13"/>
  <c r="AE265" i="13"/>
  <c r="AF265" i="13"/>
  <c r="AK265" i="13" s="1"/>
  <c r="AG265" i="13"/>
  <c r="AH265" i="13"/>
  <c r="AI265" i="13"/>
  <c r="AJ265" i="13"/>
  <c r="AL265" i="13"/>
  <c r="AM265" i="13"/>
  <c r="AN265" i="13"/>
  <c r="AO265" i="13"/>
  <c r="AP265" i="13"/>
  <c r="AQ265" i="13"/>
  <c r="AU265" i="13"/>
  <c r="A266" i="13"/>
  <c r="B266" i="13"/>
  <c r="C266" i="13"/>
  <c r="D266" i="13"/>
  <c r="E266" i="13"/>
  <c r="F266" i="13"/>
  <c r="G266" i="13"/>
  <c r="H266" i="13"/>
  <c r="I266" i="13"/>
  <c r="J266" i="13"/>
  <c r="K266" i="13"/>
  <c r="L266" i="13"/>
  <c r="M266" i="13"/>
  <c r="P266" i="13" s="1"/>
  <c r="BA266" i="13" s="1"/>
  <c r="N266" i="13"/>
  <c r="O266" i="13"/>
  <c r="Q266" i="13"/>
  <c r="R266" i="13"/>
  <c r="S266" i="13"/>
  <c r="T266" i="13"/>
  <c r="U266" i="13"/>
  <c r="V266" i="13"/>
  <c r="X266" i="13"/>
  <c r="Y266" i="13"/>
  <c r="Z266" i="13"/>
  <c r="AA266" i="13"/>
  <c r="AB266" i="13"/>
  <c r="AC266" i="13"/>
  <c r="AE266" i="13"/>
  <c r="AK266" i="13" s="1"/>
  <c r="AF266" i="13"/>
  <c r="AG266" i="13"/>
  <c r="AH266" i="13"/>
  <c r="AI266" i="13"/>
  <c r="AJ266" i="13"/>
  <c r="AL266" i="13"/>
  <c r="AM266" i="13"/>
  <c r="AN266" i="13"/>
  <c r="AO266" i="13"/>
  <c r="AP266" i="13"/>
  <c r="AQ266" i="13"/>
  <c r="A267" i="13"/>
  <c r="B267" i="13"/>
  <c r="C267" i="13"/>
  <c r="D267" i="13"/>
  <c r="E267" i="13"/>
  <c r="AT267" i="13" s="1"/>
  <c r="F267" i="13"/>
  <c r="G267" i="13"/>
  <c r="H267" i="13"/>
  <c r="I267" i="13"/>
  <c r="J267" i="13"/>
  <c r="K267" i="13"/>
  <c r="L267" i="13"/>
  <c r="M267" i="13"/>
  <c r="N267" i="13"/>
  <c r="O267" i="13"/>
  <c r="Q267" i="13"/>
  <c r="R267" i="13"/>
  <c r="S267" i="13"/>
  <c r="T267" i="13"/>
  <c r="U267" i="13"/>
  <c r="V267" i="13"/>
  <c r="X267" i="13"/>
  <c r="Y267" i="13"/>
  <c r="Z267" i="13"/>
  <c r="AA267" i="13"/>
  <c r="AB267" i="13"/>
  <c r="AC267" i="13"/>
  <c r="AE267" i="13"/>
  <c r="AK267" i="13" s="1"/>
  <c r="AF267" i="13"/>
  <c r="AG267" i="13"/>
  <c r="AH267" i="13"/>
  <c r="AI267" i="13"/>
  <c r="AJ267" i="13"/>
  <c r="AL267" i="13"/>
  <c r="AM267" i="13"/>
  <c r="AN267" i="13"/>
  <c r="AO267" i="13"/>
  <c r="AP267" i="13"/>
  <c r="AQ267" i="13"/>
  <c r="A268" i="13"/>
  <c r="B268" i="13"/>
  <c r="C268" i="13"/>
  <c r="D268" i="13"/>
  <c r="E268" i="13"/>
  <c r="AT268" i="13" s="1"/>
  <c r="F268" i="13"/>
  <c r="G268" i="13"/>
  <c r="H268" i="13"/>
  <c r="I268" i="13"/>
  <c r="J268" i="13"/>
  <c r="K268" i="13"/>
  <c r="L268" i="13"/>
  <c r="M268" i="13"/>
  <c r="N268" i="13"/>
  <c r="O268" i="13"/>
  <c r="Q268" i="13"/>
  <c r="R268" i="13"/>
  <c r="S268" i="13"/>
  <c r="T268" i="13"/>
  <c r="U268" i="13"/>
  <c r="V268" i="13"/>
  <c r="X268" i="13"/>
  <c r="Y268" i="13"/>
  <c r="Z268" i="13"/>
  <c r="AA268" i="13"/>
  <c r="AB268" i="13"/>
  <c r="AC268" i="13"/>
  <c r="AE268" i="13"/>
  <c r="AK268" i="13" s="1"/>
  <c r="AF268" i="13"/>
  <c r="AG268" i="13"/>
  <c r="AH268" i="13"/>
  <c r="AI268" i="13"/>
  <c r="AJ268" i="13"/>
  <c r="AL268" i="13"/>
  <c r="AM268" i="13"/>
  <c r="AN268" i="13"/>
  <c r="AO268" i="13"/>
  <c r="AP268" i="13"/>
  <c r="AQ268" i="13"/>
  <c r="A269" i="13"/>
  <c r="B269" i="13"/>
  <c r="C269" i="13"/>
  <c r="D269" i="13"/>
  <c r="E269" i="13"/>
  <c r="F269" i="13"/>
  <c r="G269" i="13"/>
  <c r="H269" i="13"/>
  <c r="I269" i="13"/>
  <c r="J269" i="13"/>
  <c r="K269" i="13"/>
  <c r="L269" i="13"/>
  <c r="M269" i="13"/>
  <c r="N269" i="13"/>
  <c r="O269" i="13"/>
  <c r="Q269" i="13"/>
  <c r="R269" i="13"/>
  <c r="S269" i="13"/>
  <c r="T269" i="13"/>
  <c r="U269" i="13"/>
  <c r="V269" i="13"/>
  <c r="X269" i="13"/>
  <c r="Y269" i="13"/>
  <c r="Z269" i="13"/>
  <c r="AA269" i="13"/>
  <c r="AB269" i="13"/>
  <c r="AC269" i="13"/>
  <c r="AE269" i="13"/>
  <c r="AF269" i="13"/>
  <c r="AG269" i="13"/>
  <c r="AH269" i="13"/>
  <c r="AI269" i="13"/>
  <c r="AJ269" i="13"/>
  <c r="AK269" i="13"/>
  <c r="AL269" i="13"/>
  <c r="AM269" i="13"/>
  <c r="AN269" i="13"/>
  <c r="AO269" i="13"/>
  <c r="AP269" i="13"/>
  <c r="AQ269" i="13"/>
  <c r="A270" i="13"/>
  <c r="B270" i="13"/>
  <c r="C270" i="13"/>
  <c r="D270" i="13"/>
  <c r="E270" i="13"/>
  <c r="AT270" i="13" s="1"/>
  <c r="F270" i="13"/>
  <c r="G270" i="13"/>
  <c r="H270" i="13"/>
  <c r="I270" i="13"/>
  <c r="J270" i="13"/>
  <c r="K270" i="13"/>
  <c r="L270" i="13"/>
  <c r="M270" i="13"/>
  <c r="N270" i="13"/>
  <c r="O270" i="13"/>
  <c r="Q270" i="13"/>
  <c r="R270" i="13"/>
  <c r="S270" i="13"/>
  <c r="T270" i="13"/>
  <c r="U270" i="13"/>
  <c r="V270" i="13"/>
  <c r="X270" i="13"/>
  <c r="Y270" i="13"/>
  <c r="Z270" i="13"/>
  <c r="AA270" i="13"/>
  <c r="AB270" i="13"/>
  <c r="AC270" i="13"/>
  <c r="AE270" i="13"/>
  <c r="AF270" i="13"/>
  <c r="AG270" i="13"/>
  <c r="AH270" i="13"/>
  <c r="AI270" i="13"/>
  <c r="AJ270" i="13"/>
  <c r="AL270" i="13"/>
  <c r="AM270" i="13"/>
  <c r="AN270" i="13"/>
  <c r="AO270" i="13"/>
  <c r="AP270" i="13"/>
  <c r="AQ270" i="13"/>
  <c r="A271" i="13"/>
  <c r="B271" i="13"/>
  <c r="C271" i="13"/>
  <c r="D271" i="13"/>
  <c r="E271" i="13"/>
  <c r="AT271" i="13" s="1"/>
  <c r="F271" i="13"/>
  <c r="AW271" i="13" s="1"/>
  <c r="G271" i="13"/>
  <c r="H271" i="13"/>
  <c r="I271" i="13"/>
  <c r="J271" i="13"/>
  <c r="K271" i="13"/>
  <c r="L271" i="13"/>
  <c r="M271" i="13"/>
  <c r="N271" i="13"/>
  <c r="O271" i="13"/>
  <c r="Q271" i="13"/>
  <c r="R271" i="13"/>
  <c r="W271" i="13" s="1"/>
  <c r="S271" i="13"/>
  <c r="T271" i="13"/>
  <c r="U271" i="13"/>
  <c r="V271" i="13"/>
  <c r="X271" i="13"/>
  <c r="Y271" i="13"/>
  <c r="Z271" i="13"/>
  <c r="AA271" i="13"/>
  <c r="AB271" i="13"/>
  <c r="AC271" i="13"/>
  <c r="AE271" i="13"/>
  <c r="AF271" i="13"/>
  <c r="AG271" i="13"/>
  <c r="AH271" i="13"/>
  <c r="AI271" i="13"/>
  <c r="AJ271" i="13"/>
  <c r="AL271" i="13"/>
  <c r="AM271" i="13"/>
  <c r="AN271" i="13"/>
  <c r="AO271" i="13"/>
  <c r="AP271" i="13"/>
  <c r="AQ271" i="13"/>
  <c r="AU271" i="13"/>
  <c r="A272" i="13"/>
  <c r="B272" i="13"/>
  <c r="C272" i="13"/>
  <c r="D272" i="13"/>
  <c r="E272" i="13"/>
  <c r="F272" i="13"/>
  <c r="G272" i="13"/>
  <c r="H272" i="13"/>
  <c r="I272" i="13"/>
  <c r="J272" i="13"/>
  <c r="K272" i="13"/>
  <c r="L272" i="13"/>
  <c r="M272" i="13"/>
  <c r="N272" i="13"/>
  <c r="O272" i="13"/>
  <c r="Q272" i="13"/>
  <c r="R272" i="13"/>
  <c r="S272" i="13"/>
  <c r="T272" i="13"/>
  <c r="U272" i="13"/>
  <c r="V272" i="13"/>
  <c r="X272" i="13"/>
  <c r="Y272" i="13"/>
  <c r="Z272" i="13"/>
  <c r="AA272" i="13"/>
  <c r="AB272" i="13"/>
  <c r="AC272" i="13"/>
  <c r="AE272" i="13"/>
  <c r="AF272" i="13"/>
  <c r="AG272" i="13"/>
  <c r="AH272" i="13"/>
  <c r="AI272" i="13"/>
  <c r="AJ272" i="13"/>
  <c r="AK272" i="13"/>
  <c r="AL272" i="13"/>
  <c r="AM272" i="13"/>
  <c r="AN272" i="13"/>
  <c r="AO272" i="13"/>
  <c r="AP272" i="13"/>
  <c r="AQ272" i="13"/>
  <c r="A273" i="13"/>
  <c r="B273" i="13"/>
  <c r="C273" i="13"/>
  <c r="D273" i="13"/>
  <c r="E273" i="13"/>
  <c r="AT273" i="13" s="1"/>
  <c r="F273" i="13"/>
  <c r="G273" i="13"/>
  <c r="H273" i="13"/>
  <c r="I273" i="13"/>
  <c r="J273" i="13"/>
  <c r="K273" i="13"/>
  <c r="L273" i="13"/>
  <c r="M273" i="13"/>
  <c r="N273" i="13"/>
  <c r="O273" i="13"/>
  <c r="Q273" i="13"/>
  <c r="R273" i="13"/>
  <c r="S273" i="13"/>
  <c r="T273" i="13"/>
  <c r="U273" i="13"/>
  <c r="V273" i="13"/>
  <c r="X273" i="13"/>
  <c r="Y273" i="13"/>
  <c r="Z273" i="13"/>
  <c r="AA273" i="13"/>
  <c r="AB273" i="13"/>
  <c r="AC273" i="13"/>
  <c r="AE273" i="13"/>
  <c r="AF273" i="13"/>
  <c r="AG273" i="13"/>
  <c r="AH273" i="13"/>
  <c r="AI273" i="13"/>
  <c r="AJ273" i="13"/>
  <c r="AL273" i="13"/>
  <c r="AM273" i="13"/>
  <c r="AN273" i="13"/>
  <c r="AO273" i="13"/>
  <c r="AP273" i="13"/>
  <c r="AQ273" i="13"/>
  <c r="A274" i="13"/>
  <c r="B274" i="13"/>
  <c r="C274" i="13"/>
  <c r="D274" i="13"/>
  <c r="E274" i="13"/>
  <c r="AT274" i="13" s="1"/>
  <c r="F274" i="13"/>
  <c r="G274" i="13"/>
  <c r="H274" i="13"/>
  <c r="I274" i="13"/>
  <c r="J274" i="13"/>
  <c r="K274" i="13"/>
  <c r="L274" i="13"/>
  <c r="M274" i="13"/>
  <c r="N274" i="13"/>
  <c r="O274" i="13"/>
  <c r="Q274" i="13"/>
  <c r="R274" i="13"/>
  <c r="S274" i="13"/>
  <c r="W274" i="13" s="1"/>
  <c r="T274" i="13"/>
  <c r="U274" i="13"/>
  <c r="V274" i="13"/>
  <c r="X274" i="13"/>
  <c r="Y274" i="13"/>
  <c r="Z274" i="13"/>
  <c r="AA274" i="13"/>
  <c r="AB274" i="13"/>
  <c r="AC274" i="13"/>
  <c r="AE274" i="13"/>
  <c r="AF274" i="13"/>
  <c r="AG274" i="13"/>
  <c r="AH274" i="13"/>
  <c r="AI274" i="13"/>
  <c r="AJ274" i="13"/>
  <c r="AK274" i="13"/>
  <c r="AL274" i="13"/>
  <c r="AM274" i="13"/>
  <c r="AN274" i="13"/>
  <c r="AO274" i="13"/>
  <c r="AR274" i="13" s="1"/>
  <c r="AS274" i="13" s="1"/>
  <c r="AP274" i="13"/>
  <c r="AQ274" i="13"/>
  <c r="AU274" i="13"/>
  <c r="AW274" i="13"/>
  <c r="A275" i="13"/>
  <c r="B275" i="13"/>
  <c r="C275" i="13"/>
  <c r="D275" i="13"/>
  <c r="E275" i="13"/>
  <c r="F275" i="13"/>
  <c r="G275" i="13"/>
  <c r="H275" i="13"/>
  <c r="I275" i="13"/>
  <c r="J275" i="13"/>
  <c r="K275" i="13"/>
  <c r="L275" i="13"/>
  <c r="M275" i="13"/>
  <c r="N275" i="13"/>
  <c r="O275" i="13"/>
  <c r="Q275" i="13"/>
  <c r="W275" i="13" s="1"/>
  <c r="R275" i="13"/>
  <c r="S275" i="13"/>
  <c r="T275" i="13"/>
  <c r="U275" i="13"/>
  <c r="V275" i="13"/>
  <c r="X275" i="13"/>
  <c r="Y275" i="13"/>
  <c r="Z275" i="13"/>
  <c r="AA275" i="13"/>
  <c r="AB275" i="13"/>
  <c r="AC275" i="13"/>
  <c r="AE275" i="13"/>
  <c r="AK275" i="13" s="1"/>
  <c r="AF275" i="13"/>
  <c r="AG275" i="13"/>
  <c r="AH275" i="13"/>
  <c r="AI275" i="13"/>
  <c r="AJ275" i="13"/>
  <c r="AL275" i="13"/>
  <c r="AM275" i="13"/>
  <c r="AN275" i="13"/>
  <c r="AO275" i="13"/>
  <c r="AP275" i="13"/>
  <c r="AQ275" i="13"/>
  <c r="A276" i="13"/>
  <c r="B276" i="13"/>
  <c r="C276" i="13"/>
  <c r="D276" i="13"/>
  <c r="E276" i="13"/>
  <c r="AT276" i="13" s="1"/>
  <c r="F276" i="13"/>
  <c r="G276" i="13"/>
  <c r="H276" i="13"/>
  <c r="I276" i="13"/>
  <c r="J276" i="13"/>
  <c r="K276" i="13"/>
  <c r="L276" i="13"/>
  <c r="M276" i="13"/>
  <c r="N276" i="13"/>
  <c r="O276" i="13"/>
  <c r="Q276" i="13"/>
  <c r="R276" i="13"/>
  <c r="S276" i="13"/>
  <c r="T276" i="13"/>
  <c r="U276" i="13"/>
  <c r="V276" i="13"/>
  <c r="X276" i="13"/>
  <c r="Y276" i="13"/>
  <c r="Z276" i="13"/>
  <c r="AA276" i="13"/>
  <c r="AB276" i="13"/>
  <c r="AC276" i="13"/>
  <c r="AE276" i="13"/>
  <c r="AF276" i="13"/>
  <c r="AG276" i="13"/>
  <c r="AH276" i="13"/>
  <c r="AI276" i="13"/>
  <c r="AJ276" i="13"/>
  <c r="AL276" i="13"/>
  <c r="AM276" i="13"/>
  <c r="AN276" i="13"/>
  <c r="AO276" i="13"/>
  <c r="AP276" i="13"/>
  <c r="AQ276" i="13"/>
  <c r="A277" i="13"/>
  <c r="B277" i="13"/>
  <c r="C277" i="13"/>
  <c r="D277" i="13"/>
  <c r="E277" i="13"/>
  <c r="F277" i="13"/>
  <c r="G277" i="13"/>
  <c r="H277" i="13"/>
  <c r="I277" i="13"/>
  <c r="J277" i="13"/>
  <c r="K277" i="13"/>
  <c r="L277" i="13"/>
  <c r="M277" i="13"/>
  <c r="N277" i="13"/>
  <c r="O277" i="13"/>
  <c r="Q277" i="13"/>
  <c r="W277" i="13" s="1"/>
  <c r="R277" i="13"/>
  <c r="S277" i="13"/>
  <c r="T277" i="13"/>
  <c r="U277" i="13"/>
  <c r="V277" i="13"/>
  <c r="X277" i="13"/>
  <c r="Y277" i="13"/>
  <c r="Z277" i="13"/>
  <c r="AA277" i="13"/>
  <c r="AB277" i="13"/>
  <c r="AC277" i="13"/>
  <c r="AE277" i="13"/>
  <c r="AK277" i="13" s="1"/>
  <c r="AF277" i="13"/>
  <c r="AG277" i="13"/>
  <c r="AH277" i="13"/>
  <c r="AI277" i="13"/>
  <c r="AJ277" i="13"/>
  <c r="AL277" i="13"/>
  <c r="AM277" i="13"/>
  <c r="AN277" i="13"/>
  <c r="AO277" i="13"/>
  <c r="AP277" i="13"/>
  <c r="AQ277" i="13"/>
  <c r="AT277" i="13"/>
  <c r="AU277" i="13"/>
  <c r="AW277" i="13"/>
  <c r="A278" i="13"/>
  <c r="B278" i="13"/>
  <c r="C278" i="13"/>
  <c r="D278" i="13"/>
  <c r="E278" i="13"/>
  <c r="F278" i="13"/>
  <c r="G278" i="13"/>
  <c r="H278" i="13"/>
  <c r="I278" i="13"/>
  <c r="J278" i="13"/>
  <c r="K278" i="13"/>
  <c r="L278" i="13"/>
  <c r="M278" i="13"/>
  <c r="N278" i="13"/>
  <c r="O278" i="13"/>
  <c r="Q278" i="13"/>
  <c r="R278" i="13"/>
  <c r="S278" i="13"/>
  <c r="T278" i="13"/>
  <c r="U278" i="13"/>
  <c r="V278" i="13"/>
  <c r="X278" i="13"/>
  <c r="Y278" i="13"/>
  <c r="Z278" i="13"/>
  <c r="AA278" i="13"/>
  <c r="AB278" i="13"/>
  <c r="AC278" i="13"/>
  <c r="AE278" i="13"/>
  <c r="AF278" i="13"/>
  <c r="AG278" i="13"/>
  <c r="AH278" i="13"/>
  <c r="AI278" i="13"/>
  <c r="AJ278" i="13"/>
  <c r="AL278" i="13"/>
  <c r="AM278" i="13"/>
  <c r="AN278" i="13"/>
  <c r="AO278" i="13"/>
  <c r="AP278" i="13"/>
  <c r="AQ278" i="13"/>
  <c r="A279" i="13"/>
  <c r="B279" i="13"/>
  <c r="C279" i="13"/>
  <c r="D279" i="13"/>
  <c r="E279" i="13"/>
  <c r="AT279" i="13" s="1"/>
  <c r="F279" i="13"/>
  <c r="G279" i="13"/>
  <c r="H279" i="13"/>
  <c r="I279" i="13"/>
  <c r="J279" i="13"/>
  <c r="K279" i="13"/>
  <c r="L279" i="13"/>
  <c r="M279" i="13"/>
  <c r="N279" i="13"/>
  <c r="O279" i="13"/>
  <c r="Q279" i="13"/>
  <c r="R279" i="13"/>
  <c r="S279" i="13"/>
  <c r="T279" i="13"/>
  <c r="U279" i="13"/>
  <c r="V279" i="13"/>
  <c r="X279" i="13"/>
  <c r="Y279" i="13"/>
  <c r="Z279" i="13"/>
  <c r="AA279" i="13"/>
  <c r="AB279" i="13"/>
  <c r="AC279" i="13"/>
  <c r="AE279" i="13"/>
  <c r="AF279" i="13"/>
  <c r="AG279" i="13"/>
  <c r="AH279" i="13"/>
  <c r="AI279" i="13"/>
  <c r="AJ279" i="13"/>
  <c r="AL279" i="13"/>
  <c r="AM279" i="13"/>
  <c r="AN279" i="13"/>
  <c r="AO279" i="13"/>
  <c r="AP279" i="13"/>
  <c r="AQ279" i="13"/>
  <c r="A280" i="13"/>
  <c r="B280" i="13"/>
  <c r="C280" i="13"/>
  <c r="D280" i="13"/>
  <c r="E280" i="13"/>
  <c r="AT280" i="13" s="1"/>
  <c r="F280" i="13"/>
  <c r="AW280" i="13" s="1"/>
  <c r="G280" i="13"/>
  <c r="H280" i="13"/>
  <c r="I280" i="13"/>
  <c r="J280" i="13"/>
  <c r="K280" i="13"/>
  <c r="L280" i="13"/>
  <c r="M280" i="13"/>
  <c r="N280" i="13"/>
  <c r="O280" i="13"/>
  <c r="Q280" i="13"/>
  <c r="R280" i="13"/>
  <c r="S280" i="13"/>
  <c r="T280" i="13"/>
  <c r="U280" i="13"/>
  <c r="V280" i="13"/>
  <c r="W280" i="13"/>
  <c r="X280" i="13"/>
  <c r="AD280" i="13" s="1"/>
  <c r="Y280" i="13"/>
  <c r="Z280" i="13"/>
  <c r="AA280" i="13"/>
  <c r="AB280" i="13"/>
  <c r="AC280" i="13"/>
  <c r="AE280" i="13"/>
  <c r="AF280" i="13"/>
  <c r="AG280" i="13"/>
  <c r="AH280" i="13"/>
  <c r="AI280" i="13"/>
  <c r="AJ280" i="13"/>
  <c r="AL280" i="13"/>
  <c r="AR280" i="13" s="1"/>
  <c r="AS280" i="13" s="1"/>
  <c r="AM280" i="13"/>
  <c r="AN280" i="13"/>
  <c r="AO280" i="13"/>
  <c r="AP280" i="13"/>
  <c r="AQ280" i="13"/>
  <c r="AU280" i="13"/>
  <c r="A281" i="13"/>
  <c r="B281" i="13"/>
  <c r="C281" i="13"/>
  <c r="D281" i="13"/>
  <c r="E281" i="13"/>
  <c r="F281" i="13"/>
  <c r="G281" i="13"/>
  <c r="H281" i="13"/>
  <c r="I281" i="13"/>
  <c r="J281" i="13"/>
  <c r="K281" i="13"/>
  <c r="L281" i="13"/>
  <c r="M281" i="13"/>
  <c r="N281" i="13"/>
  <c r="O281" i="13"/>
  <c r="Q281" i="13"/>
  <c r="R281" i="13"/>
  <c r="S281" i="13"/>
  <c r="T281" i="13"/>
  <c r="U281" i="13"/>
  <c r="V281" i="13"/>
  <c r="X281" i="13"/>
  <c r="Y281" i="13"/>
  <c r="Z281" i="13"/>
  <c r="AA281" i="13"/>
  <c r="AB281" i="13"/>
  <c r="AC281" i="13"/>
  <c r="AE281" i="13"/>
  <c r="AF281" i="13"/>
  <c r="AG281" i="13"/>
  <c r="AH281" i="13"/>
  <c r="AI281" i="13"/>
  <c r="AJ281" i="13"/>
  <c r="AK281" i="13"/>
  <c r="AL281" i="13"/>
  <c r="AM281" i="13"/>
  <c r="AN281" i="13"/>
  <c r="AO281" i="13"/>
  <c r="AP281" i="13"/>
  <c r="AQ281" i="13"/>
  <c r="A282" i="13"/>
  <c r="B282" i="13"/>
  <c r="C282" i="13"/>
  <c r="D282" i="13"/>
  <c r="E282" i="13"/>
  <c r="AT282" i="13" s="1"/>
  <c r="F282" i="13"/>
  <c r="AW282" i="13" s="1"/>
  <c r="G282" i="13"/>
  <c r="H282" i="13"/>
  <c r="I282" i="13"/>
  <c r="J282" i="13"/>
  <c r="P282" i="13" s="1"/>
  <c r="K282" i="13"/>
  <c r="L282" i="13"/>
  <c r="M282" i="13"/>
  <c r="N282" i="13"/>
  <c r="O282" i="13"/>
  <c r="Q282" i="13"/>
  <c r="R282" i="13"/>
  <c r="S282" i="13"/>
  <c r="T282" i="13"/>
  <c r="U282" i="13"/>
  <c r="V282" i="13"/>
  <c r="X282" i="13"/>
  <c r="Y282" i="13"/>
  <c r="Z282" i="13"/>
  <c r="AA282" i="13"/>
  <c r="AB282" i="13"/>
  <c r="AC282" i="13"/>
  <c r="AE282" i="13"/>
  <c r="AF282" i="13"/>
  <c r="AG282" i="13"/>
  <c r="AH282" i="13"/>
  <c r="AI282" i="13"/>
  <c r="AJ282" i="13"/>
  <c r="AL282" i="13"/>
  <c r="AM282" i="13"/>
  <c r="AN282" i="13"/>
  <c r="AO282" i="13"/>
  <c r="AP282" i="13"/>
  <c r="AQ282" i="13"/>
  <c r="A283" i="13"/>
  <c r="B283" i="13"/>
  <c r="C283" i="13"/>
  <c r="D283" i="13"/>
  <c r="E283" i="13"/>
  <c r="F283" i="13"/>
  <c r="G283" i="13"/>
  <c r="H283" i="13"/>
  <c r="I283" i="13"/>
  <c r="J283" i="13"/>
  <c r="K283" i="13"/>
  <c r="L283" i="13"/>
  <c r="M283" i="13"/>
  <c r="N283" i="13"/>
  <c r="O283" i="13"/>
  <c r="Q283" i="13"/>
  <c r="R283" i="13"/>
  <c r="W283" i="13" s="1"/>
  <c r="S283" i="13"/>
  <c r="T283" i="13"/>
  <c r="U283" i="13"/>
  <c r="V283" i="13"/>
  <c r="X283" i="13"/>
  <c r="Y283" i="13"/>
  <c r="Z283" i="13"/>
  <c r="AA283" i="13"/>
  <c r="AB283" i="13"/>
  <c r="AC283" i="13"/>
  <c r="AE283" i="13"/>
  <c r="AF283" i="13"/>
  <c r="AG283" i="13"/>
  <c r="AH283" i="13"/>
  <c r="AI283" i="13"/>
  <c r="AJ283" i="13"/>
  <c r="AK283" i="13"/>
  <c r="AL283" i="13"/>
  <c r="AM283" i="13"/>
  <c r="AN283" i="13"/>
  <c r="AO283" i="13"/>
  <c r="AP283" i="13"/>
  <c r="AQ283" i="13"/>
  <c r="AR283" i="13"/>
  <c r="AS283" i="13"/>
  <c r="AT283" i="13"/>
  <c r="AU283" i="13"/>
  <c r="AW283" i="13"/>
  <c r="A284" i="13"/>
  <c r="B284" i="13"/>
  <c r="C284" i="13"/>
  <c r="D284" i="13"/>
  <c r="E284" i="13"/>
  <c r="F284" i="13"/>
  <c r="G284" i="13"/>
  <c r="H284" i="13"/>
  <c r="I284" i="13"/>
  <c r="J284" i="13"/>
  <c r="K284" i="13"/>
  <c r="L284" i="13"/>
  <c r="M284" i="13"/>
  <c r="N284" i="13"/>
  <c r="O284" i="13"/>
  <c r="Q284" i="13"/>
  <c r="R284" i="13"/>
  <c r="S284" i="13"/>
  <c r="T284" i="13"/>
  <c r="U284" i="13"/>
  <c r="V284" i="13"/>
  <c r="X284" i="13"/>
  <c r="Y284" i="13"/>
  <c r="Z284" i="13"/>
  <c r="AA284" i="13"/>
  <c r="AB284" i="13"/>
  <c r="AC284" i="13"/>
  <c r="AE284" i="13"/>
  <c r="AK284" i="13" s="1"/>
  <c r="AF284" i="13"/>
  <c r="AG284" i="13"/>
  <c r="AH284" i="13"/>
  <c r="AI284" i="13"/>
  <c r="AJ284" i="13"/>
  <c r="AL284" i="13"/>
  <c r="AM284" i="13"/>
  <c r="AN284" i="13"/>
  <c r="AO284" i="13"/>
  <c r="AP284" i="13"/>
  <c r="AQ284" i="13"/>
  <c r="A285" i="13"/>
  <c r="B285" i="13"/>
  <c r="C285" i="13"/>
  <c r="D285" i="13"/>
  <c r="E285" i="13"/>
  <c r="AT285" i="13" s="1"/>
  <c r="F285" i="13"/>
  <c r="G285" i="13"/>
  <c r="H285" i="13"/>
  <c r="I285" i="13"/>
  <c r="J285" i="13"/>
  <c r="K285" i="13"/>
  <c r="P285" i="13" s="1"/>
  <c r="L285" i="13"/>
  <c r="M285" i="13"/>
  <c r="N285" i="13"/>
  <c r="O285" i="13"/>
  <c r="Q285" i="13"/>
  <c r="R285" i="13"/>
  <c r="S285" i="13"/>
  <c r="T285" i="13"/>
  <c r="U285" i="13"/>
  <c r="V285" i="13"/>
  <c r="X285" i="13"/>
  <c r="Y285" i="13"/>
  <c r="Z285" i="13"/>
  <c r="AA285" i="13"/>
  <c r="AB285" i="13"/>
  <c r="AC285" i="13"/>
  <c r="AD285" i="13" s="1"/>
  <c r="AE285" i="13"/>
  <c r="AF285" i="13"/>
  <c r="AG285" i="13"/>
  <c r="AH285" i="13"/>
  <c r="AI285" i="13"/>
  <c r="AJ285" i="13"/>
  <c r="AL285" i="13"/>
  <c r="AM285" i="13"/>
  <c r="AN285" i="13"/>
  <c r="AO285" i="13"/>
  <c r="AP285" i="13"/>
  <c r="AQ285" i="13"/>
  <c r="A286" i="13"/>
  <c r="B286" i="13"/>
  <c r="C286" i="13"/>
  <c r="D286" i="13"/>
  <c r="E286" i="13"/>
  <c r="AW286" i="13" s="1"/>
  <c r="F286" i="13"/>
  <c r="G286" i="13"/>
  <c r="H286" i="13"/>
  <c r="I286" i="13"/>
  <c r="J286" i="13"/>
  <c r="K286" i="13"/>
  <c r="L286" i="13"/>
  <c r="M286" i="13"/>
  <c r="N286" i="13"/>
  <c r="O286" i="13"/>
  <c r="Q286" i="13"/>
  <c r="R286" i="13"/>
  <c r="S286" i="13"/>
  <c r="T286" i="13"/>
  <c r="U286" i="13"/>
  <c r="V286" i="13"/>
  <c r="X286" i="13"/>
  <c r="Y286" i="13"/>
  <c r="Z286" i="13"/>
  <c r="AA286" i="13"/>
  <c r="AB286" i="13"/>
  <c r="AC286" i="13"/>
  <c r="AE286" i="13"/>
  <c r="AK286" i="13" s="1"/>
  <c r="AF286" i="13"/>
  <c r="AG286" i="13"/>
  <c r="AH286" i="13"/>
  <c r="AI286" i="13"/>
  <c r="AJ286" i="13"/>
  <c r="AL286" i="13"/>
  <c r="AR286" i="13" s="1"/>
  <c r="AS286" i="13" s="1"/>
  <c r="AM286" i="13"/>
  <c r="AN286" i="13"/>
  <c r="AO286" i="13"/>
  <c r="AP286" i="13"/>
  <c r="AQ286" i="13"/>
  <c r="AT286" i="13"/>
  <c r="AU286" i="13"/>
  <c r="A287" i="13"/>
  <c r="B287" i="13"/>
  <c r="C287" i="13"/>
  <c r="D287" i="13"/>
  <c r="E287" i="13"/>
  <c r="F287" i="13"/>
  <c r="G287" i="13"/>
  <c r="H287" i="13"/>
  <c r="I287" i="13"/>
  <c r="J287" i="13"/>
  <c r="K287" i="13"/>
  <c r="L287" i="13"/>
  <c r="M287" i="13"/>
  <c r="N287" i="13"/>
  <c r="O287" i="13"/>
  <c r="Q287" i="13"/>
  <c r="R287" i="13"/>
  <c r="S287" i="13"/>
  <c r="T287" i="13"/>
  <c r="U287" i="13"/>
  <c r="V287" i="13"/>
  <c r="X287" i="13"/>
  <c r="Y287" i="13"/>
  <c r="Z287" i="13"/>
  <c r="AA287" i="13"/>
  <c r="AB287" i="13"/>
  <c r="AC287" i="13"/>
  <c r="AE287" i="13"/>
  <c r="AK287" i="13" s="1"/>
  <c r="AF287" i="13"/>
  <c r="AG287" i="13"/>
  <c r="AH287" i="13"/>
  <c r="AI287" i="13"/>
  <c r="AJ287" i="13"/>
  <c r="AL287" i="13"/>
  <c r="AM287" i="13"/>
  <c r="AN287" i="13"/>
  <c r="AO287" i="13"/>
  <c r="AP287" i="13"/>
  <c r="AQ287" i="13"/>
  <c r="A288" i="13"/>
  <c r="B288" i="13"/>
  <c r="C288" i="13"/>
  <c r="D288" i="13"/>
  <c r="E288" i="13"/>
  <c r="AT288" i="13" s="1"/>
  <c r="F288" i="13"/>
  <c r="AW288" i="13" s="1"/>
  <c r="G288" i="13"/>
  <c r="H288" i="13"/>
  <c r="I288" i="13"/>
  <c r="J288" i="13"/>
  <c r="K288" i="13"/>
  <c r="L288" i="13"/>
  <c r="M288" i="13"/>
  <c r="N288" i="13"/>
  <c r="O288" i="13"/>
  <c r="P288" i="13"/>
  <c r="AX288" i="13" s="1"/>
  <c r="Q288" i="13"/>
  <c r="R288" i="13"/>
  <c r="S288" i="13"/>
  <c r="T288" i="13"/>
  <c r="U288" i="13"/>
  <c r="V288" i="13"/>
  <c r="X288" i="13"/>
  <c r="Y288" i="13"/>
  <c r="Z288" i="13"/>
  <c r="AA288" i="13"/>
  <c r="AB288" i="13"/>
  <c r="AC288" i="13"/>
  <c r="AE288" i="13"/>
  <c r="AF288" i="13"/>
  <c r="AG288" i="13"/>
  <c r="AH288" i="13"/>
  <c r="AI288" i="13"/>
  <c r="AJ288" i="13"/>
  <c r="AL288" i="13"/>
  <c r="AM288" i="13"/>
  <c r="AN288" i="13"/>
  <c r="AO288" i="13"/>
  <c r="AP288" i="13"/>
  <c r="AQ288" i="13"/>
  <c r="A289" i="13"/>
  <c r="B289" i="13"/>
  <c r="C289" i="13"/>
  <c r="D289" i="13"/>
  <c r="E289" i="13"/>
  <c r="F289" i="13"/>
  <c r="G289" i="13"/>
  <c r="H289" i="13"/>
  <c r="I289" i="13"/>
  <c r="J289" i="13"/>
  <c r="K289" i="13"/>
  <c r="L289" i="13"/>
  <c r="M289" i="13"/>
  <c r="N289" i="13"/>
  <c r="O289" i="13"/>
  <c r="Q289" i="13"/>
  <c r="W289" i="13" s="1"/>
  <c r="R289" i="13"/>
  <c r="S289" i="13"/>
  <c r="T289" i="13"/>
  <c r="U289" i="13"/>
  <c r="V289" i="13"/>
  <c r="X289" i="13"/>
  <c r="Y289" i="13"/>
  <c r="Z289" i="13"/>
  <c r="AA289" i="13"/>
  <c r="AB289" i="13"/>
  <c r="AC289" i="13"/>
  <c r="AE289" i="13"/>
  <c r="AF289" i="13"/>
  <c r="AK289" i="13" s="1"/>
  <c r="AG289" i="13"/>
  <c r="AH289" i="13"/>
  <c r="AI289" i="13"/>
  <c r="AJ289" i="13"/>
  <c r="AL289" i="13"/>
  <c r="AR289" i="13" s="1"/>
  <c r="AS289" i="13" s="1"/>
  <c r="AM289" i="13"/>
  <c r="AN289" i="13"/>
  <c r="AO289" i="13"/>
  <c r="AP289" i="13"/>
  <c r="AQ289" i="13"/>
  <c r="AT289" i="13"/>
  <c r="AU289" i="13"/>
  <c r="AW289" i="13"/>
  <c r="A290" i="13"/>
  <c r="B290" i="13"/>
  <c r="C290" i="13"/>
  <c r="D290" i="13"/>
  <c r="E290" i="13"/>
  <c r="F290" i="13"/>
  <c r="G290" i="13"/>
  <c r="H290" i="13"/>
  <c r="I290" i="13"/>
  <c r="J290" i="13"/>
  <c r="K290" i="13"/>
  <c r="L290" i="13"/>
  <c r="M290" i="13"/>
  <c r="N290" i="13"/>
  <c r="O290" i="13"/>
  <c r="Q290" i="13"/>
  <c r="R290" i="13"/>
  <c r="S290" i="13"/>
  <c r="T290" i="13"/>
  <c r="U290" i="13"/>
  <c r="V290" i="13"/>
  <c r="X290" i="13"/>
  <c r="Y290" i="13"/>
  <c r="Z290" i="13"/>
  <c r="AA290" i="13"/>
  <c r="AB290" i="13"/>
  <c r="AC290" i="13"/>
  <c r="AE290" i="13"/>
  <c r="AF290" i="13"/>
  <c r="AG290" i="13"/>
  <c r="AH290" i="13"/>
  <c r="AI290" i="13"/>
  <c r="AJ290" i="13"/>
  <c r="AK290" i="13"/>
  <c r="AL290" i="13"/>
  <c r="AM290" i="13"/>
  <c r="AN290" i="13"/>
  <c r="AO290" i="13"/>
  <c r="AP290" i="13"/>
  <c r="AQ290" i="13"/>
  <c r="A291" i="13"/>
  <c r="B291" i="13"/>
  <c r="C291" i="13"/>
  <c r="D291" i="13"/>
  <c r="E291" i="13"/>
  <c r="AT291" i="13" s="1"/>
  <c r="F291" i="13"/>
  <c r="G291" i="13"/>
  <c r="H291" i="13"/>
  <c r="I291" i="13"/>
  <c r="J291" i="13"/>
  <c r="K291" i="13"/>
  <c r="L291" i="13"/>
  <c r="M291" i="13"/>
  <c r="N291" i="13"/>
  <c r="O291" i="13"/>
  <c r="P291" i="13"/>
  <c r="Q291" i="13"/>
  <c r="R291" i="13"/>
  <c r="S291" i="13"/>
  <c r="T291" i="13"/>
  <c r="U291" i="13"/>
  <c r="V291" i="13"/>
  <c r="X291" i="13"/>
  <c r="Y291" i="13"/>
  <c r="Z291" i="13"/>
  <c r="AA291" i="13"/>
  <c r="AB291" i="13"/>
  <c r="AC291" i="13"/>
  <c r="AE291" i="13"/>
  <c r="AF291" i="13"/>
  <c r="AG291" i="13"/>
  <c r="AH291" i="13"/>
  <c r="AI291" i="13"/>
  <c r="AJ291" i="13"/>
  <c r="AL291" i="13"/>
  <c r="AM291" i="13"/>
  <c r="AN291" i="13"/>
  <c r="AO291" i="13"/>
  <c r="AP291" i="13"/>
  <c r="AQ291" i="13"/>
  <c r="A292" i="13"/>
  <c r="B292" i="13"/>
  <c r="C292" i="13"/>
  <c r="D292" i="13"/>
  <c r="E292" i="13"/>
  <c r="AT292" i="13" s="1"/>
  <c r="F292" i="13"/>
  <c r="G292" i="13"/>
  <c r="H292" i="13"/>
  <c r="I292" i="13"/>
  <c r="J292" i="13"/>
  <c r="K292" i="13"/>
  <c r="L292" i="13"/>
  <c r="M292" i="13"/>
  <c r="N292" i="13"/>
  <c r="O292" i="13"/>
  <c r="Q292" i="13"/>
  <c r="W292" i="13" s="1"/>
  <c r="R292" i="13"/>
  <c r="S292" i="13"/>
  <c r="T292" i="13"/>
  <c r="U292" i="13"/>
  <c r="V292" i="13"/>
  <c r="X292" i="13"/>
  <c r="Y292" i="13"/>
  <c r="Z292" i="13"/>
  <c r="AA292" i="13"/>
  <c r="AB292" i="13"/>
  <c r="AC292" i="13"/>
  <c r="AE292" i="13"/>
  <c r="AK292" i="13" s="1"/>
  <c r="AF292" i="13"/>
  <c r="AG292" i="13"/>
  <c r="AH292" i="13"/>
  <c r="AI292" i="13"/>
  <c r="AJ292" i="13"/>
  <c r="AL292" i="13"/>
  <c r="AM292" i="13"/>
  <c r="AR292" i="13" s="1"/>
  <c r="AS292" i="13" s="1"/>
  <c r="AN292" i="13"/>
  <c r="AO292" i="13"/>
  <c r="AP292" i="13"/>
  <c r="AQ292" i="13"/>
  <c r="AU292" i="13"/>
  <c r="A293" i="13"/>
  <c r="B293" i="13"/>
  <c r="C293" i="13"/>
  <c r="D293" i="13"/>
  <c r="E293" i="13"/>
  <c r="F293" i="13"/>
  <c r="G293" i="13"/>
  <c r="H293" i="13"/>
  <c r="I293" i="13"/>
  <c r="J293" i="13"/>
  <c r="K293" i="13"/>
  <c r="L293" i="13"/>
  <c r="M293" i="13"/>
  <c r="N293" i="13"/>
  <c r="O293" i="13"/>
  <c r="Q293" i="13"/>
  <c r="R293" i="13"/>
  <c r="S293" i="13"/>
  <c r="T293" i="13"/>
  <c r="U293" i="13"/>
  <c r="V293" i="13"/>
  <c r="X293" i="13"/>
  <c r="Y293" i="13"/>
  <c r="Z293" i="13"/>
  <c r="AA293" i="13"/>
  <c r="AB293" i="13"/>
  <c r="AC293" i="13"/>
  <c r="AE293" i="13"/>
  <c r="AF293" i="13"/>
  <c r="AG293" i="13"/>
  <c r="AH293" i="13"/>
  <c r="AI293" i="13"/>
  <c r="AJ293" i="13"/>
  <c r="AK293" i="13"/>
  <c r="AL293" i="13"/>
  <c r="AR293" i="13" s="1"/>
  <c r="AS293" i="13" s="1"/>
  <c r="AM293" i="13"/>
  <c r="AN293" i="13"/>
  <c r="AO293" i="13"/>
  <c r="AP293" i="13"/>
  <c r="AQ293" i="13"/>
  <c r="A294" i="13"/>
  <c r="B294" i="13"/>
  <c r="C294" i="13"/>
  <c r="D294" i="13"/>
  <c r="E294" i="13"/>
  <c r="AT294" i="13" s="1"/>
  <c r="F294" i="13"/>
  <c r="AW294" i="13" s="1"/>
  <c r="G294" i="13"/>
  <c r="H294" i="13"/>
  <c r="I294" i="13"/>
  <c r="J294" i="13"/>
  <c r="P294" i="13" s="1"/>
  <c r="AX294" i="13" s="1"/>
  <c r="K294" i="13"/>
  <c r="L294" i="13"/>
  <c r="M294" i="13"/>
  <c r="N294" i="13"/>
  <c r="O294" i="13"/>
  <c r="Q294" i="13"/>
  <c r="R294" i="13"/>
  <c r="S294" i="13"/>
  <c r="T294" i="13"/>
  <c r="U294" i="13"/>
  <c r="V294" i="13"/>
  <c r="X294" i="13"/>
  <c r="Y294" i="13"/>
  <c r="Z294" i="13"/>
  <c r="AA294" i="13"/>
  <c r="AB294" i="13"/>
  <c r="AC294" i="13"/>
  <c r="AE294" i="13"/>
  <c r="AF294" i="13"/>
  <c r="AG294" i="13"/>
  <c r="AH294" i="13"/>
  <c r="AI294" i="13"/>
  <c r="AJ294" i="13"/>
  <c r="AL294" i="13"/>
  <c r="AM294" i="13"/>
  <c r="AN294" i="13"/>
  <c r="AO294" i="13"/>
  <c r="AP294" i="13"/>
  <c r="AQ294" i="13"/>
  <c r="A295" i="13"/>
  <c r="B295" i="13"/>
  <c r="C295" i="13"/>
  <c r="D295" i="13"/>
  <c r="E295" i="13"/>
  <c r="F295" i="13"/>
  <c r="AW295" i="13" s="1"/>
  <c r="G295" i="13"/>
  <c r="H295" i="13"/>
  <c r="I295" i="13"/>
  <c r="J295" i="13"/>
  <c r="K295" i="13"/>
  <c r="L295" i="13"/>
  <c r="M295" i="13"/>
  <c r="N295" i="13"/>
  <c r="O295" i="13"/>
  <c r="Q295" i="13"/>
  <c r="R295" i="13"/>
  <c r="W295" i="13" s="1"/>
  <c r="S295" i="13"/>
  <c r="T295" i="13"/>
  <c r="U295" i="13"/>
  <c r="V295" i="13"/>
  <c r="X295" i="13"/>
  <c r="Y295" i="13"/>
  <c r="Z295" i="13"/>
  <c r="AA295" i="13"/>
  <c r="AB295" i="13"/>
  <c r="AC295" i="13"/>
  <c r="AE295" i="13"/>
  <c r="AF295" i="13"/>
  <c r="AG295" i="13"/>
  <c r="AH295" i="13"/>
  <c r="AI295" i="13"/>
  <c r="AJ295" i="13"/>
  <c r="AL295" i="13"/>
  <c r="AR295" i="13" s="1"/>
  <c r="AS295" i="13" s="1"/>
  <c r="AM295" i="13"/>
  <c r="AN295" i="13"/>
  <c r="AO295" i="13"/>
  <c r="AP295" i="13"/>
  <c r="AQ295" i="13"/>
  <c r="AT295" i="13"/>
  <c r="AU295" i="13"/>
  <c r="A296" i="13"/>
  <c r="B296" i="13"/>
  <c r="C296" i="13"/>
  <c r="D296" i="13"/>
  <c r="E296" i="13"/>
  <c r="F296" i="13"/>
  <c r="G296" i="13"/>
  <c r="H296" i="13"/>
  <c r="I296" i="13"/>
  <c r="J296" i="13"/>
  <c r="K296" i="13"/>
  <c r="L296" i="13"/>
  <c r="M296" i="13"/>
  <c r="N296" i="13"/>
  <c r="O296" i="13"/>
  <c r="Q296" i="13"/>
  <c r="R296" i="13"/>
  <c r="S296" i="13"/>
  <c r="T296" i="13"/>
  <c r="U296" i="13"/>
  <c r="V296" i="13"/>
  <c r="X296" i="13"/>
  <c r="AD296" i="13" s="1"/>
  <c r="Y296" i="13"/>
  <c r="Z296" i="13"/>
  <c r="AA296" i="13"/>
  <c r="AB296" i="13"/>
  <c r="AC296" i="13"/>
  <c r="AE296" i="13"/>
  <c r="AF296" i="13"/>
  <c r="AK296" i="13" s="1"/>
  <c r="AG296" i="13"/>
  <c r="AH296" i="13"/>
  <c r="AI296" i="13"/>
  <c r="AJ296" i="13"/>
  <c r="AL296" i="13"/>
  <c r="AM296" i="13"/>
  <c r="AN296" i="13"/>
  <c r="AO296" i="13"/>
  <c r="AP296" i="13"/>
  <c r="AQ296" i="13"/>
  <c r="A297" i="13"/>
  <c r="B297" i="13"/>
  <c r="C297" i="13"/>
  <c r="D297" i="13"/>
  <c r="E297" i="13"/>
  <c r="AT297" i="13" s="1"/>
  <c r="F297" i="13"/>
  <c r="AW297" i="13" s="1"/>
  <c r="G297" i="13"/>
  <c r="H297" i="13"/>
  <c r="I297" i="13"/>
  <c r="J297" i="13"/>
  <c r="P297" i="13" s="1"/>
  <c r="AX297" i="13" s="1"/>
  <c r="K297" i="13"/>
  <c r="L297" i="13"/>
  <c r="M297" i="13"/>
  <c r="N297" i="13"/>
  <c r="O297" i="13"/>
  <c r="Q297" i="13"/>
  <c r="R297" i="13"/>
  <c r="S297" i="13"/>
  <c r="T297" i="13"/>
  <c r="U297" i="13"/>
  <c r="V297" i="13"/>
  <c r="X297" i="13"/>
  <c r="Y297" i="13"/>
  <c r="Z297" i="13"/>
  <c r="AA297" i="13"/>
  <c r="AB297" i="13"/>
  <c r="AC297" i="13"/>
  <c r="AE297" i="13"/>
  <c r="AF297" i="13"/>
  <c r="AG297" i="13"/>
  <c r="AH297" i="13"/>
  <c r="AI297" i="13"/>
  <c r="AJ297" i="13"/>
  <c r="AL297" i="13"/>
  <c r="AM297" i="13"/>
  <c r="AN297" i="13"/>
  <c r="AO297" i="13"/>
  <c r="AP297" i="13"/>
  <c r="AQ297" i="13"/>
  <c r="A298" i="13"/>
  <c r="B298" i="13"/>
  <c r="C298" i="13"/>
  <c r="D298" i="13"/>
  <c r="E298" i="13"/>
  <c r="AT298" i="13" s="1"/>
  <c r="F298" i="13"/>
  <c r="G298" i="13"/>
  <c r="H298" i="13"/>
  <c r="I298" i="13"/>
  <c r="J298" i="13"/>
  <c r="K298" i="13"/>
  <c r="L298" i="13"/>
  <c r="M298" i="13"/>
  <c r="N298" i="13"/>
  <c r="O298" i="13"/>
  <c r="Q298" i="13"/>
  <c r="R298" i="13"/>
  <c r="S298" i="13"/>
  <c r="T298" i="13"/>
  <c r="U298" i="13"/>
  <c r="V298" i="13"/>
  <c r="W298" i="13"/>
  <c r="X298" i="13"/>
  <c r="Y298" i="13"/>
  <c r="Z298" i="13"/>
  <c r="AA298" i="13"/>
  <c r="AB298" i="13"/>
  <c r="AC298" i="13"/>
  <c r="AE298" i="13"/>
  <c r="AK298" i="13" s="1"/>
  <c r="AF298" i="13"/>
  <c r="AG298" i="13"/>
  <c r="AH298" i="13"/>
  <c r="AI298" i="13"/>
  <c r="AJ298" i="13"/>
  <c r="AL298" i="13"/>
  <c r="AM298" i="13"/>
  <c r="AR298" i="13" s="1"/>
  <c r="AS298" i="13" s="1"/>
  <c r="AN298" i="13"/>
  <c r="AO298" i="13"/>
  <c r="AP298" i="13"/>
  <c r="AQ298" i="13"/>
  <c r="AU298" i="13"/>
  <c r="AW298" i="13"/>
  <c r="A299" i="13"/>
  <c r="B299" i="13"/>
  <c r="C299" i="13"/>
  <c r="D299" i="13"/>
  <c r="E299" i="13"/>
  <c r="F299" i="13"/>
  <c r="G299" i="13"/>
  <c r="H299" i="13"/>
  <c r="I299" i="13"/>
  <c r="J299" i="13"/>
  <c r="K299" i="13"/>
  <c r="L299" i="13"/>
  <c r="M299" i="13"/>
  <c r="N299" i="13"/>
  <c r="O299" i="13"/>
  <c r="Q299" i="13"/>
  <c r="W299" i="13" s="1"/>
  <c r="R299" i="13"/>
  <c r="S299" i="13"/>
  <c r="T299" i="13"/>
  <c r="U299" i="13"/>
  <c r="V299" i="13"/>
  <c r="X299" i="13"/>
  <c r="Y299" i="13"/>
  <c r="Z299" i="13"/>
  <c r="AA299" i="13"/>
  <c r="AB299" i="13"/>
  <c r="AC299" i="13"/>
  <c r="AE299" i="13"/>
  <c r="AK299" i="13" s="1"/>
  <c r="AF299" i="13"/>
  <c r="AG299" i="13"/>
  <c r="AH299" i="13"/>
  <c r="AI299" i="13"/>
  <c r="AJ299" i="13"/>
  <c r="AL299" i="13"/>
  <c r="AM299" i="13"/>
  <c r="AN299" i="13"/>
  <c r="AO299" i="13"/>
  <c r="AP299" i="13"/>
  <c r="AQ299" i="13"/>
  <c r="A300" i="13"/>
  <c r="B300" i="13"/>
  <c r="C300" i="13"/>
  <c r="D300" i="13"/>
  <c r="E300" i="13"/>
  <c r="AT300" i="13" s="1"/>
  <c r="F300" i="13"/>
  <c r="AW300" i="13" s="1"/>
  <c r="G300" i="13"/>
  <c r="H300" i="13"/>
  <c r="I300" i="13"/>
  <c r="J300" i="13"/>
  <c r="K300" i="13"/>
  <c r="L300" i="13"/>
  <c r="M300" i="13"/>
  <c r="N300" i="13"/>
  <c r="O300" i="13"/>
  <c r="P300" i="13"/>
  <c r="Q300" i="13"/>
  <c r="R300" i="13"/>
  <c r="S300" i="13"/>
  <c r="T300" i="13"/>
  <c r="U300" i="13"/>
  <c r="V300" i="13"/>
  <c r="X300" i="13"/>
  <c r="Y300" i="13"/>
  <c r="Z300" i="13"/>
  <c r="AA300" i="13"/>
  <c r="AB300" i="13"/>
  <c r="AC300" i="13"/>
  <c r="AE300" i="13"/>
  <c r="AF300" i="13"/>
  <c r="AG300" i="13"/>
  <c r="AH300" i="13"/>
  <c r="AI300" i="13"/>
  <c r="AJ300" i="13"/>
  <c r="AL300" i="13"/>
  <c r="AM300" i="13"/>
  <c r="AN300" i="13"/>
  <c r="AO300" i="13"/>
  <c r="AP300" i="13"/>
  <c r="AQ300" i="13"/>
  <c r="AQ2" i="13"/>
  <c r="AP2" i="13"/>
  <c r="AO2" i="13"/>
  <c r="AN2" i="13"/>
  <c r="AM2" i="13"/>
  <c r="AL2" i="13"/>
  <c r="AJ2" i="13"/>
  <c r="AI2" i="13"/>
  <c r="AH2" i="13"/>
  <c r="AG2" i="13"/>
  <c r="AF2" i="13"/>
  <c r="AE2" i="13"/>
  <c r="AC2" i="13"/>
  <c r="AB2" i="13"/>
  <c r="AA2" i="13"/>
  <c r="Z2" i="13"/>
  <c r="Y2" i="13"/>
  <c r="X2" i="13"/>
  <c r="V2" i="13"/>
  <c r="U2" i="13"/>
  <c r="T2" i="13"/>
  <c r="S2" i="13"/>
  <c r="R2" i="13"/>
  <c r="Q2" i="13"/>
  <c r="O2" i="13"/>
  <c r="N2" i="13"/>
  <c r="M2" i="13"/>
  <c r="L2" i="13"/>
  <c r="K2" i="13"/>
  <c r="J2" i="13"/>
  <c r="I2" i="13"/>
  <c r="H2" i="13"/>
  <c r="G2" i="13"/>
  <c r="F2" i="13"/>
  <c r="E2" i="13"/>
  <c r="D2" i="13"/>
  <c r="C2" i="13"/>
  <c r="B2" i="13"/>
  <c r="A2" i="13"/>
  <c r="B11" i="28"/>
  <c r="A3" i="28"/>
  <c r="A6" i="26"/>
  <c r="B6" i="26"/>
  <c r="C6" i="26"/>
  <c r="D6" i="26"/>
  <c r="G6" i="26"/>
  <c r="H6" i="26"/>
  <c r="I6" i="26"/>
  <c r="J6" i="26"/>
  <c r="K6" i="26"/>
  <c r="L6" i="26"/>
  <c r="A7" i="26"/>
  <c r="B7" i="26"/>
  <c r="C7" i="26"/>
  <c r="D7" i="26"/>
  <c r="G7" i="26"/>
  <c r="H7" i="26"/>
  <c r="I7" i="26"/>
  <c r="J7" i="26"/>
  <c r="K7" i="26"/>
  <c r="L7" i="26"/>
  <c r="A8" i="26"/>
  <c r="B8" i="26"/>
  <c r="C8" i="26"/>
  <c r="D8" i="26"/>
  <c r="G8" i="26"/>
  <c r="H8" i="26"/>
  <c r="I8" i="26"/>
  <c r="J8" i="26"/>
  <c r="K8" i="26"/>
  <c r="L8" i="26"/>
  <c r="A9" i="26"/>
  <c r="B9" i="26"/>
  <c r="C9" i="26"/>
  <c r="D9" i="26"/>
  <c r="G9" i="26"/>
  <c r="H9" i="26"/>
  <c r="I9" i="26"/>
  <c r="J9" i="26"/>
  <c r="K9" i="26"/>
  <c r="L9" i="26"/>
  <c r="A10" i="26"/>
  <c r="B10" i="26"/>
  <c r="C10" i="26"/>
  <c r="D10" i="26"/>
  <c r="G10" i="26"/>
  <c r="H10" i="26"/>
  <c r="I10" i="26"/>
  <c r="J10" i="26"/>
  <c r="K10" i="26"/>
  <c r="L10" i="26"/>
  <c r="A11" i="26"/>
  <c r="B11" i="26"/>
  <c r="C11" i="26"/>
  <c r="D11" i="26"/>
  <c r="G11" i="26"/>
  <c r="H11" i="26"/>
  <c r="I11" i="26"/>
  <c r="J11" i="26"/>
  <c r="K11" i="26"/>
  <c r="L11" i="26"/>
  <c r="A12" i="26"/>
  <c r="B12" i="26"/>
  <c r="C12" i="26"/>
  <c r="D12" i="26"/>
  <c r="G12" i="26"/>
  <c r="H12" i="26"/>
  <c r="I12" i="26"/>
  <c r="J12" i="26"/>
  <c r="K12" i="26"/>
  <c r="L12" i="26"/>
  <c r="A13" i="26"/>
  <c r="B13" i="26"/>
  <c r="C13" i="26"/>
  <c r="D13" i="26"/>
  <c r="G13" i="26"/>
  <c r="H13" i="26"/>
  <c r="I13" i="26"/>
  <c r="J13" i="26"/>
  <c r="K13" i="26"/>
  <c r="L13" i="26"/>
  <c r="A14" i="26"/>
  <c r="B14" i="26"/>
  <c r="C14" i="26"/>
  <c r="D14" i="26"/>
  <c r="G14" i="26"/>
  <c r="H14" i="26"/>
  <c r="I14" i="26"/>
  <c r="J14" i="26"/>
  <c r="K14" i="26"/>
  <c r="L14" i="26"/>
  <c r="A15" i="26"/>
  <c r="B15" i="26"/>
  <c r="C15" i="26"/>
  <c r="D15" i="26"/>
  <c r="G15" i="26"/>
  <c r="H15" i="26"/>
  <c r="I15" i="26"/>
  <c r="J15" i="26"/>
  <c r="K15" i="26"/>
  <c r="L15" i="26"/>
  <c r="A16" i="26"/>
  <c r="B16" i="26"/>
  <c r="C16" i="26"/>
  <c r="D16" i="26"/>
  <c r="G16" i="26"/>
  <c r="H16" i="26"/>
  <c r="I16" i="26"/>
  <c r="J16" i="26"/>
  <c r="K16" i="26"/>
  <c r="L16" i="26"/>
  <c r="A17" i="26"/>
  <c r="B17" i="26"/>
  <c r="C17" i="26"/>
  <c r="D17" i="26"/>
  <c r="G17" i="26"/>
  <c r="H17" i="26"/>
  <c r="I17" i="26"/>
  <c r="J17" i="26"/>
  <c r="K17" i="26"/>
  <c r="L17" i="26"/>
  <c r="A18" i="26"/>
  <c r="B18" i="26"/>
  <c r="C18" i="26"/>
  <c r="D18" i="26"/>
  <c r="G18" i="26"/>
  <c r="H18" i="26"/>
  <c r="I18" i="26"/>
  <c r="J18" i="26"/>
  <c r="K18" i="26"/>
  <c r="L18" i="26"/>
  <c r="A19" i="26"/>
  <c r="B19" i="26"/>
  <c r="C19" i="26"/>
  <c r="D19" i="26"/>
  <c r="G19" i="26"/>
  <c r="H19" i="26"/>
  <c r="I19" i="26"/>
  <c r="J19" i="26"/>
  <c r="K19" i="26"/>
  <c r="L19" i="26"/>
  <c r="A20" i="26"/>
  <c r="B20" i="26"/>
  <c r="C20" i="26"/>
  <c r="D20" i="26"/>
  <c r="G20" i="26"/>
  <c r="H20" i="26"/>
  <c r="I20" i="26"/>
  <c r="J20" i="26"/>
  <c r="K20" i="26"/>
  <c r="L20" i="26"/>
  <c r="A21" i="26"/>
  <c r="B21" i="26"/>
  <c r="C21" i="26"/>
  <c r="D21" i="26"/>
  <c r="G21" i="26"/>
  <c r="H21" i="26"/>
  <c r="I21" i="26"/>
  <c r="J21" i="26"/>
  <c r="K21" i="26"/>
  <c r="L21" i="26"/>
  <c r="A22" i="26"/>
  <c r="B22" i="26"/>
  <c r="C22" i="26"/>
  <c r="D22" i="26"/>
  <c r="G22" i="26"/>
  <c r="H22" i="26"/>
  <c r="I22" i="26"/>
  <c r="J22" i="26"/>
  <c r="K22" i="26"/>
  <c r="L22" i="26"/>
  <c r="A23" i="26"/>
  <c r="B23" i="26"/>
  <c r="C23" i="26"/>
  <c r="D23" i="26"/>
  <c r="G23" i="26"/>
  <c r="H23" i="26"/>
  <c r="I23" i="26"/>
  <c r="J23" i="26"/>
  <c r="K23" i="26"/>
  <c r="L23" i="26"/>
  <c r="A24" i="26"/>
  <c r="B24" i="26"/>
  <c r="C24" i="26"/>
  <c r="D24" i="26"/>
  <c r="G24" i="26"/>
  <c r="H24" i="26"/>
  <c r="I24" i="26"/>
  <c r="J24" i="26"/>
  <c r="K24" i="26"/>
  <c r="L24" i="26"/>
  <c r="A25" i="26"/>
  <c r="B25" i="26"/>
  <c r="C25" i="26"/>
  <c r="D25" i="26"/>
  <c r="G25" i="26"/>
  <c r="H25" i="26"/>
  <c r="I25" i="26"/>
  <c r="J25" i="26"/>
  <c r="K25" i="26"/>
  <c r="L25" i="26"/>
  <c r="A26" i="26"/>
  <c r="B26" i="26"/>
  <c r="C26" i="26"/>
  <c r="D26" i="26"/>
  <c r="G26" i="26"/>
  <c r="H26" i="26"/>
  <c r="I26" i="26"/>
  <c r="J26" i="26"/>
  <c r="K26" i="26"/>
  <c r="L26" i="26"/>
  <c r="A27" i="26"/>
  <c r="B27" i="26"/>
  <c r="C27" i="26"/>
  <c r="D27" i="26"/>
  <c r="G27" i="26"/>
  <c r="H27" i="26"/>
  <c r="I27" i="26"/>
  <c r="J27" i="26"/>
  <c r="K27" i="26"/>
  <c r="L27" i="26"/>
  <c r="A28" i="26"/>
  <c r="B28" i="26"/>
  <c r="C28" i="26"/>
  <c r="D28" i="26"/>
  <c r="G28" i="26"/>
  <c r="H28" i="26"/>
  <c r="I28" i="26"/>
  <c r="J28" i="26"/>
  <c r="K28" i="26"/>
  <c r="L28" i="26"/>
  <c r="A29" i="26"/>
  <c r="B29" i="26"/>
  <c r="C29" i="26"/>
  <c r="D29" i="26"/>
  <c r="G29" i="26"/>
  <c r="H29" i="26"/>
  <c r="I29" i="26"/>
  <c r="J29" i="26"/>
  <c r="K29" i="26"/>
  <c r="L29" i="26"/>
  <c r="A30" i="26"/>
  <c r="B30" i="26"/>
  <c r="C30" i="26"/>
  <c r="D30" i="26"/>
  <c r="G30" i="26"/>
  <c r="H30" i="26"/>
  <c r="I30" i="26"/>
  <c r="J30" i="26"/>
  <c r="K30" i="26"/>
  <c r="L30" i="26"/>
  <c r="A31" i="26"/>
  <c r="B31" i="26"/>
  <c r="C31" i="26"/>
  <c r="D31" i="26"/>
  <c r="G31" i="26"/>
  <c r="H31" i="26"/>
  <c r="I31" i="26"/>
  <c r="J31" i="26"/>
  <c r="K31" i="26"/>
  <c r="L31" i="26"/>
  <c r="A32" i="26"/>
  <c r="B32" i="26"/>
  <c r="C32" i="26"/>
  <c r="D32" i="26"/>
  <c r="G32" i="26"/>
  <c r="H32" i="26"/>
  <c r="I32" i="26"/>
  <c r="J32" i="26"/>
  <c r="K32" i="26"/>
  <c r="L32" i="26"/>
  <c r="A33" i="26"/>
  <c r="B33" i="26"/>
  <c r="C33" i="26"/>
  <c r="D33" i="26"/>
  <c r="G33" i="26"/>
  <c r="H33" i="26"/>
  <c r="I33" i="26"/>
  <c r="J33" i="26"/>
  <c r="K33" i="26"/>
  <c r="L33" i="26"/>
  <c r="A34" i="26"/>
  <c r="B34" i="26"/>
  <c r="C34" i="26"/>
  <c r="D34" i="26"/>
  <c r="G34" i="26"/>
  <c r="H34" i="26"/>
  <c r="I34" i="26"/>
  <c r="J34" i="26"/>
  <c r="K34" i="26"/>
  <c r="L34" i="26"/>
  <c r="A35" i="26"/>
  <c r="B35" i="26"/>
  <c r="C35" i="26"/>
  <c r="D35" i="26"/>
  <c r="G35" i="26"/>
  <c r="H35" i="26"/>
  <c r="I35" i="26"/>
  <c r="J35" i="26"/>
  <c r="K35" i="26"/>
  <c r="L35" i="26"/>
  <c r="A36" i="26"/>
  <c r="B36" i="26"/>
  <c r="C36" i="26"/>
  <c r="D36" i="26"/>
  <c r="G36" i="26"/>
  <c r="H36" i="26"/>
  <c r="I36" i="26"/>
  <c r="J36" i="26"/>
  <c r="K36" i="26"/>
  <c r="L36" i="26"/>
  <c r="A37" i="26"/>
  <c r="B37" i="26"/>
  <c r="C37" i="26"/>
  <c r="D37" i="26"/>
  <c r="G37" i="26"/>
  <c r="H37" i="26"/>
  <c r="I37" i="26"/>
  <c r="J37" i="26"/>
  <c r="K37" i="26"/>
  <c r="L37" i="26"/>
  <c r="A38" i="26"/>
  <c r="B38" i="26"/>
  <c r="C38" i="26"/>
  <c r="D38" i="26"/>
  <c r="G38" i="26"/>
  <c r="H38" i="26"/>
  <c r="I38" i="26"/>
  <c r="J38" i="26"/>
  <c r="K38" i="26"/>
  <c r="L38" i="26"/>
  <c r="A39" i="26"/>
  <c r="B39" i="26"/>
  <c r="C39" i="26"/>
  <c r="D39" i="26"/>
  <c r="G39" i="26"/>
  <c r="H39" i="26"/>
  <c r="I39" i="26"/>
  <c r="J39" i="26"/>
  <c r="K39" i="26"/>
  <c r="L39" i="26"/>
  <c r="A40" i="26"/>
  <c r="B40" i="26"/>
  <c r="C40" i="26"/>
  <c r="D40" i="26"/>
  <c r="G40" i="26"/>
  <c r="H40" i="26"/>
  <c r="I40" i="26"/>
  <c r="J40" i="26"/>
  <c r="K40" i="26"/>
  <c r="L40" i="26"/>
  <c r="A41" i="26"/>
  <c r="B41" i="26"/>
  <c r="C41" i="26"/>
  <c r="D41" i="26"/>
  <c r="G41" i="26"/>
  <c r="H41" i="26"/>
  <c r="I41" i="26"/>
  <c r="J41" i="26"/>
  <c r="K41" i="26"/>
  <c r="L41" i="26"/>
  <c r="A42" i="26"/>
  <c r="B42" i="26"/>
  <c r="C42" i="26"/>
  <c r="D42" i="26"/>
  <c r="G42" i="26"/>
  <c r="H42" i="26"/>
  <c r="I42" i="26"/>
  <c r="J42" i="26"/>
  <c r="K42" i="26"/>
  <c r="L42" i="26"/>
  <c r="A43" i="26"/>
  <c r="B43" i="26"/>
  <c r="C43" i="26"/>
  <c r="D43" i="26"/>
  <c r="G43" i="26"/>
  <c r="H43" i="26"/>
  <c r="I43" i="26"/>
  <c r="J43" i="26"/>
  <c r="K43" i="26"/>
  <c r="L43" i="26"/>
  <c r="A44" i="26"/>
  <c r="B44" i="26"/>
  <c r="C44" i="26"/>
  <c r="D44" i="26"/>
  <c r="G44" i="26"/>
  <c r="H44" i="26"/>
  <c r="I44" i="26"/>
  <c r="J44" i="26"/>
  <c r="K44" i="26"/>
  <c r="L44" i="26"/>
  <c r="A45" i="26"/>
  <c r="B45" i="26"/>
  <c r="C45" i="26"/>
  <c r="D45" i="26"/>
  <c r="G45" i="26"/>
  <c r="H45" i="26"/>
  <c r="I45" i="26"/>
  <c r="J45" i="26"/>
  <c r="K45" i="26"/>
  <c r="L45" i="26"/>
  <c r="A46" i="26"/>
  <c r="B46" i="26"/>
  <c r="C46" i="26"/>
  <c r="D46" i="26"/>
  <c r="G46" i="26"/>
  <c r="H46" i="26"/>
  <c r="I46" i="26"/>
  <c r="J46" i="26"/>
  <c r="K46" i="26"/>
  <c r="L46" i="26"/>
  <c r="A47" i="26"/>
  <c r="B47" i="26"/>
  <c r="C47" i="26"/>
  <c r="D47" i="26"/>
  <c r="G47" i="26"/>
  <c r="H47" i="26"/>
  <c r="I47" i="26"/>
  <c r="J47" i="26"/>
  <c r="K47" i="26"/>
  <c r="L47" i="26"/>
  <c r="A48" i="26"/>
  <c r="B48" i="26"/>
  <c r="C48" i="26"/>
  <c r="D48" i="26"/>
  <c r="G48" i="26"/>
  <c r="H48" i="26"/>
  <c r="I48" i="26"/>
  <c r="J48" i="26"/>
  <c r="K48" i="26"/>
  <c r="L48" i="26"/>
  <c r="A49" i="26"/>
  <c r="B49" i="26"/>
  <c r="C49" i="26"/>
  <c r="D49" i="26"/>
  <c r="G49" i="26"/>
  <c r="H49" i="26"/>
  <c r="I49" i="26"/>
  <c r="J49" i="26"/>
  <c r="K49" i="26"/>
  <c r="L49" i="26"/>
  <c r="A50" i="26"/>
  <c r="B50" i="26"/>
  <c r="C50" i="26"/>
  <c r="D50" i="26"/>
  <c r="G50" i="26"/>
  <c r="H50" i="26"/>
  <c r="I50" i="26"/>
  <c r="J50" i="26"/>
  <c r="K50" i="26"/>
  <c r="L50" i="26"/>
  <c r="A51" i="26"/>
  <c r="B51" i="26"/>
  <c r="C51" i="26"/>
  <c r="D51" i="26"/>
  <c r="G51" i="26"/>
  <c r="H51" i="26"/>
  <c r="I51" i="26"/>
  <c r="J51" i="26"/>
  <c r="K51" i="26"/>
  <c r="L51" i="26"/>
  <c r="A52" i="26"/>
  <c r="B52" i="26"/>
  <c r="C52" i="26"/>
  <c r="D52" i="26"/>
  <c r="G52" i="26"/>
  <c r="H52" i="26"/>
  <c r="I52" i="26"/>
  <c r="J52" i="26"/>
  <c r="K52" i="26"/>
  <c r="L52" i="26"/>
  <c r="A53" i="26"/>
  <c r="B53" i="26"/>
  <c r="C53" i="26"/>
  <c r="D53" i="26"/>
  <c r="G53" i="26"/>
  <c r="H53" i="26"/>
  <c r="I53" i="26"/>
  <c r="J53" i="26"/>
  <c r="K53" i="26"/>
  <c r="L53" i="26"/>
  <c r="A54" i="26"/>
  <c r="B54" i="26"/>
  <c r="C54" i="26"/>
  <c r="D54" i="26"/>
  <c r="G54" i="26"/>
  <c r="H54" i="26"/>
  <c r="I54" i="26"/>
  <c r="J54" i="26"/>
  <c r="K54" i="26"/>
  <c r="L54" i="26"/>
  <c r="A55" i="26"/>
  <c r="B55" i="26"/>
  <c r="C55" i="26"/>
  <c r="D55" i="26"/>
  <c r="G55" i="26"/>
  <c r="H55" i="26"/>
  <c r="I55" i="26"/>
  <c r="J55" i="26"/>
  <c r="K55" i="26"/>
  <c r="L55" i="26"/>
  <c r="A56" i="26"/>
  <c r="B56" i="26"/>
  <c r="C56" i="26"/>
  <c r="D56" i="26"/>
  <c r="G56" i="26"/>
  <c r="H56" i="26"/>
  <c r="I56" i="26"/>
  <c r="J56" i="26"/>
  <c r="K56" i="26"/>
  <c r="L56" i="26"/>
  <c r="A57" i="26"/>
  <c r="B57" i="26"/>
  <c r="C57" i="26"/>
  <c r="D57" i="26"/>
  <c r="G57" i="26"/>
  <c r="H57" i="26"/>
  <c r="I57" i="26"/>
  <c r="J57" i="26"/>
  <c r="K57" i="26"/>
  <c r="L57" i="26"/>
  <c r="A58" i="26"/>
  <c r="B58" i="26"/>
  <c r="C58" i="26"/>
  <c r="D58" i="26"/>
  <c r="G58" i="26"/>
  <c r="H58" i="26"/>
  <c r="I58" i="26"/>
  <c r="J58" i="26"/>
  <c r="K58" i="26"/>
  <c r="L58" i="26"/>
  <c r="A59" i="26"/>
  <c r="B59" i="26"/>
  <c r="C59" i="26"/>
  <c r="D59" i="26"/>
  <c r="G59" i="26"/>
  <c r="H59" i="26"/>
  <c r="I59" i="26"/>
  <c r="J59" i="26"/>
  <c r="K59" i="26"/>
  <c r="L59" i="26"/>
  <c r="A60" i="26"/>
  <c r="B60" i="26"/>
  <c r="C60" i="26"/>
  <c r="D60" i="26"/>
  <c r="G60" i="26"/>
  <c r="H60" i="26"/>
  <c r="I60" i="26"/>
  <c r="J60" i="26"/>
  <c r="K60" i="26"/>
  <c r="L60" i="26"/>
  <c r="A61" i="26"/>
  <c r="B61" i="26"/>
  <c r="C61" i="26"/>
  <c r="D61" i="26"/>
  <c r="G61" i="26"/>
  <c r="H61" i="26"/>
  <c r="I61" i="26"/>
  <c r="J61" i="26"/>
  <c r="K61" i="26"/>
  <c r="L61" i="26"/>
  <c r="A62" i="26"/>
  <c r="B62" i="26"/>
  <c r="C62" i="26"/>
  <c r="D62" i="26"/>
  <c r="G62" i="26"/>
  <c r="H62" i="26"/>
  <c r="I62" i="26"/>
  <c r="J62" i="26"/>
  <c r="K62" i="26"/>
  <c r="L62" i="26"/>
  <c r="A63" i="26"/>
  <c r="B63" i="26"/>
  <c r="C63" i="26"/>
  <c r="D63" i="26"/>
  <c r="G63" i="26"/>
  <c r="H63" i="26"/>
  <c r="I63" i="26"/>
  <c r="J63" i="26"/>
  <c r="K63" i="26"/>
  <c r="L63" i="26"/>
  <c r="A64" i="26"/>
  <c r="B64" i="26"/>
  <c r="C64" i="26"/>
  <c r="D64" i="26"/>
  <c r="G64" i="26"/>
  <c r="H64" i="26"/>
  <c r="I64" i="26"/>
  <c r="J64" i="26"/>
  <c r="K64" i="26"/>
  <c r="L64" i="26"/>
  <c r="A65" i="26"/>
  <c r="B65" i="26"/>
  <c r="C65" i="26"/>
  <c r="D65" i="26"/>
  <c r="G65" i="26"/>
  <c r="H65" i="26"/>
  <c r="I65" i="26"/>
  <c r="J65" i="26"/>
  <c r="K65" i="26"/>
  <c r="L65" i="26"/>
  <c r="A66" i="26"/>
  <c r="B66" i="26"/>
  <c r="C66" i="26"/>
  <c r="D66" i="26"/>
  <c r="G66" i="26"/>
  <c r="H66" i="26"/>
  <c r="I66" i="26"/>
  <c r="J66" i="26"/>
  <c r="K66" i="26"/>
  <c r="L66" i="26"/>
  <c r="A67" i="26"/>
  <c r="B67" i="26"/>
  <c r="C67" i="26"/>
  <c r="D67" i="26"/>
  <c r="G67" i="26"/>
  <c r="H67" i="26"/>
  <c r="I67" i="26"/>
  <c r="J67" i="26"/>
  <c r="K67" i="26"/>
  <c r="L67" i="26"/>
  <c r="A68" i="26"/>
  <c r="B68" i="26"/>
  <c r="C68" i="26"/>
  <c r="D68" i="26"/>
  <c r="G68" i="26"/>
  <c r="H68" i="26"/>
  <c r="I68" i="26"/>
  <c r="J68" i="26"/>
  <c r="K68" i="26"/>
  <c r="L68" i="26"/>
  <c r="A69" i="26"/>
  <c r="B69" i="26"/>
  <c r="C69" i="26"/>
  <c r="D69" i="26"/>
  <c r="G69" i="26"/>
  <c r="H69" i="26"/>
  <c r="I69" i="26"/>
  <c r="J69" i="26"/>
  <c r="K69" i="26"/>
  <c r="L69" i="26"/>
  <c r="A70" i="26"/>
  <c r="B70" i="26"/>
  <c r="C70" i="26"/>
  <c r="D70" i="26"/>
  <c r="G70" i="26"/>
  <c r="H70" i="26"/>
  <c r="I70" i="26"/>
  <c r="J70" i="26"/>
  <c r="K70" i="26"/>
  <c r="L70" i="26"/>
  <c r="A71" i="26"/>
  <c r="B71" i="26"/>
  <c r="C71" i="26"/>
  <c r="D71" i="26"/>
  <c r="G71" i="26"/>
  <c r="H71" i="26"/>
  <c r="I71" i="26"/>
  <c r="J71" i="26"/>
  <c r="K71" i="26"/>
  <c r="L71" i="26"/>
  <c r="A72" i="26"/>
  <c r="B72" i="26"/>
  <c r="C72" i="26"/>
  <c r="D72" i="26"/>
  <c r="G72" i="26"/>
  <c r="H72" i="26"/>
  <c r="I72" i="26"/>
  <c r="J72" i="26"/>
  <c r="K72" i="26"/>
  <c r="L72" i="26"/>
  <c r="A73" i="26"/>
  <c r="B73" i="26"/>
  <c r="C73" i="26"/>
  <c r="D73" i="26"/>
  <c r="G73" i="26"/>
  <c r="H73" i="26"/>
  <c r="I73" i="26"/>
  <c r="J73" i="26"/>
  <c r="K73" i="26"/>
  <c r="L73" i="26"/>
  <c r="A74" i="26"/>
  <c r="B74" i="26"/>
  <c r="C74" i="26"/>
  <c r="D74" i="26"/>
  <c r="G74" i="26"/>
  <c r="H74" i="26"/>
  <c r="I74" i="26"/>
  <c r="J74" i="26"/>
  <c r="K74" i="26"/>
  <c r="L74" i="26"/>
  <c r="A75" i="26"/>
  <c r="B75" i="26"/>
  <c r="C75" i="26"/>
  <c r="D75" i="26"/>
  <c r="G75" i="26"/>
  <c r="H75" i="26"/>
  <c r="I75" i="26"/>
  <c r="J75" i="26"/>
  <c r="K75" i="26"/>
  <c r="L75" i="26"/>
  <c r="A76" i="26"/>
  <c r="B76" i="26"/>
  <c r="C76" i="26"/>
  <c r="D76" i="26"/>
  <c r="G76" i="26"/>
  <c r="H76" i="26"/>
  <c r="I76" i="26"/>
  <c r="J76" i="26"/>
  <c r="K76" i="26"/>
  <c r="L76" i="26"/>
  <c r="A77" i="26"/>
  <c r="B77" i="26"/>
  <c r="C77" i="26"/>
  <c r="D77" i="26"/>
  <c r="G77" i="26"/>
  <c r="H77" i="26"/>
  <c r="I77" i="26"/>
  <c r="J77" i="26"/>
  <c r="K77" i="26"/>
  <c r="L77" i="26"/>
  <c r="A78" i="26"/>
  <c r="B78" i="26"/>
  <c r="C78" i="26"/>
  <c r="D78" i="26"/>
  <c r="G78" i="26"/>
  <c r="H78" i="26"/>
  <c r="I78" i="26"/>
  <c r="J78" i="26"/>
  <c r="K78" i="26"/>
  <c r="L78" i="26"/>
  <c r="A79" i="26"/>
  <c r="B79" i="26"/>
  <c r="C79" i="26"/>
  <c r="D79" i="26"/>
  <c r="G79" i="26"/>
  <c r="H79" i="26"/>
  <c r="I79" i="26"/>
  <c r="J79" i="26"/>
  <c r="K79" i="26"/>
  <c r="L79" i="26"/>
  <c r="A80" i="26"/>
  <c r="B80" i="26"/>
  <c r="C80" i="26"/>
  <c r="D80" i="26"/>
  <c r="G80" i="26"/>
  <c r="H80" i="26"/>
  <c r="I80" i="26"/>
  <c r="J80" i="26"/>
  <c r="K80" i="26"/>
  <c r="L80" i="26"/>
  <c r="A81" i="26"/>
  <c r="B81" i="26"/>
  <c r="C81" i="26"/>
  <c r="D81" i="26"/>
  <c r="G81" i="26"/>
  <c r="H81" i="26"/>
  <c r="I81" i="26"/>
  <c r="J81" i="26"/>
  <c r="K81" i="26"/>
  <c r="L81" i="26"/>
  <c r="A82" i="26"/>
  <c r="B82" i="26"/>
  <c r="C82" i="26"/>
  <c r="D82" i="26"/>
  <c r="G82" i="26"/>
  <c r="H82" i="26"/>
  <c r="I82" i="26"/>
  <c r="J82" i="26"/>
  <c r="K82" i="26"/>
  <c r="L82" i="26"/>
  <c r="A83" i="26"/>
  <c r="B83" i="26"/>
  <c r="C83" i="26"/>
  <c r="D83" i="26"/>
  <c r="G83" i="26"/>
  <c r="H83" i="26"/>
  <c r="I83" i="26"/>
  <c r="J83" i="26"/>
  <c r="K83" i="26"/>
  <c r="L83" i="26"/>
  <c r="A84" i="26"/>
  <c r="B84" i="26"/>
  <c r="C84" i="26"/>
  <c r="D84" i="26"/>
  <c r="G84" i="26"/>
  <c r="H84" i="26"/>
  <c r="I84" i="26"/>
  <c r="J84" i="26"/>
  <c r="K84" i="26"/>
  <c r="L84" i="26"/>
  <c r="A85" i="26"/>
  <c r="B85" i="26"/>
  <c r="C85" i="26"/>
  <c r="D85" i="26"/>
  <c r="G85" i="26"/>
  <c r="H85" i="26"/>
  <c r="I85" i="26"/>
  <c r="J85" i="26"/>
  <c r="K85" i="26"/>
  <c r="L85" i="26"/>
  <c r="A86" i="26"/>
  <c r="B86" i="26"/>
  <c r="C86" i="26"/>
  <c r="D86" i="26"/>
  <c r="G86" i="26"/>
  <c r="H86" i="26"/>
  <c r="I86" i="26"/>
  <c r="J86" i="26"/>
  <c r="K86" i="26"/>
  <c r="L86" i="26"/>
  <c r="A87" i="26"/>
  <c r="B87" i="26"/>
  <c r="C87" i="26"/>
  <c r="D87" i="26"/>
  <c r="G87" i="26"/>
  <c r="H87" i="26"/>
  <c r="I87" i="26"/>
  <c r="J87" i="26"/>
  <c r="K87" i="26"/>
  <c r="L87" i="26"/>
  <c r="A88" i="26"/>
  <c r="B88" i="26"/>
  <c r="C88" i="26"/>
  <c r="D88" i="26"/>
  <c r="G88" i="26"/>
  <c r="H88" i="26"/>
  <c r="I88" i="26"/>
  <c r="J88" i="26"/>
  <c r="K88" i="26"/>
  <c r="L88" i="26"/>
  <c r="A89" i="26"/>
  <c r="B89" i="26"/>
  <c r="C89" i="26"/>
  <c r="D89" i="26"/>
  <c r="G89" i="26"/>
  <c r="H89" i="26"/>
  <c r="I89" i="26"/>
  <c r="J89" i="26"/>
  <c r="K89" i="26"/>
  <c r="L89" i="26"/>
  <c r="A90" i="26"/>
  <c r="B90" i="26"/>
  <c r="C90" i="26"/>
  <c r="D90" i="26"/>
  <c r="G90" i="26"/>
  <c r="H90" i="26"/>
  <c r="I90" i="26"/>
  <c r="J90" i="26"/>
  <c r="K90" i="26"/>
  <c r="L90" i="26"/>
  <c r="A91" i="26"/>
  <c r="B91" i="26"/>
  <c r="C91" i="26"/>
  <c r="D91" i="26"/>
  <c r="G91" i="26"/>
  <c r="H91" i="26"/>
  <c r="I91" i="26"/>
  <c r="J91" i="26"/>
  <c r="K91" i="26"/>
  <c r="L91" i="26"/>
  <c r="A92" i="26"/>
  <c r="B92" i="26"/>
  <c r="C92" i="26"/>
  <c r="D92" i="26"/>
  <c r="G92" i="26"/>
  <c r="H92" i="26"/>
  <c r="I92" i="26"/>
  <c r="J92" i="26"/>
  <c r="K92" i="26"/>
  <c r="L92" i="26"/>
  <c r="A93" i="26"/>
  <c r="B93" i="26"/>
  <c r="C93" i="26"/>
  <c r="D93" i="26"/>
  <c r="G93" i="26"/>
  <c r="H93" i="26"/>
  <c r="I93" i="26"/>
  <c r="J93" i="26"/>
  <c r="K93" i="26"/>
  <c r="L93" i="26"/>
  <c r="A94" i="26"/>
  <c r="B94" i="26"/>
  <c r="C94" i="26"/>
  <c r="D94" i="26"/>
  <c r="G94" i="26"/>
  <c r="H94" i="26"/>
  <c r="I94" i="26"/>
  <c r="J94" i="26"/>
  <c r="K94" i="26"/>
  <c r="L94" i="26"/>
  <c r="A95" i="26"/>
  <c r="B95" i="26"/>
  <c r="C95" i="26"/>
  <c r="D95" i="26"/>
  <c r="G95" i="26"/>
  <c r="H95" i="26"/>
  <c r="I95" i="26"/>
  <c r="J95" i="26"/>
  <c r="K95" i="26"/>
  <c r="L95" i="26"/>
  <c r="A96" i="26"/>
  <c r="B96" i="26"/>
  <c r="C96" i="26"/>
  <c r="D96" i="26"/>
  <c r="G96" i="26"/>
  <c r="H96" i="26"/>
  <c r="I96" i="26"/>
  <c r="J96" i="26"/>
  <c r="K96" i="26"/>
  <c r="L96" i="26"/>
  <c r="A97" i="26"/>
  <c r="B97" i="26"/>
  <c r="C97" i="26"/>
  <c r="D97" i="26"/>
  <c r="G97" i="26"/>
  <c r="H97" i="26"/>
  <c r="I97" i="26"/>
  <c r="J97" i="26"/>
  <c r="K97" i="26"/>
  <c r="L97" i="26"/>
  <c r="A98" i="26"/>
  <c r="B98" i="26"/>
  <c r="C98" i="26"/>
  <c r="D98" i="26"/>
  <c r="G98" i="26"/>
  <c r="H98" i="26"/>
  <c r="I98" i="26"/>
  <c r="J98" i="26"/>
  <c r="K98" i="26"/>
  <c r="L98" i="26"/>
  <c r="A99" i="26"/>
  <c r="B99" i="26"/>
  <c r="C99" i="26"/>
  <c r="D99" i="26"/>
  <c r="G99" i="26"/>
  <c r="H99" i="26"/>
  <c r="I99" i="26"/>
  <c r="J99" i="26"/>
  <c r="K99" i="26"/>
  <c r="L99" i="26"/>
  <c r="A100" i="26"/>
  <c r="B100" i="26"/>
  <c r="C100" i="26"/>
  <c r="D100" i="26"/>
  <c r="G100" i="26"/>
  <c r="H100" i="26"/>
  <c r="I100" i="26"/>
  <c r="J100" i="26"/>
  <c r="K100" i="26"/>
  <c r="L100" i="26"/>
  <c r="A101" i="26"/>
  <c r="B101" i="26"/>
  <c r="C101" i="26"/>
  <c r="D101" i="26"/>
  <c r="G101" i="26"/>
  <c r="H101" i="26"/>
  <c r="I101" i="26"/>
  <c r="J101" i="26"/>
  <c r="K101" i="26"/>
  <c r="L101" i="26"/>
  <c r="A102" i="26"/>
  <c r="B102" i="26"/>
  <c r="C102" i="26"/>
  <c r="D102" i="26"/>
  <c r="G102" i="26"/>
  <c r="H102" i="26"/>
  <c r="I102" i="26"/>
  <c r="J102" i="26"/>
  <c r="K102" i="26"/>
  <c r="L102" i="26"/>
  <c r="A103" i="26"/>
  <c r="B103" i="26"/>
  <c r="C103" i="26"/>
  <c r="D103" i="26"/>
  <c r="G103" i="26"/>
  <c r="H103" i="26"/>
  <c r="I103" i="26"/>
  <c r="J103" i="26"/>
  <c r="K103" i="26"/>
  <c r="L103" i="26"/>
  <c r="A104" i="26"/>
  <c r="B104" i="26"/>
  <c r="C104" i="26"/>
  <c r="D104" i="26"/>
  <c r="G104" i="26"/>
  <c r="H104" i="26"/>
  <c r="I104" i="26"/>
  <c r="J104" i="26"/>
  <c r="K104" i="26"/>
  <c r="L104" i="26"/>
  <c r="A105" i="26"/>
  <c r="B105" i="26"/>
  <c r="C105" i="26"/>
  <c r="D105" i="26"/>
  <c r="G105" i="26"/>
  <c r="H105" i="26"/>
  <c r="I105" i="26"/>
  <c r="J105" i="26"/>
  <c r="K105" i="26"/>
  <c r="L105" i="26"/>
  <c r="A106" i="26"/>
  <c r="B106" i="26"/>
  <c r="C106" i="26"/>
  <c r="D106" i="26"/>
  <c r="G106" i="26"/>
  <c r="H106" i="26"/>
  <c r="I106" i="26"/>
  <c r="J106" i="26"/>
  <c r="K106" i="26"/>
  <c r="L106" i="26"/>
  <c r="A107" i="26"/>
  <c r="B107" i="26"/>
  <c r="C107" i="26"/>
  <c r="D107" i="26"/>
  <c r="G107" i="26"/>
  <c r="H107" i="26"/>
  <c r="I107" i="26"/>
  <c r="J107" i="26"/>
  <c r="K107" i="26"/>
  <c r="L107" i="26"/>
  <c r="A108" i="26"/>
  <c r="B108" i="26"/>
  <c r="C108" i="26"/>
  <c r="D108" i="26"/>
  <c r="G108" i="26"/>
  <c r="H108" i="26"/>
  <c r="I108" i="26"/>
  <c r="J108" i="26"/>
  <c r="K108" i="26"/>
  <c r="L108" i="26"/>
  <c r="A109" i="26"/>
  <c r="B109" i="26"/>
  <c r="C109" i="26"/>
  <c r="D109" i="26"/>
  <c r="E109" i="26"/>
  <c r="G109" i="26"/>
  <c r="H109" i="26"/>
  <c r="I109" i="26"/>
  <c r="J109" i="26"/>
  <c r="K109" i="26"/>
  <c r="L109" i="26"/>
  <c r="A110" i="26"/>
  <c r="B110" i="26"/>
  <c r="C110" i="26"/>
  <c r="D110" i="26"/>
  <c r="G110" i="26"/>
  <c r="H110" i="26"/>
  <c r="I110" i="26"/>
  <c r="J110" i="26"/>
  <c r="K110" i="26"/>
  <c r="L110" i="26"/>
  <c r="A111" i="26"/>
  <c r="B111" i="26"/>
  <c r="C111" i="26"/>
  <c r="D111" i="26"/>
  <c r="E111" i="26" s="1"/>
  <c r="G111" i="26"/>
  <c r="H111" i="26"/>
  <c r="I111" i="26"/>
  <c r="J111" i="26"/>
  <c r="K111" i="26"/>
  <c r="L111" i="26"/>
  <c r="A112" i="26"/>
  <c r="B112" i="26"/>
  <c r="C112" i="26"/>
  <c r="D112" i="26"/>
  <c r="G112" i="26"/>
  <c r="H112" i="26"/>
  <c r="I112" i="26"/>
  <c r="J112" i="26"/>
  <c r="K112" i="26"/>
  <c r="L112" i="26"/>
  <c r="A113" i="26"/>
  <c r="B113" i="26"/>
  <c r="C113" i="26"/>
  <c r="D113" i="26"/>
  <c r="E113" i="26" s="1"/>
  <c r="G113" i="26"/>
  <c r="H113" i="26"/>
  <c r="I113" i="26"/>
  <c r="J113" i="26"/>
  <c r="K113" i="26"/>
  <c r="L113" i="26"/>
  <c r="A114" i="26"/>
  <c r="B114" i="26"/>
  <c r="C114" i="26"/>
  <c r="D114" i="26"/>
  <c r="E114" i="26"/>
  <c r="G114" i="26"/>
  <c r="H114" i="26"/>
  <c r="I114" i="26"/>
  <c r="J114" i="26"/>
  <c r="K114" i="26"/>
  <c r="L114" i="26"/>
  <c r="A115" i="26"/>
  <c r="B115" i="26"/>
  <c r="C115" i="26"/>
  <c r="E115" i="26" s="1"/>
  <c r="D115" i="26"/>
  <c r="G115" i="26"/>
  <c r="H115" i="26"/>
  <c r="I115" i="26"/>
  <c r="J115" i="26"/>
  <c r="K115" i="26"/>
  <c r="L115" i="26"/>
  <c r="A116" i="26"/>
  <c r="B116" i="26"/>
  <c r="C116" i="26"/>
  <c r="D116" i="26"/>
  <c r="G116" i="26"/>
  <c r="H116" i="26"/>
  <c r="I116" i="26"/>
  <c r="J116" i="26"/>
  <c r="K116" i="26"/>
  <c r="L116" i="26"/>
  <c r="A117" i="26"/>
  <c r="B117" i="26"/>
  <c r="C117" i="26"/>
  <c r="D117" i="26"/>
  <c r="G117" i="26"/>
  <c r="H117" i="26"/>
  <c r="I117" i="26"/>
  <c r="J117" i="26"/>
  <c r="K117" i="26"/>
  <c r="L117" i="26"/>
  <c r="A118" i="26"/>
  <c r="B118" i="26"/>
  <c r="C118" i="26"/>
  <c r="D118" i="26"/>
  <c r="G118" i="26"/>
  <c r="H118" i="26"/>
  <c r="I118" i="26"/>
  <c r="J118" i="26"/>
  <c r="K118" i="26"/>
  <c r="L118" i="26"/>
  <c r="A119" i="26"/>
  <c r="B119" i="26"/>
  <c r="C119" i="26"/>
  <c r="D119" i="26"/>
  <c r="G119" i="26"/>
  <c r="H119" i="26"/>
  <c r="I119" i="26"/>
  <c r="J119" i="26"/>
  <c r="K119" i="26"/>
  <c r="L119" i="26"/>
  <c r="A120" i="26"/>
  <c r="B120" i="26"/>
  <c r="C120" i="26"/>
  <c r="D120" i="26"/>
  <c r="G120" i="26"/>
  <c r="H120" i="26"/>
  <c r="I120" i="26"/>
  <c r="J120" i="26"/>
  <c r="K120" i="26"/>
  <c r="L120" i="26"/>
  <c r="A121" i="26"/>
  <c r="B121" i="26"/>
  <c r="C121" i="26"/>
  <c r="D121" i="26"/>
  <c r="E121" i="26"/>
  <c r="G121" i="26"/>
  <c r="H121" i="26"/>
  <c r="I121" i="26"/>
  <c r="J121" i="26"/>
  <c r="K121" i="26"/>
  <c r="L121" i="26"/>
  <c r="A122" i="26"/>
  <c r="B122" i="26"/>
  <c r="C122" i="26"/>
  <c r="E122" i="26" s="1"/>
  <c r="D122" i="26"/>
  <c r="G122" i="26"/>
  <c r="H122" i="26"/>
  <c r="I122" i="26"/>
  <c r="J122" i="26"/>
  <c r="K122" i="26"/>
  <c r="L122" i="26"/>
  <c r="A123" i="26"/>
  <c r="B123" i="26"/>
  <c r="C123" i="26"/>
  <c r="E123" i="26" s="1"/>
  <c r="D123" i="26"/>
  <c r="G123" i="26"/>
  <c r="H123" i="26"/>
  <c r="I123" i="26"/>
  <c r="J123" i="26"/>
  <c r="K123" i="26"/>
  <c r="L123" i="26"/>
  <c r="A124" i="26"/>
  <c r="B124" i="26"/>
  <c r="C124" i="26"/>
  <c r="D124" i="26"/>
  <c r="E124" i="26" s="1"/>
  <c r="G124" i="26"/>
  <c r="H124" i="26"/>
  <c r="I124" i="26"/>
  <c r="J124" i="26"/>
  <c r="K124" i="26"/>
  <c r="L124" i="26"/>
  <c r="A125" i="26"/>
  <c r="B125" i="26"/>
  <c r="C125" i="26"/>
  <c r="D125" i="26"/>
  <c r="G125" i="26"/>
  <c r="H125" i="26"/>
  <c r="I125" i="26"/>
  <c r="J125" i="26"/>
  <c r="K125" i="26"/>
  <c r="L125" i="26"/>
  <c r="A126" i="26"/>
  <c r="B126" i="26"/>
  <c r="C126" i="26"/>
  <c r="D126" i="26"/>
  <c r="G126" i="26"/>
  <c r="H126" i="26"/>
  <c r="I126" i="26"/>
  <c r="J126" i="26"/>
  <c r="K126" i="26"/>
  <c r="L126" i="26"/>
  <c r="A127" i="26"/>
  <c r="B127" i="26"/>
  <c r="C127" i="26"/>
  <c r="D127" i="26"/>
  <c r="E127" i="26" s="1"/>
  <c r="G127" i="26"/>
  <c r="H127" i="26"/>
  <c r="I127" i="26"/>
  <c r="J127" i="26"/>
  <c r="K127" i="26"/>
  <c r="L127" i="26"/>
  <c r="A128" i="26"/>
  <c r="B128" i="26"/>
  <c r="C128" i="26"/>
  <c r="D128" i="26"/>
  <c r="G128" i="26"/>
  <c r="H128" i="26"/>
  <c r="I128" i="26"/>
  <c r="J128" i="26"/>
  <c r="K128" i="26"/>
  <c r="L128" i="26"/>
  <c r="A129" i="26"/>
  <c r="B129" i="26"/>
  <c r="C129" i="26"/>
  <c r="D129" i="26"/>
  <c r="G129" i="26"/>
  <c r="H129" i="26"/>
  <c r="I129" i="26"/>
  <c r="J129" i="26"/>
  <c r="K129" i="26"/>
  <c r="L129" i="26"/>
  <c r="A130" i="26"/>
  <c r="B130" i="26"/>
  <c r="C130" i="26"/>
  <c r="D130" i="26"/>
  <c r="G130" i="26"/>
  <c r="H130" i="26"/>
  <c r="I130" i="26"/>
  <c r="J130" i="26"/>
  <c r="K130" i="26"/>
  <c r="L130" i="26"/>
  <c r="A131" i="26"/>
  <c r="B131" i="26"/>
  <c r="C131" i="26"/>
  <c r="D131" i="26"/>
  <c r="E131" i="26"/>
  <c r="G131" i="26"/>
  <c r="H131" i="26"/>
  <c r="I131" i="26"/>
  <c r="J131" i="26"/>
  <c r="K131" i="26"/>
  <c r="L131" i="26"/>
  <c r="A132" i="26"/>
  <c r="B132" i="26"/>
  <c r="C132" i="26"/>
  <c r="D132" i="26"/>
  <c r="G132" i="26"/>
  <c r="H132" i="26"/>
  <c r="I132" i="26"/>
  <c r="J132" i="26"/>
  <c r="K132" i="26"/>
  <c r="L132" i="26"/>
  <c r="A133" i="26"/>
  <c r="B133" i="26"/>
  <c r="C133" i="26"/>
  <c r="D133" i="26"/>
  <c r="E133" i="26" s="1"/>
  <c r="G133" i="26"/>
  <c r="H133" i="26"/>
  <c r="I133" i="26"/>
  <c r="J133" i="26"/>
  <c r="K133" i="26"/>
  <c r="L133" i="26"/>
  <c r="A134" i="26"/>
  <c r="B134" i="26"/>
  <c r="C134" i="26"/>
  <c r="D134" i="26"/>
  <c r="G134" i="26"/>
  <c r="H134" i="26"/>
  <c r="I134" i="26"/>
  <c r="J134" i="26"/>
  <c r="K134" i="26"/>
  <c r="L134" i="26"/>
  <c r="A135" i="26"/>
  <c r="B135" i="26"/>
  <c r="C135" i="26"/>
  <c r="D135" i="26"/>
  <c r="E135" i="26" s="1"/>
  <c r="G135" i="26"/>
  <c r="H135" i="26"/>
  <c r="I135" i="26"/>
  <c r="J135" i="26"/>
  <c r="K135" i="26"/>
  <c r="L135" i="26"/>
  <c r="A136" i="26"/>
  <c r="B136" i="26"/>
  <c r="C136" i="26"/>
  <c r="D136" i="26"/>
  <c r="G136" i="26"/>
  <c r="H136" i="26"/>
  <c r="I136" i="26"/>
  <c r="J136" i="26"/>
  <c r="K136" i="26"/>
  <c r="L136" i="26"/>
  <c r="A137" i="26"/>
  <c r="B137" i="26"/>
  <c r="C137" i="26"/>
  <c r="D137" i="26"/>
  <c r="E137" i="26" s="1"/>
  <c r="G137" i="26"/>
  <c r="H137" i="26"/>
  <c r="I137" i="26"/>
  <c r="J137" i="26"/>
  <c r="K137" i="26"/>
  <c r="L137" i="26"/>
  <c r="A138" i="26"/>
  <c r="B138" i="26"/>
  <c r="C138" i="26"/>
  <c r="D138" i="26"/>
  <c r="E138" i="26" s="1"/>
  <c r="G138" i="26"/>
  <c r="H138" i="26"/>
  <c r="I138" i="26"/>
  <c r="J138" i="26"/>
  <c r="K138" i="26"/>
  <c r="L138" i="26"/>
  <c r="A139" i="26"/>
  <c r="B139" i="26"/>
  <c r="C139" i="26"/>
  <c r="D139" i="26"/>
  <c r="G139" i="26"/>
  <c r="H139" i="26"/>
  <c r="I139" i="26"/>
  <c r="J139" i="26"/>
  <c r="K139" i="26"/>
  <c r="L139" i="26"/>
  <c r="A140" i="26"/>
  <c r="B140" i="26"/>
  <c r="C140" i="26"/>
  <c r="E140" i="26" s="1"/>
  <c r="D140" i="26"/>
  <c r="G140" i="26"/>
  <c r="H140" i="26"/>
  <c r="I140" i="26"/>
  <c r="J140" i="26"/>
  <c r="K140" i="26"/>
  <c r="L140" i="26"/>
  <c r="A141" i="26"/>
  <c r="B141" i="26"/>
  <c r="C141" i="26"/>
  <c r="D141" i="26"/>
  <c r="G141" i="26"/>
  <c r="H141" i="26"/>
  <c r="I141" i="26"/>
  <c r="J141" i="26"/>
  <c r="K141" i="26"/>
  <c r="L141" i="26"/>
  <c r="A142" i="26"/>
  <c r="B142" i="26"/>
  <c r="C142" i="26"/>
  <c r="D142" i="26"/>
  <c r="G142" i="26"/>
  <c r="H142" i="26"/>
  <c r="I142" i="26"/>
  <c r="J142" i="26"/>
  <c r="K142" i="26"/>
  <c r="L142" i="26"/>
  <c r="A143" i="26"/>
  <c r="B143" i="26"/>
  <c r="C143" i="26"/>
  <c r="D143" i="26"/>
  <c r="E143" i="26" s="1"/>
  <c r="G143" i="26"/>
  <c r="H143" i="26"/>
  <c r="I143" i="26"/>
  <c r="J143" i="26"/>
  <c r="K143" i="26"/>
  <c r="L143" i="26"/>
  <c r="A144" i="26"/>
  <c r="B144" i="26"/>
  <c r="C144" i="26"/>
  <c r="D144" i="26"/>
  <c r="G144" i="26"/>
  <c r="H144" i="26"/>
  <c r="I144" i="26"/>
  <c r="J144" i="26"/>
  <c r="K144" i="26"/>
  <c r="L144" i="26"/>
  <c r="A145" i="26"/>
  <c r="B145" i="26"/>
  <c r="C145" i="26"/>
  <c r="D145" i="26"/>
  <c r="G145" i="26"/>
  <c r="H145" i="26"/>
  <c r="I145" i="26"/>
  <c r="J145" i="26"/>
  <c r="K145" i="26"/>
  <c r="L145" i="26"/>
  <c r="A146" i="26"/>
  <c r="B146" i="26"/>
  <c r="C146" i="26"/>
  <c r="D146" i="26"/>
  <c r="E146" i="26"/>
  <c r="G146" i="26"/>
  <c r="H146" i="26"/>
  <c r="I146" i="26"/>
  <c r="J146" i="26"/>
  <c r="K146" i="26"/>
  <c r="L146" i="26"/>
  <c r="A147" i="26"/>
  <c r="B147" i="26"/>
  <c r="C147" i="26"/>
  <c r="D147" i="26"/>
  <c r="G147" i="26"/>
  <c r="H147" i="26"/>
  <c r="I147" i="26"/>
  <c r="J147" i="26"/>
  <c r="K147" i="26"/>
  <c r="L147" i="26"/>
  <c r="A148" i="26"/>
  <c r="B148" i="26"/>
  <c r="C148" i="26"/>
  <c r="D148" i="26"/>
  <c r="E148" i="26" s="1"/>
  <c r="G148" i="26"/>
  <c r="H148" i="26"/>
  <c r="I148" i="26"/>
  <c r="J148" i="26"/>
  <c r="K148" i="26"/>
  <c r="L148" i="26"/>
  <c r="A149" i="26"/>
  <c r="B149" i="26"/>
  <c r="C149" i="26"/>
  <c r="E149" i="26" s="1"/>
  <c r="D149" i="26"/>
  <c r="G149" i="26"/>
  <c r="H149" i="26"/>
  <c r="I149" i="26"/>
  <c r="J149" i="26"/>
  <c r="K149" i="26"/>
  <c r="L149" i="26"/>
  <c r="A150" i="26"/>
  <c r="B150" i="26"/>
  <c r="C150" i="26"/>
  <c r="D150" i="26"/>
  <c r="G150" i="26"/>
  <c r="H150" i="26"/>
  <c r="I150" i="26"/>
  <c r="J150" i="26"/>
  <c r="K150" i="26"/>
  <c r="L150" i="26"/>
  <c r="A151" i="26"/>
  <c r="B151" i="26"/>
  <c r="C151" i="26"/>
  <c r="D151" i="26"/>
  <c r="G151" i="26"/>
  <c r="H151" i="26"/>
  <c r="I151" i="26"/>
  <c r="J151" i="26"/>
  <c r="K151" i="26"/>
  <c r="L151" i="26"/>
  <c r="A152" i="26"/>
  <c r="B152" i="26"/>
  <c r="C152" i="26"/>
  <c r="D152" i="26"/>
  <c r="G152" i="26"/>
  <c r="H152" i="26"/>
  <c r="I152" i="26"/>
  <c r="J152" i="26"/>
  <c r="K152" i="26"/>
  <c r="L152" i="26"/>
  <c r="A153" i="26"/>
  <c r="B153" i="26"/>
  <c r="C153" i="26"/>
  <c r="D153" i="26"/>
  <c r="G153" i="26"/>
  <c r="H153" i="26"/>
  <c r="I153" i="26"/>
  <c r="J153" i="26"/>
  <c r="K153" i="26"/>
  <c r="L153" i="26"/>
  <c r="A154" i="26"/>
  <c r="B154" i="26"/>
  <c r="C154" i="26"/>
  <c r="D154" i="26"/>
  <c r="E154" i="26" s="1"/>
  <c r="G154" i="26"/>
  <c r="H154" i="26"/>
  <c r="I154" i="26"/>
  <c r="J154" i="26"/>
  <c r="K154" i="26"/>
  <c r="L154" i="26"/>
  <c r="A155" i="26"/>
  <c r="B155" i="26"/>
  <c r="C155" i="26"/>
  <c r="D155" i="26"/>
  <c r="G155" i="26"/>
  <c r="H155" i="26"/>
  <c r="I155" i="26"/>
  <c r="J155" i="26"/>
  <c r="K155" i="26"/>
  <c r="L155" i="26"/>
  <c r="A156" i="26"/>
  <c r="B156" i="26"/>
  <c r="C156" i="26"/>
  <c r="D156" i="26"/>
  <c r="E156" i="26" s="1"/>
  <c r="G156" i="26"/>
  <c r="H156" i="26"/>
  <c r="I156" i="26"/>
  <c r="J156" i="26"/>
  <c r="K156" i="26"/>
  <c r="L156" i="26"/>
  <c r="A157" i="26"/>
  <c r="B157" i="26"/>
  <c r="C157" i="26"/>
  <c r="D157" i="26"/>
  <c r="E157" i="26" s="1"/>
  <c r="G157" i="26"/>
  <c r="H157" i="26"/>
  <c r="I157" i="26"/>
  <c r="J157" i="26"/>
  <c r="K157" i="26"/>
  <c r="L157" i="26"/>
  <c r="A158" i="26"/>
  <c r="B158" i="26"/>
  <c r="C158" i="26"/>
  <c r="D158" i="26"/>
  <c r="G158" i="26"/>
  <c r="H158" i="26"/>
  <c r="I158" i="26"/>
  <c r="J158" i="26"/>
  <c r="K158" i="26"/>
  <c r="L158" i="26"/>
  <c r="A159" i="26"/>
  <c r="B159" i="26"/>
  <c r="C159" i="26"/>
  <c r="E159" i="26" s="1"/>
  <c r="D159" i="26"/>
  <c r="G159" i="26"/>
  <c r="H159" i="26"/>
  <c r="I159" i="26"/>
  <c r="J159" i="26"/>
  <c r="K159" i="26"/>
  <c r="L159" i="26"/>
  <c r="A160" i="26"/>
  <c r="B160" i="26"/>
  <c r="C160" i="26"/>
  <c r="D160" i="26"/>
  <c r="E160" i="26" s="1"/>
  <c r="G160" i="26"/>
  <c r="H160" i="26"/>
  <c r="I160" i="26"/>
  <c r="J160" i="26"/>
  <c r="K160" i="26"/>
  <c r="L160" i="26"/>
  <c r="A161" i="26"/>
  <c r="B161" i="26"/>
  <c r="C161" i="26"/>
  <c r="D161" i="26"/>
  <c r="E161" i="26"/>
  <c r="G161" i="26"/>
  <c r="H161" i="26"/>
  <c r="I161" i="26"/>
  <c r="J161" i="26"/>
  <c r="K161" i="26"/>
  <c r="L161" i="26"/>
  <c r="A162" i="26"/>
  <c r="B162" i="26"/>
  <c r="C162" i="26"/>
  <c r="D162" i="26"/>
  <c r="E162" i="26" s="1"/>
  <c r="G162" i="26"/>
  <c r="H162" i="26"/>
  <c r="I162" i="26"/>
  <c r="J162" i="26"/>
  <c r="K162" i="26"/>
  <c r="L162" i="26"/>
  <c r="A163" i="26"/>
  <c r="B163" i="26"/>
  <c r="C163" i="26"/>
  <c r="D163" i="26"/>
  <c r="E163" i="26" s="1"/>
  <c r="G163" i="26"/>
  <c r="H163" i="26"/>
  <c r="I163" i="26"/>
  <c r="J163" i="26"/>
  <c r="K163" i="26"/>
  <c r="L163" i="26"/>
  <c r="A164" i="26"/>
  <c r="B164" i="26"/>
  <c r="C164" i="26"/>
  <c r="D164" i="26"/>
  <c r="G164" i="26"/>
  <c r="H164" i="26"/>
  <c r="I164" i="26"/>
  <c r="J164" i="26"/>
  <c r="K164" i="26"/>
  <c r="L164" i="26"/>
  <c r="A165" i="26"/>
  <c r="B165" i="26"/>
  <c r="C165" i="26"/>
  <c r="D165" i="26"/>
  <c r="G165" i="26"/>
  <c r="H165" i="26"/>
  <c r="I165" i="26"/>
  <c r="J165" i="26"/>
  <c r="K165" i="26"/>
  <c r="L165" i="26"/>
  <c r="A166" i="26"/>
  <c r="B166" i="26"/>
  <c r="C166" i="26"/>
  <c r="D166" i="26"/>
  <c r="G166" i="26"/>
  <c r="H166" i="26"/>
  <c r="I166" i="26"/>
  <c r="J166" i="26"/>
  <c r="K166" i="26"/>
  <c r="L166" i="26"/>
  <c r="A167" i="26"/>
  <c r="B167" i="26"/>
  <c r="C167" i="26"/>
  <c r="D167" i="26"/>
  <c r="G167" i="26"/>
  <c r="H167" i="26"/>
  <c r="I167" i="26"/>
  <c r="J167" i="26"/>
  <c r="K167" i="26"/>
  <c r="L167" i="26"/>
  <c r="A168" i="26"/>
  <c r="B168" i="26"/>
  <c r="C168" i="26"/>
  <c r="D168" i="26"/>
  <c r="G168" i="26"/>
  <c r="H168" i="26"/>
  <c r="I168" i="26"/>
  <c r="J168" i="26"/>
  <c r="K168" i="26"/>
  <c r="L168" i="26"/>
  <c r="A169" i="26"/>
  <c r="B169" i="26"/>
  <c r="C169" i="26"/>
  <c r="D169" i="26"/>
  <c r="E169" i="26" s="1"/>
  <c r="G169" i="26"/>
  <c r="H169" i="26"/>
  <c r="I169" i="26"/>
  <c r="J169" i="26"/>
  <c r="K169" i="26"/>
  <c r="L169" i="26"/>
  <c r="A170" i="26"/>
  <c r="B170" i="26"/>
  <c r="C170" i="26"/>
  <c r="D170" i="26"/>
  <c r="G170" i="26"/>
  <c r="H170" i="26"/>
  <c r="I170" i="26"/>
  <c r="J170" i="26"/>
  <c r="K170" i="26"/>
  <c r="L170" i="26"/>
  <c r="A171" i="26"/>
  <c r="B171" i="26"/>
  <c r="C171" i="26"/>
  <c r="D171" i="26"/>
  <c r="G171" i="26"/>
  <c r="H171" i="26"/>
  <c r="I171" i="26"/>
  <c r="J171" i="26"/>
  <c r="K171" i="26"/>
  <c r="L171" i="26"/>
  <c r="A172" i="26"/>
  <c r="B172" i="26"/>
  <c r="C172" i="26"/>
  <c r="D172" i="26"/>
  <c r="E172" i="26" s="1"/>
  <c r="G172" i="26"/>
  <c r="H172" i="26"/>
  <c r="I172" i="26"/>
  <c r="J172" i="26"/>
  <c r="K172" i="26"/>
  <c r="L172" i="26"/>
  <c r="A173" i="26"/>
  <c r="B173" i="26"/>
  <c r="C173" i="26"/>
  <c r="D173" i="26"/>
  <c r="E173" i="26" s="1"/>
  <c r="G173" i="26"/>
  <c r="H173" i="26"/>
  <c r="I173" i="26"/>
  <c r="J173" i="26"/>
  <c r="K173" i="26"/>
  <c r="L173" i="26"/>
  <c r="A174" i="26"/>
  <c r="B174" i="26"/>
  <c r="C174" i="26"/>
  <c r="D174" i="26"/>
  <c r="E174" i="26" s="1"/>
  <c r="G174" i="26"/>
  <c r="H174" i="26"/>
  <c r="I174" i="26"/>
  <c r="J174" i="26"/>
  <c r="K174" i="26"/>
  <c r="L174" i="26"/>
  <c r="A175" i="26"/>
  <c r="B175" i="26"/>
  <c r="C175" i="26"/>
  <c r="D175" i="26"/>
  <c r="G175" i="26"/>
  <c r="H175" i="26"/>
  <c r="I175" i="26"/>
  <c r="J175" i="26"/>
  <c r="K175" i="26"/>
  <c r="L175" i="26"/>
  <c r="A176" i="26"/>
  <c r="B176" i="26"/>
  <c r="C176" i="26"/>
  <c r="D176" i="26"/>
  <c r="G176" i="26"/>
  <c r="H176" i="26"/>
  <c r="I176" i="26"/>
  <c r="J176" i="26"/>
  <c r="K176" i="26"/>
  <c r="L176" i="26"/>
  <c r="A177" i="26"/>
  <c r="B177" i="26"/>
  <c r="C177" i="26"/>
  <c r="D177" i="26"/>
  <c r="E177" i="26" s="1"/>
  <c r="G177" i="26"/>
  <c r="V177" i="26" s="1"/>
  <c r="H177" i="26"/>
  <c r="I177" i="26"/>
  <c r="J177" i="26"/>
  <c r="K177" i="26"/>
  <c r="L177" i="26"/>
  <c r="A178" i="26"/>
  <c r="B178" i="26"/>
  <c r="C178" i="26"/>
  <c r="D178" i="26"/>
  <c r="E178" i="26" s="1"/>
  <c r="G178" i="26"/>
  <c r="V178" i="26" s="1"/>
  <c r="H178" i="26"/>
  <c r="I178" i="26"/>
  <c r="J178" i="26"/>
  <c r="K178" i="26"/>
  <c r="L178" i="26"/>
  <c r="A179" i="26"/>
  <c r="B179" i="26"/>
  <c r="C179" i="26"/>
  <c r="D179" i="26"/>
  <c r="E179" i="26"/>
  <c r="G179" i="26"/>
  <c r="H179" i="26"/>
  <c r="I179" i="26"/>
  <c r="J179" i="26"/>
  <c r="V179" i="26" s="1"/>
  <c r="K179" i="26"/>
  <c r="L179" i="26"/>
  <c r="A180" i="26"/>
  <c r="B180" i="26"/>
  <c r="C180" i="26"/>
  <c r="D180" i="26"/>
  <c r="E180" i="26" s="1"/>
  <c r="G180" i="26"/>
  <c r="V180" i="26" s="1"/>
  <c r="H180" i="26"/>
  <c r="I180" i="26"/>
  <c r="J180" i="26"/>
  <c r="K180" i="26"/>
  <c r="L180" i="26"/>
  <c r="A181" i="26"/>
  <c r="B181" i="26"/>
  <c r="C181" i="26"/>
  <c r="E181" i="26" s="1"/>
  <c r="D181" i="26"/>
  <c r="G181" i="26"/>
  <c r="V181" i="26" s="1"/>
  <c r="H181" i="26"/>
  <c r="I181" i="26"/>
  <c r="J181" i="26"/>
  <c r="K181" i="26"/>
  <c r="L181" i="26"/>
  <c r="A182" i="26"/>
  <c r="B182" i="26"/>
  <c r="C182" i="26"/>
  <c r="D182" i="26"/>
  <c r="E182" i="26" s="1"/>
  <c r="G182" i="26"/>
  <c r="H182" i="26"/>
  <c r="I182" i="26"/>
  <c r="J182" i="26"/>
  <c r="K182" i="26"/>
  <c r="L182" i="26"/>
  <c r="V182" i="26" s="1"/>
  <c r="A183" i="26"/>
  <c r="B183" i="26"/>
  <c r="C183" i="26"/>
  <c r="D183" i="26"/>
  <c r="E183" i="26"/>
  <c r="G183" i="26"/>
  <c r="H183" i="26"/>
  <c r="I183" i="26"/>
  <c r="J183" i="26"/>
  <c r="V183" i="26" s="1"/>
  <c r="K183" i="26"/>
  <c r="L183" i="26"/>
  <c r="A184" i="26"/>
  <c r="B184" i="26"/>
  <c r="C184" i="26"/>
  <c r="D184" i="26"/>
  <c r="E184" i="26"/>
  <c r="G184" i="26"/>
  <c r="V184" i="26" s="1"/>
  <c r="H184" i="26"/>
  <c r="I184" i="26"/>
  <c r="J184" i="26"/>
  <c r="K184" i="26"/>
  <c r="L184" i="26"/>
  <c r="A185" i="26"/>
  <c r="B185" i="26"/>
  <c r="C185" i="26"/>
  <c r="D185" i="26"/>
  <c r="E185" i="26" s="1"/>
  <c r="G185" i="26"/>
  <c r="V185" i="26" s="1"/>
  <c r="H185" i="26"/>
  <c r="I185" i="26"/>
  <c r="J185" i="26"/>
  <c r="K185" i="26"/>
  <c r="L185" i="26"/>
  <c r="A186" i="26"/>
  <c r="B186" i="26"/>
  <c r="C186" i="26"/>
  <c r="D186" i="26"/>
  <c r="E186" i="26" s="1"/>
  <c r="G186" i="26"/>
  <c r="V186" i="26" s="1"/>
  <c r="H186" i="26"/>
  <c r="I186" i="26"/>
  <c r="J186" i="26"/>
  <c r="K186" i="26"/>
  <c r="L186" i="26"/>
  <c r="A187" i="26"/>
  <c r="B187" i="26"/>
  <c r="C187" i="26"/>
  <c r="D187" i="26"/>
  <c r="E187" i="26"/>
  <c r="G187" i="26"/>
  <c r="H187" i="26"/>
  <c r="I187" i="26"/>
  <c r="J187" i="26"/>
  <c r="V187" i="26" s="1"/>
  <c r="K187" i="26"/>
  <c r="L187" i="26"/>
  <c r="A188" i="26"/>
  <c r="B188" i="26"/>
  <c r="C188" i="26"/>
  <c r="D188" i="26"/>
  <c r="E188" i="26" s="1"/>
  <c r="G188" i="26"/>
  <c r="V188" i="26" s="1"/>
  <c r="H188" i="26"/>
  <c r="I188" i="26"/>
  <c r="J188" i="26"/>
  <c r="K188" i="26"/>
  <c r="L188" i="26"/>
  <c r="A189" i="26"/>
  <c r="B189" i="26"/>
  <c r="C189" i="26"/>
  <c r="E189" i="26" s="1"/>
  <c r="D189" i="26"/>
  <c r="G189" i="26"/>
  <c r="V189" i="26" s="1"/>
  <c r="H189" i="26"/>
  <c r="I189" i="26"/>
  <c r="J189" i="26"/>
  <c r="K189" i="26"/>
  <c r="L189" i="26"/>
  <c r="A190" i="26"/>
  <c r="B190" i="26"/>
  <c r="C190" i="26"/>
  <c r="D190" i="26"/>
  <c r="E190" i="26" s="1"/>
  <c r="G190" i="26"/>
  <c r="H190" i="26"/>
  <c r="I190" i="26"/>
  <c r="J190" i="26"/>
  <c r="K190" i="26"/>
  <c r="L190" i="26"/>
  <c r="V190" i="26" s="1"/>
  <c r="A191" i="26"/>
  <c r="B191" i="26"/>
  <c r="C191" i="26"/>
  <c r="D191" i="26"/>
  <c r="E191" i="26"/>
  <c r="G191" i="26"/>
  <c r="H191" i="26"/>
  <c r="I191" i="26"/>
  <c r="J191" i="26"/>
  <c r="V191" i="26" s="1"/>
  <c r="K191" i="26"/>
  <c r="L191" i="26"/>
  <c r="A192" i="26"/>
  <c r="B192" i="26"/>
  <c r="C192" i="26"/>
  <c r="D192" i="26"/>
  <c r="E192" i="26"/>
  <c r="G192" i="26"/>
  <c r="V192" i="26" s="1"/>
  <c r="H192" i="26"/>
  <c r="I192" i="26"/>
  <c r="J192" i="26"/>
  <c r="K192" i="26"/>
  <c r="L192" i="26"/>
  <c r="A193" i="26"/>
  <c r="B193" i="26"/>
  <c r="C193" i="26"/>
  <c r="D193" i="26"/>
  <c r="E193" i="26" s="1"/>
  <c r="G193" i="26"/>
  <c r="V193" i="26" s="1"/>
  <c r="H193" i="26"/>
  <c r="I193" i="26"/>
  <c r="J193" i="26"/>
  <c r="K193" i="26"/>
  <c r="L193" i="26"/>
  <c r="A194" i="26"/>
  <c r="B194" i="26"/>
  <c r="C194" i="26"/>
  <c r="D194" i="26"/>
  <c r="E194" i="26" s="1"/>
  <c r="G194" i="26"/>
  <c r="V194" i="26" s="1"/>
  <c r="H194" i="26"/>
  <c r="I194" i="26"/>
  <c r="J194" i="26"/>
  <c r="K194" i="26"/>
  <c r="L194" i="26"/>
  <c r="A195" i="26"/>
  <c r="B195" i="26"/>
  <c r="C195" i="26"/>
  <c r="D195" i="26"/>
  <c r="E195" i="26"/>
  <c r="G195" i="26"/>
  <c r="H195" i="26"/>
  <c r="I195" i="26"/>
  <c r="J195" i="26"/>
  <c r="V195" i="26" s="1"/>
  <c r="K195" i="26"/>
  <c r="L195" i="26"/>
  <c r="A196" i="26"/>
  <c r="B196" i="26"/>
  <c r="C196" i="26"/>
  <c r="D196" i="26"/>
  <c r="E196" i="26" s="1"/>
  <c r="G196" i="26"/>
  <c r="V196" i="26" s="1"/>
  <c r="H196" i="26"/>
  <c r="I196" i="26"/>
  <c r="J196" i="26"/>
  <c r="K196" i="26"/>
  <c r="L196" i="26"/>
  <c r="A197" i="26"/>
  <c r="B197" i="26"/>
  <c r="C197" i="26"/>
  <c r="E197" i="26" s="1"/>
  <c r="D197" i="26"/>
  <c r="G197" i="26"/>
  <c r="V197" i="26" s="1"/>
  <c r="H197" i="26"/>
  <c r="I197" i="26"/>
  <c r="J197" i="26"/>
  <c r="K197" i="26"/>
  <c r="L197" i="26"/>
  <c r="A198" i="26"/>
  <c r="B198" i="26"/>
  <c r="C198" i="26"/>
  <c r="D198" i="26"/>
  <c r="E198" i="26" s="1"/>
  <c r="G198" i="26"/>
  <c r="H198" i="26"/>
  <c r="I198" i="26"/>
  <c r="J198" i="26"/>
  <c r="K198" i="26"/>
  <c r="L198" i="26"/>
  <c r="V198" i="26" s="1"/>
  <c r="A199" i="26"/>
  <c r="B199" i="26"/>
  <c r="C199" i="26"/>
  <c r="D199" i="26"/>
  <c r="E199" i="26"/>
  <c r="G199" i="26"/>
  <c r="H199" i="26"/>
  <c r="I199" i="26"/>
  <c r="J199" i="26"/>
  <c r="V199" i="26" s="1"/>
  <c r="K199" i="26"/>
  <c r="L199" i="26"/>
  <c r="A200" i="26"/>
  <c r="B200" i="26"/>
  <c r="C200" i="26"/>
  <c r="D200" i="26"/>
  <c r="E200" i="26"/>
  <c r="G200" i="26"/>
  <c r="V200" i="26" s="1"/>
  <c r="H200" i="26"/>
  <c r="I200" i="26"/>
  <c r="J200" i="26"/>
  <c r="K200" i="26"/>
  <c r="L200" i="26"/>
  <c r="L5" i="26"/>
  <c r="K5" i="26"/>
  <c r="J5" i="26"/>
  <c r="I5" i="26"/>
  <c r="H5" i="26"/>
  <c r="G5" i="26"/>
  <c r="D5" i="26"/>
  <c r="C5" i="26"/>
  <c r="B5" i="26"/>
  <c r="A5" i="26"/>
  <c r="A202" i="17"/>
  <c r="A202" i="16"/>
  <c r="A202" i="10"/>
  <c r="A202" i="7"/>
  <c r="AE42" i="7"/>
  <c r="AE45" i="7" s="1"/>
  <c r="AD289" i="13" l="1"/>
  <c r="P279" i="13"/>
  <c r="AD260" i="13"/>
  <c r="AV260" i="13" s="1"/>
  <c r="P259" i="13"/>
  <c r="AX259" i="13" s="1"/>
  <c r="E108" i="26"/>
  <c r="AD298" i="13"/>
  <c r="AD294" i="13"/>
  <c r="AR290" i="13"/>
  <c r="AS290" i="13" s="1"/>
  <c r="AR285" i="13"/>
  <c r="AS285" i="13" s="1"/>
  <c r="AW285" i="13"/>
  <c r="AD282" i="13"/>
  <c r="AD278" i="13"/>
  <c r="AR272" i="13"/>
  <c r="AS272" i="13" s="1"/>
  <c r="AR268" i="13"/>
  <c r="AS268" i="13" s="1"/>
  <c r="AD268" i="13"/>
  <c r="AK257" i="13"/>
  <c r="AR255" i="13"/>
  <c r="AS255" i="13" s="1"/>
  <c r="AW254" i="13"/>
  <c r="AR243" i="13"/>
  <c r="AS243" i="13" s="1"/>
  <c r="AD240" i="13"/>
  <c r="AW240" i="13"/>
  <c r="AV235" i="13"/>
  <c r="AY235" i="13" s="1"/>
  <c r="P229" i="13"/>
  <c r="AR228" i="13"/>
  <c r="AS228" i="13" s="1"/>
  <c r="P228" i="13"/>
  <c r="AT222" i="13"/>
  <c r="AU222" i="13"/>
  <c r="AD219" i="13"/>
  <c r="AD217" i="13"/>
  <c r="AV217" i="13" s="1"/>
  <c r="AY217" i="13" s="1"/>
  <c r="AZ217" i="13" s="1"/>
  <c r="AW217" i="13"/>
  <c r="AT209" i="13"/>
  <c r="AU209" i="13"/>
  <c r="AW208" i="13"/>
  <c r="AT204" i="13"/>
  <c r="W204" i="13"/>
  <c r="AK191" i="13"/>
  <c r="P190" i="13"/>
  <c r="AX190" i="13" s="1"/>
  <c r="AT181" i="13"/>
  <c r="AU181" i="13"/>
  <c r="AD261" i="13"/>
  <c r="AY260" i="13"/>
  <c r="AR188" i="13"/>
  <c r="AS188" i="13" s="1"/>
  <c r="AD299" i="13"/>
  <c r="AV299" i="13" s="1"/>
  <c r="AK280" i="13"/>
  <c r="BD280" i="13" s="1"/>
  <c r="AR277" i="13"/>
  <c r="AS277" i="13" s="1"/>
  <c r="AR262" i="13"/>
  <c r="AS262" i="13" s="1"/>
  <c r="P249" i="13"/>
  <c r="AR239" i="13"/>
  <c r="AS239" i="13" s="1"/>
  <c r="AT237" i="13"/>
  <c r="AU237" i="13"/>
  <c r="AK236" i="13"/>
  <c r="P236" i="13"/>
  <c r="BD236" i="13" s="1"/>
  <c r="AK235" i="13"/>
  <c r="AK226" i="13"/>
  <c r="W198" i="13"/>
  <c r="W195" i="13"/>
  <c r="P193" i="13"/>
  <c r="AT217" i="13"/>
  <c r="AU217" i="13"/>
  <c r="AT188" i="13"/>
  <c r="AU188" i="13"/>
  <c r="AW188" i="13"/>
  <c r="P296" i="13"/>
  <c r="BA296" i="13" s="1"/>
  <c r="AD276" i="13"/>
  <c r="AD265" i="13"/>
  <c r="AV248" i="13"/>
  <c r="AD212" i="13"/>
  <c r="W177" i="13"/>
  <c r="AD297" i="13"/>
  <c r="AK295" i="13"/>
  <c r="AD292" i="13"/>
  <c r="W290" i="13"/>
  <c r="AK279" i="13"/>
  <c r="AR266" i="13"/>
  <c r="AS266" i="13" s="1"/>
  <c r="E175" i="26"/>
  <c r="E134" i="26"/>
  <c r="E130" i="26"/>
  <c r="E120" i="26"/>
  <c r="E110" i="26"/>
  <c r="P299" i="13"/>
  <c r="BA299" i="13" s="1"/>
  <c r="AR296" i="13"/>
  <c r="AS296" i="13" s="1"/>
  <c r="W293" i="13"/>
  <c r="AW292" i="13"/>
  <c r="AR291" i="13"/>
  <c r="AS291" i="13" s="1"/>
  <c r="AW291" i="13"/>
  <c r="AK288" i="13"/>
  <c r="BA288" i="13" s="1"/>
  <c r="BB288" i="13" s="1"/>
  <c r="BC288" i="13" s="1"/>
  <c r="W281" i="13"/>
  <c r="AD279" i="13"/>
  <c r="AV279" i="13" s="1"/>
  <c r="AR278" i="13"/>
  <c r="AS278" i="13" s="1"/>
  <c r="AR276" i="13"/>
  <c r="AS276" i="13" s="1"/>
  <c r="P276" i="13"/>
  <c r="BA276" i="13" s="1"/>
  <c r="AD273" i="13"/>
  <c r="AV273" i="13" s="1"/>
  <c r="W269" i="13"/>
  <c r="AW268" i="13"/>
  <c r="P268" i="13"/>
  <c r="AU262" i="13"/>
  <c r="P262" i="13"/>
  <c r="AR247" i="13"/>
  <c r="AS247" i="13" s="1"/>
  <c r="AD246" i="13"/>
  <c r="AW246" i="13"/>
  <c r="AW241" i="13"/>
  <c r="P241" i="13"/>
  <c r="W237" i="13"/>
  <c r="AK233" i="13"/>
  <c r="AD228" i="13"/>
  <c r="AV228" i="13" s="1"/>
  <c r="AW228" i="13"/>
  <c r="P218" i="13"/>
  <c r="AT214" i="13"/>
  <c r="AU214" i="13"/>
  <c r="AW202" i="13"/>
  <c r="AU202" i="13"/>
  <c r="P197" i="13"/>
  <c r="AW197" i="13"/>
  <c r="W192" i="13"/>
  <c r="AW191" i="13"/>
  <c r="AR189" i="13"/>
  <c r="AS189" i="13" s="1"/>
  <c r="AK297" i="13"/>
  <c r="BA297" i="13" s="1"/>
  <c r="BB297" i="13" s="1"/>
  <c r="BC297" i="13" s="1"/>
  <c r="P283" i="13"/>
  <c r="AK278" i="13"/>
  <c r="AD300" i="13"/>
  <c r="AD295" i="13"/>
  <c r="AD272" i="13"/>
  <c r="AD270" i="13"/>
  <c r="AV270" i="13" s="1"/>
  <c r="AY270" i="13" s="1"/>
  <c r="AR265" i="13"/>
  <c r="AS265" i="13" s="1"/>
  <c r="AD264" i="13"/>
  <c r="W257" i="13"/>
  <c r="P256" i="13"/>
  <c r="AK251" i="13"/>
  <c r="AD223" i="13"/>
  <c r="P221" i="13"/>
  <c r="P216" i="13"/>
  <c r="AV216" i="13" s="1"/>
  <c r="AY216" i="13" s="1"/>
  <c r="AT208" i="13"/>
  <c r="AT197" i="13"/>
  <c r="AU197" i="13"/>
  <c r="AT240" i="13"/>
  <c r="AU240" i="13"/>
  <c r="AD288" i="13"/>
  <c r="AD274" i="13"/>
  <c r="AD271" i="13"/>
  <c r="AV271" i="13" s="1"/>
  <c r="AY271" i="13" s="1"/>
  <c r="AU268" i="13"/>
  <c r="AR236" i="13"/>
  <c r="AS236" i="13" s="1"/>
  <c r="AT228" i="13"/>
  <c r="AU228" i="13"/>
  <c r="AK225" i="13"/>
  <c r="AK215" i="13"/>
  <c r="E171" i="26"/>
  <c r="W297" i="13"/>
  <c r="AR294" i="13"/>
  <c r="AS294" i="13" s="1"/>
  <c r="AD291" i="13"/>
  <c r="P290" i="13"/>
  <c r="BA290" i="13" s="1"/>
  <c r="W284" i="13"/>
  <c r="AD281" i="13"/>
  <c r="P280" i="13"/>
  <c r="W278" i="13"/>
  <c r="P273" i="13"/>
  <c r="AX273" i="13" s="1"/>
  <c r="AR271" i="13"/>
  <c r="AS271" i="13" s="1"/>
  <c r="W268" i="13"/>
  <c r="AD267" i="13"/>
  <c r="W266" i="13"/>
  <c r="AR263" i="13"/>
  <c r="AS263" i="13" s="1"/>
  <c r="AR258" i="13"/>
  <c r="AS258" i="13" s="1"/>
  <c r="P257" i="13"/>
  <c r="AV257" i="13" s="1"/>
  <c r="AU256" i="13"/>
  <c r="W252" i="13"/>
  <c r="AK250" i="13"/>
  <c r="AT250" i="13"/>
  <c r="AU250" i="13"/>
  <c r="AR249" i="13"/>
  <c r="AS249" i="13" s="1"/>
  <c r="P248" i="13"/>
  <c r="BA248" i="13" s="1"/>
  <c r="AD243" i="13"/>
  <c r="AT241" i="13"/>
  <c r="P239" i="13"/>
  <c r="AX239" i="13" s="1"/>
  <c r="W238" i="13"/>
  <c r="P237" i="13"/>
  <c r="AV237" i="13" s="1"/>
  <c r="AY237" i="13" s="1"/>
  <c r="P232" i="13"/>
  <c r="W228" i="13"/>
  <c r="AR226" i="13"/>
  <c r="AS226" i="13" s="1"/>
  <c r="AD221" i="13"/>
  <c r="AV221" i="13" s="1"/>
  <c r="AY221" i="13" s="1"/>
  <c r="W216" i="13"/>
  <c r="P215" i="13"/>
  <c r="AX215" i="13" s="1"/>
  <c r="W207" i="13"/>
  <c r="AR205" i="13"/>
  <c r="AS205" i="13" s="1"/>
  <c r="P205" i="13"/>
  <c r="P202" i="13"/>
  <c r="AK196" i="13"/>
  <c r="AR195" i="13"/>
  <c r="AS195" i="13" s="1"/>
  <c r="AD195" i="13"/>
  <c r="AR192" i="13"/>
  <c r="AS192" i="13" s="1"/>
  <c r="AD192" i="13"/>
  <c r="P185" i="13"/>
  <c r="W251" i="13"/>
  <c r="W250" i="13"/>
  <c r="W229" i="13"/>
  <c r="P298" i="13"/>
  <c r="AV298" i="13" s="1"/>
  <c r="AY298" i="13" s="1"/>
  <c r="W286" i="13"/>
  <c r="AK276" i="13"/>
  <c r="W267" i="13"/>
  <c r="AD263" i="13"/>
  <c r="AD225" i="13"/>
  <c r="AD211" i="13"/>
  <c r="AV211" i="13" s="1"/>
  <c r="AY211" i="13" s="1"/>
  <c r="AK202" i="13"/>
  <c r="BA202" i="13" s="1"/>
  <c r="BB202" i="13" s="1"/>
  <c r="BC202" i="13" s="1"/>
  <c r="E170" i="26"/>
  <c r="E166" i="26"/>
  <c r="E155" i="26"/>
  <c r="E151" i="26"/>
  <c r="E144" i="26"/>
  <c r="E119" i="26"/>
  <c r="E112" i="26"/>
  <c r="W296" i="13"/>
  <c r="W279" i="13"/>
  <c r="AK273" i="13"/>
  <c r="AK271" i="13"/>
  <c r="AR270" i="13"/>
  <c r="AS270" i="13" s="1"/>
  <c r="P270" i="13"/>
  <c r="P269" i="13"/>
  <c r="AD266" i="13"/>
  <c r="AV266" i="13" s="1"/>
  <c r="AR264" i="13"/>
  <c r="AS264" i="13" s="1"/>
  <c r="P264" i="13"/>
  <c r="BD264" i="13" s="1"/>
  <c r="P263" i="13"/>
  <c r="P261" i="13"/>
  <c r="AD258" i="13"/>
  <c r="AW258" i="13"/>
  <c r="W256" i="13"/>
  <c r="P254" i="13"/>
  <c r="AK244" i="13"/>
  <c r="P244" i="13"/>
  <c r="BA244" i="13" s="1"/>
  <c r="BB244" i="13" s="1"/>
  <c r="W241" i="13"/>
  <c r="AR240" i="13"/>
  <c r="AS240" i="13" s="1"/>
  <c r="AW239" i="13"/>
  <c r="W235" i="13"/>
  <c r="AR227" i="13"/>
  <c r="AS227" i="13" s="1"/>
  <c r="P227" i="13"/>
  <c r="AD222" i="13"/>
  <c r="AV222" i="13" s="1"/>
  <c r="AY222" i="13" s="1"/>
  <c r="AW220" i="13"/>
  <c r="AX220" i="13" s="1"/>
  <c r="AU218" i="13"/>
  <c r="AD218" i="13"/>
  <c r="W218" i="13"/>
  <c r="W215" i="13"/>
  <c r="AW209" i="13"/>
  <c r="AW181" i="13"/>
  <c r="P245" i="13"/>
  <c r="AX245" i="13" s="1"/>
  <c r="AK240" i="13"/>
  <c r="W240" i="13"/>
  <c r="AD238" i="13"/>
  <c r="AV238" i="13" s="1"/>
  <c r="AY238" i="13" s="1"/>
  <c r="AD236" i="13"/>
  <c r="AR234" i="13"/>
  <c r="AS234" i="13" s="1"/>
  <c r="P234" i="13"/>
  <c r="P233" i="13"/>
  <c r="AD231" i="13"/>
  <c r="AV231" i="13" s="1"/>
  <c r="AY231" i="13" s="1"/>
  <c r="AW230" i="13"/>
  <c r="AX230" i="13" s="1"/>
  <c r="AD229" i="13"/>
  <c r="AV229" i="13" s="1"/>
  <c r="AY229" i="13" s="1"/>
  <c r="AD227" i="13"/>
  <c r="W223" i="13"/>
  <c r="W222" i="13"/>
  <c r="AR221" i="13"/>
  <c r="AS221" i="13" s="1"/>
  <c r="AD220" i="13"/>
  <c r="AK213" i="13"/>
  <c r="W210" i="13"/>
  <c r="P209" i="13"/>
  <c r="AX209" i="13" s="1"/>
  <c r="W208" i="13"/>
  <c r="AW204" i="13"/>
  <c r="AR203" i="13"/>
  <c r="AS203" i="13" s="1"/>
  <c r="AR201" i="13"/>
  <c r="AS201" i="13" s="1"/>
  <c r="W196" i="13"/>
  <c r="W194" i="13"/>
  <c r="AK192" i="13"/>
  <c r="AK190" i="13"/>
  <c r="W187" i="13"/>
  <c r="AR185" i="13"/>
  <c r="AS185" i="13" s="1"/>
  <c r="AD184" i="13"/>
  <c r="AR177" i="13"/>
  <c r="AS177" i="13" s="1"/>
  <c r="AR175" i="13"/>
  <c r="AS175" i="13" s="1"/>
  <c r="AW162" i="13"/>
  <c r="W181" i="13"/>
  <c r="AD242" i="13"/>
  <c r="AV242" i="13" s="1"/>
  <c r="AY242" i="13" s="1"/>
  <c r="AZ242" i="13" s="1"/>
  <c r="W231" i="13"/>
  <c r="AR222" i="13"/>
  <c r="AS222" i="13" s="1"/>
  <c r="P222" i="13"/>
  <c r="AR217" i="13"/>
  <c r="AS217" i="13" s="1"/>
  <c r="W217" i="13"/>
  <c r="P217" i="13"/>
  <c r="AX217" i="13" s="1"/>
  <c r="AK216" i="13"/>
  <c r="BD216" i="13" s="1"/>
  <c r="AR215" i="13"/>
  <c r="AS215" i="13" s="1"/>
  <c r="AR212" i="13"/>
  <c r="AS212" i="13" s="1"/>
  <c r="W211" i="13"/>
  <c r="AR206" i="13"/>
  <c r="AS206" i="13" s="1"/>
  <c r="AD206" i="13"/>
  <c r="AV206" i="13" s="1"/>
  <c r="AY206" i="13" s="1"/>
  <c r="AU205" i="13"/>
  <c r="AR204" i="13"/>
  <c r="AS204" i="13" s="1"/>
  <c r="AU201" i="13"/>
  <c r="P200" i="13"/>
  <c r="W199" i="13"/>
  <c r="AR194" i="13"/>
  <c r="AS194" i="13" s="1"/>
  <c r="AD194" i="13"/>
  <c r="AU193" i="13"/>
  <c r="AR186" i="13"/>
  <c r="AS186" i="13" s="1"/>
  <c r="AK184" i="13"/>
  <c r="P184" i="13"/>
  <c r="AX184" i="13" s="1"/>
  <c r="AK178" i="13"/>
  <c r="AU175" i="13"/>
  <c r="AR260" i="13"/>
  <c r="AS260" i="13" s="1"/>
  <c r="AU255" i="13"/>
  <c r="P253" i="13"/>
  <c r="AR252" i="13"/>
  <c r="AS252" i="13" s="1"/>
  <c r="P251" i="13"/>
  <c r="AV251" i="13" s="1"/>
  <c r="AY251" i="13" s="1"/>
  <c r="AD249" i="13"/>
  <c r="AV249" i="13" s="1"/>
  <c r="AY249" i="13" s="1"/>
  <c r="AR246" i="13"/>
  <c r="AS246" i="13" s="1"/>
  <c r="W246" i="13"/>
  <c r="AR235" i="13"/>
  <c r="AS235" i="13" s="1"/>
  <c r="W232" i="13"/>
  <c r="AD230" i="13"/>
  <c r="W227" i="13"/>
  <c r="W225" i="13"/>
  <c r="W219" i="13"/>
  <c r="AU213" i="13"/>
  <c r="W212" i="13"/>
  <c r="AD209" i="13"/>
  <c r="AR208" i="13"/>
  <c r="AS208" i="13" s="1"/>
  <c r="AK199" i="13"/>
  <c r="AD198" i="13"/>
  <c r="P194" i="13"/>
  <c r="AX194" i="13" s="1"/>
  <c r="W190" i="13"/>
  <c r="P188" i="13"/>
  <c r="P187" i="13"/>
  <c r="AU180" i="13"/>
  <c r="W179" i="13"/>
  <c r="AR178" i="13"/>
  <c r="AS178" i="13" s="1"/>
  <c r="AD177" i="13"/>
  <c r="W287" i="13"/>
  <c r="P281" i="13"/>
  <c r="BA281" i="13" s="1"/>
  <c r="W273" i="13"/>
  <c r="W272" i="13"/>
  <c r="AR267" i="13"/>
  <c r="AS267" i="13" s="1"/>
  <c r="P267" i="13"/>
  <c r="AD262" i="13"/>
  <c r="AV262" i="13" s="1"/>
  <c r="AY262" i="13" s="1"/>
  <c r="W258" i="13"/>
  <c r="P258" i="13"/>
  <c r="BA258" i="13" s="1"/>
  <c r="BB258" i="13" s="1"/>
  <c r="AD252" i="13"/>
  <c r="AV252" i="13" s="1"/>
  <c r="AY252" i="13" s="1"/>
  <c r="AW252" i="13"/>
  <c r="AD245" i="13"/>
  <c r="W239" i="13"/>
  <c r="AR237" i="13"/>
  <c r="AS237" i="13" s="1"/>
  <c r="AK234" i="13"/>
  <c r="AD234" i="13"/>
  <c r="AV234" i="13" s="1"/>
  <c r="AY234" i="13" s="1"/>
  <c r="AW233" i="13"/>
  <c r="AX233" i="13" s="1"/>
  <c r="AR231" i="13"/>
  <c r="AS231" i="13" s="1"/>
  <c r="P230" i="13"/>
  <c r="W226" i="13"/>
  <c r="AD224" i="13"/>
  <c r="W221" i="13"/>
  <c r="W220" i="13"/>
  <c r="P220" i="13"/>
  <c r="AR219" i="13"/>
  <c r="AS219" i="13" s="1"/>
  <c r="AW218" i="13"/>
  <c r="P214" i="13"/>
  <c r="W213" i="13"/>
  <c r="AK210" i="13"/>
  <c r="AR209" i="13"/>
  <c r="AS209" i="13" s="1"/>
  <c r="AR207" i="13"/>
  <c r="AS207" i="13" s="1"/>
  <c r="P203" i="13"/>
  <c r="W202" i="13"/>
  <c r="AW198" i="13"/>
  <c r="AR197" i="13"/>
  <c r="AS197" i="13" s="1"/>
  <c r="AD197" i="13"/>
  <c r="AU192" i="13"/>
  <c r="AK189" i="13"/>
  <c r="AK185" i="13"/>
  <c r="W185" i="13"/>
  <c r="W184" i="13"/>
  <c r="P182" i="13"/>
  <c r="BA182" i="13" s="1"/>
  <c r="BB182" i="13" s="1"/>
  <c r="BC182" i="13" s="1"/>
  <c r="W178" i="13"/>
  <c r="P177" i="13"/>
  <c r="AK175" i="13"/>
  <c r="AR176" i="13"/>
  <c r="AS176" i="13" s="1"/>
  <c r="P176" i="13"/>
  <c r="AK214" i="13"/>
  <c r="AK205" i="13"/>
  <c r="BA205" i="13" s="1"/>
  <c r="BB205" i="13" s="1"/>
  <c r="BC205" i="13" s="1"/>
  <c r="AD204" i="13"/>
  <c r="AD203" i="13"/>
  <c r="AR202" i="13"/>
  <c r="AS202" i="13" s="1"/>
  <c r="AK193" i="13"/>
  <c r="W193" i="13"/>
  <c r="AD187" i="13"/>
  <c r="AD186" i="13"/>
  <c r="AR181" i="13"/>
  <c r="AS181" i="13" s="1"/>
  <c r="AK179" i="13"/>
  <c r="BA179" i="13" s="1"/>
  <c r="BB179" i="13" s="1"/>
  <c r="W176" i="13"/>
  <c r="W175" i="13"/>
  <c r="AR174" i="13"/>
  <c r="AS174" i="13" s="1"/>
  <c r="AD174" i="13"/>
  <c r="AV174" i="13" s="1"/>
  <c r="P174" i="13"/>
  <c r="AW37" i="13"/>
  <c r="E87" i="26"/>
  <c r="AW66" i="13"/>
  <c r="AW42" i="13"/>
  <c r="AW34" i="13"/>
  <c r="E79" i="26"/>
  <c r="E59" i="26"/>
  <c r="E101" i="26"/>
  <c r="E55" i="26"/>
  <c r="E66" i="26"/>
  <c r="E65" i="26"/>
  <c r="E61" i="26"/>
  <c r="E52" i="26"/>
  <c r="E94" i="26"/>
  <c r="E80" i="26"/>
  <c r="E104" i="26"/>
  <c r="E56" i="26"/>
  <c r="E86" i="26"/>
  <c r="AU86" i="13"/>
  <c r="AW52" i="13"/>
  <c r="E85" i="26"/>
  <c r="E62" i="26"/>
  <c r="AW85" i="13"/>
  <c r="E100" i="26"/>
  <c r="E88" i="26"/>
  <c r="AW39" i="13"/>
  <c r="AW31" i="13"/>
  <c r="E99" i="26"/>
  <c r="E72" i="26"/>
  <c r="E68" i="26"/>
  <c r="E92" i="26"/>
  <c r="E77" i="26"/>
  <c r="E73" i="26"/>
  <c r="E63" i="26"/>
  <c r="AW75" i="13"/>
  <c r="AW51" i="13"/>
  <c r="AW43" i="13"/>
  <c r="AU13" i="13"/>
  <c r="E51" i="26"/>
  <c r="AW94" i="13"/>
  <c r="AD86" i="13"/>
  <c r="E97" i="26"/>
  <c r="E89" i="26"/>
  <c r="E82" i="26"/>
  <c r="E64" i="26"/>
  <c r="E78" i="26"/>
  <c r="E74" i="26"/>
  <c r="E41" i="26"/>
  <c r="AW81" i="13"/>
  <c r="AT169" i="13"/>
  <c r="E164" i="26"/>
  <c r="E53" i="26"/>
  <c r="W3" i="13"/>
  <c r="E158" i="26"/>
  <c r="E152" i="26"/>
  <c r="E139" i="26"/>
  <c r="E132" i="26"/>
  <c r="E126" i="26"/>
  <c r="E118" i="26"/>
  <c r="E103" i="26"/>
  <c r="E83" i="26"/>
  <c r="E76" i="26"/>
  <c r="E54" i="26"/>
  <c r="P169" i="13"/>
  <c r="AW96" i="13"/>
  <c r="AW49" i="13"/>
  <c r="AU42" i="13"/>
  <c r="AU3" i="13"/>
  <c r="E150" i="26"/>
  <c r="E125" i="26"/>
  <c r="E102" i="26"/>
  <c r="AU49" i="13"/>
  <c r="AK94" i="13"/>
  <c r="E67" i="26"/>
  <c r="E71" i="26"/>
  <c r="AW91" i="13"/>
  <c r="AW48" i="13"/>
  <c r="AR160" i="13"/>
  <c r="AS160" i="13" s="1"/>
  <c r="AT150" i="13"/>
  <c r="AU31" i="13"/>
  <c r="AW11" i="13"/>
  <c r="P4" i="13"/>
  <c r="AX4" i="13" s="1"/>
  <c r="P84" i="13"/>
  <c r="AD80" i="13"/>
  <c r="P80" i="13"/>
  <c r="V24" i="26"/>
  <c r="V12" i="26"/>
  <c r="AU96" i="13"/>
  <c r="AU43" i="13"/>
  <c r="E75" i="26"/>
  <c r="E147" i="26"/>
  <c r="E116" i="26"/>
  <c r="E98" i="26"/>
  <c r="E84" i="26"/>
  <c r="E70" i="26"/>
  <c r="AW121" i="13"/>
  <c r="AW117" i="13"/>
  <c r="AU114" i="13"/>
  <c r="AW98" i="13"/>
  <c r="AW45" i="13"/>
  <c r="AW30" i="13"/>
  <c r="AW18" i="13"/>
  <c r="AU106" i="13"/>
  <c r="AT87" i="13"/>
  <c r="AW170" i="13"/>
  <c r="AR150" i="13"/>
  <c r="AS150" i="13" s="1"/>
  <c r="AW63" i="13"/>
  <c r="AW59" i="13"/>
  <c r="AW84" i="13"/>
  <c r="AK72" i="13"/>
  <c r="AW143" i="13"/>
  <c r="P46" i="13"/>
  <c r="AW40" i="13"/>
  <c r="AW13" i="13"/>
  <c r="E117" i="26"/>
  <c r="W123" i="13"/>
  <c r="AT72" i="13"/>
  <c r="AW166" i="13"/>
  <c r="AW123" i="13"/>
  <c r="AW78" i="13"/>
  <c r="AU108" i="13"/>
  <c r="AU98" i="13"/>
  <c r="AW54" i="13"/>
  <c r="E69" i="26"/>
  <c r="W96" i="13"/>
  <c r="AW19" i="13"/>
  <c r="E128" i="26"/>
  <c r="E60" i="26"/>
  <c r="AT12" i="13"/>
  <c r="AU102" i="13"/>
  <c r="AD100" i="13"/>
  <c r="AR18" i="13"/>
  <c r="AS18" i="13" s="1"/>
  <c r="E90" i="26"/>
  <c r="AW149" i="13"/>
  <c r="AW122" i="13"/>
  <c r="AU54" i="13"/>
  <c r="W25" i="13"/>
  <c r="AT103" i="13"/>
  <c r="P100" i="13"/>
  <c r="E165" i="26"/>
  <c r="AU161" i="13"/>
  <c r="AR23" i="13"/>
  <c r="AS23" i="13" s="1"/>
  <c r="E142" i="26"/>
  <c r="E91" i="26"/>
  <c r="AW28" i="13"/>
  <c r="AW24" i="13"/>
  <c r="W12" i="13"/>
  <c r="W145" i="13"/>
  <c r="AW93" i="13"/>
  <c r="W43" i="13"/>
  <c r="W31" i="13"/>
  <c r="AU19" i="13"/>
  <c r="E81" i="26"/>
  <c r="E176" i="26"/>
  <c r="E168" i="26"/>
  <c r="E136" i="26"/>
  <c r="V109" i="26"/>
  <c r="AR95" i="13"/>
  <c r="AS95" i="13" s="1"/>
  <c r="AW79" i="13"/>
  <c r="AW72" i="13"/>
  <c r="AW68" i="13"/>
  <c r="AW64" i="13"/>
  <c r="P11" i="13"/>
  <c r="AW6" i="13"/>
  <c r="AW3" i="13"/>
  <c r="E129" i="26"/>
  <c r="AU163" i="13"/>
  <c r="AT131" i="13"/>
  <c r="AT90" i="13"/>
  <c r="AD168" i="13"/>
  <c r="AD109" i="13"/>
  <c r="AT66" i="13"/>
  <c r="W24" i="13"/>
  <c r="E141" i="26"/>
  <c r="AT55" i="13"/>
  <c r="AU37" i="13"/>
  <c r="AU40" i="13"/>
  <c r="AU107" i="13"/>
  <c r="P60" i="13"/>
  <c r="E153" i="26"/>
  <c r="AU116" i="13"/>
  <c r="AD99" i="13"/>
  <c r="E42" i="26"/>
  <c r="AK140" i="13"/>
  <c r="AU51" i="13"/>
  <c r="AU48" i="13"/>
  <c r="AU45" i="13"/>
  <c r="AU36" i="13"/>
  <c r="W13" i="13"/>
  <c r="E145" i="26"/>
  <c r="E105" i="26"/>
  <c r="E96" i="26"/>
  <c r="E58" i="26"/>
  <c r="AW161" i="13"/>
  <c r="AW158" i="13"/>
  <c r="AW147" i="13"/>
  <c r="AR121" i="13"/>
  <c r="AS121" i="13" s="1"/>
  <c r="AT75" i="13"/>
  <c r="P66" i="13"/>
  <c r="AU39" i="13"/>
  <c r="W16" i="13"/>
  <c r="AU6" i="13"/>
  <c r="V120" i="26"/>
  <c r="AU173" i="13"/>
  <c r="AK131" i="13"/>
  <c r="AU121" i="13"/>
  <c r="AT111" i="13"/>
  <c r="W28" i="13"/>
  <c r="AU18" i="13"/>
  <c r="AU52" i="13"/>
  <c r="AU149" i="13"/>
  <c r="AU24" i="13"/>
  <c r="AT137" i="13"/>
  <c r="V96" i="26"/>
  <c r="E48" i="26"/>
  <c r="V60" i="26"/>
  <c r="AK103" i="13"/>
  <c r="AR100" i="13"/>
  <c r="AS100" i="13" s="1"/>
  <c r="AR61" i="13"/>
  <c r="AS61" i="13" s="1"/>
  <c r="AK42" i="13"/>
  <c r="V168" i="26"/>
  <c r="AT28" i="13"/>
  <c r="AU21" i="13"/>
  <c r="V132" i="26"/>
  <c r="E93" i="26"/>
  <c r="V144" i="26"/>
  <c r="AW172" i="13"/>
  <c r="W33" i="13"/>
  <c r="V157" i="26"/>
  <c r="V23" i="26"/>
  <c r="V11" i="26"/>
  <c r="AT158" i="13"/>
  <c r="AU122" i="13"/>
  <c r="AU112" i="13"/>
  <c r="AT78" i="13"/>
  <c r="P69" i="13"/>
  <c r="AK63" i="13"/>
  <c r="AR32" i="13"/>
  <c r="AS32" i="13" s="1"/>
  <c r="AT19" i="13"/>
  <c r="E167" i="26"/>
  <c r="AU124" i="13"/>
  <c r="AK111" i="13"/>
  <c r="AT63" i="13"/>
  <c r="P22" i="13"/>
  <c r="AR6" i="13"/>
  <c r="AS6" i="13" s="1"/>
  <c r="AT93" i="13"/>
  <c r="AU34" i="13"/>
  <c r="AT172" i="13"/>
  <c r="AU123" i="13"/>
  <c r="E95" i="26"/>
  <c r="E57" i="26"/>
  <c r="V49" i="26"/>
  <c r="V156" i="26"/>
  <c r="V108" i="26"/>
  <c r="E107" i="26"/>
  <c r="V72" i="26"/>
  <c r="AW146" i="13"/>
  <c r="AW108" i="13"/>
  <c r="AW90" i="13"/>
  <c r="AW77" i="13"/>
  <c r="P65" i="13"/>
  <c r="AW12" i="13"/>
  <c r="AW8" i="13"/>
  <c r="V85" i="26"/>
  <c r="AU105" i="13"/>
  <c r="AK4" i="13"/>
  <c r="V121" i="26"/>
  <c r="E49" i="26"/>
  <c r="AW7" i="13"/>
  <c r="V133" i="26"/>
  <c r="V61" i="26"/>
  <c r="W89" i="13"/>
  <c r="W92" i="13"/>
  <c r="AK155" i="13"/>
  <c r="AT122" i="13"/>
  <c r="AU92" i="13"/>
  <c r="AU155" i="13"/>
  <c r="P102" i="13"/>
  <c r="AU97" i="13"/>
  <c r="AT97" i="13"/>
  <c r="AR53" i="13"/>
  <c r="AS53" i="13" s="1"/>
  <c r="W52" i="13"/>
  <c r="AU15" i="13"/>
  <c r="AT15" i="13"/>
  <c r="AR11" i="13"/>
  <c r="AS11" i="13" s="1"/>
  <c r="AU4" i="13"/>
  <c r="AT4" i="13"/>
  <c r="E43" i="26"/>
  <c r="AK7" i="13"/>
  <c r="P81" i="13"/>
  <c r="AR5" i="13"/>
  <c r="AS5" i="13" s="1"/>
  <c r="AR78" i="13"/>
  <c r="AS78" i="13" s="1"/>
  <c r="AU152" i="13"/>
  <c r="P126" i="13"/>
  <c r="P56" i="13"/>
  <c r="W49" i="13"/>
  <c r="AU140" i="13"/>
  <c r="AR72" i="13"/>
  <c r="AS72" i="13" s="1"/>
  <c r="AT33" i="13"/>
  <c r="AW73" i="13"/>
  <c r="P43" i="13"/>
  <c r="AK10" i="13"/>
  <c r="AU89" i="13"/>
  <c r="AT10" i="13"/>
  <c r="V145" i="26"/>
  <c r="AR135" i="13"/>
  <c r="AS135" i="13" s="1"/>
  <c r="AU134" i="13"/>
  <c r="AK64" i="13"/>
  <c r="AW21" i="13"/>
  <c r="AR173" i="13"/>
  <c r="AS173" i="13" s="1"/>
  <c r="AD112" i="13"/>
  <c r="AT147" i="13"/>
  <c r="AR88" i="13"/>
  <c r="AS88" i="13" s="1"/>
  <c r="AK86" i="13"/>
  <c r="P34" i="13"/>
  <c r="AU30" i="13"/>
  <c r="V8" i="26"/>
  <c r="W113" i="13"/>
  <c r="AR75" i="13"/>
  <c r="AS75" i="13" s="1"/>
  <c r="AR14" i="13"/>
  <c r="AS14" i="13" s="1"/>
  <c r="V73" i="26"/>
  <c r="W122" i="13"/>
  <c r="W95" i="13"/>
  <c r="V169" i="26"/>
  <c r="E106" i="26"/>
  <c r="V97" i="26"/>
  <c r="AR167" i="13"/>
  <c r="AS167" i="13" s="1"/>
  <c r="AD167" i="13"/>
  <c r="AU166" i="13"/>
  <c r="W137" i="13"/>
  <c r="AK67" i="13"/>
  <c r="AK57" i="13"/>
  <c r="AU27" i="13"/>
  <c r="AT27" i="13"/>
  <c r="AR81" i="13"/>
  <c r="AS81" i="13" s="1"/>
  <c r="AK144" i="13"/>
  <c r="AW140" i="13"/>
  <c r="AW105" i="13"/>
  <c r="W54" i="13"/>
  <c r="AR29" i="13"/>
  <c r="AS29" i="13" s="1"/>
  <c r="E44" i="26"/>
  <c r="P75" i="13"/>
  <c r="AK56" i="13"/>
  <c r="BA56" i="13" s="1"/>
  <c r="AD34" i="13"/>
  <c r="P138" i="13"/>
  <c r="AR125" i="13"/>
  <c r="AS125" i="13" s="1"/>
  <c r="AK112" i="13"/>
  <c r="P106" i="13"/>
  <c r="AR90" i="13"/>
  <c r="AS90" i="13" s="1"/>
  <c r="AW82" i="13"/>
  <c r="P71" i="13"/>
  <c r="AR47" i="13"/>
  <c r="AS47" i="13" s="1"/>
  <c r="E45" i="26"/>
  <c r="V40" i="26"/>
  <c r="V36" i="26"/>
  <c r="V22" i="26"/>
  <c r="V16" i="26"/>
  <c r="V10" i="26"/>
  <c r="AW88" i="13"/>
  <c r="AD39" i="13"/>
  <c r="AK34" i="13"/>
  <c r="AT9" i="13"/>
  <c r="W6" i="13"/>
  <c r="V25" i="26"/>
  <c r="V13" i="26"/>
  <c r="AK173" i="13"/>
  <c r="P172" i="13"/>
  <c r="P74" i="13"/>
  <c r="W51" i="13"/>
  <c r="V47" i="26"/>
  <c r="V29" i="26"/>
  <c r="P83" i="13"/>
  <c r="AR70" i="13"/>
  <c r="AS70" i="13" s="1"/>
  <c r="W53" i="13"/>
  <c r="W40" i="13"/>
  <c r="V5" i="26"/>
  <c r="V165" i="26"/>
  <c r="V129" i="26"/>
  <c r="P86" i="13"/>
  <c r="P5" i="13"/>
  <c r="P145" i="13"/>
  <c r="W105" i="13"/>
  <c r="AU143" i="13"/>
  <c r="W18" i="13"/>
  <c r="V28" i="26"/>
  <c r="AU165" i="13"/>
  <c r="AT146" i="13"/>
  <c r="AR128" i="13"/>
  <c r="AS128" i="13" s="1"/>
  <c r="P128" i="13"/>
  <c r="AU118" i="13"/>
  <c r="AU115" i="13"/>
  <c r="AK91" i="13"/>
  <c r="AT60" i="13"/>
  <c r="AK20" i="13"/>
  <c r="P7" i="13"/>
  <c r="AD162" i="13"/>
  <c r="P155" i="13"/>
  <c r="AX155" i="13" s="1"/>
  <c r="P115" i="13"/>
  <c r="AT99" i="13"/>
  <c r="AT69" i="13"/>
  <c r="AR67" i="13"/>
  <c r="AS67" i="13" s="1"/>
  <c r="P52" i="13"/>
  <c r="AX52" i="13" s="1"/>
  <c r="V17" i="26"/>
  <c r="W164" i="13"/>
  <c r="AT159" i="13"/>
  <c r="W148" i="13"/>
  <c r="W139" i="13"/>
  <c r="AR130" i="13"/>
  <c r="AS130" i="13" s="1"/>
  <c r="AR9" i="13"/>
  <c r="AS9" i="13" s="1"/>
  <c r="V153" i="26"/>
  <c r="AK164" i="13"/>
  <c r="AR157" i="13"/>
  <c r="AS157" i="13" s="1"/>
  <c r="AD21" i="13"/>
  <c r="P17" i="13"/>
  <c r="V167" i="26"/>
  <c r="V131" i="26"/>
  <c r="V48" i="26"/>
  <c r="E47" i="26"/>
  <c r="AU170" i="13"/>
  <c r="W163" i="13"/>
  <c r="AK161" i="13"/>
  <c r="AK156" i="13"/>
  <c r="P140" i="13"/>
  <c r="BA140" i="13" s="1"/>
  <c r="AU120" i="13"/>
  <c r="AK87" i="13"/>
  <c r="AR60" i="13"/>
  <c r="AS60" i="13" s="1"/>
  <c r="W55" i="13"/>
  <c r="AR26" i="13"/>
  <c r="AS26" i="13" s="1"/>
  <c r="W22" i="13"/>
  <c r="AD15" i="13"/>
  <c r="E50" i="26"/>
  <c r="AW46" i="13"/>
  <c r="AK35" i="13"/>
  <c r="AU171" i="13"/>
  <c r="AD128" i="13"/>
  <c r="V34" i="26"/>
  <c r="W170" i="13"/>
  <c r="AW104" i="13"/>
  <c r="AK102" i="13"/>
  <c r="AR98" i="13"/>
  <c r="AS98" i="13" s="1"/>
  <c r="AD19" i="13"/>
  <c r="P19" i="13"/>
  <c r="V35" i="26"/>
  <c r="AK170" i="13"/>
  <c r="W69" i="13"/>
  <c r="E46" i="26"/>
  <c r="AT132" i="13"/>
  <c r="AK53" i="13"/>
  <c r="V141" i="26"/>
  <c r="AK153" i="13"/>
  <c r="BA153" i="13" s="1"/>
  <c r="AD140" i="13"/>
  <c r="AD54" i="13"/>
  <c r="AR17" i="13"/>
  <c r="AS17" i="13" s="1"/>
  <c r="V155" i="26"/>
  <c r="V143" i="26"/>
  <c r="V119" i="26"/>
  <c r="V107" i="26"/>
  <c r="V95" i="26"/>
  <c r="V84" i="26"/>
  <c r="V83" i="26"/>
  <c r="V71" i="26"/>
  <c r="V59" i="26"/>
  <c r="V37" i="26"/>
  <c r="V9" i="26"/>
  <c r="AD143" i="13"/>
  <c r="AW103" i="13"/>
  <c r="P99" i="13"/>
  <c r="AW74" i="13"/>
  <c r="AR63" i="13"/>
  <c r="AS63" i="13" s="1"/>
  <c r="AW36" i="13"/>
  <c r="W27" i="13"/>
  <c r="W19" i="13"/>
  <c r="V174" i="26"/>
  <c r="V159" i="26"/>
  <c r="V151" i="26"/>
  <c r="V130" i="26"/>
  <c r="V112" i="26"/>
  <c r="V98" i="26"/>
  <c r="V88" i="26"/>
  <c r="V81" i="26"/>
  <c r="V65" i="26"/>
  <c r="V54" i="26"/>
  <c r="V45" i="26"/>
  <c r="E35" i="26"/>
  <c r="E29" i="26"/>
  <c r="E23" i="26"/>
  <c r="E17" i="26"/>
  <c r="E11" i="26"/>
  <c r="AT162" i="13"/>
  <c r="W162" i="13"/>
  <c r="AR144" i="13"/>
  <c r="AS144" i="13" s="1"/>
  <c r="P134" i="13"/>
  <c r="W124" i="13"/>
  <c r="V166" i="26"/>
  <c r="V146" i="26"/>
  <c r="V136" i="26"/>
  <c r="V127" i="26"/>
  <c r="V118" i="26"/>
  <c r="V100" i="26"/>
  <c r="V92" i="26"/>
  <c r="V77" i="26"/>
  <c r="V68" i="26"/>
  <c r="V57" i="26"/>
  <c r="V44" i="26"/>
  <c r="AD161" i="13"/>
  <c r="V30" i="26"/>
  <c r="V18" i="26"/>
  <c r="V6" i="26"/>
  <c r="P163" i="13"/>
  <c r="W146" i="13"/>
  <c r="AK136" i="13"/>
  <c r="AK124" i="13"/>
  <c r="V176" i="26"/>
  <c r="V158" i="26"/>
  <c r="V148" i="26"/>
  <c r="V138" i="26"/>
  <c r="V122" i="26"/>
  <c r="V113" i="26"/>
  <c r="V106" i="26"/>
  <c r="V86" i="26"/>
  <c r="V78" i="26"/>
  <c r="V63" i="26"/>
  <c r="V53" i="26"/>
  <c r="V42" i="26"/>
  <c r="E34" i="26"/>
  <c r="AR171" i="13"/>
  <c r="AS171" i="13" s="1"/>
  <c r="E36" i="26"/>
  <c r="E30" i="26"/>
  <c r="E24" i="26"/>
  <c r="E18" i="26"/>
  <c r="E12" i="26"/>
  <c r="E6" i="26"/>
  <c r="V173" i="26"/>
  <c r="V163" i="26"/>
  <c r="V154" i="26"/>
  <c r="V135" i="26"/>
  <c r="V126" i="26"/>
  <c r="V110" i="26"/>
  <c r="V101" i="26"/>
  <c r="V90" i="26"/>
  <c r="V80" i="26"/>
  <c r="V69" i="26"/>
  <c r="V52" i="26"/>
  <c r="E40" i="26"/>
  <c r="E10" i="26"/>
  <c r="W160" i="13"/>
  <c r="V31" i="26"/>
  <c r="V19" i="26"/>
  <c r="V7" i="26"/>
  <c r="P167" i="13"/>
  <c r="W166" i="13"/>
  <c r="AK126" i="13"/>
  <c r="W126" i="13"/>
  <c r="V164" i="26"/>
  <c r="V149" i="26"/>
  <c r="V139" i="26"/>
  <c r="V128" i="26"/>
  <c r="V115" i="26"/>
  <c r="V102" i="26"/>
  <c r="V91" i="26"/>
  <c r="V79" i="26"/>
  <c r="V67" i="26"/>
  <c r="V56" i="26"/>
  <c r="V46" i="26"/>
  <c r="E28" i="26"/>
  <c r="E22" i="26"/>
  <c r="E37" i="26"/>
  <c r="E31" i="26"/>
  <c r="E25" i="26"/>
  <c r="E19" i="26"/>
  <c r="E13" i="26"/>
  <c r="E7" i="26"/>
  <c r="AW169" i="13"/>
  <c r="AX169" i="13" s="1"/>
  <c r="AW138" i="13"/>
  <c r="AX138" i="13" s="1"/>
  <c r="W104" i="13"/>
  <c r="V172" i="26"/>
  <c r="V160" i="26"/>
  <c r="V134" i="26"/>
  <c r="V125" i="26"/>
  <c r="V116" i="26"/>
  <c r="V105" i="26"/>
  <c r="V87" i="26"/>
  <c r="V76" i="26"/>
  <c r="V64" i="26"/>
  <c r="V51" i="26"/>
  <c r="P173" i="13"/>
  <c r="V38" i="26"/>
  <c r="V32" i="26"/>
  <c r="V26" i="26"/>
  <c r="V20" i="26"/>
  <c r="V14" i="26"/>
  <c r="AR127" i="13"/>
  <c r="AS127" i="13" s="1"/>
  <c r="AW102" i="13"/>
  <c r="V170" i="26"/>
  <c r="V147" i="26"/>
  <c r="V140" i="26"/>
  <c r="V111" i="26"/>
  <c r="V103" i="26"/>
  <c r="V89" i="26"/>
  <c r="V75" i="26"/>
  <c r="V62" i="26"/>
  <c r="V50" i="26"/>
  <c r="AK160" i="13"/>
  <c r="E38" i="26"/>
  <c r="E32" i="26"/>
  <c r="E26" i="26"/>
  <c r="E20" i="26"/>
  <c r="E14" i="26"/>
  <c r="E8" i="26"/>
  <c r="AR148" i="13"/>
  <c r="AS148" i="13" s="1"/>
  <c r="AR113" i="13"/>
  <c r="AS113" i="13" s="1"/>
  <c r="AT109" i="13"/>
  <c r="AU109" i="13"/>
  <c r="AW109" i="13"/>
  <c r="AD108" i="13"/>
  <c r="V175" i="26"/>
  <c r="V162" i="26"/>
  <c r="V150" i="26"/>
  <c r="V137" i="26"/>
  <c r="V124" i="26"/>
  <c r="V117" i="26"/>
  <c r="V99" i="26"/>
  <c r="V93" i="26"/>
  <c r="V74" i="26"/>
  <c r="V66" i="26"/>
  <c r="V55" i="26"/>
  <c r="V41" i="26"/>
  <c r="AK143" i="13"/>
  <c r="V39" i="26"/>
  <c r="V33" i="26"/>
  <c r="V27" i="26"/>
  <c r="V21" i="26"/>
  <c r="V15" i="26"/>
  <c r="AK147" i="13"/>
  <c r="AK128" i="13"/>
  <c r="W117" i="13"/>
  <c r="AR116" i="13"/>
  <c r="AS116" i="13" s="1"/>
  <c r="W114" i="13"/>
  <c r="V171" i="26"/>
  <c r="V161" i="26"/>
  <c r="V152" i="26"/>
  <c r="V142" i="26"/>
  <c r="V123" i="26"/>
  <c r="V114" i="26"/>
  <c r="V104" i="26"/>
  <c r="V94" i="26"/>
  <c r="V82" i="26"/>
  <c r="V70" i="26"/>
  <c r="V58" i="26"/>
  <c r="V43" i="26"/>
  <c r="E16" i="26"/>
  <c r="E39" i="26"/>
  <c r="E33" i="26"/>
  <c r="E27" i="26"/>
  <c r="E21" i="26"/>
  <c r="E15" i="26"/>
  <c r="E9" i="26"/>
  <c r="W155" i="13"/>
  <c r="P129" i="13"/>
  <c r="AU117" i="13"/>
  <c r="AR161" i="13"/>
  <c r="AS161" i="13" s="1"/>
  <c r="W154" i="13"/>
  <c r="AK152" i="13"/>
  <c r="AK138" i="13"/>
  <c r="W138" i="13"/>
  <c r="AR137" i="13"/>
  <c r="AS137" i="13" s="1"/>
  <c r="AD137" i="13"/>
  <c r="P137" i="13"/>
  <c r="W128" i="13"/>
  <c r="P120" i="13"/>
  <c r="AX120" i="13" s="1"/>
  <c r="AW119" i="13"/>
  <c r="AR118" i="13"/>
  <c r="AS118" i="13" s="1"/>
  <c r="AD118" i="13"/>
  <c r="AR87" i="13"/>
  <c r="AS87" i="13" s="1"/>
  <c r="W172" i="13"/>
  <c r="P166" i="13"/>
  <c r="P164" i="13"/>
  <c r="P158" i="13"/>
  <c r="W157" i="13"/>
  <c r="AD153" i="13"/>
  <c r="AK149" i="13"/>
  <c r="AD144" i="13"/>
  <c r="AR141" i="13"/>
  <c r="AS141" i="13" s="1"/>
  <c r="W140" i="13"/>
  <c r="AK135" i="13"/>
  <c r="AD134" i="13"/>
  <c r="AK130" i="13"/>
  <c r="AD127" i="13"/>
  <c r="AT119" i="13"/>
  <c r="W119" i="13"/>
  <c r="P118" i="13"/>
  <c r="AR107" i="13"/>
  <c r="AS107" i="13" s="1"/>
  <c r="AK73" i="13"/>
  <c r="P62" i="13"/>
  <c r="W15" i="13"/>
  <c r="AR8" i="13"/>
  <c r="AS8" i="13" s="1"/>
  <c r="AR3" i="13"/>
  <c r="AS3" i="13" s="1"/>
  <c r="AD171" i="13"/>
  <c r="AR169" i="13"/>
  <c r="AS169" i="13" s="1"/>
  <c r="W168" i="13"/>
  <c r="P153" i="13"/>
  <c r="W149" i="13"/>
  <c r="P148" i="13"/>
  <c r="W147" i="13"/>
  <c r="P144" i="13"/>
  <c r="P141" i="13"/>
  <c r="P139" i="13"/>
  <c r="AK137" i="13"/>
  <c r="W135" i="13"/>
  <c r="AR133" i="13"/>
  <c r="AS133" i="13" s="1"/>
  <c r="AR126" i="13"/>
  <c r="AS126" i="13" s="1"/>
  <c r="AK121" i="13"/>
  <c r="W121" i="13"/>
  <c r="AD120" i="13"/>
  <c r="AK82" i="13"/>
  <c r="W46" i="13"/>
  <c r="W30" i="13"/>
  <c r="AK172" i="13"/>
  <c r="AD158" i="13"/>
  <c r="AK132" i="13"/>
  <c r="AR124" i="13"/>
  <c r="AS124" i="13" s="1"/>
  <c r="P109" i="13"/>
  <c r="AR97" i="13"/>
  <c r="AS97" i="13" s="1"/>
  <c r="AD89" i="13"/>
  <c r="P25" i="13"/>
  <c r="P16" i="13"/>
  <c r="AK169" i="13"/>
  <c r="BA169" i="13" s="1"/>
  <c r="W165" i="13"/>
  <c r="P150" i="13"/>
  <c r="AR146" i="13"/>
  <c r="AS146" i="13" s="1"/>
  <c r="AD146" i="13"/>
  <c r="P146" i="13"/>
  <c r="AX146" i="13" s="1"/>
  <c r="W142" i="13"/>
  <c r="AW137" i="13"/>
  <c r="AR136" i="13"/>
  <c r="AS136" i="13" s="1"/>
  <c r="AD136" i="13"/>
  <c r="AD124" i="13"/>
  <c r="W9" i="13"/>
  <c r="AD165" i="13"/>
  <c r="P162" i="13"/>
  <c r="W156" i="13"/>
  <c r="AD152" i="13"/>
  <c r="AD149" i="13"/>
  <c r="AR145" i="13"/>
  <c r="AS145" i="13" s="1"/>
  <c r="AR138" i="13"/>
  <c r="AS138" i="13" s="1"/>
  <c r="AW134" i="13"/>
  <c r="AK129" i="13"/>
  <c r="W129" i="13"/>
  <c r="W125" i="13"/>
  <c r="AW118" i="13"/>
  <c r="P117" i="13"/>
  <c r="W111" i="13"/>
  <c r="W171" i="13"/>
  <c r="AK162" i="13"/>
  <c r="AD155" i="13"/>
  <c r="P149" i="13"/>
  <c r="AK146" i="13"/>
  <c r="W136" i="13"/>
  <c r="P132" i="13"/>
  <c r="P121" i="13"/>
  <c r="BA121" i="13" s="1"/>
  <c r="AK118" i="13"/>
  <c r="W37" i="13"/>
  <c r="P168" i="13"/>
  <c r="AR165" i="13"/>
  <c r="AS165" i="13" s="1"/>
  <c r="AK158" i="13"/>
  <c r="AR142" i="13"/>
  <c r="AS142" i="13" s="1"/>
  <c r="AW131" i="13"/>
  <c r="AD130" i="13"/>
  <c r="W127" i="13"/>
  <c r="W120" i="13"/>
  <c r="AR119" i="13"/>
  <c r="AS119" i="13" s="1"/>
  <c r="AD119" i="13"/>
  <c r="AD114" i="13"/>
  <c r="P111" i="13"/>
  <c r="AU100" i="13"/>
  <c r="AW100" i="13"/>
  <c r="AT95" i="13"/>
  <c r="AU95" i="13"/>
  <c r="AR79" i="13"/>
  <c r="AS79" i="13" s="1"/>
  <c r="AR76" i="13"/>
  <c r="AS76" i="13" s="1"/>
  <c r="AR57" i="13"/>
  <c r="AS57" i="13" s="1"/>
  <c r="W48" i="13"/>
  <c r="AT22" i="13"/>
  <c r="AU22" i="13"/>
  <c r="AW22" i="13"/>
  <c r="AR164" i="13"/>
  <c r="AS164" i="13" s="1"/>
  <c r="AR163" i="13"/>
  <c r="AS163" i="13" s="1"/>
  <c r="AR159" i="13"/>
  <c r="AS159" i="13" s="1"/>
  <c r="AR153" i="13"/>
  <c r="AS153" i="13" s="1"/>
  <c r="W153" i="13"/>
  <c r="AR151" i="13"/>
  <c r="AS151" i="13" s="1"/>
  <c r="P147" i="13"/>
  <c r="AD145" i="13"/>
  <c r="W144" i="13"/>
  <c r="AT141" i="13"/>
  <c r="AK141" i="13"/>
  <c r="AR132" i="13"/>
  <c r="AS132" i="13" s="1"/>
  <c r="W131" i="13"/>
  <c r="AW115" i="13"/>
  <c r="P114" i="13"/>
  <c r="AX114" i="13" s="1"/>
  <c r="AR85" i="13"/>
  <c r="AS85" i="13" s="1"/>
  <c r="W34" i="13"/>
  <c r="P112" i="13"/>
  <c r="AX112" i="13" s="1"/>
  <c r="AR109" i="13"/>
  <c r="AS109" i="13" s="1"/>
  <c r="P101" i="13"/>
  <c r="AD97" i="13"/>
  <c r="AW86" i="13"/>
  <c r="AT84" i="13"/>
  <c r="AD83" i="13"/>
  <c r="AU80" i="13"/>
  <c r="W80" i="13"/>
  <c r="AW80" i="13"/>
  <c r="AK78" i="13"/>
  <c r="AD74" i="13"/>
  <c r="W73" i="13"/>
  <c r="AD72" i="13"/>
  <c r="AD67" i="13"/>
  <c r="AR64" i="13"/>
  <c r="AS64" i="13" s="1"/>
  <c r="AW56" i="13"/>
  <c r="AR55" i="13"/>
  <c r="AS55" i="13" s="1"/>
  <c r="AD47" i="13"/>
  <c r="AT46" i="13"/>
  <c r="AD36" i="13"/>
  <c r="AK19" i="13"/>
  <c r="AW9" i="13"/>
  <c r="AT7" i="13"/>
  <c r="AD3" i="13"/>
  <c r="AK100" i="13"/>
  <c r="AD87" i="13"/>
  <c r="W78" i="13"/>
  <c r="AK75" i="13"/>
  <c r="AR69" i="13"/>
  <c r="AS69" i="13" s="1"/>
  <c r="AK61" i="13"/>
  <c r="P57" i="13"/>
  <c r="W56" i="13"/>
  <c r="AD45" i="13"/>
  <c r="AK43" i="13"/>
  <c r="AR40" i="13"/>
  <c r="AS40" i="13" s="1"/>
  <c r="W39" i="13"/>
  <c r="AR31" i="13"/>
  <c r="AS31" i="13" s="1"/>
  <c r="AD27" i="13"/>
  <c r="P27" i="13"/>
  <c r="AR16" i="13"/>
  <c r="AS16" i="13" s="1"/>
  <c r="W11" i="13"/>
  <c r="W7" i="13"/>
  <c r="AR91" i="13"/>
  <c r="AS91" i="13" s="1"/>
  <c r="AK90" i="13"/>
  <c r="AR89" i="13"/>
  <c r="AS89" i="13" s="1"/>
  <c r="P87" i="13"/>
  <c r="W86" i="13"/>
  <c r="AK77" i="13"/>
  <c r="W75" i="13"/>
  <c r="AR73" i="13"/>
  <c r="AS73" i="13" s="1"/>
  <c r="AK65" i="13"/>
  <c r="W61" i="13"/>
  <c r="AW58" i="13"/>
  <c r="AK52" i="13"/>
  <c r="W50" i="13"/>
  <c r="AD49" i="13"/>
  <c r="AK48" i="13"/>
  <c r="P40" i="13"/>
  <c r="AK32" i="13"/>
  <c r="W32" i="13"/>
  <c r="P26" i="13"/>
  <c r="AR24" i="13"/>
  <c r="AS24" i="13" s="1"/>
  <c r="AW15" i="13"/>
  <c r="AD14" i="13"/>
  <c r="AD12" i="13"/>
  <c r="P12" i="13"/>
  <c r="AW5" i="13"/>
  <c r="AW110" i="13"/>
  <c r="P103" i="13"/>
  <c r="AR93" i="13"/>
  <c r="AS93" i="13" s="1"/>
  <c r="P91" i="13"/>
  <c r="AX91" i="13" s="1"/>
  <c r="P89" i="13"/>
  <c r="AK70" i="13"/>
  <c r="AD62" i="13"/>
  <c r="P59" i="13"/>
  <c r="W58" i="13"/>
  <c r="AD55" i="13"/>
  <c r="P55" i="13"/>
  <c r="AR44" i="13"/>
  <c r="AS44" i="13" s="1"/>
  <c r="AR42" i="13"/>
  <c r="AS42" i="13" s="1"/>
  <c r="AK39" i="13"/>
  <c r="AD35" i="13"/>
  <c r="AD33" i="13"/>
  <c r="AR22" i="13"/>
  <c r="AS22" i="13" s="1"/>
  <c r="W21" i="13"/>
  <c r="AD20" i="13"/>
  <c r="AK5" i="13"/>
  <c r="W5" i="13"/>
  <c r="AU110" i="13"/>
  <c r="W110" i="13"/>
  <c r="AD105" i="13"/>
  <c r="P97" i="13"/>
  <c r="AK83" i="13"/>
  <c r="W77" i="13"/>
  <c r="W70" i="13"/>
  <c r="AR66" i="13"/>
  <c r="AS66" i="13" s="1"/>
  <c r="W65" i="13"/>
  <c r="AD64" i="13"/>
  <c r="AD57" i="13"/>
  <c r="AK55" i="13"/>
  <c r="AD51" i="13"/>
  <c r="P51" i="13"/>
  <c r="AX51" i="13" s="1"/>
  <c r="AR48" i="13"/>
  <c r="AS48" i="13" s="1"/>
  <c r="W36" i="13"/>
  <c r="AW25" i="13"/>
  <c r="AD18" i="13"/>
  <c r="AK16" i="13"/>
  <c r="P13" i="13"/>
  <c r="AD6" i="13"/>
  <c r="AD113" i="13"/>
  <c r="AK108" i="13"/>
  <c r="W108" i="13"/>
  <c r="P93" i="13"/>
  <c r="AR82" i="13"/>
  <c r="AS82" i="13" s="1"/>
  <c r="AT81" i="13"/>
  <c r="AD77" i="13"/>
  <c r="AD71" i="13"/>
  <c r="P68" i="13"/>
  <c r="AW67" i="13"/>
  <c r="AK60" i="13"/>
  <c r="AD59" i="13"/>
  <c r="AK49" i="13"/>
  <c r="AR46" i="13"/>
  <c r="AS46" i="13" s="1"/>
  <c r="W45" i="13"/>
  <c r="AD42" i="13"/>
  <c r="AR37" i="13"/>
  <c r="AS37" i="13" s="1"/>
  <c r="AK31" i="13"/>
  <c r="AU25" i="13"/>
  <c r="P23" i="13"/>
  <c r="AK21" i="13"/>
  <c r="AR15" i="13"/>
  <c r="AS15" i="13" s="1"/>
  <c r="AW10" i="13"/>
  <c r="P6" i="13"/>
  <c r="AD5" i="13"/>
  <c r="AK3" i="13"/>
  <c r="AR115" i="13"/>
  <c r="AS115" i="13" s="1"/>
  <c r="AR106" i="13"/>
  <c r="AS106" i="13" s="1"/>
  <c r="AK101" i="13"/>
  <c r="W101" i="13"/>
  <c r="AD96" i="13"/>
  <c r="P88" i="13"/>
  <c r="AW87" i="13"/>
  <c r="AR84" i="13"/>
  <c r="AS84" i="13" s="1"/>
  <c r="AU83" i="13"/>
  <c r="AD82" i="13"/>
  <c r="P82" i="13"/>
  <c r="AK81" i="13"/>
  <c r="AK79" i="13"/>
  <c r="AD66" i="13"/>
  <c r="AW60" i="13"/>
  <c r="AR58" i="13"/>
  <c r="AS58" i="13" s="1"/>
  <c r="AW55" i="13"/>
  <c r="P50" i="13"/>
  <c r="P41" i="13"/>
  <c r="AD37" i="13"/>
  <c r="P37" i="13"/>
  <c r="AW27" i="13"/>
  <c r="P24" i="13"/>
  <c r="AW16" i="13"/>
  <c r="AW14" i="13"/>
  <c r="AK8" i="13"/>
  <c r="W8" i="13"/>
  <c r="AR7" i="13"/>
  <c r="AS7" i="13" s="1"/>
  <c r="P108" i="13"/>
  <c r="AR101" i="13"/>
  <c r="AS101" i="13" s="1"/>
  <c r="AK85" i="13"/>
  <c r="P78" i="13"/>
  <c r="AK69" i="13"/>
  <c r="AD68" i="13"/>
  <c r="AK62" i="13"/>
  <c r="W60" i="13"/>
  <c r="AW57" i="13"/>
  <c r="AD56" i="13"/>
  <c r="AR54" i="13"/>
  <c r="AS54" i="13" s="1"/>
  <c r="AR50" i="13"/>
  <c r="AS50" i="13" s="1"/>
  <c r="AK45" i="13"/>
  <c r="AR41" i="13"/>
  <c r="AS41" i="13" s="1"/>
  <c r="AR39" i="13"/>
  <c r="AS39" i="13" s="1"/>
  <c r="AR38" i="13"/>
  <c r="AS38" i="13" s="1"/>
  <c r="W29" i="13"/>
  <c r="AD24" i="13"/>
  <c r="AK22" i="13"/>
  <c r="AU16" i="13"/>
  <c r="AD11" i="13"/>
  <c r="AD9" i="13"/>
  <c r="P9" i="13"/>
  <c r="AD7" i="13"/>
  <c r="AW116" i="13"/>
  <c r="AR104" i="13"/>
  <c r="AS104" i="13" s="1"/>
  <c r="AD104" i="13"/>
  <c r="AD102" i="13"/>
  <c r="AW99" i="13"/>
  <c r="AW97" i="13"/>
  <c r="AK93" i="13"/>
  <c r="AW89" i="13"/>
  <c r="AW69" i="13"/>
  <c r="P63" i="13"/>
  <c r="P58" i="13"/>
  <c r="AT57" i="13"/>
  <c r="AD50" i="13"/>
  <c r="AD48" i="13"/>
  <c r="P48" i="13"/>
  <c r="P39" i="13"/>
  <c r="P38" i="13"/>
  <c r="AK37" i="13"/>
  <c r="AR36" i="13"/>
  <c r="AS36" i="13" s="1"/>
  <c r="AR34" i="13"/>
  <c r="AS34" i="13" s="1"/>
  <c r="AW33" i="13"/>
  <c r="AD32" i="13"/>
  <c r="AD30" i="13"/>
  <c r="P30" i="13"/>
  <c r="AR19" i="13"/>
  <c r="AS19" i="13" s="1"/>
  <c r="AD17" i="13"/>
  <c r="W10" i="13"/>
  <c r="P8" i="13"/>
  <c r="W116" i="13"/>
  <c r="AK109" i="13"/>
  <c r="AD92" i="13"/>
  <c r="P92" i="13"/>
  <c r="AK88" i="13"/>
  <c r="P77" i="13"/>
  <c r="AK71" i="13"/>
  <c r="P54" i="13"/>
  <c r="AK46" i="13"/>
  <c r="W42" i="13"/>
  <c r="AK28" i="13"/>
  <c r="AR27" i="13"/>
  <c r="AS27" i="13" s="1"/>
  <c r="P10" i="13"/>
  <c r="AX10" i="13" s="1"/>
  <c r="AW113" i="13"/>
  <c r="AR112" i="13"/>
  <c r="AS112" i="13" s="1"/>
  <c r="AW111" i="13"/>
  <c r="AR110" i="13"/>
  <c r="AS110" i="13" s="1"/>
  <c r="AW107" i="13"/>
  <c r="AD106" i="13"/>
  <c r="W102" i="13"/>
  <c r="AD98" i="13"/>
  <c r="AR96" i="13"/>
  <c r="AS96" i="13" s="1"/>
  <c r="P96" i="13"/>
  <c r="AX96" i="13" s="1"/>
  <c r="AW95" i="13"/>
  <c r="P72" i="13"/>
  <c r="AK66" i="13"/>
  <c r="W64" i="13"/>
  <c r="AK58" i="13"/>
  <c r="W57" i="13"/>
  <c r="P49" i="13"/>
  <c r="AK44" i="13"/>
  <c r="W44" i="13"/>
  <c r="P35" i="13"/>
  <c r="P31" i="13"/>
  <c r="AR20" i="13"/>
  <c r="AS20" i="13" s="1"/>
  <c r="P20" i="13"/>
  <c r="AK18" i="13"/>
  <c r="P14" i="13"/>
  <c r="AK13" i="13"/>
  <c r="AR12" i="13"/>
  <c r="AS12" i="13" s="1"/>
  <c r="AD8" i="13"/>
  <c r="W4" i="13"/>
  <c r="AV297" i="13"/>
  <c r="AY297" i="13" s="1"/>
  <c r="AZ297" i="13" s="1"/>
  <c r="BD297" i="13"/>
  <c r="AX280" i="13"/>
  <c r="BA280" i="13"/>
  <c r="BB280" i="13" s="1"/>
  <c r="BC280" i="13" s="1"/>
  <c r="BA262" i="13"/>
  <c r="BB262" i="13" s="1"/>
  <c r="BD262" i="13"/>
  <c r="AX262" i="13"/>
  <c r="AZ262" i="13" s="1"/>
  <c r="AK300" i="13"/>
  <c r="BA300" i="13" s="1"/>
  <c r="BB300" i="13" s="1"/>
  <c r="W300" i="13"/>
  <c r="AR299" i="13"/>
  <c r="AS299" i="13" s="1"/>
  <c r="AT290" i="13"/>
  <c r="AU290" i="13"/>
  <c r="AW290" i="13"/>
  <c r="BB290" i="13" s="1"/>
  <c r="P284" i="13"/>
  <c r="AD283" i="13"/>
  <c r="AV283" i="13" s="1"/>
  <c r="AY283" i="13" s="1"/>
  <c r="AK282" i="13"/>
  <c r="BA282" i="13" s="1"/>
  <c r="BB282" i="13" s="1"/>
  <c r="W282" i="13"/>
  <c r="AR281" i="13"/>
  <c r="AS281" i="13" s="1"/>
  <c r="P274" i="13"/>
  <c r="AX268" i="13"/>
  <c r="BA268" i="13"/>
  <c r="BB268" i="13" s="1"/>
  <c r="BD268" i="13"/>
  <c r="BA256" i="13"/>
  <c r="BB256" i="13" s="1"/>
  <c r="AX256" i="13"/>
  <c r="AX283" i="13"/>
  <c r="BA283" i="13"/>
  <c r="BB283" i="13" s="1"/>
  <c r="BC283" i="13" s="1"/>
  <c r="BD283" i="13"/>
  <c r="AT293" i="13"/>
  <c r="AU293" i="13"/>
  <c r="AW293" i="13"/>
  <c r="P287" i="13"/>
  <c r="AD286" i="13"/>
  <c r="AK285" i="13"/>
  <c r="BA285" i="13" s="1"/>
  <c r="BB285" i="13" s="1"/>
  <c r="W285" i="13"/>
  <c r="AR284" i="13"/>
  <c r="AS284" i="13" s="1"/>
  <c r="P275" i="13"/>
  <c r="AR273" i="13"/>
  <c r="AS273" i="13" s="1"/>
  <c r="AT266" i="13"/>
  <c r="AU266" i="13"/>
  <c r="AW266" i="13"/>
  <c r="BB266" i="13" s="1"/>
  <c r="AR300" i="13"/>
  <c r="AS300" i="13" s="1"/>
  <c r="P286" i="13"/>
  <c r="AV285" i="13"/>
  <c r="AY285" i="13" s="1"/>
  <c r="AX285" i="13"/>
  <c r="AD284" i="13"/>
  <c r="AV284" i="13" s="1"/>
  <c r="AR282" i="13"/>
  <c r="AS282" i="13" s="1"/>
  <c r="AT278" i="13"/>
  <c r="AU278" i="13"/>
  <c r="AW278" i="13"/>
  <c r="AV267" i="13"/>
  <c r="AV263" i="13"/>
  <c r="AY263" i="13" s="1"/>
  <c r="AX267" i="13"/>
  <c r="BA267" i="13"/>
  <c r="BD267" i="13"/>
  <c r="BA250" i="13"/>
  <c r="BB250" i="13" s="1"/>
  <c r="AX250" i="13"/>
  <c r="AT296" i="13"/>
  <c r="AU296" i="13"/>
  <c r="AW296" i="13"/>
  <c r="BB296" i="13" s="1"/>
  <c r="AX290" i="13"/>
  <c r="AV289" i="13"/>
  <c r="AY289" i="13" s="1"/>
  <c r="W288" i="13"/>
  <c r="AR287" i="13"/>
  <c r="AS287" i="13" s="1"/>
  <c r="AR275" i="13"/>
  <c r="AS275" i="13" s="1"/>
  <c r="AT272" i="13"/>
  <c r="AU272" i="13"/>
  <c r="AW272" i="13"/>
  <c r="AR269" i="13"/>
  <c r="AS269" i="13" s="1"/>
  <c r="P265" i="13"/>
  <c r="W264" i="13"/>
  <c r="AX300" i="13"/>
  <c r="AR279" i="13"/>
  <c r="AS279" i="13" s="1"/>
  <c r="P289" i="13"/>
  <c r="AV288" i="13"/>
  <c r="AY288" i="13" s="1"/>
  <c r="AZ288" i="13" s="1"/>
  <c r="BD288" i="13"/>
  <c r="AD287" i="13"/>
  <c r="AV287" i="13" s="1"/>
  <c r="AY287" i="13" s="1"/>
  <c r="AD277" i="13"/>
  <c r="W276" i="13"/>
  <c r="AD275" i="13"/>
  <c r="AK270" i="13"/>
  <c r="BA270" i="13" s="1"/>
  <c r="BB270" i="13" s="1"/>
  <c r="BC270" i="13" s="1"/>
  <c r="W270" i="13"/>
  <c r="AD269" i="13"/>
  <c r="AV269" i="13" s="1"/>
  <c r="AY269" i="13" s="1"/>
  <c r="AK264" i="13"/>
  <c r="AT299" i="13"/>
  <c r="AU299" i="13"/>
  <c r="AW299" i="13"/>
  <c r="BB299" i="13" s="1"/>
  <c r="P293" i="13"/>
  <c r="AV292" i="13"/>
  <c r="AY292" i="13" s="1"/>
  <c r="AK291" i="13"/>
  <c r="BA291" i="13" s="1"/>
  <c r="BB291" i="13" s="1"/>
  <c r="W291" i="13"/>
  <c r="AT281" i="13"/>
  <c r="AU281" i="13"/>
  <c r="AW281" i="13"/>
  <c r="P277" i="13"/>
  <c r="P271" i="13"/>
  <c r="BD266" i="13"/>
  <c r="AX266" i="13"/>
  <c r="AR251" i="13"/>
  <c r="AS251" i="13" s="1"/>
  <c r="AV282" i="13"/>
  <c r="AY282" i="13" s="1"/>
  <c r="AX263" i="13"/>
  <c r="P292" i="13"/>
  <c r="AV291" i="13"/>
  <c r="AY291" i="13" s="1"/>
  <c r="AZ291" i="13" s="1"/>
  <c r="AX291" i="13"/>
  <c r="AD290" i="13"/>
  <c r="AV290" i="13" s="1"/>
  <c r="AY290" i="13" s="1"/>
  <c r="AR288" i="13"/>
  <c r="AS288" i="13" s="1"/>
  <c r="P278" i="13"/>
  <c r="AR257" i="13"/>
  <c r="AS257" i="13" s="1"/>
  <c r="AR297" i="13"/>
  <c r="AS297" i="13" s="1"/>
  <c r="AX282" i="13"/>
  <c r="BA279" i="13"/>
  <c r="BD279" i="13"/>
  <c r="BD296" i="13"/>
  <c r="AK294" i="13"/>
  <c r="BA294" i="13" s="1"/>
  <c r="BB294" i="13" s="1"/>
  <c r="BC294" i="13" s="1"/>
  <c r="W294" i="13"/>
  <c r="AT284" i="13"/>
  <c r="AU284" i="13"/>
  <c r="AW284" i="13"/>
  <c r="P272" i="13"/>
  <c r="AV272" i="13" s="1"/>
  <c r="AY266" i="13"/>
  <c r="BA264" i="13"/>
  <c r="BB264" i="13" s="1"/>
  <c r="AV300" i="13"/>
  <c r="AY300" i="13" s="1"/>
  <c r="P295" i="13"/>
  <c r="AV295" i="13" s="1"/>
  <c r="AY295" i="13" s="1"/>
  <c r="AV294" i="13"/>
  <c r="AY294" i="13" s="1"/>
  <c r="AZ294" i="13" s="1"/>
  <c r="BD294" i="13"/>
  <c r="AD293" i="13"/>
  <c r="BA269" i="13"/>
  <c r="BB269" i="13" s="1"/>
  <c r="AX261" i="13"/>
  <c r="AV261" i="13"/>
  <c r="AY261" i="13" s="1"/>
  <c r="BA253" i="13"/>
  <c r="BB253" i="13" s="1"/>
  <c r="AX253" i="13"/>
  <c r="BD299" i="13"/>
  <c r="AX299" i="13"/>
  <c r="AT287" i="13"/>
  <c r="AU287" i="13"/>
  <c r="AW287" i="13"/>
  <c r="AV280" i="13"/>
  <c r="AY280" i="13" s="1"/>
  <c r="AT275" i="13"/>
  <c r="AU275" i="13"/>
  <c r="AW275" i="13"/>
  <c r="AT269" i="13"/>
  <c r="AU269" i="13"/>
  <c r="AW269" i="13"/>
  <c r="AX269" i="13" s="1"/>
  <c r="AV254" i="13"/>
  <c r="AY254" i="13" s="1"/>
  <c r="AX237" i="13"/>
  <c r="BA237" i="13"/>
  <c r="BB237" i="13" s="1"/>
  <c r="BD237" i="13"/>
  <c r="BA223" i="13"/>
  <c r="BB223" i="13" s="1"/>
  <c r="BD223" i="13"/>
  <c r="AX223" i="13"/>
  <c r="AV220" i="13"/>
  <c r="AX249" i="13"/>
  <c r="AZ249" i="13" s="1"/>
  <c r="AW248" i="13"/>
  <c r="BB248" i="13" s="1"/>
  <c r="AW245" i="13"/>
  <c r="BA241" i="13"/>
  <c r="BB241" i="13" s="1"/>
  <c r="BD241" i="13"/>
  <c r="AX241" i="13"/>
  <c r="AK239" i="13"/>
  <c r="BD239" i="13" s="1"/>
  <c r="AX222" i="13"/>
  <c r="AX221" i="13"/>
  <c r="AZ221" i="13" s="1"/>
  <c r="BA221" i="13"/>
  <c r="BB221" i="13" s="1"/>
  <c r="BA247" i="13"/>
  <c r="BB247" i="13" s="1"/>
  <c r="AK260" i="13"/>
  <c r="BA260" i="13" s="1"/>
  <c r="BB260" i="13" s="1"/>
  <c r="AT260" i="13"/>
  <c r="AU260" i="13"/>
  <c r="AR256" i="13"/>
  <c r="AS256" i="13" s="1"/>
  <c r="P255" i="13"/>
  <c r="AR250" i="13"/>
  <c r="AS250" i="13" s="1"/>
  <c r="W249" i="13"/>
  <c r="W248" i="13"/>
  <c r="P246" i="13"/>
  <c r="AK245" i="13"/>
  <c r="BA245" i="13" s="1"/>
  <c r="BB245" i="13" s="1"/>
  <c r="W245" i="13"/>
  <c r="P243" i="13"/>
  <c r="AV243" i="13" s="1"/>
  <c r="AY243" i="13" s="1"/>
  <c r="AK242" i="13"/>
  <c r="BA242" i="13" s="1"/>
  <c r="BB242" i="13" s="1"/>
  <c r="BC242" i="13" s="1"/>
  <c r="W242" i="13"/>
  <c r="BA232" i="13"/>
  <c r="BB232" i="13" s="1"/>
  <c r="AX232" i="13"/>
  <c r="AK230" i="13"/>
  <c r="BD230" i="13" s="1"/>
  <c r="W230" i="13"/>
  <c r="AK228" i="13"/>
  <c r="W260" i="13"/>
  <c r="AD256" i="13"/>
  <c r="AV256" i="13" s="1"/>
  <c r="AY256" i="13" s="1"/>
  <c r="AZ256" i="13" s="1"/>
  <c r="AD250" i="13"/>
  <c r="AV250" i="13" s="1"/>
  <c r="AY250" i="13" s="1"/>
  <c r="AZ250" i="13" s="1"/>
  <c r="AX248" i="13"/>
  <c r="AR244" i="13"/>
  <c r="AS244" i="13" s="1"/>
  <c r="AR241" i="13"/>
  <c r="AS241" i="13" s="1"/>
  <c r="P231" i="13"/>
  <c r="AX227" i="13"/>
  <c r="BA227" i="13"/>
  <c r="BB227" i="13" s="1"/>
  <c r="AR223" i="13"/>
  <c r="AS223" i="13" s="1"/>
  <c r="AV223" i="13"/>
  <c r="AY223" i="13" s="1"/>
  <c r="AK252" i="13"/>
  <c r="AR238" i="13"/>
  <c r="AS238" i="13" s="1"/>
  <c r="BA233" i="13"/>
  <c r="AK263" i="13"/>
  <c r="BD263" i="13" s="1"/>
  <c r="AK261" i="13"/>
  <c r="BA261" i="13" s="1"/>
  <c r="BB261" i="13" s="1"/>
  <c r="BC261" i="13" s="1"/>
  <c r="AX260" i="13"/>
  <c r="AZ260" i="13" s="1"/>
  <c r="AD244" i="13"/>
  <c r="AD241" i="13"/>
  <c r="AV241" i="13" s="1"/>
  <c r="AY241" i="13" s="1"/>
  <c r="BA226" i="13"/>
  <c r="BB226" i="13" s="1"/>
  <c r="AX226" i="13"/>
  <c r="AK224" i="13"/>
  <c r="BD224" i="13" s="1"/>
  <c r="W224" i="13"/>
  <c r="AZ222" i="13"/>
  <c r="AK222" i="13"/>
  <c r="BA222" i="13" s="1"/>
  <c r="BB222" i="13" s="1"/>
  <c r="BC222" i="13" s="1"/>
  <c r="AT248" i="13"/>
  <c r="AU248" i="13"/>
  <c r="W263" i="13"/>
  <c r="AT263" i="13"/>
  <c r="AU263" i="13"/>
  <c r="BD257" i="13"/>
  <c r="AK254" i="13"/>
  <c r="BA254" i="13" s="1"/>
  <c r="BB254" i="13" s="1"/>
  <c r="BC254" i="13" s="1"/>
  <c r="AT254" i="13"/>
  <c r="AU254" i="13"/>
  <c r="AD247" i="13"/>
  <c r="AV247" i="13" s="1"/>
  <c r="AY247" i="13" s="1"/>
  <c r="AK237" i="13"/>
  <c r="P225" i="13"/>
  <c r="AV224" i="13"/>
  <c r="AY224" i="13" s="1"/>
  <c r="AZ224" i="13" s="1"/>
  <c r="AK220" i="13"/>
  <c r="BA220" i="13" s="1"/>
  <c r="BB220" i="13" s="1"/>
  <c r="P240" i="13"/>
  <c r="AR229" i="13"/>
  <c r="AS229" i="13" s="1"/>
  <c r="AR259" i="13"/>
  <c r="AS259" i="13" s="1"/>
  <c r="W254" i="13"/>
  <c r="AK249" i="13"/>
  <c r="BA249" i="13" s="1"/>
  <c r="BB249" i="13" s="1"/>
  <c r="BC249" i="13" s="1"/>
  <c r="BD233" i="13"/>
  <c r="AR232" i="13"/>
  <c r="AS232" i="13" s="1"/>
  <c r="AD232" i="13"/>
  <c r="AV232" i="13" s="1"/>
  <c r="AY232" i="13" s="1"/>
  <c r="AW279" i="13"/>
  <c r="AX279" i="13" s="1"/>
  <c r="AW276" i="13"/>
  <c r="AW273" i="13"/>
  <c r="AW270" i="13"/>
  <c r="AX270" i="13" s="1"/>
  <c r="AW267" i="13"/>
  <c r="AD259" i="13"/>
  <c r="AV259" i="13" s="1"/>
  <c r="AY259" i="13" s="1"/>
  <c r="AX258" i="13"/>
  <c r="AK255" i="13"/>
  <c r="AX254" i="13"/>
  <c r="AX247" i="13"/>
  <c r="BA235" i="13"/>
  <c r="BB235" i="13" s="1"/>
  <c r="BD235" i="13"/>
  <c r="AX235" i="13"/>
  <c r="AZ235" i="13" s="1"/>
  <c r="W233" i="13"/>
  <c r="AK231" i="13"/>
  <c r="AZ211" i="13"/>
  <c r="AX211" i="13"/>
  <c r="BA257" i="13"/>
  <c r="P252" i="13"/>
  <c r="AK246" i="13"/>
  <c r="AK243" i="13"/>
  <c r="AX234" i="13"/>
  <c r="AZ234" i="13" s="1"/>
  <c r="BA234" i="13"/>
  <c r="BB234" i="13" s="1"/>
  <c r="BC234" i="13" s="1"/>
  <c r="BD234" i="13"/>
  <c r="AV233" i="13"/>
  <c r="BD227" i="13"/>
  <c r="AD226" i="13"/>
  <c r="AV226" i="13" s="1"/>
  <c r="AY226" i="13" s="1"/>
  <c r="AZ226" i="13" s="1"/>
  <c r="BA185" i="13"/>
  <c r="AU300" i="13"/>
  <c r="AU297" i="13"/>
  <c r="AU294" i="13"/>
  <c r="AU291" i="13"/>
  <c r="AU288" i="13"/>
  <c r="AU285" i="13"/>
  <c r="AU282" i="13"/>
  <c r="AU279" i="13"/>
  <c r="AU276" i="13"/>
  <c r="AU273" i="13"/>
  <c r="AU270" i="13"/>
  <c r="AU267" i="13"/>
  <c r="AW257" i="13"/>
  <c r="AX257" i="13" s="1"/>
  <c r="AR253" i="13"/>
  <c r="AS253" i="13" s="1"/>
  <c r="AW251" i="13"/>
  <c r="BA229" i="13"/>
  <c r="BB229" i="13" s="1"/>
  <c r="BD229" i="13"/>
  <c r="AX229" i="13"/>
  <c r="AZ229" i="13" s="1"/>
  <c r="AT245" i="13"/>
  <c r="AU245" i="13"/>
  <c r="AT257" i="13"/>
  <c r="AU257" i="13"/>
  <c r="AD253" i="13"/>
  <c r="AV253" i="13" s="1"/>
  <c r="AY253" i="13" s="1"/>
  <c r="AZ253" i="13" s="1"/>
  <c r="AT251" i="13"/>
  <c r="AU251" i="13"/>
  <c r="BD248" i="13"/>
  <c r="BA238" i="13"/>
  <c r="BB238" i="13" s="1"/>
  <c r="BD238" i="13"/>
  <c r="AX238" i="13"/>
  <c r="AZ238" i="13" s="1"/>
  <c r="W236" i="13"/>
  <c r="AX228" i="13"/>
  <c r="BA228" i="13"/>
  <c r="BB228" i="13" s="1"/>
  <c r="BD228" i="13"/>
  <c r="AV227" i="13"/>
  <c r="AY227" i="13" s="1"/>
  <c r="AX224" i="13"/>
  <c r="BD221" i="13"/>
  <c r="BA214" i="13"/>
  <c r="BB214" i="13" s="1"/>
  <c r="BD214" i="13"/>
  <c r="AX214" i="13"/>
  <c r="P219" i="13"/>
  <c r="AK209" i="13"/>
  <c r="BD209" i="13" s="1"/>
  <c r="AK206" i="13"/>
  <c r="BD206" i="13" s="1"/>
  <c r="AK203" i="13"/>
  <c r="BD203" i="13" s="1"/>
  <c r="AK200" i="13"/>
  <c r="BD200" i="13" s="1"/>
  <c r="AK197" i="13"/>
  <c r="BA197" i="13" s="1"/>
  <c r="BB197" i="13" s="1"/>
  <c r="BC197" i="13" s="1"/>
  <c r="AK194" i="13"/>
  <c r="AX163" i="13"/>
  <c r="P159" i="13"/>
  <c r="W173" i="13"/>
  <c r="AK217" i="13"/>
  <c r="BA217" i="13" s="1"/>
  <c r="BB217" i="13" s="1"/>
  <c r="P212" i="13"/>
  <c r="AD208" i="13"/>
  <c r="AV208" i="13" s="1"/>
  <c r="AY208" i="13" s="1"/>
  <c r="AD205" i="13"/>
  <c r="AV205" i="13" s="1"/>
  <c r="AY205" i="13" s="1"/>
  <c r="AZ205" i="13" s="1"/>
  <c r="AD202" i="13"/>
  <c r="AV202" i="13" s="1"/>
  <c r="AY202" i="13" s="1"/>
  <c r="AD199" i="13"/>
  <c r="AV199" i="13" s="1"/>
  <c r="AY199" i="13" s="1"/>
  <c r="AX197" i="13"/>
  <c r="AR196" i="13"/>
  <c r="AS196" i="13" s="1"/>
  <c r="AD196" i="13"/>
  <c r="AV196" i="13" s="1"/>
  <c r="AY196" i="13" s="1"/>
  <c r="AZ196" i="13" s="1"/>
  <c r="AR193" i="13"/>
  <c r="AS193" i="13" s="1"/>
  <c r="AD193" i="13"/>
  <c r="AV193" i="13" s="1"/>
  <c r="AY193" i="13" s="1"/>
  <c r="BD176" i="13"/>
  <c r="AX176" i="13"/>
  <c r="AR213" i="13"/>
  <c r="AS213" i="13" s="1"/>
  <c r="AK207" i="13"/>
  <c r="AK204" i="13"/>
  <c r="AK201" i="13"/>
  <c r="AK198" i="13"/>
  <c r="AK195" i="13"/>
  <c r="P191" i="13"/>
  <c r="W188" i="13"/>
  <c r="AK182" i="13"/>
  <c r="AD176" i="13"/>
  <c r="AV176" i="13" s="1"/>
  <c r="AY176" i="13" s="1"/>
  <c r="AR168" i="13"/>
  <c r="AS168" i="13" s="1"/>
  <c r="AK167" i="13"/>
  <c r="W167" i="13"/>
  <c r="AU232" i="13"/>
  <c r="AU229" i="13"/>
  <c r="AU226" i="13"/>
  <c r="AU223" i="13"/>
  <c r="AK219" i="13"/>
  <c r="AK218" i="13"/>
  <c r="AV209" i="13"/>
  <c r="AY209" i="13" s="1"/>
  <c r="AZ209" i="13" s="1"/>
  <c r="AV203" i="13"/>
  <c r="AY203" i="13" s="1"/>
  <c r="AV200" i="13"/>
  <c r="AY200" i="13" s="1"/>
  <c r="AZ200" i="13" s="1"/>
  <c r="AR191" i="13"/>
  <c r="AS191" i="13" s="1"/>
  <c r="AX188" i="13"/>
  <c r="BA188" i="13"/>
  <c r="BB188" i="13" s="1"/>
  <c r="AR170" i="13"/>
  <c r="AS170" i="13" s="1"/>
  <c r="AR154" i="13"/>
  <c r="AS154" i="13" s="1"/>
  <c r="AR214" i="13"/>
  <c r="AS214" i="13" s="1"/>
  <c r="AD214" i="13"/>
  <c r="AV214" i="13" s="1"/>
  <c r="AY214" i="13" s="1"/>
  <c r="AK211" i="13"/>
  <c r="BD211" i="13" s="1"/>
  <c r="BA209" i="13"/>
  <c r="BB209" i="13" s="1"/>
  <c r="BC209" i="13" s="1"/>
  <c r="AX206" i="13"/>
  <c r="AZ206" i="13" s="1"/>
  <c r="AX203" i="13"/>
  <c r="BA203" i="13"/>
  <c r="BB203" i="13" s="1"/>
  <c r="AX200" i="13"/>
  <c r="BA200" i="13"/>
  <c r="BB200" i="13" s="1"/>
  <c r="AV197" i="13"/>
  <c r="AY197" i="13" s="1"/>
  <c r="AZ197" i="13" s="1"/>
  <c r="AX187" i="13"/>
  <c r="AR179" i="13"/>
  <c r="AS179" i="13" s="1"/>
  <c r="BA176" i="13"/>
  <c r="BB176" i="13" s="1"/>
  <c r="P170" i="13"/>
  <c r="AR216" i="13"/>
  <c r="AS216" i="13" s="1"/>
  <c r="P213" i="13"/>
  <c r="AV213" i="13" s="1"/>
  <c r="AY213" i="13" s="1"/>
  <c r="AR210" i="13"/>
  <c r="AS210" i="13" s="1"/>
  <c r="AU221" i="13"/>
  <c r="AR220" i="13"/>
  <c r="AS220" i="13" s="1"/>
  <c r="AT174" i="13"/>
  <c r="AU174" i="13"/>
  <c r="AU242" i="13"/>
  <c r="AU239" i="13"/>
  <c r="AU236" i="13"/>
  <c r="AU233" i="13"/>
  <c r="AU230" i="13"/>
  <c r="AU227" i="13"/>
  <c r="AU224" i="13"/>
  <c r="BD197" i="13"/>
  <c r="AD181" i="13"/>
  <c r="P181" i="13"/>
  <c r="W174" i="13"/>
  <c r="P171" i="13"/>
  <c r="AU138" i="13"/>
  <c r="AT138" i="13"/>
  <c r="AK212" i="13"/>
  <c r="P210" i="13"/>
  <c r="BA208" i="13"/>
  <c r="BB208" i="13" s="1"/>
  <c r="AX208" i="13"/>
  <c r="AX205" i="13"/>
  <c r="AX202" i="13"/>
  <c r="BA199" i="13"/>
  <c r="BB199" i="13" s="1"/>
  <c r="AX199" i="13"/>
  <c r="BA196" i="13"/>
  <c r="BB196" i="13" s="1"/>
  <c r="AX196" i="13"/>
  <c r="BA193" i="13"/>
  <c r="BB193" i="13" s="1"/>
  <c r="BD193" i="13"/>
  <c r="AX193" i="13"/>
  <c r="P192" i="13"/>
  <c r="AT189" i="13"/>
  <c r="AU189" i="13"/>
  <c r="W183" i="13"/>
  <c r="AK166" i="13"/>
  <c r="W209" i="13"/>
  <c r="P207" i="13"/>
  <c r="W206" i="13"/>
  <c r="P204" i="13"/>
  <c r="W203" i="13"/>
  <c r="P201" i="13"/>
  <c r="W200" i="13"/>
  <c r="P198" i="13"/>
  <c r="W197" i="13"/>
  <c r="P195" i="13"/>
  <c r="W189" i="13"/>
  <c r="AK187" i="13"/>
  <c r="BA187" i="13" s="1"/>
  <c r="BB187" i="13" s="1"/>
  <c r="BC187" i="13" s="1"/>
  <c r="AT179" i="13"/>
  <c r="AU179" i="13"/>
  <c r="AW179" i="13"/>
  <c r="AX179" i="13" s="1"/>
  <c r="P175" i="13"/>
  <c r="AT168" i="13"/>
  <c r="AU168" i="13"/>
  <c r="AU156" i="13"/>
  <c r="AW156" i="13"/>
  <c r="AD191" i="13"/>
  <c r="AR190" i="13"/>
  <c r="AS190" i="13" s="1"/>
  <c r="AK183" i="13"/>
  <c r="AW183" i="13"/>
  <c r="AW182" i="13"/>
  <c r="AX182" i="13" s="1"/>
  <c r="AU177" i="13"/>
  <c r="AW164" i="13"/>
  <c r="AX164" i="13" s="1"/>
  <c r="W152" i="13"/>
  <c r="W133" i="13"/>
  <c r="AW125" i="13"/>
  <c r="AU125" i="13"/>
  <c r="P186" i="13"/>
  <c r="AD185" i="13"/>
  <c r="AV185" i="13" s="1"/>
  <c r="AY185" i="13" s="1"/>
  <c r="AU182" i="13"/>
  <c r="AD175" i="13"/>
  <c r="AD170" i="13"/>
  <c r="AK165" i="13"/>
  <c r="AU164" i="13"/>
  <c r="W161" i="13"/>
  <c r="AD154" i="13"/>
  <c r="AD190" i="13"/>
  <c r="AV190" i="13" s="1"/>
  <c r="AY190" i="13" s="1"/>
  <c r="AR184" i="13"/>
  <c r="AS184" i="13" s="1"/>
  <c r="P180" i="13"/>
  <c r="AV180" i="13" s="1"/>
  <c r="AY180" i="13" s="1"/>
  <c r="AX178" i="13"/>
  <c r="BA178" i="13"/>
  <c r="BB178" i="13" s="1"/>
  <c r="AK177" i="13"/>
  <c r="BA177" i="13" s="1"/>
  <c r="BB177" i="13" s="1"/>
  <c r="P154" i="13"/>
  <c r="W143" i="13"/>
  <c r="AR129" i="13"/>
  <c r="AS129" i="13" s="1"/>
  <c r="AD169" i="13"/>
  <c r="AV169" i="13" s="1"/>
  <c r="W158" i="13"/>
  <c r="AR156" i="13"/>
  <c r="AS156" i="13" s="1"/>
  <c r="AR155" i="13"/>
  <c r="AS155" i="13" s="1"/>
  <c r="AK150" i="13"/>
  <c r="AW136" i="13"/>
  <c r="AT136" i="13"/>
  <c r="AU136" i="13"/>
  <c r="AD135" i="13"/>
  <c r="AK134" i="13"/>
  <c r="AD179" i="13"/>
  <c r="AV179" i="13" s="1"/>
  <c r="AK171" i="13"/>
  <c r="P135" i="13"/>
  <c r="AW212" i="13"/>
  <c r="P189" i="13"/>
  <c r="AV189" i="13" s="1"/>
  <c r="AY189" i="13" s="1"/>
  <c r="AK186" i="13"/>
  <c r="AW185" i="13"/>
  <c r="AX185" i="13" s="1"/>
  <c r="AR166" i="13"/>
  <c r="AS166" i="13" s="1"/>
  <c r="P156" i="13"/>
  <c r="P152" i="13"/>
  <c r="W134" i="13"/>
  <c r="P131" i="13"/>
  <c r="AW130" i="13"/>
  <c r="AT130" i="13"/>
  <c r="AU130" i="13"/>
  <c r="AD188" i="13"/>
  <c r="AV188" i="13" s="1"/>
  <c r="AY188" i="13" s="1"/>
  <c r="AU185" i="13"/>
  <c r="AD178" i="13"/>
  <c r="AV178" i="13" s="1"/>
  <c r="AY178" i="13" s="1"/>
  <c r="AD173" i="13"/>
  <c r="AR172" i="13"/>
  <c r="AS172" i="13" s="1"/>
  <c r="P161" i="13"/>
  <c r="AK159" i="13"/>
  <c r="AR152" i="13"/>
  <c r="AS152" i="13" s="1"/>
  <c r="AD131" i="13"/>
  <c r="W130" i="13"/>
  <c r="AR187" i="13"/>
  <c r="AS187" i="13" s="1"/>
  <c r="P183" i="13"/>
  <c r="AV183" i="13" s="1"/>
  <c r="AY183" i="13" s="1"/>
  <c r="AK180" i="13"/>
  <c r="W169" i="13"/>
  <c r="AD166" i="13"/>
  <c r="AR162" i="13"/>
  <c r="AS162" i="13" s="1"/>
  <c r="AK154" i="13"/>
  <c r="AW154" i="13"/>
  <c r="AT154" i="13"/>
  <c r="AU154" i="13"/>
  <c r="AW151" i="13"/>
  <c r="AT151" i="13"/>
  <c r="AU151" i="13"/>
  <c r="P143" i="13"/>
  <c r="AD117" i="13"/>
  <c r="AD172" i="13"/>
  <c r="AW167" i="13"/>
  <c r="P165" i="13"/>
  <c r="P157" i="13"/>
  <c r="AK151" i="13"/>
  <c r="W151" i="13"/>
  <c r="AR147" i="13"/>
  <c r="AS147" i="13" s="1"/>
  <c r="AR143" i="13"/>
  <c r="AS143" i="13" s="1"/>
  <c r="AR139" i="13"/>
  <c r="AS139" i="13" s="1"/>
  <c r="AD182" i="13"/>
  <c r="AX177" i="13"/>
  <c r="AK174" i="13"/>
  <c r="BA174" i="13" s="1"/>
  <c r="AW174" i="13"/>
  <c r="AX174" i="13" s="1"/>
  <c r="AW173" i="13"/>
  <c r="AK168" i="13"/>
  <c r="AW168" i="13"/>
  <c r="AU167" i="13"/>
  <c r="AD164" i="13"/>
  <c r="AW160" i="13"/>
  <c r="AT160" i="13"/>
  <c r="AU160" i="13"/>
  <c r="AK145" i="13"/>
  <c r="AW145" i="13"/>
  <c r="AT145" i="13"/>
  <c r="AU145" i="13"/>
  <c r="AK142" i="13"/>
  <c r="AW142" i="13"/>
  <c r="AT142" i="13"/>
  <c r="AK133" i="13"/>
  <c r="AW133" i="13"/>
  <c r="AT133" i="13"/>
  <c r="AT129" i="13"/>
  <c r="AK125" i="13"/>
  <c r="P3" i="13"/>
  <c r="W159" i="13"/>
  <c r="W150" i="13"/>
  <c r="W141" i="13"/>
  <c r="W132" i="13"/>
  <c r="AT126" i="13"/>
  <c r="AR59" i="13"/>
  <c r="AS59" i="13" s="1"/>
  <c r="AD121" i="13"/>
  <c r="W107" i="13"/>
  <c r="W98" i="13"/>
  <c r="P136" i="13"/>
  <c r="AR134" i="13"/>
  <c r="AS134" i="13" s="1"/>
  <c r="AK127" i="13"/>
  <c r="AW127" i="13"/>
  <c r="AT127" i="13"/>
  <c r="AD115" i="13"/>
  <c r="AW101" i="13"/>
  <c r="AT101" i="13"/>
  <c r="AU101" i="13"/>
  <c r="AK163" i="13"/>
  <c r="AK157" i="13"/>
  <c r="AW157" i="13"/>
  <c r="AT157" i="13"/>
  <c r="AK148" i="13"/>
  <c r="AW148" i="13"/>
  <c r="AT148" i="13"/>
  <c r="AK139" i="13"/>
  <c r="AW139" i="13"/>
  <c r="AT139" i="13"/>
  <c r="AX126" i="13"/>
  <c r="P124" i="13"/>
  <c r="AD160" i="13"/>
  <c r="AD159" i="13"/>
  <c r="AW153" i="13"/>
  <c r="AD151" i="13"/>
  <c r="AD150" i="13"/>
  <c r="AW144" i="13"/>
  <c r="AD142" i="13"/>
  <c r="AD141" i="13"/>
  <c r="AW135" i="13"/>
  <c r="AD133" i="13"/>
  <c r="AD132" i="13"/>
  <c r="AD126" i="13"/>
  <c r="AD125" i="13"/>
  <c r="AR122" i="13"/>
  <c r="AS122" i="13" s="1"/>
  <c r="P160" i="13"/>
  <c r="AR158" i="13"/>
  <c r="AS158" i="13" s="1"/>
  <c r="AT153" i="13"/>
  <c r="P151" i="13"/>
  <c r="AR149" i="13"/>
  <c r="AS149" i="13" s="1"/>
  <c r="AT144" i="13"/>
  <c r="P142" i="13"/>
  <c r="AR140" i="13"/>
  <c r="AS140" i="13" s="1"/>
  <c r="AT135" i="13"/>
  <c r="P133" i="13"/>
  <c r="AR131" i="13"/>
  <c r="AS131" i="13" s="1"/>
  <c r="AD129" i="13"/>
  <c r="AR111" i="13"/>
  <c r="AS111" i="13" s="1"/>
  <c r="AD111" i="13"/>
  <c r="W99" i="13"/>
  <c r="AK106" i="13"/>
  <c r="P130" i="13"/>
  <c r="P119" i="13"/>
  <c r="W115" i="13"/>
  <c r="P105" i="13"/>
  <c r="AD103" i="13"/>
  <c r="AD91" i="13"/>
  <c r="AD163" i="13"/>
  <c r="AW159" i="13"/>
  <c r="AD157" i="13"/>
  <c r="AD156" i="13"/>
  <c r="AW150" i="13"/>
  <c r="AD148" i="13"/>
  <c r="AD147" i="13"/>
  <c r="AU142" i="13"/>
  <c r="AW141" i="13"/>
  <c r="AD139" i="13"/>
  <c r="AD138" i="13"/>
  <c r="AU133" i="13"/>
  <c r="AW132" i="13"/>
  <c r="AX132" i="13" s="1"/>
  <c r="P127" i="13"/>
  <c r="AD123" i="13"/>
  <c r="P123" i="13"/>
  <c r="AK115" i="13"/>
  <c r="AR103" i="13"/>
  <c r="AS103" i="13" s="1"/>
  <c r="AR123" i="13"/>
  <c r="AS123" i="13" s="1"/>
  <c r="AK114" i="13"/>
  <c r="AU113" i="13"/>
  <c r="AK107" i="13"/>
  <c r="P104" i="13"/>
  <c r="W100" i="13"/>
  <c r="AK84" i="13"/>
  <c r="AT79" i="13"/>
  <c r="AU79" i="13"/>
  <c r="AT77" i="13"/>
  <c r="AU77" i="13"/>
  <c r="AK11" i="13"/>
  <c r="AK120" i="13"/>
  <c r="AR117" i="13"/>
  <c r="AS117" i="13" s="1"/>
  <c r="AT113" i="13"/>
  <c r="AD110" i="13"/>
  <c r="AK99" i="13"/>
  <c r="AK113" i="13"/>
  <c r="P110" i="13"/>
  <c r="W106" i="13"/>
  <c r="AR102" i="13"/>
  <c r="AS102" i="13" s="1"/>
  <c r="AK98" i="13"/>
  <c r="AK97" i="13"/>
  <c r="W97" i="13"/>
  <c r="AK96" i="13"/>
  <c r="W84" i="13"/>
  <c r="AD122" i="13"/>
  <c r="AD116" i="13"/>
  <c r="AK105" i="13"/>
  <c r="AU104" i="13"/>
  <c r="AK95" i="13"/>
  <c r="P122" i="13"/>
  <c r="AK119" i="13"/>
  <c r="P116" i="13"/>
  <c r="W112" i="13"/>
  <c r="AR108" i="13"/>
  <c r="AS108" i="13" s="1"/>
  <c r="AT104" i="13"/>
  <c r="AD101" i="13"/>
  <c r="AD93" i="13"/>
  <c r="AD88" i="13"/>
  <c r="AT70" i="13"/>
  <c r="AU70" i="13"/>
  <c r="AW70" i="13"/>
  <c r="AD63" i="13"/>
  <c r="AK104" i="13"/>
  <c r="AT76" i="13"/>
  <c r="AU76" i="13"/>
  <c r="AW76" i="13"/>
  <c r="AK123" i="13"/>
  <c r="W118" i="13"/>
  <c r="AR114" i="13"/>
  <c r="AS114" i="13" s="1"/>
  <c r="AT110" i="13"/>
  <c r="AD107" i="13"/>
  <c r="AR94" i="13"/>
  <c r="AS94" i="13" s="1"/>
  <c r="AK76" i="13"/>
  <c r="W76" i="13"/>
  <c r="AR120" i="13"/>
  <c r="AS120" i="13" s="1"/>
  <c r="AK117" i="13"/>
  <c r="AK110" i="13"/>
  <c r="P107" i="13"/>
  <c r="W103" i="13"/>
  <c r="AR99" i="13"/>
  <c r="AS99" i="13" s="1"/>
  <c r="AD94" i="13"/>
  <c r="P94" i="13"/>
  <c r="AT85" i="13"/>
  <c r="AU85" i="13"/>
  <c r="AR68" i="13"/>
  <c r="AS68" i="13" s="1"/>
  <c r="AT65" i="13"/>
  <c r="AU65" i="13"/>
  <c r="AT61" i="13"/>
  <c r="AU61" i="13"/>
  <c r="AW61" i="13"/>
  <c r="P125" i="13"/>
  <c r="AK122" i="13"/>
  <c r="AK116" i="13"/>
  <c r="P113" i="13"/>
  <c r="W109" i="13"/>
  <c r="AR105" i="13"/>
  <c r="AS105" i="13" s="1"/>
  <c r="P98" i="13"/>
  <c r="AD95" i="13"/>
  <c r="P95" i="13"/>
  <c r="P90" i="13"/>
  <c r="AK89" i="13"/>
  <c r="W83" i="13"/>
  <c r="AK92" i="13"/>
  <c r="AW83" i="13"/>
  <c r="AT82" i="13"/>
  <c r="AU82" i="13"/>
  <c r="W81" i="13"/>
  <c r="W79" i="13"/>
  <c r="AR74" i="13"/>
  <c r="AS74" i="13" s="1"/>
  <c r="AW71" i="13"/>
  <c r="P64" i="13"/>
  <c r="AW62" i="13"/>
  <c r="W82" i="13"/>
  <c r="AD73" i="13"/>
  <c r="P73" i="13"/>
  <c r="W71" i="13"/>
  <c r="AT71" i="13"/>
  <c r="AU71" i="13"/>
  <c r="W66" i="13"/>
  <c r="W62" i="13"/>
  <c r="AT62" i="13"/>
  <c r="AU62" i="13"/>
  <c r="AT58" i="13"/>
  <c r="AU58" i="13"/>
  <c r="AR35" i="13"/>
  <c r="AS35" i="13" s="1"/>
  <c r="AT88" i="13"/>
  <c r="AU88" i="13"/>
  <c r="W87" i="13"/>
  <c r="W85" i="13"/>
  <c r="AR77" i="13"/>
  <c r="AS77" i="13" s="1"/>
  <c r="AT67" i="13"/>
  <c r="AU67" i="13"/>
  <c r="AR65" i="13"/>
  <c r="AS65" i="13" s="1"/>
  <c r="AW92" i="13"/>
  <c r="AT91" i="13"/>
  <c r="AU91" i="13"/>
  <c r="W90" i="13"/>
  <c r="W88" i="13"/>
  <c r="AR80" i="13"/>
  <c r="AS80" i="13" s="1"/>
  <c r="AD75" i="13"/>
  <c r="AD69" i="13"/>
  <c r="AK68" i="13"/>
  <c r="W67" i="13"/>
  <c r="AD65" i="13"/>
  <c r="AD60" i="13"/>
  <c r="AK59" i="13"/>
  <c r="AT56" i="13"/>
  <c r="AU56" i="13"/>
  <c r="P15" i="13"/>
  <c r="AT94" i="13"/>
  <c r="AU94" i="13"/>
  <c r="W93" i="13"/>
  <c r="W91" i="13"/>
  <c r="AR86" i="13"/>
  <c r="AS86" i="13" s="1"/>
  <c r="AD78" i="13"/>
  <c r="P70" i="13"/>
  <c r="P61" i="13"/>
  <c r="W94" i="13"/>
  <c r="AR83" i="13"/>
  <c r="AS83" i="13" s="1"/>
  <c r="AD81" i="13"/>
  <c r="P79" i="13"/>
  <c r="AD76" i="13"/>
  <c r="P76" i="13"/>
  <c r="AK74" i="13"/>
  <c r="W72" i="13"/>
  <c r="AD70" i="13"/>
  <c r="W68" i="13"/>
  <c r="AT68" i="13"/>
  <c r="AU68" i="13"/>
  <c r="W63" i="13"/>
  <c r="AD61" i="13"/>
  <c r="W59" i="13"/>
  <c r="AT59" i="13"/>
  <c r="AU59" i="13"/>
  <c r="AR92" i="13"/>
  <c r="AS92" i="13" s="1"/>
  <c r="AD84" i="13"/>
  <c r="AD79" i="13"/>
  <c r="AT73" i="13"/>
  <c r="AU73" i="13"/>
  <c r="AR71" i="13"/>
  <c r="AS71" i="13" s="1"/>
  <c r="AT64" i="13"/>
  <c r="AU64" i="13"/>
  <c r="AR62" i="13"/>
  <c r="AS62" i="13" s="1"/>
  <c r="AD90" i="13"/>
  <c r="AD85" i="13"/>
  <c r="P85" i="13"/>
  <c r="AK80" i="13"/>
  <c r="W74" i="13"/>
  <c r="AT74" i="13"/>
  <c r="AU74" i="13"/>
  <c r="P67" i="13"/>
  <c r="AW65" i="13"/>
  <c r="AD58" i="13"/>
  <c r="AR56" i="13"/>
  <c r="AS56" i="13" s="1"/>
  <c r="AK29" i="13"/>
  <c r="P28" i="13"/>
  <c r="AR51" i="13"/>
  <c r="AS51" i="13" s="1"/>
  <c r="AR45" i="13"/>
  <c r="AS45" i="13" s="1"/>
  <c r="AD44" i="13"/>
  <c r="AK40" i="13"/>
  <c r="P32" i="13"/>
  <c r="AD31" i="13"/>
  <c r="AR28" i="13"/>
  <c r="AS28" i="13" s="1"/>
  <c r="AK26" i="13"/>
  <c r="W26" i="13"/>
  <c r="P21" i="13"/>
  <c r="P18" i="13"/>
  <c r="AK14" i="13"/>
  <c r="W14" i="13"/>
  <c r="AR10" i="13"/>
  <c r="AS10" i="13" s="1"/>
  <c r="AR4" i="13"/>
  <c r="AS4" i="13" s="1"/>
  <c r="AD41" i="13"/>
  <c r="AK36" i="13"/>
  <c r="P29" i="13"/>
  <c r="AD28" i="13"/>
  <c r="AR25" i="13"/>
  <c r="AS25" i="13" s="1"/>
  <c r="AK23" i="13"/>
  <c r="W23" i="13"/>
  <c r="AK17" i="13"/>
  <c r="W17" i="13"/>
  <c r="AR13" i="13"/>
  <c r="AS13" i="13" s="1"/>
  <c r="AD4" i="13"/>
  <c r="AD38" i="13"/>
  <c r="AK33" i="13"/>
  <c r="AD25" i="13"/>
  <c r="W20" i="13"/>
  <c r="AD13" i="13"/>
  <c r="AD10" i="13"/>
  <c r="AK9" i="13"/>
  <c r="AK6" i="13"/>
  <c r="AK30" i="13"/>
  <c r="AD22" i="13"/>
  <c r="AD16" i="13"/>
  <c r="AR52" i="13"/>
  <c r="AS52" i="13" s="1"/>
  <c r="AK50" i="13"/>
  <c r="P45" i="13"/>
  <c r="AR33" i="13"/>
  <c r="AS33" i="13" s="1"/>
  <c r="AK27" i="13"/>
  <c r="AK12" i="13"/>
  <c r="AK54" i="13"/>
  <c r="AD52" i="13"/>
  <c r="AR49" i="13"/>
  <c r="AS49" i="13" s="1"/>
  <c r="AK47" i="13"/>
  <c r="W47" i="13"/>
  <c r="P42" i="13"/>
  <c r="AR30" i="13"/>
  <c r="AS30" i="13" s="1"/>
  <c r="AD29" i="13"/>
  <c r="AK25" i="13"/>
  <c r="AK24" i="13"/>
  <c r="AK15" i="13"/>
  <c r="AD26" i="13"/>
  <c r="P53" i="13"/>
  <c r="P47" i="13"/>
  <c r="AD46" i="13"/>
  <c r="AR43" i="13"/>
  <c r="AS43" i="13" s="1"/>
  <c r="AK41" i="13"/>
  <c r="W41" i="13"/>
  <c r="P36" i="13"/>
  <c r="AD23" i="13"/>
  <c r="AK51" i="13"/>
  <c r="P44" i="13"/>
  <c r="AD43" i="13"/>
  <c r="AK38" i="13"/>
  <c r="W38" i="13"/>
  <c r="P33" i="13"/>
  <c r="AR21" i="13"/>
  <c r="AS21" i="13" s="1"/>
  <c r="AD53" i="13"/>
  <c r="AD40" i="13"/>
  <c r="W35" i="13"/>
  <c r="AW53" i="13"/>
  <c r="AW50" i="13"/>
  <c r="AW47" i="13"/>
  <c r="AW44" i="13"/>
  <c r="AW41" i="13"/>
  <c r="AW38" i="13"/>
  <c r="AW35" i="13"/>
  <c r="AW32" i="13"/>
  <c r="AW29" i="13"/>
  <c r="AW26" i="13"/>
  <c r="AW23" i="13"/>
  <c r="AW20" i="13"/>
  <c r="AW17" i="13"/>
  <c r="AU53" i="13"/>
  <c r="AU50" i="13"/>
  <c r="AU47" i="13"/>
  <c r="AU44" i="13"/>
  <c r="AU41" i="13"/>
  <c r="AU38" i="13"/>
  <c r="AU35" i="13"/>
  <c r="AU32" i="13"/>
  <c r="AU29" i="13"/>
  <c r="AU26" i="13"/>
  <c r="AU23" i="13"/>
  <c r="AU20" i="13"/>
  <c r="AU17" i="13"/>
  <c r="AU14" i="13"/>
  <c r="AU11" i="13"/>
  <c r="AU8" i="13"/>
  <c r="AU5" i="13"/>
  <c r="AA20" i="28"/>
  <c r="AZ190" i="13" l="1"/>
  <c r="AZ259" i="13"/>
  <c r="BD179" i="13"/>
  <c r="BD174" i="13"/>
  <c r="BA239" i="13"/>
  <c r="BB239" i="13" s="1"/>
  <c r="BC239" i="13" s="1"/>
  <c r="AX251" i="13"/>
  <c r="BB233" i="13"/>
  <c r="BA236" i="13"/>
  <c r="BB236" i="13" s="1"/>
  <c r="AY220" i="13"/>
  <c r="AZ280" i="13"/>
  <c r="BD245" i="13"/>
  <c r="BC299" i="13"/>
  <c r="BC296" i="13"/>
  <c r="BD273" i="13"/>
  <c r="BC282" i="13"/>
  <c r="AV177" i="13"/>
  <c r="AY177" i="13" s="1"/>
  <c r="AV239" i="13"/>
  <c r="AY239" i="13" s="1"/>
  <c r="AZ239" i="13" s="1"/>
  <c r="AX218" i="13"/>
  <c r="BA216" i="13"/>
  <c r="BB216" i="13" s="1"/>
  <c r="AV182" i="13"/>
  <c r="AY182" i="13" s="1"/>
  <c r="AZ182" i="13" s="1"/>
  <c r="AZ178" i="13"/>
  <c r="BD178" i="13"/>
  <c r="AX216" i="13"/>
  <c r="AZ216" i="13" s="1"/>
  <c r="BD184" i="13"/>
  <c r="BA215" i="13"/>
  <c r="BB215" i="13" s="1"/>
  <c r="BC215" i="13" s="1"/>
  <c r="BC203" i="13"/>
  <c r="AV215" i="13"/>
  <c r="AY215" i="13" s="1"/>
  <c r="AZ215" i="13" s="1"/>
  <c r="AZ203" i="13"/>
  <c r="BC238" i="13"/>
  <c r="BA251" i="13"/>
  <c r="AY233" i="13"/>
  <c r="BD251" i="13"/>
  <c r="BA259" i="13"/>
  <c r="BB259" i="13" s="1"/>
  <c r="AX236" i="13"/>
  <c r="BC241" i="13"/>
  <c r="BD281" i="13"/>
  <c r="BC253" i="13"/>
  <c r="AY272" i="13"/>
  <c r="BD282" i="13"/>
  <c r="BD285" i="13"/>
  <c r="BA273" i="13"/>
  <c r="BB273" i="13" s="1"/>
  <c r="BC273" i="13" s="1"/>
  <c r="AX100" i="13"/>
  <c r="AV187" i="13"/>
  <c r="AY187" i="13" s="1"/>
  <c r="AV230" i="13"/>
  <c r="AY230" i="13" s="1"/>
  <c r="AZ230" i="13" s="1"/>
  <c r="BD215" i="13"/>
  <c r="AY228" i="13"/>
  <c r="BC220" i="13"/>
  <c r="AV109" i="13"/>
  <c r="AY109" i="13" s="1"/>
  <c r="AZ177" i="13"/>
  <c r="BA218" i="13"/>
  <c r="BB218" i="13" s="1"/>
  <c r="BC218" i="13" s="1"/>
  <c r="AV181" i="13"/>
  <c r="AY181" i="13" s="1"/>
  <c r="AY179" i="13"/>
  <c r="BC178" i="13"/>
  <c r="AV191" i="13"/>
  <c r="AY191" i="13" s="1"/>
  <c r="BD182" i="13"/>
  <c r="BC193" i="13"/>
  <c r="BA184" i="13"/>
  <c r="BB184" i="13" s="1"/>
  <c r="BC184" i="13" s="1"/>
  <c r="BD187" i="13"/>
  <c r="AZ202" i="13"/>
  <c r="BA211" i="13"/>
  <c r="BB211" i="13" s="1"/>
  <c r="BC211" i="13" s="1"/>
  <c r="AY273" i="13"/>
  <c r="AZ273" i="13" s="1"/>
  <c r="BC226" i="13"/>
  <c r="AY248" i="13"/>
  <c r="BD276" i="13"/>
  <c r="AX296" i="13"/>
  <c r="AZ282" i="13"/>
  <c r="AV275" i="13"/>
  <c r="BD298" i="13"/>
  <c r="AX108" i="13"/>
  <c r="AX66" i="13"/>
  <c r="AV281" i="13"/>
  <c r="AY281" i="13" s="1"/>
  <c r="AZ281" i="13" s="1"/>
  <c r="AV276" i="13"/>
  <c r="AX168" i="13"/>
  <c r="AZ188" i="13"/>
  <c r="AV184" i="13"/>
  <c r="AY184" i="13" s="1"/>
  <c r="AZ184" i="13" s="1"/>
  <c r="BD218" i="13"/>
  <c r="BA190" i="13"/>
  <c r="BB190" i="13" s="1"/>
  <c r="BC190" i="13" s="1"/>
  <c r="AX276" i="13"/>
  <c r="AZ241" i="13"/>
  <c r="BD222" i="13"/>
  <c r="BC248" i="13"/>
  <c r="BD300" i="13"/>
  <c r="AX244" i="13"/>
  <c r="BC290" i="13"/>
  <c r="BA298" i="13"/>
  <c r="BB298" i="13" s="1"/>
  <c r="AX75" i="13"/>
  <c r="AV236" i="13"/>
  <c r="AY236" i="13" s="1"/>
  <c r="AZ236" i="13" s="1"/>
  <c r="AV258" i="13"/>
  <c r="AY258" i="13" s="1"/>
  <c r="AZ258" i="13" s="1"/>
  <c r="BC217" i="13"/>
  <c r="BB174" i="13"/>
  <c r="AZ237" i="13"/>
  <c r="AX264" i="13"/>
  <c r="AZ264" i="13" s="1"/>
  <c r="BC196" i="13"/>
  <c r="BC208" i="13"/>
  <c r="BD188" i="13"/>
  <c r="AZ176" i="13"/>
  <c r="BA194" i="13"/>
  <c r="BB194" i="13" s="1"/>
  <c r="AV219" i="13"/>
  <c r="AY219" i="13" s="1"/>
  <c r="BC228" i="13"/>
  <c r="BD258" i="13"/>
  <c r="AV244" i="13"/>
  <c r="AY244" i="13" s="1"/>
  <c r="BD249" i="13"/>
  <c r="BA263" i="13"/>
  <c r="BB263" i="13" s="1"/>
  <c r="BC263" i="13" s="1"/>
  <c r="AX298" i="13"/>
  <c r="AZ298" i="13" s="1"/>
  <c r="AV245" i="13"/>
  <c r="AY245" i="13" s="1"/>
  <c r="AV218" i="13"/>
  <c r="AY218" i="13" s="1"/>
  <c r="AZ218" i="13" s="1"/>
  <c r="AV268" i="13"/>
  <c r="AY268" i="13" s="1"/>
  <c r="AZ268" i="13" s="1"/>
  <c r="AV296" i="13"/>
  <c r="BD194" i="13"/>
  <c r="AV194" i="13"/>
  <c r="AY194" i="13" s="1"/>
  <c r="BC188" i="13"/>
  <c r="AZ228" i="13"/>
  <c r="BC291" i="13"/>
  <c r="BC266" i="13"/>
  <c r="AX31" i="13"/>
  <c r="AV106" i="13"/>
  <c r="AY106" i="13" s="1"/>
  <c r="AV264" i="13"/>
  <c r="AY264" i="13" s="1"/>
  <c r="AX34" i="13"/>
  <c r="AX19" i="13"/>
  <c r="AV86" i="13"/>
  <c r="AX81" i="13"/>
  <c r="AX72" i="13"/>
  <c r="BD48" i="13"/>
  <c r="AV22" i="13"/>
  <c r="AY22" i="13" s="1"/>
  <c r="BA84" i="13"/>
  <c r="BB84" i="13" s="1"/>
  <c r="AX24" i="13"/>
  <c r="AV69" i="13"/>
  <c r="AY69" i="13" s="1"/>
  <c r="AV72" i="13"/>
  <c r="AY72" i="13" s="1"/>
  <c r="AX13" i="13"/>
  <c r="BD80" i="13"/>
  <c r="AX84" i="13"/>
  <c r="AZ84" i="13" s="1"/>
  <c r="AX11" i="13"/>
  <c r="AX25" i="13"/>
  <c r="AX106" i="13"/>
  <c r="AX8" i="13"/>
  <c r="AV4" i="13"/>
  <c r="AY4" i="13" s="1"/>
  <c r="AV96" i="13"/>
  <c r="AY96" i="13" s="1"/>
  <c r="AZ96" i="13" s="1"/>
  <c r="BB169" i="13"/>
  <c r="BA114" i="13"/>
  <c r="BB114" i="13" s="1"/>
  <c r="BC114" i="13" s="1"/>
  <c r="BB121" i="13"/>
  <c r="BC121" i="13" s="1"/>
  <c r="AX166" i="13"/>
  <c r="AX46" i="13"/>
  <c r="BA7" i="13"/>
  <c r="AV84" i="13"/>
  <c r="AY84" i="13" s="1"/>
  <c r="BA97" i="13"/>
  <c r="BB97" i="13" s="1"/>
  <c r="AX71" i="13"/>
  <c r="AV134" i="13"/>
  <c r="AY134" i="13" s="1"/>
  <c r="BA10" i="13"/>
  <c r="BB10" i="13" s="1"/>
  <c r="BC10" i="13" s="1"/>
  <c r="BA4" i="13"/>
  <c r="BB4" i="13" s="1"/>
  <c r="BC4" i="13" s="1"/>
  <c r="AV99" i="13"/>
  <c r="AY99" i="13" s="1"/>
  <c r="BA26" i="13"/>
  <c r="BB26" i="13" s="1"/>
  <c r="AV39" i="13"/>
  <c r="AY39" i="13" s="1"/>
  <c r="AV102" i="13"/>
  <c r="AY102" i="13" s="1"/>
  <c r="AX78" i="13"/>
  <c r="BD173" i="13"/>
  <c r="BA60" i="13"/>
  <c r="BB60" i="13" s="1"/>
  <c r="AV100" i="13"/>
  <c r="AY100" i="13" s="1"/>
  <c r="AZ100" i="13" s="1"/>
  <c r="AV121" i="13"/>
  <c r="AY121" i="13" s="1"/>
  <c r="BD109" i="13"/>
  <c r="AV43" i="13"/>
  <c r="AY43" i="13" s="1"/>
  <c r="AV80" i="13"/>
  <c r="AY80" i="13" s="1"/>
  <c r="AV13" i="13"/>
  <c r="AY13" i="13" s="1"/>
  <c r="AX68" i="13"/>
  <c r="AV35" i="13"/>
  <c r="AY35" i="13" s="1"/>
  <c r="BD40" i="13"/>
  <c r="BA158" i="13"/>
  <c r="BB158" i="13" s="1"/>
  <c r="AV46" i="13"/>
  <c r="AY46" i="13" s="1"/>
  <c r="BA89" i="13"/>
  <c r="BB89" i="13" s="1"/>
  <c r="BA103" i="13"/>
  <c r="BD153" i="13"/>
  <c r="AX137" i="13"/>
  <c r="BA65" i="13"/>
  <c r="BB65" i="13" s="1"/>
  <c r="AX149" i="13"/>
  <c r="AX117" i="13"/>
  <c r="AX118" i="13"/>
  <c r="BA69" i="13"/>
  <c r="BB69" i="13" s="1"/>
  <c r="BA46" i="13"/>
  <c r="BB46" i="13" s="1"/>
  <c r="AV59" i="13"/>
  <c r="AY59" i="13" s="1"/>
  <c r="AX54" i="13"/>
  <c r="AX30" i="13"/>
  <c r="AX56" i="13"/>
  <c r="BA34" i="13"/>
  <c r="BB34" i="13" s="1"/>
  <c r="BC34" i="13" s="1"/>
  <c r="AV81" i="13"/>
  <c r="AY81" i="13" s="1"/>
  <c r="AZ81" i="13" s="1"/>
  <c r="AX121" i="13"/>
  <c r="BA55" i="13"/>
  <c r="BB55" i="13" s="1"/>
  <c r="BD128" i="13"/>
  <c r="BA52" i="13"/>
  <c r="BB52" i="13" s="1"/>
  <c r="BC52" i="13" s="1"/>
  <c r="AV88" i="13"/>
  <c r="AY88" i="13" s="1"/>
  <c r="AV56" i="13"/>
  <c r="AY56" i="13" s="1"/>
  <c r="AV66" i="13"/>
  <c r="AY66" i="13" s="1"/>
  <c r="AZ66" i="13" s="1"/>
  <c r="AV31" i="13"/>
  <c r="AY31" i="13" s="1"/>
  <c r="BA173" i="13"/>
  <c r="BB173" i="13" s="1"/>
  <c r="AX69" i="13"/>
  <c r="AV11" i="13"/>
  <c r="AY11" i="13" s="1"/>
  <c r="BA75" i="13"/>
  <c r="BB75" i="13" s="1"/>
  <c r="BC75" i="13" s="1"/>
  <c r="BB56" i="13"/>
  <c r="AX86" i="13"/>
  <c r="BA132" i="13"/>
  <c r="BB132" i="13" s="1"/>
  <c r="BC132" i="13" s="1"/>
  <c r="AV128" i="13"/>
  <c r="AY128" i="13" s="1"/>
  <c r="BB140" i="13"/>
  <c r="BA164" i="13"/>
  <c r="BB164" i="13" s="1"/>
  <c r="BC164" i="13" s="1"/>
  <c r="AV167" i="13"/>
  <c r="AX7" i="13"/>
  <c r="AX17" i="13"/>
  <c r="BA5" i="13"/>
  <c r="BB5" i="13" s="1"/>
  <c r="AX115" i="13"/>
  <c r="BA22" i="13"/>
  <c r="BB22" i="13" s="1"/>
  <c r="AV28" i="13"/>
  <c r="AY28" i="13" s="1"/>
  <c r="AV41" i="13"/>
  <c r="AY41" i="13" s="1"/>
  <c r="AV65" i="13"/>
  <c r="AY65" i="13" s="1"/>
  <c r="AV138" i="13"/>
  <c r="AY138" i="13" s="1"/>
  <c r="AZ138" i="13" s="1"/>
  <c r="AV91" i="13"/>
  <c r="AY91" i="13" s="1"/>
  <c r="AZ91" i="13" s="1"/>
  <c r="AX153" i="13"/>
  <c r="BA166" i="13"/>
  <c r="BB166" i="13" s="1"/>
  <c r="BA13" i="13"/>
  <c r="BB13" i="13" s="1"/>
  <c r="BD92" i="13"/>
  <c r="AV20" i="13"/>
  <c r="AY20" i="13" s="1"/>
  <c r="AV87" i="13"/>
  <c r="AY87" i="13" s="1"/>
  <c r="BD101" i="13"/>
  <c r="BA146" i="13"/>
  <c r="BB146" i="13" s="1"/>
  <c r="BC146" i="13" s="1"/>
  <c r="BA25" i="13"/>
  <c r="BB25" i="13" s="1"/>
  <c r="BC25" i="13" s="1"/>
  <c r="AX65" i="13"/>
  <c r="AZ4" i="13"/>
  <c r="AV159" i="13"/>
  <c r="AY159" i="13" s="1"/>
  <c r="BA66" i="13"/>
  <c r="BB66" i="13" s="1"/>
  <c r="BC66" i="13" s="1"/>
  <c r="AX97" i="13"/>
  <c r="AV68" i="13"/>
  <c r="AY68" i="13" s="1"/>
  <c r="AX6" i="13"/>
  <c r="BD100" i="13"/>
  <c r="BA147" i="13"/>
  <c r="BB147" i="13" s="1"/>
  <c r="AX134" i="13"/>
  <c r="BD43" i="13"/>
  <c r="BA102" i="13"/>
  <c r="BB102" i="13" s="1"/>
  <c r="AV168" i="13"/>
  <c r="AY168" i="13" s="1"/>
  <c r="AZ168" i="13" s="1"/>
  <c r="BD39" i="13"/>
  <c r="BA39" i="13"/>
  <c r="BB39" i="13" s="1"/>
  <c r="BA63" i="13"/>
  <c r="BB63" i="13" s="1"/>
  <c r="AV103" i="13"/>
  <c r="AY103" i="13" s="1"/>
  <c r="BA37" i="13"/>
  <c r="BB37" i="13" s="1"/>
  <c r="AV89" i="13"/>
  <c r="AY89" i="13" s="1"/>
  <c r="AX99" i="13"/>
  <c r="BA83" i="13"/>
  <c r="BB83" i="13" s="1"/>
  <c r="BD72" i="13"/>
  <c r="AX37" i="13"/>
  <c r="BA100" i="13"/>
  <c r="BB100" i="13" s="1"/>
  <c r="BC100" i="13" s="1"/>
  <c r="BA111" i="13"/>
  <c r="AV132" i="13"/>
  <c r="AY132" i="13" s="1"/>
  <c r="AZ132" i="13" s="1"/>
  <c r="AX109" i="13"/>
  <c r="AZ109" i="13" s="1"/>
  <c r="AX173" i="13"/>
  <c r="BA134" i="13"/>
  <c r="BB134" i="13" s="1"/>
  <c r="BA71" i="13"/>
  <c r="BB71" i="13" s="1"/>
  <c r="AX9" i="13"/>
  <c r="AX60" i="13"/>
  <c r="BA101" i="13"/>
  <c r="BB101" i="13" s="1"/>
  <c r="BA12" i="13"/>
  <c r="BB12" i="13" s="1"/>
  <c r="AV83" i="13"/>
  <c r="AY83" i="13" s="1"/>
  <c r="AX22" i="13"/>
  <c r="AX148" i="13"/>
  <c r="BA91" i="13"/>
  <c r="BB91" i="13" s="1"/>
  <c r="BC91" i="13" s="1"/>
  <c r="AX145" i="13"/>
  <c r="BA155" i="13"/>
  <c r="BB155" i="13" s="1"/>
  <c r="BC155" i="13" s="1"/>
  <c r="AV64" i="13"/>
  <c r="AY64" i="13" s="1"/>
  <c r="BB7" i="13"/>
  <c r="BD37" i="13"/>
  <c r="AX87" i="13"/>
  <c r="BA78" i="13"/>
  <c r="BB78" i="13" s="1"/>
  <c r="AX20" i="13"/>
  <c r="AV129" i="13"/>
  <c r="AY129" i="13" s="1"/>
  <c r="AX140" i="13"/>
  <c r="AX147" i="13"/>
  <c r="BC147" i="13" s="1"/>
  <c r="AX23" i="13"/>
  <c r="AV95" i="13"/>
  <c r="AY95" i="13" s="1"/>
  <c r="BD144" i="13"/>
  <c r="AX103" i="13"/>
  <c r="AX88" i="13"/>
  <c r="AX43" i="13"/>
  <c r="BA48" i="13"/>
  <c r="BB48" i="13" s="1"/>
  <c r="BA109" i="13"/>
  <c r="BB109" i="13" s="1"/>
  <c r="AV7" i="13"/>
  <c r="AY7" i="13" s="1"/>
  <c r="BA162" i="13"/>
  <c r="BB162" i="13" s="1"/>
  <c r="AV19" i="13"/>
  <c r="AY19" i="13" s="1"/>
  <c r="BA41" i="13"/>
  <c r="BB41" i="13" s="1"/>
  <c r="AV78" i="13"/>
  <c r="AY78" i="13" s="1"/>
  <c r="AX83" i="13"/>
  <c r="BA43" i="13"/>
  <c r="BB43" i="13" s="1"/>
  <c r="BA6" i="13"/>
  <c r="BB6" i="13" s="1"/>
  <c r="AV60" i="13"/>
  <c r="AY60" i="13" s="1"/>
  <c r="AX80" i="13"/>
  <c r="BD87" i="13"/>
  <c r="AX101" i="13"/>
  <c r="BD77" i="13"/>
  <c r="AV32" i="13"/>
  <c r="AY32" i="13" s="1"/>
  <c r="BA8" i="13"/>
  <c r="BB8" i="13" s="1"/>
  <c r="BA93" i="13"/>
  <c r="BB93" i="13" s="1"/>
  <c r="BA16" i="13"/>
  <c r="BB16" i="13" s="1"/>
  <c r="AV120" i="13"/>
  <c r="AY120" i="13" s="1"/>
  <c r="AZ120" i="13" s="1"/>
  <c r="AX158" i="13"/>
  <c r="BC158" i="13" s="1"/>
  <c r="BD140" i="13"/>
  <c r="BD102" i="13"/>
  <c r="BD5" i="13"/>
  <c r="AX74" i="13"/>
  <c r="AV34" i="13"/>
  <c r="AY34" i="13" s="1"/>
  <c r="AZ34" i="13" s="1"/>
  <c r="AV147" i="13"/>
  <c r="AY147" i="13" s="1"/>
  <c r="AZ147" i="13" s="1"/>
  <c r="AV50" i="13"/>
  <c r="AY50" i="13" s="1"/>
  <c r="BA150" i="13"/>
  <c r="BB150" i="13" s="1"/>
  <c r="BA112" i="13"/>
  <c r="BB112" i="13" s="1"/>
  <c r="BC112" i="13" s="1"/>
  <c r="BD137" i="13"/>
  <c r="AX48" i="13"/>
  <c r="AV70" i="13"/>
  <c r="AY70" i="13" s="1"/>
  <c r="AV45" i="13"/>
  <c r="AY45" i="13" s="1"/>
  <c r="BD74" i="13"/>
  <c r="AX139" i="13"/>
  <c r="AV115" i="13"/>
  <c r="AY115" i="13" s="1"/>
  <c r="AX40" i="13"/>
  <c r="AV173" i="13"/>
  <c r="AY173" i="13" s="1"/>
  <c r="AV171" i="13"/>
  <c r="AY171" i="13" s="1"/>
  <c r="AV8" i="13"/>
  <c r="AY8" i="13" s="1"/>
  <c r="BA88" i="13"/>
  <c r="BB88" i="13" s="1"/>
  <c r="AX14" i="13"/>
  <c r="AV14" i="13"/>
  <c r="AY14" i="13" s="1"/>
  <c r="AX102" i="13"/>
  <c r="BA17" i="13"/>
  <c r="BB17" i="13" s="1"/>
  <c r="BD86" i="13"/>
  <c r="AX172" i="13"/>
  <c r="AV24" i="13"/>
  <c r="AY24" i="13" s="1"/>
  <c r="AX39" i="13"/>
  <c r="AV38" i="13"/>
  <c r="AY38" i="13" s="1"/>
  <c r="AV155" i="13"/>
  <c r="AY155" i="13" s="1"/>
  <c r="AZ155" i="13" s="1"/>
  <c r="BA40" i="13"/>
  <c r="BB40" i="13" s="1"/>
  <c r="AV40" i="13"/>
  <c r="AY40" i="13" s="1"/>
  <c r="BA35" i="13"/>
  <c r="BA149" i="13"/>
  <c r="BB149" i="13" s="1"/>
  <c r="AV112" i="13"/>
  <c r="AY112" i="13" s="1"/>
  <c r="AZ112" i="13" s="1"/>
  <c r="AV3" i="13"/>
  <c r="AY3" i="13" s="1"/>
  <c r="AX38" i="13"/>
  <c r="BA38" i="13"/>
  <c r="BB38" i="13" s="1"/>
  <c r="BA50" i="13"/>
  <c r="BB50" i="13" s="1"/>
  <c r="BA23" i="13"/>
  <c r="BB23" i="13" s="1"/>
  <c r="BD34" i="13"/>
  <c r="BA72" i="13"/>
  <c r="BB72" i="13" s="1"/>
  <c r="BA96" i="13"/>
  <c r="BB96" i="13" s="1"/>
  <c r="BC96" i="13" s="1"/>
  <c r="BA99" i="13"/>
  <c r="BB99" i="13" s="1"/>
  <c r="BA106" i="13"/>
  <c r="BB106" i="13" s="1"/>
  <c r="BC106" i="13" s="1"/>
  <c r="BA139" i="13"/>
  <c r="BB139" i="13" s="1"/>
  <c r="BA92" i="13"/>
  <c r="BB92" i="13" s="1"/>
  <c r="AX89" i="13"/>
  <c r="BA81" i="13"/>
  <c r="BB81" i="13" s="1"/>
  <c r="BC81" i="13" s="1"/>
  <c r="BD108" i="13"/>
  <c r="BD59" i="13"/>
  <c r="AX27" i="13"/>
  <c r="AV97" i="13"/>
  <c r="AY97" i="13" s="1"/>
  <c r="BA128" i="13"/>
  <c r="BB128" i="13" s="1"/>
  <c r="BB103" i="13"/>
  <c r="AV55" i="13"/>
  <c r="AY55" i="13" s="1"/>
  <c r="BA51" i="13"/>
  <c r="BB51" i="13" s="1"/>
  <c r="BC51" i="13" s="1"/>
  <c r="BA59" i="13"/>
  <c r="BB59" i="13" s="1"/>
  <c r="BA86" i="13"/>
  <c r="BB86" i="13" s="1"/>
  <c r="AV148" i="13"/>
  <c r="AY148" i="13" s="1"/>
  <c r="BA172" i="13"/>
  <c r="BB172" i="13" s="1"/>
  <c r="BC172" i="13" s="1"/>
  <c r="BD20" i="13"/>
  <c r="AV53" i="13"/>
  <c r="AY53" i="13" s="1"/>
  <c r="AV10" i="13"/>
  <c r="AY10" i="13" s="1"/>
  <c r="AZ10" i="13" s="1"/>
  <c r="AV101" i="13"/>
  <c r="AY101" i="13" s="1"/>
  <c r="BA87" i="13"/>
  <c r="BB87" i="13" s="1"/>
  <c r="BA115" i="13"/>
  <c r="BB115" i="13" s="1"/>
  <c r="BA148" i="13"/>
  <c r="BB148" i="13" s="1"/>
  <c r="AX59" i="13"/>
  <c r="AV153" i="13"/>
  <c r="AY153" i="13" s="1"/>
  <c r="AZ153" i="13" s="1"/>
  <c r="AV172" i="13"/>
  <c r="AY172" i="13" s="1"/>
  <c r="BD114" i="13"/>
  <c r="AV9" i="13"/>
  <c r="AY9" i="13" s="1"/>
  <c r="AV51" i="13"/>
  <c r="AY51" i="13" s="1"/>
  <c r="AZ51" i="13" s="1"/>
  <c r="AV12" i="13"/>
  <c r="AY12" i="13" s="1"/>
  <c r="BD83" i="13"/>
  <c r="AV67" i="13"/>
  <c r="AY67" i="13" s="1"/>
  <c r="BA108" i="13"/>
  <c r="BB108" i="13" s="1"/>
  <c r="BD145" i="13"/>
  <c r="AX162" i="13"/>
  <c r="BA138" i="13"/>
  <c r="BB138" i="13" s="1"/>
  <c r="BC138" i="13" s="1"/>
  <c r="AX26" i="13"/>
  <c r="AV26" i="13"/>
  <c r="AY26" i="13" s="1"/>
  <c r="AV16" i="13"/>
  <c r="AY16" i="13" s="1"/>
  <c r="BD17" i="13"/>
  <c r="AV52" i="13"/>
  <c r="AY52" i="13" s="1"/>
  <c r="AZ52" i="13" s="1"/>
  <c r="BA20" i="13"/>
  <c r="BB20" i="13" s="1"/>
  <c r="AV151" i="13"/>
  <c r="AY151" i="13" s="1"/>
  <c r="AV136" i="13"/>
  <c r="AY136" i="13" s="1"/>
  <c r="AX128" i="13"/>
  <c r="AV117" i="13"/>
  <c r="AY117" i="13" s="1"/>
  <c r="AV166" i="13"/>
  <c r="AY166" i="13" s="1"/>
  <c r="BD150" i="13"/>
  <c r="AV37" i="13"/>
  <c r="AY37" i="13" s="1"/>
  <c r="AV74" i="13"/>
  <c r="AY74" i="13" s="1"/>
  <c r="AV140" i="13"/>
  <c r="AY140" i="13" s="1"/>
  <c r="AZ140" i="13" s="1"/>
  <c r="AX77" i="13"/>
  <c r="BD112" i="13"/>
  <c r="BA144" i="13"/>
  <c r="BB144" i="13" s="1"/>
  <c r="AV5" i="13"/>
  <c r="AY5" i="13" s="1"/>
  <c r="BD8" i="13"/>
  <c r="AV118" i="13"/>
  <c r="AY118" i="13" s="1"/>
  <c r="AX35" i="13"/>
  <c r="BD19" i="13"/>
  <c r="AX16" i="13"/>
  <c r="BD6" i="13"/>
  <c r="BD68" i="13"/>
  <c r="AV122" i="13"/>
  <c r="AY122" i="13" s="1"/>
  <c r="BD120" i="13"/>
  <c r="BA118" i="13"/>
  <c r="BB118" i="13" s="1"/>
  <c r="BD99" i="13"/>
  <c r="AV48" i="13"/>
  <c r="AY48" i="13" s="1"/>
  <c r="AV71" i="13"/>
  <c r="AY71" i="13" s="1"/>
  <c r="BA137" i="13"/>
  <c r="BB137" i="13" s="1"/>
  <c r="BA126" i="13"/>
  <c r="BB126" i="13" s="1"/>
  <c r="BC126" i="13" s="1"/>
  <c r="AX50" i="13"/>
  <c r="BA82" i="13"/>
  <c r="BB82" i="13" s="1"/>
  <c r="AV17" i="13"/>
  <c r="AY17" i="13" s="1"/>
  <c r="BD118" i="13"/>
  <c r="BA27" i="13"/>
  <c r="BB27" i="13" s="1"/>
  <c r="AV25" i="13"/>
  <c r="AY25" i="13" s="1"/>
  <c r="AZ25" i="13" s="1"/>
  <c r="BA19" i="13"/>
  <c r="BB19" i="13" s="1"/>
  <c r="AV79" i="13"/>
  <c r="AY79" i="13" s="1"/>
  <c r="BD16" i="13"/>
  <c r="BD35" i="13"/>
  <c r="BA117" i="13"/>
  <c r="BB117" i="13" s="1"/>
  <c r="BD11" i="13"/>
  <c r="AV163" i="13"/>
  <c r="AY163" i="13" s="1"/>
  <c r="AZ163" i="13" s="1"/>
  <c r="BA163" i="13"/>
  <c r="BB163" i="13" s="1"/>
  <c r="BC163" i="13" s="1"/>
  <c r="AV164" i="13"/>
  <c r="AY164" i="13" s="1"/>
  <c r="AZ164" i="13" s="1"/>
  <c r="AV149" i="13"/>
  <c r="AY149" i="13" s="1"/>
  <c r="AV146" i="13"/>
  <c r="AY146" i="13" s="1"/>
  <c r="AZ146" i="13" s="1"/>
  <c r="AV158" i="13"/>
  <c r="AY158" i="13" s="1"/>
  <c r="BA129" i="13"/>
  <c r="BB129" i="13" s="1"/>
  <c r="AV47" i="13"/>
  <c r="AY47" i="13" s="1"/>
  <c r="AX55" i="13"/>
  <c r="BD25" i="13"/>
  <c r="AV145" i="13"/>
  <c r="AY145" i="13" s="1"/>
  <c r="AZ145" i="13" s="1"/>
  <c r="AX93" i="13"/>
  <c r="AV157" i="13"/>
  <c r="AY157" i="13" s="1"/>
  <c r="AY169" i="13"/>
  <c r="AZ169" i="13" s="1"/>
  <c r="AX41" i="13"/>
  <c r="BA24" i="13"/>
  <c r="BB24" i="13" s="1"/>
  <c r="BD82" i="13"/>
  <c r="AV15" i="13"/>
  <c r="AY15" i="13" s="1"/>
  <c r="AV75" i="13"/>
  <c r="AY75" i="13" s="1"/>
  <c r="AZ75" i="13" s="1"/>
  <c r="AX12" i="13"/>
  <c r="BA49" i="13"/>
  <c r="BB49" i="13" s="1"/>
  <c r="BA31" i="13"/>
  <c r="BB31" i="13" s="1"/>
  <c r="AX57" i="13"/>
  <c r="BB111" i="13"/>
  <c r="AX141" i="13"/>
  <c r="BA62" i="13"/>
  <c r="BB62" i="13" s="1"/>
  <c r="BD51" i="13"/>
  <c r="BD57" i="13"/>
  <c r="BA77" i="13"/>
  <c r="BB77" i="13" s="1"/>
  <c r="AV114" i="13"/>
  <c r="AY114" i="13" s="1"/>
  <c r="AV150" i="13"/>
  <c r="AY150" i="13" s="1"/>
  <c r="BD162" i="13"/>
  <c r="AV30" i="13"/>
  <c r="AY30" i="13" s="1"/>
  <c r="BA58" i="13"/>
  <c r="BB58" i="13" s="1"/>
  <c r="BA11" i="13"/>
  <c r="BB11" i="13" s="1"/>
  <c r="AV57" i="13"/>
  <c r="AY57" i="13" s="1"/>
  <c r="BD71" i="13"/>
  <c r="BD31" i="13"/>
  <c r="AX63" i="13"/>
  <c r="AX150" i="13"/>
  <c r="BD149" i="13"/>
  <c r="BD66" i="13"/>
  <c r="AV144" i="13"/>
  <c r="AY144" i="13" s="1"/>
  <c r="AY86" i="13"/>
  <c r="BA57" i="13"/>
  <c r="BB57" i="13" s="1"/>
  <c r="BC149" i="13"/>
  <c r="AV92" i="13"/>
  <c r="AY92" i="13" s="1"/>
  <c r="AV62" i="13"/>
  <c r="AY62" i="13" s="1"/>
  <c r="AV27" i="13"/>
  <c r="AY27" i="13" s="1"/>
  <c r="AV54" i="13"/>
  <c r="AY54" i="13" s="1"/>
  <c r="AX82" i="13"/>
  <c r="AV162" i="13"/>
  <c r="AY162" i="13" s="1"/>
  <c r="BD7" i="13"/>
  <c r="BD38" i="13"/>
  <c r="AV94" i="13"/>
  <c r="AY94" i="13" s="1"/>
  <c r="AX129" i="13"/>
  <c r="BD146" i="13"/>
  <c r="BD9" i="13"/>
  <c r="AV49" i="13"/>
  <c r="AY49" i="13" s="1"/>
  <c r="BD65" i="13"/>
  <c r="BD115" i="13"/>
  <c r="AV82" i="13"/>
  <c r="AY82" i="13" s="1"/>
  <c r="AV6" i="13"/>
  <c r="AY6" i="13" s="1"/>
  <c r="AV108" i="13"/>
  <c r="AY108" i="13" s="1"/>
  <c r="AZ108" i="13" s="1"/>
  <c r="AV105" i="13"/>
  <c r="AY105" i="13" s="1"/>
  <c r="BD12" i="13"/>
  <c r="BA54" i="13"/>
  <c r="BB54" i="13" s="1"/>
  <c r="AX62" i="13"/>
  <c r="AX92" i="13"/>
  <c r="AX111" i="13"/>
  <c r="BA168" i="13"/>
  <c r="BB168" i="13" s="1"/>
  <c r="BC168" i="13" s="1"/>
  <c r="AV135" i="13"/>
  <c r="AY135" i="13" s="1"/>
  <c r="AV137" i="13"/>
  <c r="AY137" i="13" s="1"/>
  <c r="AX5" i="13"/>
  <c r="BD56" i="13"/>
  <c r="AV63" i="13"/>
  <c r="AY63" i="13" s="1"/>
  <c r="BA120" i="13"/>
  <c r="BB120" i="13" s="1"/>
  <c r="BC120" i="13" s="1"/>
  <c r="BD54" i="13"/>
  <c r="BD52" i="13"/>
  <c r="BA9" i="13"/>
  <c r="BB9" i="13" s="1"/>
  <c r="BA30" i="13"/>
  <c r="BB30" i="13" s="1"/>
  <c r="AX58" i="13"/>
  <c r="AX49" i="13"/>
  <c r="AV133" i="13"/>
  <c r="AY133" i="13" s="1"/>
  <c r="BD111" i="13"/>
  <c r="AV154" i="13"/>
  <c r="AY154" i="13" s="1"/>
  <c r="BD129" i="13"/>
  <c r="BD155" i="13"/>
  <c r="AV61" i="13"/>
  <c r="AY61" i="13" s="1"/>
  <c r="BD49" i="13"/>
  <c r="BD62" i="13"/>
  <c r="BD50" i="13"/>
  <c r="BD91" i="13"/>
  <c r="BD106" i="13"/>
  <c r="BD96" i="13"/>
  <c r="AV131" i="13"/>
  <c r="AY131" i="13" s="1"/>
  <c r="BD121" i="13"/>
  <c r="BC169" i="13"/>
  <c r="BD158" i="13"/>
  <c r="AX144" i="13"/>
  <c r="BD55" i="13"/>
  <c r="AV141" i="13"/>
  <c r="AY141" i="13" s="1"/>
  <c r="BD138" i="13"/>
  <c r="BA141" i="13"/>
  <c r="BB141" i="13" s="1"/>
  <c r="BD14" i="13"/>
  <c r="AV29" i="13"/>
  <c r="AY29" i="13" s="1"/>
  <c r="BD84" i="13"/>
  <c r="AV107" i="13"/>
  <c r="AY107" i="13" s="1"/>
  <c r="BD78" i="13"/>
  <c r="AV139" i="13"/>
  <c r="AY139" i="13" s="1"/>
  <c r="AV111" i="13"/>
  <c r="AY111" i="13" s="1"/>
  <c r="AX167" i="13"/>
  <c r="BA167" i="13"/>
  <c r="BB167" i="13" s="1"/>
  <c r="AV77" i="13"/>
  <c r="AY77" i="13" s="1"/>
  <c r="AV126" i="13"/>
  <c r="AY126" i="13" s="1"/>
  <c r="AZ126" i="13" s="1"/>
  <c r="BD126" i="13"/>
  <c r="AZ199" i="13"/>
  <c r="AX246" i="13"/>
  <c r="BA246" i="13"/>
  <c r="BB246" i="13" s="1"/>
  <c r="BC246" i="13" s="1"/>
  <c r="BD246" i="13"/>
  <c r="AX186" i="13"/>
  <c r="BD186" i="13"/>
  <c r="BA186" i="13"/>
  <c r="BB186" i="13" s="1"/>
  <c r="BC186" i="13" s="1"/>
  <c r="AX175" i="13"/>
  <c r="BA175" i="13"/>
  <c r="BB175" i="13" s="1"/>
  <c r="BD175" i="13"/>
  <c r="BD293" i="13"/>
  <c r="AX293" i="13"/>
  <c r="BA293" i="13"/>
  <c r="BB293" i="13" s="1"/>
  <c r="AX53" i="13"/>
  <c r="BA53" i="13"/>
  <c r="BB53" i="13" s="1"/>
  <c r="BD53" i="13"/>
  <c r="AX29" i="13"/>
  <c r="BA29" i="13"/>
  <c r="BB29" i="13" s="1"/>
  <c r="BD29" i="13"/>
  <c r="BA80" i="13"/>
  <c r="BB80" i="13" s="1"/>
  <c r="BA95" i="13"/>
  <c r="BB95" i="13" s="1"/>
  <c r="BD95" i="13"/>
  <c r="AX95" i="13"/>
  <c r="BA68" i="13"/>
  <c r="BB68" i="13" s="1"/>
  <c r="BA122" i="13"/>
  <c r="BB122" i="13" s="1"/>
  <c r="BD122" i="13"/>
  <c r="AX122" i="13"/>
  <c r="AV123" i="13"/>
  <c r="AY123" i="13" s="1"/>
  <c r="AV156" i="13"/>
  <c r="AY156" i="13" s="1"/>
  <c r="BA151" i="13"/>
  <c r="BB151" i="13" s="1"/>
  <c r="AX151" i="13"/>
  <c r="AZ151" i="13" s="1"/>
  <c r="BD151" i="13"/>
  <c r="BA131" i="13"/>
  <c r="BB131" i="13" s="1"/>
  <c r="BD131" i="13"/>
  <c r="AX131" i="13"/>
  <c r="BC216" i="13"/>
  <c r="AX171" i="13"/>
  <c r="BD171" i="13"/>
  <c r="BA171" i="13"/>
  <c r="BB171" i="13" s="1"/>
  <c r="BD132" i="13"/>
  <c r="AZ194" i="13"/>
  <c r="AZ208" i="13"/>
  <c r="BD232" i="13"/>
  <c r="BC223" i="13"/>
  <c r="AV293" i="13"/>
  <c r="AY293" i="13" s="1"/>
  <c r="AZ266" i="13"/>
  <c r="BD290" i="13"/>
  <c r="AY257" i="13"/>
  <c r="AZ257" i="13" s="1"/>
  <c r="AX286" i="13"/>
  <c r="BA286" i="13"/>
  <c r="BB286" i="13" s="1"/>
  <c r="BC286" i="13" s="1"/>
  <c r="BD286" i="13"/>
  <c r="AV44" i="13"/>
  <c r="AY44" i="13" s="1"/>
  <c r="AX73" i="13"/>
  <c r="BA73" i="13"/>
  <c r="BB73" i="13" s="1"/>
  <c r="BD73" i="13"/>
  <c r="AX213" i="13"/>
  <c r="AZ213" i="13" s="1"/>
  <c r="BA213" i="13"/>
  <c r="BB213" i="13" s="1"/>
  <c r="BD213" i="13"/>
  <c r="AX274" i="13"/>
  <c r="BA274" i="13"/>
  <c r="BB274" i="13" s="1"/>
  <c r="BD274" i="13"/>
  <c r="AX90" i="13"/>
  <c r="BA90" i="13"/>
  <c r="BB90" i="13" s="1"/>
  <c r="BD90" i="13"/>
  <c r="BD46" i="13"/>
  <c r="BA28" i="13"/>
  <c r="BB28" i="13" s="1"/>
  <c r="BD28" i="13"/>
  <c r="AX28" i="13"/>
  <c r="AX76" i="13"/>
  <c r="BA76" i="13"/>
  <c r="BB76" i="13" s="1"/>
  <c r="BD76" i="13"/>
  <c r="BA74" i="13"/>
  <c r="BB74" i="13" s="1"/>
  <c r="BD24" i="13"/>
  <c r="AX124" i="13"/>
  <c r="BA124" i="13"/>
  <c r="BB124" i="13" s="1"/>
  <c r="BD124" i="13"/>
  <c r="BA143" i="13"/>
  <c r="BB143" i="13" s="1"/>
  <c r="BD143" i="13"/>
  <c r="AX143" i="13"/>
  <c r="AX135" i="13"/>
  <c r="BA135" i="13"/>
  <c r="BB135" i="13" s="1"/>
  <c r="BD135" i="13"/>
  <c r="AX204" i="13"/>
  <c r="BA204" i="13"/>
  <c r="BB204" i="13" s="1"/>
  <c r="BD204" i="13"/>
  <c r="AV204" i="13"/>
  <c r="AY204" i="13" s="1"/>
  <c r="AZ204" i="13" s="1"/>
  <c r="BD202" i="13"/>
  <c r="AZ193" i="13"/>
  <c r="BA212" i="13"/>
  <c r="BB212" i="13" s="1"/>
  <c r="BC212" i="13" s="1"/>
  <c r="AX212" i="13"/>
  <c r="BD212" i="13"/>
  <c r="BA224" i="13"/>
  <c r="BB224" i="13" s="1"/>
  <c r="BC224" i="13" s="1"/>
  <c r="AX240" i="13"/>
  <c r="BA240" i="13"/>
  <c r="BB240" i="13" s="1"/>
  <c r="BD240" i="13"/>
  <c r="BD226" i="13"/>
  <c r="AZ223" i="13"/>
  <c r="BC232" i="13"/>
  <c r="AX255" i="13"/>
  <c r="BA255" i="13"/>
  <c r="BB255" i="13" s="1"/>
  <c r="BD255" i="13"/>
  <c r="BD270" i="13"/>
  <c r="AZ290" i="13"/>
  <c r="AY275" i="13"/>
  <c r="AZ275" i="13" s="1"/>
  <c r="AX265" i="13"/>
  <c r="BA265" i="13"/>
  <c r="BB265" i="13" s="1"/>
  <c r="BD265" i="13"/>
  <c r="AZ263" i="13"/>
  <c r="BD275" i="13"/>
  <c r="AX275" i="13"/>
  <c r="BA275" i="13"/>
  <c r="BB275" i="13" s="1"/>
  <c r="AZ283" i="13"/>
  <c r="AY299" i="13"/>
  <c r="AZ299" i="13" s="1"/>
  <c r="AV73" i="13"/>
  <c r="AY73" i="13" s="1"/>
  <c r="AX116" i="13"/>
  <c r="BA116" i="13"/>
  <c r="BB116" i="13" s="1"/>
  <c r="BD116" i="13"/>
  <c r="AZ245" i="13"/>
  <c r="BC199" i="13"/>
  <c r="BC179" i="13"/>
  <c r="BC229" i="13"/>
  <c r="AZ270" i="13"/>
  <c r="BD278" i="13"/>
  <c r="AX278" i="13"/>
  <c r="BA278" i="13"/>
  <c r="BB278" i="13" s="1"/>
  <c r="AX42" i="13"/>
  <c r="BA42" i="13"/>
  <c r="BB42" i="13" s="1"/>
  <c r="BD42" i="13"/>
  <c r="AV42" i="13"/>
  <c r="AY42" i="13" s="1"/>
  <c r="AX21" i="13"/>
  <c r="BA21" i="13"/>
  <c r="BB21" i="13" s="1"/>
  <c r="BD21" i="13"/>
  <c r="AV21" i="13"/>
  <c r="AY21" i="13" s="1"/>
  <c r="AV76" i="13"/>
  <c r="AY76" i="13" s="1"/>
  <c r="AX15" i="13"/>
  <c r="BA15" i="13"/>
  <c r="BB15" i="13" s="1"/>
  <c r="BD15" i="13"/>
  <c r="BA98" i="13"/>
  <c r="BB98" i="13" s="1"/>
  <c r="BD98" i="13"/>
  <c r="AV98" i="13"/>
  <c r="AY98" i="13" s="1"/>
  <c r="AX98" i="13"/>
  <c r="BD89" i="13"/>
  <c r="BA127" i="13"/>
  <c r="BB127" i="13" s="1"/>
  <c r="BD127" i="13"/>
  <c r="AV127" i="13"/>
  <c r="AY127" i="13" s="1"/>
  <c r="AX127" i="13"/>
  <c r="AZ114" i="13"/>
  <c r="AV142" i="13"/>
  <c r="AY142" i="13" s="1"/>
  <c r="BA145" i="13"/>
  <c r="BB145" i="13" s="1"/>
  <c r="AX154" i="13"/>
  <c r="BD154" i="13"/>
  <c r="BA154" i="13"/>
  <c r="BB154" i="13" s="1"/>
  <c r="AV124" i="13"/>
  <c r="AY124" i="13" s="1"/>
  <c r="AX192" i="13"/>
  <c r="BA192" i="13"/>
  <c r="BB192" i="13" s="1"/>
  <c r="BD192" i="13"/>
  <c r="AV192" i="13"/>
  <c r="AY192" i="13" s="1"/>
  <c r="AX181" i="13"/>
  <c r="BA181" i="13"/>
  <c r="BB181" i="13" s="1"/>
  <c r="BC181" i="13" s="1"/>
  <c r="BD181" i="13"/>
  <c r="BC200" i="13"/>
  <c r="BD147" i="13"/>
  <c r="AV212" i="13"/>
  <c r="AY212" i="13" s="1"/>
  <c r="BB251" i="13"/>
  <c r="BC251" i="13" s="1"/>
  <c r="BD217" i="13"/>
  <c r="AX252" i="13"/>
  <c r="AZ252" i="13" s="1"/>
  <c r="BA252" i="13"/>
  <c r="BB252" i="13" s="1"/>
  <c r="BD252" i="13"/>
  <c r="AV240" i="13"/>
  <c r="AY240" i="13" s="1"/>
  <c r="AV265" i="13"/>
  <c r="AY265" i="13" s="1"/>
  <c r="AV255" i="13"/>
  <c r="AY255" i="13" s="1"/>
  <c r="AZ255" i="13" s="1"/>
  <c r="BD284" i="13"/>
  <c r="AX284" i="13"/>
  <c r="BA284" i="13"/>
  <c r="BB284" i="13" s="1"/>
  <c r="BC284" i="13" s="1"/>
  <c r="AV274" i="13"/>
  <c r="AY274" i="13" s="1"/>
  <c r="BB281" i="13"/>
  <c r="AV58" i="13"/>
  <c r="AY58" i="13" s="1"/>
  <c r="BD58" i="13"/>
  <c r="AX210" i="13"/>
  <c r="BA210" i="13"/>
  <c r="BB210" i="13" s="1"/>
  <c r="BC210" i="13" s="1"/>
  <c r="BD210" i="13"/>
  <c r="AV210" i="13"/>
  <c r="AY210" i="13" s="1"/>
  <c r="AZ210" i="13" s="1"/>
  <c r="AZ269" i="13"/>
  <c r="AX104" i="13"/>
  <c r="BA104" i="13"/>
  <c r="BB104" i="13" s="1"/>
  <c r="BD104" i="13"/>
  <c r="AX47" i="13"/>
  <c r="BA47" i="13"/>
  <c r="BB47" i="13" s="1"/>
  <c r="BD47" i="13"/>
  <c r="BA14" i="13"/>
  <c r="BB14" i="13" s="1"/>
  <c r="BD63" i="13"/>
  <c r="AZ214" i="13"/>
  <c r="BC214" i="13"/>
  <c r="BC269" i="13"/>
  <c r="BC262" i="13"/>
  <c r="AX45" i="13"/>
  <c r="BA45" i="13"/>
  <c r="BB45" i="13" s="1"/>
  <c r="BD45" i="13"/>
  <c r="AX79" i="13"/>
  <c r="BA79" i="13"/>
  <c r="BB79" i="13" s="1"/>
  <c r="BD79" i="13"/>
  <c r="AX61" i="13"/>
  <c r="BA61" i="13"/>
  <c r="BB61" i="13" s="1"/>
  <c r="BD61" i="13"/>
  <c r="BD27" i="13"/>
  <c r="AX94" i="13"/>
  <c r="BD94" i="13"/>
  <c r="BA94" i="13"/>
  <c r="BB94" i="13" s="1"/>
  <c r="AX110" i="13"/>
  <c r="BA110" i="13"/>
  <c r="BB110" i="13" s="1"/>
  <c r="BD110" i="13"/>
  <c r="AV110" i="13"/>
  <c r="AY110" i="13" s="1"/>
  <c r="BD117" i="13"/>
  <c r="BA160" i="13"/>
  <c r="BB160" i="13" s="1"/>
  <c r="AX160" i="13"/>
  <c r="BD160" i="13"/>
  <c r="BA161" i="13"/>
  <c r="BB161" i="13" s="1"/>
  <c r="BD161" i="13"/>
  <c r="AX161" i="13"/>
  <c r="BA152" i="13"/>
  <c r="BB152" i="13" s="1"/>
  <c r="BD152" i="13"/>
  <c r="AX152" i="13"/>
  <c r="AV161" i="13"/>
  <c r="AY161" i="13" s="1"/>
  <c r="AX207" i="13"/>
  <c r="BA207" i="13"/>
  <c r="BB207" i="13" s="1"/>
  <c r="BD207" i="13"/>
  <c r="AV207" i="13"/>
  <c r="AY207" i="13" s="1"/>
  <c r="BD134" i="13"/>
  <c r="BD168" i="13"/>
  <c r="BC194" i="13"/>
  <c r="AZ227" i="13"/>
  <c r="BB257" i="13"/>
  <c r="BC257" i="13" s="1"/>
  <c r="BC235" i="13"/>
  <c r="BC227" i="13"/>
  <c r="BD259" i="13"/>
  <c r="BD4" i="13"/>
  <c r="BC237" i="13"/>
  <c r="AY276" i="13"/>
  <c r="AZ276" i="13" s="1"/>
  <c r="AX295" i="13"/>
  <c r="AZ295" i="13" s="1"/>
  <c r="BA295" i="13"/>
  <c r="BB295" i="13" s="1"/>
  <c r="BD295" i="13"/>
  <c r="BD291" i="13"/>
  <c r="AX271" i="13"/>
  <c r="AZ271" i="13" s="1"/>
  <c r="BA271" i="13"/>
  <c r="BB271" i="13" s="1"/>
  <c r="BC271" i="13" s="1"/>
  <c r="BD271" i="13"/>
  <c r="AV277" i="13"/>
  <c r="AY277" i="13" s="1"/>
  <c r="AY267" i="13"/>
  <c r="AZ267" i="13" s="1"/>
  <c r="AY279" i="13"/>
  <c r="AZ279" i="13" s="1"/>
  <c r="AZ185" i="13"/>
  <c r="AX201" i="13"/>
  <c r="BA201" i="13"/>
  <c r="BB201" i="13" s="1"/>
  <c r="BC201" i="13" s="1"/>
  <c r="BD201" i="13"/>
  <c r="AV201" i="13"/>
  <c r="AY201" i="13" s="1"/>
  <c r="AZ201" i="13" s="1"/>
  <c r="AX70" i="13"/>
  <c r="BA70" i="13"/>
  <c r="BB70" i="13" s="1"/>
  <c r="BD70" i="13"/>
  <c r="AV116" i="13"/>
  <c r="AY116" i="13" s="1"/>
  <c r="BD97" i="13"/>
  <c r="AV104" i="13"/>
  <c r="AY104" i="13" s="1"/>
  <c r="AX3" i="13"/>
  <c r="BA3" i="13"/>
  <c r="BB3" i="13" s="1"/>
  <c r="BD3" i="13"/>
  <c r="AX156" i="13"/>
  <c r="BA156" i="13"/>
  <c r="BB156" i="13" s="1"/>
  <c r="BD156" i="13"/>
  <c r="AY167" i="13"/>
  <c r="BC177" i="13"/>
  <c r="BD139" i="13"/>
  <c r="BD205" i="13"/>
  <c r="BD167" i="13"/>
  <c r="BC259" i="13"/>
  <c r="AV278" i="13"/>
  <c r="AY278" i="13" s="1"/>
  <c r="AZ278" i="13" s="1"/>
  <c r="BD253" i="13"/>
  <c r="AZ248" i="13"/>
  <c r="BD272" i="13"/>
  <c r="AX272" i="13"/>
  <c r="AZ272" i="13" s="1"/>
  <c r="BA272" i="13"/>
  <c r="BB272" i="13" s="1"/>
  <c r="AX277" i="13"/>
  <c r="BA277" i="13"/>
  <c r="BB277" i="13" s="1"/>
  <c r="BC277" i="13" s="1"/>
  <c r="BD277" i="13"/>
  <c r="BC285" i="13"/>
  <c r="BD256" i="13"/>
  <c r="BD190" i="13"/>
  <c r="AX67" i="13"/>
  <c r="AZ67" i="13" s="1"/>
  <c r="BA67" i="13"/>
  <c r="BB67" i="13" s="1"/>
  <c r="BD67" i="13"/>
  <c r="AZ251" i="13"/>
  <c r="AX119" i="13"/>
  <c r="BD119" i="13"/>
  <c r="BA119" i="13"/>
  <c r="BB119" i="13" s="1"/>
  <c r="BD103" i="13"/>
  <c r="AX183" i="13"/>
  <c r="AZ183" i="13" s="1"/>
  <c r="BA183" i="13"/>
  <c r="BB183" i="13" s="1"/>
  <c r="BD183" i="13"/>
  <c r="BD191" i="13"/>
  <c r="AX191" i="13"/>
  <c r="AZ191" i="13" s="1"/>
  <c r="BA191" i="13"/>
  <c r="BB191" i="13" s="1"/>
  <c r="BD172" i="13"/>
  <c r="AV152" i="13"/>
  <c r="AY152" i="13" s="1"/>
  <c r="AZ232" i="13"/>
  <c r="BC260" i="13"/>
  <c r="BD254" i="13"/>
  <c r="BB279" i="13"/>
  <c r="BC279" i="13" s="1"/>
  <c r="AX292" i="13"/>
  <c r="AZ292" i="13" s="1"/>
  <c r="BA292" i="13"/>
  <c r="BB292" i="13" s="1"/>
  <c r="BD292" i="13"/>
  <c r="BD244" i="13"/>
  <c r="BD250" i="13"/>
  <c r="AV286" i="13"/>
  <c r="AY286" i="13" s="1"/>
  <c r="AZ286" i="13" s="1"/>
  <c r="BC256" i="13"/>
  <c r="AY296" i="13"/>
  <c r="AZ296" i="13" s="1"/>
  <c r="AX44" i="13"/>
  <c r="BA44" i="13"/>
  <c r="BB44" i="13" s="1"/>
  <c r="BD44" i="13"/>
  <c r="BD85" i="13"/>
  <c r="AX85" i="13"/>
  <c r="BA85" i="13"/>
  <c r="BB85" i="13" s="1"/>
  <c r="AX33" i="13"/>
  <c r="BA33" i="13"/>
  <c r="BB33" i="13" s="1"/>
  <c r="BD33" i="13"/>
  <c r="AV33" i="13"/>
  <c r="AY33" i="13" s="1"/>
  <c r="AV85" i="13"/>
  <c r="AY85" i="13" s="1"/>
  <c r="BD81" i="13"/>
  <c r="AV93" i="13"/>
  <c r="AY93" i="13" s="1"/>
  <c r="BD93" i="13"/>
  <c r="BD26" i="13"/>
  <c r="AX36" i="13"/>
  <c r="BA36" i="13"/>
  <c r="BB36" i="13" s="1"/>
  <c r="BD36" i="13"/>
  <c r="AV36" i="13"/>
  <c r="AY36" i="13" s="1"/>
  <c r="BD60" i="13"/>
  <c r="BD88" i="13"/>
  <c r="AV119" i="13"/>
  <c r="AY119" i="13" s="1"/>
  <c r="BA133" i="13"/>
  <c r="BB133" i="13" s="1"/>
  <c r="AX133" i="13"/>
  <c r="BD133" i="13"/>
  <c r="AZ106" i="13"/>
  <c r="BD148" i="13"/>
  <c r="BD166" i="13"/>
  <c r="AX170" i="13"/>
  <c r="BA170" i="13"/>
  <c r="BB170" i="13" s="1"/>
  <c r="BD170" i="13"/>
  <c r="BA206" i="13"/>
  <c r="BB206" i="13" s="1"/>
  <c r="BC206" i="13" s="1"/>
  <c r="AX219" i="13"/>
  <c r="AZ219" i="13" s="1"/>
  <c r="BA219" i="13"/>
  <c r="BB219" i="13" s="1"/>
  <c r="BD219" i="13"/>
  <c r="BD260" i="13"/>
  <c r="BA230" i="13"/>
  <c r="BB230" i="13" s="1"/>
  <c r="BC230" i="13" s="1"/>
  <c r="AY174" i="13"/>
  <c r="AZ174" i="13" s="1"/>
  <c r="AX225" i="13"/>
  <c r="BA225" i="13"/>
  <c r="BB225" i="13" s="1"/>
  <c r="BD225" i="13"/>
  <c r="AV225" i="13"/>
  <c r="AY225" i="13" s="1"/>
  <c r="AX231" i="13"/>
  <c r="AZ231" i="13" s="1"/>
  <c r="BA231" i="13"/>
  <c r="BB231" i="13" s="1"/>
  <c r="BC231" i="13" s="1"/>
  <c r="BD231" i="13"/>
  <c r="AX243" i="13"/>
  <c r="AZ243" i="13" s="1"/>
  <c r="BA243" i="13"/>
  <c r="BB243" i="13" s="1"/>
  <c r="BC243" i="13" s="1"/>
  <c r="BD243" i="13"/>
  <c r="BD247" i="13"/>
  <c r="BD242" i="13"/>
  <c r="AZ220" i="13"/>
  <c r="AZ254" i="13"/>
  <c r="AX281" i="13"/>
  <c r="AZ261" i="13"/>
  <c r="AZ300" i="13"/>
  <c r="BB276" i="13"/>
  <c r="BC276" i="13" s="1"/>
  <c r="BC244" i="13"/>
  <c r="BC250" i="13"/>
  <c r="BD287" i="13"/>
  <c r="AX287" i="13"/>
  <c r="AZ287" i="13" s="1"/>
  <c r="BA287" i="13"/>
  <c r="BB287" i="13" s="1"/>
  <c r="BA142" i="13"/>
  <c r="BB142" i="13" s="1"/>
  <c r="AX142" i="13"/>
  <c r="BD142" i="13"/>
  <c r="AX198" i="13"/>
  <c r="BA198" i="13"/>
  <c r="BB198" i="13" s="1"/>
  <c r="BD198" i="13"/>
  <c r="AV198" i="13"/>
  <c r="AY198" i="13" s="1"/>
  <c r="AX18" i="13"/>
  <c r="BA18" i="13"/>
  <c r="BB18" i="13" s="1"/>
  <c r="BD18" i="13"/>
  <c r="AV18" i="13"/>
  <c r="AY18" i="13" s="1"/>
  <c r="BA105" i="13"/>
  <c r="BB105" i="13" s="1"/>
  <c r="BD105" i="13"/>
  <c r="AX105" i="13"/>
  <c r="BD199" i="13"/>
  <c r="AV23" i="13"/>
  <c r="AY23" i="13" s="1"/>
  <c r="BD23" i="13"/>
  <c r="AX64" i="13"/>
  <c r="BA64" i="13"/>
  <c r="BB64" i="13" s="1"/>
  <c r="BD64" i="13"/>
  <c r="BA113" i="13"/>
  <c r="BB113" i="13" s="1"/>
  <c r="BD113" i="13"/>
  <c r="AV113" i="13"/>
  <c r="AY113" i="13" s="1"/>
  <c r="AX113" i="13"/>
  <c r="AV90" i="13"/>
  <c r="AY90" i="13" s="1"/>
  <c r="BD30" i="13"/>
  <c r="AX32" i="13"/>
  <c r="AZ32" i="13" s="1"/>
  <c r="BA32" i="13"/>
  <c r="BB32" i="13" s="1"/>
  <c r="BD32" i="13"/>
  <c r="BD22" i="13"/>
  <c r="BD41" i="13"/>
  <c r="AX107" i="13"/>
  <c r="BA107" i="13"/>
  <c r="BB107" i="13" s="1"/>
  <c r="BD107" i="13"/>
  <c r="BD13" i="13"/>
  <c r="BD75" i="13"/>
  <c r="BC108" i="13"/>
  <c r="AX130" i="13"/>
  <c r="BA130" i="13"/>
  <c r="BB130" i="13" s="1"/>
  <c r="BD130" i="13"/>
  <c r="AV130" i="13"/>
  <c r="AY130" i="13" s="1"/>
  <c r="BD69" i="13"/>
  <c r="BD157" i="13"/>
  <c r="AX157" i="13"/>
  <c r="BA157" i="13"/>
  <c r="BB157" i="13" s="1"/>
  <c r="AV170" i="13"/>
  <c r="AY170" i="13" s="1"/>
  <c r="BD141" i="13"/>
  <c r="AX195" i="13"/>
  <c r="BA195" i="13"/>
  <c r="BB195" i="13" s="1"/>
  <c r="BC195" i="13" s="1"/>
  <c r="BD195" i="13"/>
  <c r="AV195" i="13"/>
  <c r="AY195" i="13" s="1"/>
  <c r="BD196" i="13"/>
  <c r="BD208" i="13"/>
  <c r="BB153" i="13"/>
  <c r="AZ187" i="13"/>
  <c r="BD177" i="13"/>
  <c r="BC176" i="13"/>
  <c r="AV143" i="13"/>
  <c r="AY143" i="13" s="1"/>
  <c r="BD164" i="13"/>
  <c r="AX159" i="13"/>
  <c r="BA159" i="13"/>
  <c r="BB159" i="13" s="1"/>
  <c r="BD159" i="13"/>
  <c r="BD185" i="13"/>
  <c r="BC247" i="13"/>
  <c r="BD220" i="13"/>
  <c r="BD261" i="13"/>
  <c r="AX289" i="13"/>
  <c r="AZ289" i="13" s="1"/>
  <c r="BA289" i="13"/>
  <c r="BB289" i="13" s="1"/>
  <c r="BD289" i="13"/>
  <c r="BC268" i="13"/>
  <c r="BA123" i="13"/>
  <c r="BB123" i="13" s="1"/>
  <c r="BD123" i="13"/>
  <c r="AX123" i="13"/>
  <c r="AX136" i="13"/>
  <c r="BA136" i="13"/>
  <c r="BB136" i="13" s="1"/>
  <c r="BD136" i="13"/>
  <c r="AZ285" i="13"/>
  <c r="BD10" i="13"/>
  <c r="BD125" i="13"/>
  <c r="AX125" i="13"/>
  <c r="BA125" i="13"/>
  <c r="BB125" i="13" s="1"/>
  <c r="BB35" i="13"/>
  <c r="AV125" i="13"/>
  <c r="AY125" i="13" s="1"/>
  <c r="AV160" i="13"/>
  <c r="AY160" i="13" s="1"/>
  <c r="BC174" i="13"/>
  <c r="AX165" i="13"/>
  <c r="BA165" i="13"/>
  <c r="BB165" i="13" s="1"/>
  <c r="BD165" i="13"/>
  <c r="AV165" i="13"/>
  <c r="AY165" i="13" s="1"/>
  <c r="AX189" i="13"/>
  <c r="AZ189" i="13" s="1"/>
  <c r="BA189" i="13"/>
  <c r="BB189" i="13" s="1"/>
  <c r="BC189" i="13" s="1"/>
  <c r="BD189" i="13"/>
  <c r="AZ179" i="13"/>
  <c r="AX180" i="13"/>
  <c r="AZ180" i="13" s="1"/>
  <c r="BA180" i="13"/>
  <c r="BB180" i="13" s="1"/>
  <c r="BD180" i="13"/>
  <c r="AV175" i="13"/>
  <c r="AY175" i="13" s="1"/>
  <c r="BD169" i="13"/>
  <c r="BD163" i="13"/>
  <c r="AV186" i="13"/>
  <c r="AY186" i="13" s="1"/>
  <c r="AZ186" i="13" s="1"/>
  <c r="BB185" i="13"/>
  <c r="BC185" i="13" s="1"/>
  <c r="AZ233" i="13"/>
  <c r="BC258" i="13"/>
  <c r="AZ247" i="13"/>
  <c r="BC233" i="13"/>
  <c r="BC245" i="13"/>
  <c r="BC221" i="13"/>
  <c r="AV246" i="13"/>
  <c r="AY246" i="13" s="1"/>
  <c r="AZ246" i="13" s="1"/>
  <c r="BB267" i="13"/>
  <c r="BC267" i="13" s="1"/>
  <c r="AY284" i="13"/>
  <c r="BD269" i="13"/>
  <c r="BC300" i="13"/>
  <c r="L2" i="26"/>
  <c r="AZ198" i="13" l="1"/>
  <c r="BC292" i="13"/>
  <c r="BC191" i="13"/>
  <c r="BC207" i="13"/>
  <c r="BC274" i="13"/>
  <c r="AZ129" i="13"/>
  <c r="AZ135" i="13"/>
  <c r="AZ181" i="13"/>
  <c r="BC31" i="13"/>
  <c r="BC102" i="13"/>
  <c r="AZ102" i="13"/>
  <c r="BC183" i="13"/>
  <c r="BC272" i="13"/>
  <c r="BC278" i="13"/>
  <c r="BC173" i="13"/>
  <c r="BC287" i="13"/>
  <c r="BC7" i="13"/>
  <c r="AZ31" i="13"/>
  <c r="BC264" i="13"/>
  <c r="AZ207" i="13"/>
  <c r="BC204" i="13"/>
  <c r="AZ121" i="13"/>
  <c r="BC236" i="13"/>
  <c r="BC157" i="13"/>
  <c r="BC119" i="13"/>
  <c r="AZ265" i="13"/>
  <c r="BC265" i="13"/>
  <c r="AZ293" i="13"/>
  <c r="AZ173" i="13"/>
  <c r="BC140" i="13"/>
  <c r="BC166" i="13"/>
  <c r="BC84" i="13"/>
  <c r="AZ244" i="13"/>
  <c r="BC298" i="13"/>
  <c r="BC63" i="13"/>
  <c r="AZ59" i="13"/>
  <c r="AZ97" i="13"/>
  <c r="AZ19" i="13"/>
  <c r="BC19" i="13"/>
  <c r="BC72" i="13"/>
  <c r="AZ77" i="13"/>
  <c r="BC46" i="13"/>
  <c r="AZ72" i="13"/>
  <c r="BC8" i="13"/>
  <c r="BC68" i="13"/>
  <c r="AZ11" i="13"/>
  <c r="BC30" i="13"/>
  <c r="BC97" i="13"/>
  <c r="BC15" i="13"/>
  <c r="AZ54" i="13"/>
  <c r="BC11" i="13"/>
  <c r="AZ24" i="13"/>
  <c r="BC89" i="13"/>
  <c r="AZ43" i="13"/>
  <c r="BC24" i="13"/>
  <c r="AZ46" i="13"/>
  <c r="AZ13" i="13"/>
  <c r="AZ78" i="13"/>
  <c r="AZ71" i="13"/>
  <c r="BC69" i="13"/>
  <c r="BC23" i="13"/>
  <c r="AZ23" i="13"/>
  <c r="BC38" i="13"/>
  <c r="AZ45" i="13"/>
  <c r="AZ35" i="13"/>
  <c r="BC13" i="13"/>
  <c r="BC41" i="13"/>
  <c r="BC83" i="13"/>
  <c r="AZ65" i="13"/>
  <c r="AZ128" i="13"/>
  <c r="BC99" i="13"/>
  <c r="AZ14" i="13"/>
  <c r="AZ119" i="13"/>
  <c r="BC118" i="13"/>
  <c r="BC88" i="13"/>
  <c r="BC6" i="13"/>
  <c r="BC71" i="13"/>
  <c r="BC37" i="13"/>
  <c r="AZ68" i="13"/>
  <c r="AZ7" i="13"/>
  <c r="AZ57" i="13"/>
  <c r="AZ148" i="13"/>
  <c r="BC26" i="13"/>
  <c r="BC141" i="13"/>
  <c r="AZ166" i="13"/>
  <c r="AZ141" i="13"/>
  <c r="AZ117" i="13"/>
  <c r="AZ40" i="13"/>
  <c r="AZ3" i="13"/>
  <c r="BC128" i="13"/>
  <c r="AZ8" i="13"/>
  <c r="BC117" i="13"/>
  <c r="AZ118" i="13"/>
  <c r="BC22" i="13"/>
  <c r="AZ99" i="13"/>
  <c r="BC129" i="13"/>
  <c r="BC74" i="13"/>
  <c r="AZ149" i="13"/>
  <c r="BC150" i="13"/>
  <c r="AZ95" i="13"/>
  <c r="AZ56" i="13"/>
  <c r="BC86" i="13"/>
  <c r="BC65" i="13"/>
  <c r="BC162" i="13"/>
  <c r="BC101" i="13"/>
  <c r="AZ115" i="13"/>
  <c r="BC80" i="13"/>
  <c r="AZ20" i="13"/>
  <c r="AZ17" i="13"/>
  <c r="AZ39" i="13"/>
  <c r="BC36" i="13"/>
  <c r="BC61" i="13"/>
  <c r="BC124" i="13"/>
  <c r="AZ131" i="13"/>
  <c r="BC54" i="13"/>
  <c r="BC137" i="13"/>
  <c r="AZ172" i="13"/>
  <c r="BC50" i="13"/>
  <c r="AZ50" i="13"/>
  <c r="AZ171" i="13"/>
  <c r="BC144" i="13"/>
  <c r="AZ88" i="13"/>
  <c r="BC153" i="13"/>
  <c r="BC70" i="13"/>
  <c r="BC29" i="13"/>
  <c r="AZ137" i="13"/>
  <c r="AZ158" i="13"/>
  <c r="BC92" i="13"/>
  <c r="AZ87" i="13"/>
  <c r="AZ139" i="13"/>
  <c r="AZ6" i="13"/>
  <c r="BC109" i="13"/>
  <c r="AZ86" i="13"/>
  <c r="AZ160" i="13"/>
  <c r="BC156" i="13"/>
  <c r="BC104" i="13"/>
  <c r="BC42" i="13"/>
  <c r="BC76" i="13"/>
  <c r="BC171" i="13"/>
  <c r="AZ30" i="13"/>
  <c r="AZ80" i="13"/>
  <c r="BC48" i="13"/>
  <c r="BC78" i="13"/>
  <c r="BC56" i="13"/>
  <c r="AZ111" i="13"/>
  <c r="AZ70" i="13"/>
  <c r="BC21" i="13"/>
  <c r="AZ133" i="13"/>
  <c r="BC20" i="13"/>
  <c r="BC87" i="13"/>
  <c r="BC139" i="13"/>
  <c r="BC134" i="13"/>
  <c r="AZ162" i="13"/>
  <c r="BC58" i="13"/>
  <c r="BC14" i="13"/>
  <c r="AZ28" i="13"/>
  <c r="BC111" i="13"/>
  <c r="BC43" i="13"/>
  <c r="AZ167" i="13"/>
  <c r="AZ79" i="13"/>
  <c r="AZ69" i="13"/>
  <c r="BC115" i="13"/>
  <c r="AZ83" i="13"/>
  <c r="BC60" i="13"/>
  <c r="AZ92" i="13"/>
  <c r="AZ134" i="13"/>
  <c r="AZ64" i="13"/>
  <c r="BC145" i="13"/>
  <c r="BC17" i="13"/>
  <c r="BC12" i="13"/>
  <c r="BC16" i="13"/>
  <c r="AZ101" i="13"/>
  <c r="AZ48" i="13"/>
  <c r="BC40" i="13"/>
  <c r="AZ42" i="13"/>
  <c r="BC49" i="13"/>
  <c r="BC55" i="13"/>
  <c r="AZ74" i="13"/>
  <c r="AZ12" i="13"/>
  <c r="BC148" i="13"/>
  <c r="BC62" i="13"/>
  <c r="AZ136" i="13"/>
  <c r="BC165" i="13"/>
  <c r="BC3" i="13"/>
  <c r="AZ15" i="13"/>
  <c r="AZ37" i="13"/>
  <c r="AZ26" i="13"/>
  <c r="AZ55" i="13"/>
  <c r="AZ41" i="13"/>
  <c r="AZ27" i="13"/>
  <c r="AZ9" i="13"/>
  <c r="BC103" i="13"/>
  <c r="BC159" i="13"/>
  <c r="AZ105" i="13"/>
  <c r="AZ47" i="13"/>
  <c r="BC35" i="13"/>
  <c r="AZ110" i="13"/>
  <c r="BC133" i="13"/>
  <c r="AZ60" i="13"/>
  <c r="AZ161" i="13"/>
  <c r="AZ38" i="13"/>
  <c r="BC9" i="13"/>
  <c r="BC57" i="13"/>
  <c r="BC93" i="13"/>
  <c r="AZ90" i="13"/>
  <c r="AZ16" i="13"/>
  <c r="BC27" i="13"/>
  <c r="AZ103" i="13"/>
  <c r="AZ89" i="13"/>
  <c r="BC39" i="13"/>
  <c r="AZ22" i="13"/>
  <c r="AZ93" i="13"/>
  <c r="AZ127" i="13"/>
  <c r="AZ49" i="13"/>
  <c r="AZ154" i="13"/>
  <c r="AZ107" i="13"/>
  <c r="AZ143" i="13"/>
  <c r="AZ61" i="13"/>
  <c r="AZ122" i="13"/>
  <c r="AZ5" i="13"/>
  <c r="AZ18" i="13"/>
  <c r="BC82" i="13"/>
  <c r="AZ94" i="13"/>
  <c r="AZ58" i="13"/>
  <c r="AZ124" i="13"/>
  <c r="AZ76" i="13"/>
  <c r="BC131" i="13"/>
  <c r="BC167" i="13"/>
  <c r="BC59" i="13"/>
  <c r="BC64" i="13"/>
  <c r="BC18" i="13"/>
  <c r="BC44" i="13"/>
  <c r="AZ150" i="13"/>
  <c r="BC77" i="13"/>
  <c r="AZ130" i="13"/>
  <c r="BC107" i="13"/>
  <c r="BC85" i="13"/>
  <c r="BC45" i="13"/>
  <c r="BC47" i="13"/>
  <c r="AZ29" i="13"/>
  <c r="BC5" i="13"/>
  <c r="BC130" i="13"/>
  <c r="BC170" i="13"/>
  <c r="AZ73" i="13"/>
  <c r="BC135" i="13"/>
  <c r="BC73" i="13"/>
  <c r="BC53" i="13"/>
  <c r="AZ144" i="13"/>
  <c r="AZ170" i="13"/>
  <c r="AZ113" i="13"/>
  <c r="BC105" i="13"/>
  <c r="AZ53" i="13"/>
  <c r="BC113" i="13"/>
  <c r="AZ62" i="13"/>
  <c r="AZ125" i="13"/>
  <c r="AZ85" i="13"/>
  <c r="BC110" i="13"/>
  <c r="AZ63" i="13"/>
  <c r="BC94" i="13"/>
  <c r="AZ82" i="13"/>
  <c r="BC125" i="13"/>
  <c r="BC33" i="13"/>
  <c r="BC161" i="13"/>
  <c r="BC127" i="13"/>
  <c r="AZ98" i="13"/>
  <c r="BC198" i="13"/>
  <c r="AZ225" i="13"/>
  <c r="AZ142" i="13"/>
  <c r="BC98" i="13"/>
  <c r="BC90" i="13"/>
  <c r="AZ152" i="13"/>
  <c r="AZ104" i="13"/>
  <c r="BC152" i="13"/>
  <c r="AZ44" i="13"/>
  <c r="AZ175" i="13"/>
  <c r="BC180" i="13"/>
  <c r="BC289" i="13"/>
  <c r="BC225" i="13"/>
  <c r="BC295" i="13"/>
  <c r="BC79" i="13"/>
  <c r="AZ240" i="13"/>
  <c r="AZ192" i="13"/>
  <c r="BC275" i="13"/>
  <c r="BC255" i="13"/>
  <c r="BC143" i="13"/>
  <c r="BC122" i="13"/>
  <c r="BC136" i="13"/>
  <c r="BC32" i="13"/>
  <c r="BC142" i="13"/>
  <c r="AZ116" i="13"/>
  <c r="BC252" i="13"/>
  <c r="BC192" i="13"/>
  <c r="BC151" i="13"/>
  <c r="BC293" i="13"/>
  <c r="BC28" i="13"/>
  <c r="BC95" i="13"/>
  <c r="AZ156" i="13"/>
  <c r="AZ33" i="13"/>
  <c r="BC160" i="13"/>
  <c r="BC281" i="13"/>
  <c r="BC154" i="13"/>
  <c r="AZ123" i="13"/>
  <c r="AZ195" i="13"/>
  <c r="AZ284" i="13"/>
  <c r="AZ165" i="13"/>
  <c r="BC123" i="13"/>
  <c r="AZ159" i="13"/>
  <c r="BC219" i="13"/>
  <c r="AZ36" i="13"/>
  <c r="BC67" i="13"/>
  <c r="AZ277" i="13"/>
  <c r="AZ274" i="13"/>
  <c r="AZ212" i="13"/>
  <c r="AZ21" i="13"/>
  <c r="BC116" i="13"/>
  <c r="BC240" i="13"/>
  <c r="AZ157" i="13"/>
  <c r="BC213" i="13"/>
  <c r="BC175" i="13"/>
  <c r="R2" i="26"/>
  <c r="J2" i="26" l="1"/>
  <c r="D2" i="26"/>
  <c r="AA4" i="26"/>
  <c r="C2" i="26"/>
  <c r="E5" i="26"/>
  <c r="F43" i="26" l="1"/>
  <c r="F51" i="26"/>
  <c r="F56" i="26"/>
  <c r="F64" i="26"/>
  <c r="F73" i="26"/>
  <c r="F79" i="26"/>
  <c r="F88" i="26"/>
  <c r="F95" i="26"/>
  <c r="F104" i="26"/>
  <c r="F114" i="26"/>
  <c r="F126" i="26"/>
  <c r="F138" i="26"/>
  <c r="F145" i="26"/>
  <c r="F152" i="26"/>
  <c r="F159" i="26"/>
  <c r="F165" i="26"/>
  <c r="F175" i="26"/>
  <c r="F184" i="26"/>
  <c r="F193" i="26"/>
  <c r="F45" i="26"/>
  <c r="F55" i="26"/>
  <c r="F71" i="26"/>
  <c r="F83" i="26"/>
  <c r="F93" i="26"/>
  <c r="F101" i="26"/>
  <c r="F111" i="26"/>
  <c r="F120" i="26"/>
  <c r="F129" i="26"/>
  <c r="F136" i="26"/>
  <c r="F148" i="26"/>
  <c r="F161" i="26"/>
  <c r="F170" i="26"/>
  <c r="F177" i="26"/>
  <c r="F186" i="26"/>
  <c r="F195" i="26"/>
  <c r="F49" i="26"/>
  <c r="F60" i="26"/>
  <c r="F68" i="26"/>
  <c r="F78" i="26"/>
  <c r="F86" i="26"/>
  <c r="F99" i="26"/>
  <c r="F108" i="26"/>
  <c r="F115" i="26"/>
  <c r="F122" i="26"/>
  <c r="F132" i="26"/>
  <c r="F141" i="26"/>
  <c r="F149" i="26"/>
  <c r="F156" i="26"/>
  <c r="F164" i="26"/>
  <c r="F172" i="26"/>
  <c r="F181" i="26"/>
  <c r="F190" i="26"/>
  <c r="F199" i="26"/>
  <c r="F41" i="26"/>
  <c r="F50" i="26"/>
  <c r="F58" i="26"/>
  <c r="F66" i="26"/>
  <c r="F74" i="26"/>
  <c r="F81" i="26"/>
  <c r="F90" i="26"/>
  <c r="F100" i="26"/>
  <c r="F110" i="26"/>
  <c r="F119" i="26"/>
  <c r="F128" i="26"/>
  <c r="F139" i="26"/>
  <c r="F146" i="26"/>
  <c r="F155" i="26"/>
  <c r="F167" i="26"/>
  <c r="F178" i="26"/>
  <c r="F187" i="26"/>
  <c r="F196" i="26"/>
  <c r="F47" i="26"/>
  <c r="F57" i="26"/>
  <c r="F67" i="26"/>
  <c r="F76" i="26"/>
  <c r="F84" i="26"/>
  <c r="F91" i="26"/>
  <c r="F97" i="26"/>
  <c r="F105" i="26"/>
  <c r="F113" i="26"/>
  <c r="F121" i="26"/>
  <c r="F130" i="26"/>
  <c r="F135" i="26"/>
  <c r="F143" i="26"/>
  <c r="F153" i="26"/>
  <c r="F162" i="26"/>
  <c r="F173" i="26"/>
  <c r="F183" i="26"/>
  <c r="F191" i="26"/>
  <c r="F200" i="26"/>
  <c r="F44" i="26"/>
  <c r="F53" i="26"/>
  <c r="F61" i="26"/>
  <c r="F70" i="26"/>
  <c r="F82" i="26"/>
  <c r="F92" i="26"/>
  <c r="F102" i="26"/>
  <c r="F112" i="26"/>
  <c r="F123" i="26"/>
  <c r="F133" i="26"/>
  <c r="F142" i="26"/>
  <c r="F151" i="26"/>
  <c r="F160" i="26"/>
  <c r="F168" i="26"/>
  <c r="F174" i="26"/>
  <c r="F182" i="26"/>
  <c r="F192" i="26"/>
  <c r="F48" i="26"/>
  <c r="F63" i="26"/>
  <c r="F75" i="26"/>
  <c r="F87" i="26"/>
  <c r="F96" i="26"/>
  <c r="F106" i="26"/>
  <c r="F116" i="26"/>
  <c r="F127" i="26"/>
  <c r="F137" i="26"/>
  <c r="F147" i="26"/>
  <c r="F158" i="26"/>
  <c r="F169" i="26"/>
  <c r="F179" i="26"/>
  <c r="F188" i="26"/>
  <c r="F197" i="26"/>
  <c r="F42" i="26"/>
  <c r="F52" i="26"/>
  <c r="F59" i="26"/>
  <c r="F65" i="26"/>
  <c r="F72" i="26"/>
  <c r="F80" i="26"/>
  <c r="F89" i="26"/>
  <c r="F98" i="26"/>
  <c r="F107" i="26"/>
  <c r="F117" i="26"/>
  <c r="F125" i="26"/>
  <c r="F134" i="26"/>
  <c r="F144" i="26"/>
  <c r="F154" i="26"/>
  <c r="F166" i="26"/>
  <c r="F176" i="26"/>
  <c r="F185" i="26"/>
  <c r="F194" i="26"/>
  <c r="F46" i="26"/>
  <c r="F54" i="26"/>
  <c r="F62" i="26"/>
  <c r="F69" i="26"/>
  <c r="F77" i="26"/>
  <c r="F85" i="26"/>
  <c r="F94" i="26"/>
  <c r="F103" i="26"/>
  <c r="F109" i="26"/>
  <c r="F118" i="26"/>
  <c r="F124" i="26"/>
  <c r="F131" i="26"/>
  <c r="F140" i="26"/>
  <c r="F150" i="26"/>
  <c r="F157" i="26"/>
  <c r="F163" i="26"/>
  <c r="F171" i="26"/>
  <c r="F180" i="26"/>
  <c r="F189" i="26"/>
  <c r="F198" i="26"/>
  <c r="F35" i="26"/>
  <c r="F6" i="26"/>
  <c r="F27" i="26"/>
  <c r="F40" i="26"/>
  <c r="F28" i="26"/>
  <c r="F13" i="26"/>
  <c r="F38" i="26"/>
  <c r="F29" i="26"/>
  <c r="F36" i="26"/>
  <c r="F21" i="26"/>
  <c r="F10" i="26"/>
  <c r="F22" i="26"/>
  <c r="F7" i="26"/>
  <c r="F32" i="26"/>
  <c r="F23" i="26"/>
  <c r="F30" i="26"/>
  <c r="F15" i="26"/>
  <c r="F18" i="26"/>
  <c r="F25" i="26"/>
  <c r="F14" i="26"/>
  <c r="F37" i="26"/>
  <c r="F26" i="26"/>
  <c r="F17" i="26"/>
  <c r="F24" i="26"/>
  <c r="F16" i="26"/>
  <c r="F9" i="26"/>
  <c r="F34" i="26"/>
  <c r="F31" i="26"/>
  <c r="F20" i="26"/>
  <c r="F11" i="26"/>
  <c r="F39" i="26"/>
  <c r="F19" i="26"/>
  <c r="F8" i="26"/>
  <c r="F12" i="26"/>
  <c r="F33" i="26"/>
  <c r="I2" i="26"/>
  <c r="F5" i="26"/>
  <c r="N2" i="26"/>
  <c r="C17" i="28" s="1"/>
  <c r="AE34" i="7" l="1"/>
  <c r="AE37" i="7" s="1"/>
  <c r="B13" i="28" l="1"/>
  <c r="B12" i="28"/>
  <c r="D11" i="28"/>
  <c r="AA11" i="28" l="1"/>
  <c r="AA13" i="28"/>
  <c r="AA12" i="28"/>
  <c r="AA1" i="28"/>
  <c r="B9" i="28" l="1"/>
  <c r="AA9" i="28" s="1"/>
  <c r="B7" i="28"/>
  <c r="B5" i="28"/>
  <c r="AA5" i="28" s="1"/>
  <c r="AA3" i="28" l="1"/>
  <c r="A15" i="28"/>
  <c r="B15" i="28" s="1"/>
  <c r="AA15" i="28" l="1"/>
  <c r="D7" i="28" l="1"/>
  <c r="AA7" i="28" s="1"/>
  <c r="B8" i="28" l="1"/>
  <c r="AA8" i="28" s="1"/>
  <c r="A1" i="13" l="1"/>
  <c r="AA17" i="28" l="1"/>
  <c r="A201" i="17" l="1"/>
  <c r="A201" i="7" l="1"/>
  <c r="A201" i="16"/>
  <c r="A201" i="10"/>
  <c r="R2" i="7" l="1"/>
  <c r="Q2" i="7"/>
  <c r="P2" i="7"/>
  <c r="O2" i="7"/>
  <c r="N2" i="7"/>
  <c r="M2" i="7"/>
  <c r="L2" i="7"/>
  <c r="K2" i="7"/>
  <c r="J2" i="7"/>
  <c r="I2" i="7"/>
  <c r="H2" i="7"/>
  <c r="G2" i="7"/>
  <c r="F2" i="7"/>
  <c r="E2" i="7"/>
  <c r="D2" i="7"/>
  <c r="C2" i="7"/>
  <c r="B2" i="7"/>
  <c r="A2" i="7"/>
  <c r="A1" i="4"/>
  <c r="AK2" i="13" l="1"/>
  <c r="N163" i="4"/>
  <c r="N154" i="4"/>
  <c r="O154" i="4"/>
  <c r="O178" i="4"/>
  <c r="N178" i="4"/>
  <c r="O186" i="4"/>
  <c r="N186" i="4"/>
  <c r="N153" i="4"/>
  <c r="O153" i="4"/>
  <c r="N161" i="4"/>
  <c r="O161" i="4"/>
  <c r="O185" i="4"/>
  <c r="N193" i="4"/>
  <c r="O193" i="4"/>
  <c r="O180" i="4"/>
  <c r="N171" i="4"/>
  <c r="O171" i="4"/>
  <c r="W2" i="13"/>
  <c r="G3" i="4" s="1"/>
  <c r="O152" i="4"/>
  <c r="N152" i="4"/>
  <c r="O160" i="4"/>
  <c r="O176" i="4"/>
  <c r="N184" i="4"/>
  <c r="O184" i="4"/>
  <c r="N192" i="4"/>
  <c r="N151" i="4"/>
  <c r="O151" i="4"/>
  <c r="N159" i="4"/>
  <c r="O175" i="4"/>
  <c r="N183" i="4"/>
  <c r="O183" i="4"/>
  <c r="N191" i="4"/>
  <c r="N188" i="4"/>
  <c r="N147" i="4"/>
  <c r="O147" i="4"/>
  <c r="O150" i="4"/>
  <c r="N166" i="4"/>
  <c r="N174" i="4"/>
  <c r="N182" i="4"/>
  <c r="N148" i="4"/>
  <c r="O148" i="4"/>
  <c r="N156" i="4"/>
  <c r="O157" i="4"/>
  <c r="N165" i="4"/>
  <c r="O165" i="4"/>
  <c r="N173" i="4"/>
  <c r="O189" i="4"/>
  <c r="O197" i="4"/>
  <c r="N115" i="4"/>
  <c r="O119" i="4"/>
  <c r="O123" i="4"/>
  <c r="N127" i="4"/>
  <c r="O127" i="4"/>
  <c r="N131" i="4"/>
  <c r="O135" i="4"/>
  <c r="N143" i="4"/>
  <c r="O143" i="4"/>
  <c r="O116" i="4"/>
  <c r="O120" i="4"/>
  <c r="O136" i="4"/>
  <c r="N140" i="4"/>
  <c r="O144" i="4"/>
  <c r="N122" i="4"/>
  <c r="O126" i="4"/>
  <c r="N134" i="4"/>
  <c r="O138" i="4"/>
  <c r="N138" i="4"/>
  <c r="N142" i="4"/>
  <c r="O146" i="4"/>
  <c r="O124" i="4"/>
  <c r="O128" i="4"/>
  <c r="N128" i="4"/>
  <c r="N132" i="4"/>
  <c r="O117" i="4"/>
  <c r="N121" i="4"/>
  <c r="O121" i="4"/>
  <c r="N125" i="4"/>
  <c r="O133" i="4"/>
  <c r="O137" i="4"/>
  <c r="N141" i="4"/>
  <c r="N8" i="4"/>
  <c r="O8" i="4"/>
  <c r="N16" i="4"/>
  <c r="O16" i="4"/>
  <c r="N24" i="4"/>
  <c r="N28" i="4"/>
  <c r="O28" i="4"/>
  <c r="N36" i="4"/>
  <c r="O36" i="4"/>
  <c r="N48" i="4"/>
  <c r="O48" i="4"/>
  <c r="N60" i="4"/>
  <c r="N76" i="4"/>
  <c r="O76" i="4"/>
  <c r="N80" i="4"/>
  <c r="O80" i="4"/>
  <c r="N84" i="4"/>
  <c r="O84" i="4"/>
  <c r="N88" i="4"/>
  <c r="N96" i="4"/>
  <c r="O96" i="4"/>
  <c r="O104" i="4"/>
  <c r="O108" i="4"/>
  <c r="O15" i="4"/>
  <c r="N15" i="4"/>
  <c r="O19" i="4"/>
  <c r="N19" i="4"/>
  <c r="O35" i="4"/>
  <c r="N35" i="4"/>
  <c r="O47" i="4"/>
  <c r="N47" i="4"/>
  <c r="O51" i="4"/>
  <c r="N51" i="4"/>
  <c r="O55" i="4"/>
  <c r="N55" i="4"/>
  <c r="N59" i="4"/>
  <c r="AD2" i="13"/>
  <c r="I3" i="4" s="1"/>
  <c r="AR2" i="13"/>
  <c r="AS2" i="13" s="1"/>
  <c r="K3" i="4" s="1"/>
  <c r="N6" i="4"/>
  <c r="O10" i="4"/>
  <c r="N10" i="4"/>
  <c r="O14" i="4"/>
  <c r="N14" i="4"/>
  <c r="O18" i="4"/>
  <c r="N18" i="4"/>
  <c r="O22" i="4"/>
  <c r="O26" i="4"/>
  <c r="N26" i="4"/>
  <c r="O30" i="4"/>
  <c r="N30" i="4"/>
  <c r="N34" i="4"/>
  <c r="O38" i="4"/>
  <c r="N38" i="4"/>
  <c r="O42" i="4"/>
  <c r="N42" i="4"/>
  <c r="N46" i="4"/>
  <c r="O46" i="4"/>
  <c r="O50" i="4"/>
  <c r="N50" i="4"/>
  <c r="N54" i="4"/>
  <c r="O54" i="4"/>
  <c r="O58" i="4"/>
  <c r="N58" i="4"/>
  <c r="N62" i="4"/>
  <c r="O62" i="4"/>
  <c r="O66" i="4"/>
  <c r="N66" i="4"/>
  <c r="O70" i="4"/>
  <c r="N70" i="4"/>
  <c r="O74" i="4"/>
  <c r="N74" i="4"/>
  <c r="O78" i="4"/>
  <c r="O82" i="4"/>
  <c r="N82" i="4"/>
  <c r="N86" i="4"/>
  <c r="O86" i="4"/>
  <c r="O90" i="4"/>
  <c r="N90" i="4"/>
  <c r="N94" i="4"/>
  <c r="O94" i="4"/>
  <c r="O98" i="4"/>
  <c r="N98" i="4"/>
  <c r="N102" i="4"/>
  <c r="O102" i="4"/>
  <c r="N106" i="4"/>
  <c r="O110" i="4"/>
  <c r="O4" i="4"/>
  <c r="N4" i="4"/>
  <c r="N12" i="4"/>
  <c r="O12" i="4"/>
  <c r="N20" i="4"/>
  <c r="O20" i="4"/>
  <c r="N32" i="4"/>
  <c r="O32" i="4"/>
  <c r="N40" i="4"/>
  <c r="O40" i="4"/>
  <c r="N44" i="4"/>
  <c r="O44" i="4"/>
  <c r="N52" i="4"/>
  <c r="O52" i="4"/>
  <c r="N56" i="4"/>
  <c r="O56" i="4"/>
  <c r="N64" i="4"/>
  <c r="O64" i="4"/>
  <c r="N68" i="4"/>
  <c r="N72" i="4"/>
  <c r="O72" i="4"/>
  <c r="N92" i="4"/>
  <c r="O92" i="4"/>
  <c r="N100" i="4"/>
  <c r="O100" i="4"/>
  <c r="N112" i="4"/>
  <c r="O112" i="4"/>
  <c r="AT2" i="13"/>
  <c r="N3" i="4" s="1"/>
  <c r="AU2" i="13"/>
  <c r="O3" i="4" s="1"/>
  <c r="O7" i="4"/>
  <c r="N7" i="4"/>
  <c r="O11" i="4"/>
  <c r="N11" i="4"/>
  <c r="O23" i="4"/>
  <c r="N23" i="4"/>
  <c r="O27" i="4"/>
  <c r="N27" i="4"/>
  <c r="O31" i="4"/>
  <c r="N31" i="4"/>
  <c r="O39" i="4"/>
  <c r="N39" i="4"/>
  <c r="O43" i="4"/>
  <c r="N43" i="4"/>
  <c r="O63" i="4"/>
  <c r="N63" i="4"/>
  <c r="N67" i="4"/>
  <c r="O71" i="4"/>
  <c r="N71" i="4"/>
  <c r="O75" i="4"/>
  <c r="O79" i="4"/>
  <c r="N79" i="4"/>
  <c r="O83" i="4"/>
  <c r="N83" i="4"/>
  <c r="O87" i="4"/>
  <c r="N87" i="4"/>
  <c r="O91" i="4"/>
  <c r="N91" i="4"/>
  <c r="O95" i="4"/>
  <c r="N95" i="4"/>
  <c r="O99" i="4"/>
  <c r="N99" i="4"/>
  <c r="O103" i="4"/>
  <c r="N103" i="4"/>
  <c r="O107" i="4"/>
  <c r="N107" i="4"/>
  <c r="N111" i="4"/>
  <c r="AW2" i="13"/>
  <c r="Q3" i="4" s="1"/>
  <c r="P2" i="13"/>
  <c r="G4" i="4"/>
  <c r="O5" i="4"/>
  <c r="N5" i="4"/>
  <c r="O9" i="4"/>
  <c r="N9" i="4"/>
  <c r="O13" i="4"/>
  <c r="N13" i="4"/>
  <c r="O17" i="4"/>
  <c r="N17" i="4"/>
  <c r="O21" i="4"/>
  <c r="N21" i="4"/>
  <c r="O25" i="4"/>
  <c r="N25" i="4"/>
  <c r="O29" i="4"/>
  <c r="N29" i="4"/>
  <c r="O33" i="4"/>
  <c r="N33" i="4"/>
  <c r="O37" i="4"/>
  <c r="N37" i="4"/>
  <c r="O41" i="4"/>
  <c r="N41" i="4"/>
  <c r="O45" i="4"/>
  <c r="N45" i="4"/>
  <c r="O49" i="4"/>
  <c r="N49" i="4"/>
  <c r="O53" i="4"/>
  <c r="N53" i="4"/>
  <c r="O57" i="4"/>
  <c r="N57" i="4"/>
  <c r="O61" i="4"/>
  <c r="O65" i="4"/>
  <c r="N65" i="4"/>
  <c r="O69" i="4"/>
  <c r="N69" i="4"/>
  <c r="O73" i="4"/>
  <c r="O77" i="4"/>
  <c r="N77" i="4"/>
  <c r="O81" i="4"/>
  <c r="N81" i="4"/>
  <c r="O85" i="4"/>
  <c r="N85" i="4"/>
  <c r="O89" i="4"/>
  <c r="N89" i="4"/>
  <c r="O93" i="4"/>
  <c r="N93" i="4"/>
  <c r="O97" i="4"/>
  <c r="N97" i="4"/>
  <c r="O101" i="4"/>
  <c r="N101" i="4"/>
  <c r="N105" i="4"/>
  <c r="O109" i="4"/>
  <c r="N109" i="4"/>
  <c r="A112" i="4"/>
  <c r="W112" i="4"/>
  <c r="B112" i="4"/>
  <c r="L112" i="4"/>
  <c r="X112" i="4"/>
  <c r="C112" i="4"/>
  <c r="M112" i="4"/>
  <c r="U112" i="4"/>
  <c r="Y112" i="4"/>
  <c r="D112" i="4"/>
  <c r="V112" i="4"/>
  <c r="Z112" i="4"/>
  <c r="A4" i="4"/>
  <c r="W4" i="4"/>
  <c r="C5" i="4"/>
  <c r="M5" i="4"/>
  <c r="U5" i="4"/>
  <c r="Y5" i="4"/>
  <c r="A6" i="4"/>
  <c r="O6" i="4"/>
  <c r="W6" i="4"/>
  <c r="C7" i="4"/>
  <c r="L7" i="4"/>
  <c r="X7" i="4"/>
  <c r="D8" i="4"/>
  <c r="V8" i="4"/>
  <c r="Z8" i="4"/>
  <c r="B9" i="4"/>
  <c r="L9" i="4"/>
  <c r="X9" i="4"/>
  <c r="D10" i="4"/>
  <c r="V10" i="4"/>
  <c r="Z10" i="4"/>
  <c r="B11" i="4"/>
  <c r="W11" i="4"/>
  <c r="C12" i="4"/>
  <c r="M12" i="4"/>
  <c r="U12" i="4"/>
  <c r="Y12" i="4"/>
  <c r="A13" i="4"/>
  <c r="W13" i="4"/>
  <c r="C14" i="4"/>
  <c r="M14" i="4"/>
  <c r="U14" i="4"/>
  <c r="Y14" i="4"/>
  <c r="A15" i="4"/>
  <c r="V15" i="4"/>
  <c r="Z15" i="4"/>
  <c r="B16" i="4"/>
  <c r="L16" i="4"/>
  <c r="X16" i="4"/>
  <c r="B4" i="4"/>
  <c r="L4" i="4"/>
  <c r="X4" i="4"/>
  <c r="D5" i="4"/>
  <c r="V5" i="4"/>
  <c r="Z5" i="4"/>
  <c r="B6" i="4"/>
  <c r="L6" i="4"/>
  <c r="X6" i="4"/>
  <c r="D7" i="4"/>
  <c r="M7" i="4"/>
  <c r="U7" i="4"/>
  <c r="Y7" i="4"/>
  <c r="A8" i="4"/>
  <c r="W8" i="4"/>
  <c r="C9" i="4"/>
  <c r="M9" i="4"/>
  <c r="U9" i="4"/>
  <c r="Y9" i="4"/>
  <c r="A10" i="4"/>
  <c r="W10" i="4"/>
  <c r="C11" i="4"/>
  <c r="L11" i="4"/>
  <c r="X11" i="4"/>
  <c r="D12" i="4"/>
  <c r="V12" i="4"/>
  <c r="Z12" i="4"/>
  <c r="B13" i="4"/>
  <c r="L13" i="4"/>
  <c r="X13" i="4"/>
  <c r="D14" i="4"/>
  <c r="V14" i="4"/>
  <c r="Z14" i="4"/>
  <c r="B15" i="4"/>
  <c r="W15" i="4"/>
  <c r="C16" i="4"/>
  <c r="M16" i="4"/>
  <c r="U16" i="4"/>
  <c r="Y16" i="4"/>
  <c r="C4" i="4"/>
  <c r="M4" i="4"/>
  <c r="U4" i="4"/>
  <c r="Y4" i="4"/>
  <c r="A5" i="4"/>
  <c r="W5" i="4"/>
  <c r="C6" i="4"/>
  <c r="M6" i="4"/>
  <c r="U6" i="4"/>
  <c r="Y6" i="4"/>
  <c r="A7" i="4"/>
  <c r="V7" i="4"/>
  <c r="Z7" i="4"/>
  <c r="B8" i="4"/>
  <c r="L8" i="4"/>
  <c r="X8" i="4"/>
  <c r="D9" i="4"/>
  <c r="V9" i="4"/>
  <c r="Z9" i="4"/>
  <c r="B10" i="4"/>
  <c r="L10" i="4"/>
  <c r="X10" i="4"/>
  <c r="D11" i="4"/>
  <c r="M11" i="4"/>
  <c r="U11" i="4"/>
  <c r="Y11" i="4"/>
  <c r="A12" i="4"/>
  <c r="W12" i="4"/>
  <c r="C13" i="4"/>
  <c r="M13" i="4"/>
  <c r="U13" i="4"/>
  <c r="Y13" i="4"/>
  <c r="A14" i="4"/>
  <c r="W14" i="4"/>
  <c r="C15" i="4"/>
  <c r="L15" i="4"/>
  <c r="X15" i="4"/>
  <c r="D16" i="4"/>
  <c r="V16" i="4"/>
  <c r="Z16" i="4"/>
  <c r="D4" i="4"/>
  <c r="V4" i="4"/>
  <c r="L5" i="4"/>
  <c r="W7" i="4"/>
  <c r="M8" i="4"/>
  <c r="A9" i="4"/>
  <c r="Y10" i="4"/>
  <c r="B12" i="4"/>
  <c r="Z13" i="4"/>
  <c r="D15" i="4"/>
  <c r="U15" i="4"/>
  <c r="C17" i="4"/>
  <c r="M17" i="4"/>
  <c r="U17" i="4"/>
  <c r="Y17" i="4"/>
  <c r="A18" i="4"/>
  <c r="W18" i="4"/>
  <c r="C19" i="4"/>
  <c r="M19" i="4"/>
  <c r="U19" i="4"/>
  <c r="Y19" i="4"/>
  <c r="A20" i="4"/>
  <c r="W20" i="4"/>
  <c r="C21" i="4"/>
  <c r="M21" i="4"/>
  <c r="U21" i="4"/>
  <c r="Y21" i="4"/>
  <c r="A22" i="4"/>
  <c r="W22" i="4"/>
  <c r="C23" i="4"/>
  <c r="L23" i="4"/>
  <c r="X23" i="4"/>
  <c r="D24" i="4"/>
  <c r="V24" i="4"/>
  <c r="Z24" i="4"/>
  <c r="B25" i="4"/>
  <c r="L25" i="4"/>
  <c r="X25" i="4"/>
  <c r="D26" i="4"/>
  <c r="Z4" i="4"/>
  <c r="D6" i="4"/>
  <c r="V6" i="4"/>
  <c r="W9" i="4"/>
  <c r="M10" i="4"/>
  <c r="A11" i="4"/>
  <c r="X12" i="4"/>
  <c r="B14" i="4"/>
  <c r="Y15" i="4"/>
  <c r="D17" i="4"/>
  <c r="V17" i="4"/>
  <c r="Z17" i="4"/>
  <c r="B18" i="4"/>
  <c r="L18" i="4"/>
  <c r="X18" i="4"/>
  <c r="D19" i="4"/>
  <c r="V19" i="4"/>
  <c r="Z19" i="4"/>
  <c r="B20" i="4"/>
  <c r="L20" i="4"/>
  <c r="X20" i="4"/>
  <c r="D21" i="4"/>
  <c r="V21" i="4"/>
  <c r="Z21" i="4"/>
  <c r="B22" i="4"/>
  <c r="L22" i="4"/>
  <c r="X22" i="4"/>
  <c r="D23" i="4"/>
  <c r="M23" i="4"/>
  <c r="U23" i="4"/>
  <c r="Y23" i="4"/>
  <c r="A24" i="4"/>
  <c r="O24" i="4"/>
  <c r="W24" i="4"/>
  <c r="C25" i="4"/>
  <c r="M25" i="4"/>
  <c r="U25" i="4"/>
  <c r="Y25" i="4"/>
  <c r="A26" i="4"/>
  <c r="B5" i="4"/>
  <c r="Z6" i="4"/>
  <c r="C8" i="4"/>
  <c r="U8" i="4"/>
  <c r="V11" i="4"/>
  <c r="L12" i="4"/>
  <c r="X14" i="4"/>
  <c r="M15" i="4"/>
  <c r="A16" i="4"/>
  <c r="A17" i="4"/>
  <c r="W17" i="4"/>
  <c r="C18" i="4"/>
  <c r="M18" i="4"/>
  <c r="U18" i="4"/>
  <c r="Y18" i="4"/>
  <c r="A19" i="4"/>
  <c r="W19" i="4"/>
  <c r="C20" i="4"/>
  <c r="M20" i="4"/>
  <c r="U20" i="4"/>
  <c r="Y20" i="4"/>
  <c r="A21" i="4"/>
  <c r="W21" i="4"/>
  <c r="C22" i="4"/>
  <c r="M22" i="4"/>
  <c r="U22" i="4"/>
  <c r="Y22" i="4"/>
  <c r="A23" i="4"/>
  <c r="V23" i="4"/>
  <c r="Z23" i="4"/>
  <c r="B24" i="4"/>
  <c r="L24" i="4"/>
  <c r="X24" i="4"/>
  <c r="D25" i="4"/>
  <c r="V25" i="4"/>
  <c r="Z25" i="4"/>
  <c r="B26" i="4"/>
  <c r="L26" i="4"/>
  <c r="B7" i="4"/>
  <c r="Z11" i="4"/>
  <c r="L14" i="4"/>
  <c r="W16" i="4"/>
  <c r="D18" i="4"/>
  <c r="V18" i="4"/>
  <c r="L19" i="4"/>
  <c r="X21" i="4"/>
  <c r="N22" i="4"/>
  <c r="B23" i="4"/>
  <c r="Y24" i="4"/>
  <c r="C26" i="4"/>
  <c r="U26" i="4"/>
  <c r="Y26" i="4"/>
  <c r="A27" i="4"/>
  <c r="W27" i="4"/>
  <c r="C28" i="4"/>
  <c r="M28" i="4"/>
  <c r="U28" i="4"/>
  <c r="Y28" i="4"/>
  <c r="A29" i="4"/>
  <c r="W29" i="4"/>
  <c r="C30" i="4"/>
  <c r="M30" i="4"/>
  <c r="U30" i="4"/>
  <c r="Y30" i="4"/>
  <c r="A31" i="4"/>
  <c r="V31" i="4"/>
  <c r="Z31" i="4"/>
  <c r="B32" i="4"/>
  <c r="L32" i="4"/>
  <c r="X32" i="4"/>
  <c r="D33" i="4"/>
  <c r="V33" i="4"/>
  <c r="Z33" i="4"/>
  <c r="B34" i="4"/>
  <c r="L34" i="4"/>
  <c r="X34" i="4"/>
  <c r="D35" i="4"/>
  <c r="V35" i="4"/>
  <c r="Z35" i="4"/>
  <c r="B36" i="4"/>
  <c r="L36" i="4"/>
  <c r="X36" i="4"/>
  <c r="D37" i="4"/>
  <c r="V37" i="4"/>
  <c r="Z37" i="4"/>
  <c r="B38" i="4"/>
  <c r="L38" i="4"/>
  <c r="X38" i="4"/>
  <c r="D39" i="4"/>
  <c r="M39" i="4"/>
  <c r="U39" i="4"/>
  <c r="Y39" i="4"/>
  <c r="A40" i="4"/>
  <c r="W40" i="4"/>
  <c r="C41" i="4"/>
  <c r="M41" i="4"/>
  <c r="U41" i="4"/>
  <c r="Y41" i="4"/>
  <c r="A42" i="4"/>
  <c r="W42" i="4"/>
  <c r="C43" i="4"/>
  <c r="M43" i="4"/>
  <c r="U43" i="4"/>
  <c r="Y43" i="4"/>
  <c r="A44" i="4"/>
  <c r="W44" i="4"/>
  <c r="C45" i="4"/>
  <c r="M45" i="4"/>
  <c r="U45" i="4"/>
  <c r="Y45" i="4"/>
  <c r="A46" i="4"/>
  <c r="W46" i="4"/>
  <c r="C47" i="4"/>
  <c r="L47" i="4"/>
  <c r="X47" i="4"/>
  <c r="D48" i="4"/>
  <c r="V48" i="4"/>
  <c r="Z48" i="4"/>
  <c r="B49" i="4"/>
  <c r="L49" i="4"/>
  <c r="C10" i="4"/>
  <c r="B17" i="4"/>
  <c r="Z18" i="4"/>
  <c r="D20" i="4"/>
  <c r="V20" i="4"/>
  <c r="L21" i="4"/>
  <c r="W23" i="4"/>
  <c r="M24" i="4"/>
  <c r="A25" i="4"/>
  <c r="V26" i="4"/>
  <c r="Z26" i="4"/>
  <c r="B27" i="4"/>
  <c r="L27" i="4"/>
  <c r="X27" i="4"/>
  <c r="D28" i="4"/>
  <c r="V28" i="4"/>
  <c r="Z28" i="4"/>
  <c r="B29" i="4"/>
  <c r="X5" i="4"/>
  <c r="U10" i="4"/>
  <c r="X17" i="4"/>
  <c r="B19" i="4"/>
  <c r="V22" i="4"/>
  <c r="M26" i="4"/>
  <c r="Y27" i="4"/>
  <c r="W28" i="4"/>
  <c r="C29" i="4"/>
  <c r="U29" i="4"/>
  <c r="Z29" i="4"/>
  <c r="D30" i="4"/>
  <c r="V30" i="4"/>
  <c r="D31" i="4"/>
  <c r="U31" i="4"/>
  <c r="D32" i="4"/>
  <c r="V32" i="4"/>
  <c r="L33" i="4"/>
  <c r="W33" i="4"/>
  <c r="M34" i="4"/>
  <c r="W34" i="4"/>
  <c r="A35" i="4"/>
  <c r="M35" i="4"/>
  <c r="X35" i="4"/>
  <c r="A36" i="4"/>
  <c r="Y36" i="4"/>
  <c r="B37" i="4"/>
  <c r="Y37" i="4"/>
  <c r="C38" i="4"/>
  <c r="U38" i="4"/>
  <c r="Z38" i="4"/>
  <c r="C39" i="4"/>
  <c r="Z39" i="4"/>
  <c r="C40" i="4"/>
  <c r="U40" i="4"/>
  <c r="Z40" i="4"/>
  <c r="D41" i="4"/>
  <c r="V41" i="4"/>
  <c r="D42" i="4"/>
  <c r="L42" i="4"/>
  <c r="V42" i="4"/>
  <c r="L43" i="4"/>
  <c r="W43" i="4"/>
  <c r="M44" i="4"/>
  <c r="X44" i="4"/>
  <c r="A45" i="4"/>
  <c r="X45" i="4"/>
  <c r="B46" i="4"/>
  <c r="Y46" i="4"/>
  <c r="B47" i="4"/>
  <c r="Y47" i="4"/>
  <c r="B48" i="4"/>
  <c r="Y48" i="4"/>
  <c r="C49" i="4"/>
  <c r="W49" i="4"/>
  <c r="C50" i="4"/>
  <c r="M50" i="4"/>
  <c r="U50" i="4"/>
  <c r="Y50" i="4"/>
  <c r="A51" i="4"/>
  <c r="V51" i="4"/>
  <c r="Z51" i="4"/>
  <c r="B52" i="4"/>
  <c r="L52" i="4"/>
  <c r="X52" i="4"/>
  <c r="D53" i="4"/>
  <c r="V53" i="4"/>
  <c r="Z53" i="4"/>
  <c r="B54" i="4"/>
  <c r="L54" i="4"/>
  <c r="X54" i="4"/>
  <c r="D55" i="4"/>
  <c r="M55" i="4"/>
  <c r="U55" i="4"/>
  <c r="Y55" i="4"/>
  <c r="A56" i="4"/>
  <c r="W56" i="4"/>
  <c r="C57" i="4"/>
  <c r="M57" i="4"/>
  <c r="U57" i="4"/>
  <c r="Y57" i="4"/>
  <c r="A58" i="4"/>
  <c r="W58" i="4"/>
  <c r="C59" i="4"/>
  <c r="M59" i="4"/>
  <c r="U59" i="4"/>
  <c r="Y59" i="4"/>
  <c r="A60" i="4"/>
  <c r="O60" i="4"/>
  <c r="W60" i="4"/>
  <c r="C61" i="4"/>
  <c r="M61" i="4"/>
  <c r="U61" i="4"/>
  <c r="Y61" i="4"/>
  <c r="A62" i="4"/>
  <c r="W62" i="4"/>
  <c r="C63" i="4"/>
  <c r="L63" i="4"/>
  <c r="X63" i="4"/>
  <c r="D64" i="4"/>
  <c r="V64" i="4"/>
  <c r="Z64" i="4"/>
  <c r="B65" i="4"/>
  <c r="L65" i="4"/>
  <c r="X65" i="4"/>
  <c r="D66" i="4"/>
  <c r="V66" i="4"/>
  <c r="Z66" i="4"/>
  <c r="B67" i="4"/>
  <c r="O67" i="4"/>
  <c r="W67" i="4"/>
  <c r="C68" i="4"/>
  <c r="M68" i="4"/>
  <c r="U68" i="4"/>
  <c r="Y68" i="4"/>
  <c r="A69" i="4"/>
  <c r="Z22" i="4"/>
  <c r="C24" i="4"/>
  <c r="Z27" i="4"/>
  <c r="X28" i="4"/>
  <c r="D29" i="4"/>
  <c r="L29" i="4"/>
  <c r="V29" i="4"/>
  <c r="L30" i="4"/>
  <c r="W30" i="4"/>
  <c r="L31" i="4"/>
  <c r="W31" i="4"/>
  <c r="M32" i="4"/>
  <c r="W32" i="4"/>
  <c r="A33" i="4"/>
  <c r="M33" i="4"/>
  <c r="X33" i="4"/>
  <c r="A34" i="4"/>
  <c r="Y34" i="4"/>
  <c r="B35" i="4"/>
  <c r="Y35" i="4"/>
  <c r="C36" i="4"/>
  <c r="U36" i="4"/>
  <c r="Z36" i="4"/>
  <c r="C37" i="4"/>
  <c r="U37" i="4"/>
  <c r="D38" i="4"/>
  <c r="V38" i="4"/>
  <c r="V39" i="4"/>
  <c r="D40" i="4"/>
  <c r="L40" i="4"/>
  <c r="V40" i="4"/>
  <c r="L41" i="4"/>
  <c r="W41" i="4"/>
  <c r="M42" i="4"/>
  <c r="X42" i="4"/>
  <c r="A43" i="4"/>
  <c r="X43" i="4"/>
  <c r="B44" i="4"/>
  <c r="Y44" i="4"/>
  <c r="B45" i="4"/>
  <c r="Z45" i="4"/>
  <c r="C46" i="4"/>
  <c r="U46" i="4"/>
  <c r="Z46" i="4"/>
  <c r="D47" i="4"/>
  <c r="U47" i="4"/>
  <c r="Z47" i="4"/>
  <c r="C48" i="4"/>
  <c r="U48" i="4"/>
  <c r="D49" i="4"/>
  <c r="X49" i="4"/>
  <c r="D50" i="4"/>
  <c r="V50" i="4"/>
  <c r="Z50" i="4"/>
  <c r="B51" i="4"/>
  <c r="W51" i="4"/>
  <c r="C52" i="4"/>
  <c r="M52" i="4"/>
  <c r="U52" i="4"/>
  <c r="Y52" i="4"/>
  <c r="A53" i="4"/>
  <c r="W53" i="4"/>
  <c r="C54" i="4"/>
  <c r="M54" i="4"/>
  <c r="U54" i="4"/>
  <c r="Y54" i="4"/>
  <c r="A55" i="4"/>
  <c r="V55" i="4"/>
  <c r="Z55" i="4"/>
  <c r="B56" i="4"/>
  <c r="L56" i="4"/>
  <c r="X56" i="4"/>
  <c r="D57" i="4"/>
  <c r="D22" i="4"/>
  <c r="W26" i="4"/>
  <c r="M27" i="4"/>
  <c r="A28" i="4"/>
  <c r="A30" i="4"/>
  <c r="X30" i="4"/>
  <c r="A32" i="4"/>
  <c r="Y32" i="4"/>
  <c r="C34" i="4"/>
  <c r="O34" i="4"/>
  <c r="Z34" i="4"/>
  <c r="U35" i="4"/>
  <c r="D36" i="4"/>
  <c r="L37" i="4"/>
  <c r="W37" i="4"/>
  <c r="A39" i="4"/>
  <c r="L39" i="4"/>
  <c r="W39" i="4"/>
  <c r="A41" i="4"/>
  <c r="X41" i="4"/>
  <c r="B43" i="4"/>
  <c r="Z43" i="4"/>
  <c r="U44" i="4"/>
  <c r="D45" i="4"/>
  <c r="L46" i="4"/>
  <c r="V46" i="4"/>
  <c r="L48" i="4"/>
  <c r="W48" i="4"/>
  <c r="Y49" i="4"/>
  <c r="W50" i="4"/>
  <c r="C51" i="4"/>
  <c r="L51" i="4"/>
  <c r="Z52" i="4"/>
  <c r="X53" i="4"/>
  <c r="D54" i="4"/>
  <c r="V54" i="4"/>
  <c r="B55" i="4"/>
  <c r="Y56" i="4"/>
  <c r="X57" i="4"/>
  <c r="B58" i="4"/>
  <c r="Y58" i="4"/>
  <c r="B59" i="4"/>
  <c r="O59" i="4"/>
  <c r="Z59" i="4"/>
  <c r="C60" i="4"/>
  <c r="U60" i="4"/>
  <c r="Z60" i="4"/>
  <c r="D61" i="4"/>
  <c r="V61" i="4"/>
  <c r="D62" i="4"/>
  <c r="L62" i="4"/>
  <c r="V62" i="4"/>
  <c r="V63" i="4"/>
  <c r="L64" i="4"/>
  <c r="W64" i="4"/>
  <c r="M65" i="4"/>
  <c r="W65" i="4"/>
  <c r="A66" i="4"/>
  <c r="M66" i="4"/>
  <c r="X66" i="4"/>
  <c r="A67" i="4"/>
  <c r="M67" i="4"/>
  <c r="X67" i="4"/>
  <c r="A68" i="4"/>
  <c r="X68" i="4"/>
  <c r="B69" i="4"/>
  <c r="V69" i="4"/>
  <c r="Z69" i="4"/>
  <c r="B70" i="4"/>
  <c r="L70" i="4"/>
  <c r="X70" i="4"/>
  <c r="D71" i="4"/>
  <c r="M71" i="4"/>
  <c r="U71" i="4"/>
  <c r="Y71" i="4"/>
  <c r="A72" i="4"/>
  <c r="W72" i="4"/>
  <c r="C73" i="4"/>
  <c r="M73" i="4"/>
  <c r="U73" i="4"/>
  <c r="Y73" i="4"/>
  <c r="A74" i="4"/>
  <c r="W74" i="4"/>
  <c r="C75" i="4"/>
  <c r="L75" i="4"/>
  <c r="X75" i="4"/>
  <c r="D76" i="4"/>
  <c r="V76" i="4"/>
  <c r="Z76" i="4"/>
  <c r="B77" i="4"/>
  <c r="L77" i="4"/>
  <c r="X77" i="4"/>
  <c r="D78" i="4"/>
  <c r="N78" i="4"/>
  <c r="V78" i="4"/>
  <c r="Z78" i="4"/>
  <c r="B79" i="4"/>
  <c r="W79" i="4"/>
  <c r="C80" i="4"/>
  <c r="M80" i="4"/>
  <c r="U80" i="4"/>
  <c r="Y80" i="4"/>
  <c r="A81" i="4"/>
  <c r="W81" i="4"/>
  <c r="C82" i="4"/>
  <c r="M82" i="4"/>
  <c r="U82" i="4"/>
  <c r="Y82" i="4"/>
  <c r="A83" i="4"/>
  <c r="W83" i="4"/>
  <c r="C84" i="4"/>
  <c r="M84" i="4"/>
  <c r="U84" i="4"/>
  <c r="Y84" i="4"/>
  <c r="A85" i="4"/>
  <c r="W85" i="4"/>
  <c r="C86" i="4"/>
  <c r="M86" i="4"/>
  <c r="U86" i="4"/>
  <c r="Y86" i="4"/>
  <c r="A87" i="4"/>
  <c r="V87" i="4"/>
  <c r="Z87" i="4"/>
  <c r="B88" i="4"/>
  <c r="L88" i="4"/>
  <c r="X88" i="4"/>
  <c r="D89" i="4"/>
  <c r="M89" i="4"/>
  <c r="U89" i="4"/>
  <c r="Y89" i="4"/>
  <c r="A90" i="4"/>
  <c r="W90" i="4"/>
  <c r="C91" i="4"/>
  <c r="M91" i="4"/>
  <c r="U91" i="4"/>
  <c r="Y91" i="4"/>
  <c r="A92" i="4"/>
  <c r="W92" i="4"/>
  <c r="C93" i="4"/>
  <c r="L93" i="4"/>
  <c r="X93" i="4"/>
  <c r="D94" i="4"/>
  <c r="V94" i="4"/>
  <c r="Z94" i="4"/>
  <c r="B95" i="4"/>
  <c r="L95" i="4"/>
  <c r="X95" i="4"/>
  <c r="D96" i="4"/>
  <c r="V96" i="4"/>
  <c r="Z96" i="4"/>
  <c r="B97" i="4"/>
  <c r="W97" i="4"/>
  <c r="C98" i="4"/>
  <c r="M98" i="4"/>
  <c r="U98" i="4"/>
  <c r="Y98" i="4"/>
  <c r="A99" i="4"/>
  <c r="Y8" i="4"/>
  <c r="L17" i="4"/>
  <c r="X19" i="4"/>
  <c r="U24" i="4"/>
  <c r="X26" i="4"/>
  <c r="B28" i="4"/>
  <c r="B30" i="4"/>
  <c r="Z30" i="4"/>
  <c r="C32" i="4"/>
  <c r="Z32" i="4"/>
  <c r="U33" i="4"/>
  <c r="D34" i="4"/>
  <c r="L35" i="4"/>
  <c r="W35" i="4"/>
  <c r="A37" i="4"/>
  <c r="M37" i="4"/>
  <c r="X37" i="4"/>
  <c r="B39" i="4"/>
  <c r="X39" i="4"/>
  <c r="B41" i="4"/>
  <c r="Z41" i="4"/>
  <c r="U42" i="4"/>
  <c r="D43" i="4"/>
  <c r="L44" i="4"/>
  <c r="V44" i="4"/>
  <c r="M46" i="4"/>
  <c r="X46" i="4"/>
  <c r="A48" i="4"/>
  <c r="M48" i="4"/>
  <c r="X48" i="4"/>
  <c r="Z49" i="4"/>
  <c r="X50" i="4"/>
  <c r="D51" i="4"/>
  <c r="M51" i="4"/>
  <c r="U51" i="4"/>
  <c r="A52" i="4"/>
  <c r="Y53" i="4"/>
  <c r="W54" i="4"/>
  <c r="C55" i="4"/>
  <c r="L55" i="4"/>
  <c r="Z56" i="4"/>
  <c r="Z57" i="4"/>
  <c r="C58" i="4"/>
  <c r="U58" i="4"/>
  <c r="Z58" i="4"/>
  <c r="D59" i="4"/>
  <c r="V59" i="4"/>
  <c r="D60" i="4"/>
  <c r="L60" i="4"/>
  <c r="V60" i="4"/>
  <c r="L61" i="4"/>
  <c r="W61" i="4"/>
  <c r="M62" i="4"/>
  <c r="X62" i="4"/>
  <c r="A63" i="4"/>
  <c r="M63" i="4"/>
  <c r="W63" i="4"/>
  <c r="A64" i="4"/>
  <c r="M64" i="4"/>
  <c r="X64" i="4"/>
  <c r="A65" i="4"/>
  <c r="Y65" i="4"/>
  <c r="B66" i="4"/>
  <c r="Y66" i="4"/>
  <c r="C67" i="4"/>
  <c r="Y67" i="4"/>
  <c r="B68" i="4"/>
  <c r="O68" i="4"/>
  <c r="Z68" i="4"/>
  <c r="C69" i="4"/>
  <c r="W69" i="4"/>
  <c r="C70" i="4"/>
  <c r="M70" i="4"/>
  <c r="U70" i="4"/>
  <c r="Y70" i="4"/>
  <c r="A71" i="4"/>
  <c r="V71" i="4"/>
  <c r="Z71" i="4"/>
  <c r="B72" i="4"/>
  <c r="L72" i="4"/>
  <c r="X72" i="4"/>
  <c r="D73" i="4"/>
  <c r="N73" i="4"/>
  <c r="V73" i="4"/>
  <c r="Z73" i="4"/>
  <c r="B74" i="4"/>
  <c r="L74" i="4"/>
  <c r="X74" i="4"/>
  <c r="D75" i="4"/>
  <c r="M75" i="4"/>
  <c r="U75" i="4"/>
  <c r="Y75" i="4"/>
  <c r="A76" i="4"/>
  <c r="W76" i="4"/>
  <c r="C77" i="4"/>
  <c r="M77" i="4"/>
  <c r="U77" i="4"/>
  <c r="Y77" i="4"/>
  <c r="A78" i="4"/>
  <c r="W78" i="4"/>
  <c r="C79" i="4"/>
  <c r="L79" i="4"/>
  <c r="X79" i="4"/>
  <c r="D80" i="4"/>
  <c r="V80" i="4"/>
  <c r="Z80" i="4"/>
  <c r="B81" i="4"/>
  <c r="L81" i="4"/>
  <c r="X81" i="4"/>
  <c r="D82" i="4"/>
  <c r="V82" i="4"/>
  <c r="Z82" i="4"/>
  <c r="B83" i="4"/>
  <c r="L83" i="4"/>
  <c r="X83" i="4"/>
  <c r="D84" i="4"/>
  <c r="V84" i="4"/>
  <c r="Z84" i="4"/>
  <c r="B85" i="4"/>
  <c r="L85" i="4"/>
  <c r="X85" i="4"/>
  <c r="D86" i="4"/>
  <c r="V86" i="4"/>
  <c r="Z86" i="4"/>
  <c r="B87" i="4"/>
  <c r="W87" i="4"/>
  <c r="C88" i="4"/>
  <c r="M88" i="4"/>
  <c r="U88" i="4"/>
  <c r="Y88" i="4"/>
  <c r="A89" i="4"/>
  <c r="V89" i="4"/>
  <c r="Z89" i="4"/>
  <c r="B90" i="4"/>
  <c r="L90" i="4"/>
  <c r="X90" i="4"/>
  <c r="D91" i="4"/>
  <c r="V91" i="4"/>
  <c r="Z91" i="4"/>
  <c r="B92" i="4"/>
  <c r="L92" i="4"/>
  <c r="X92" i="4"/>
  <c r="D93" i="4"/>
  <c r="M93" i="4"/>
  <c r="U93" i="4"/>
  <c r="Y93" i="4"/>
  <c r="A94" i="4"/>
  <c r="W94" i="4"/>
  <c r="C95" i="4"/>
  <c r="M95" i="4"/>
  <c r="U95" i="4"/>
  <c r="Y95" i="4"/>
  <c r="A96" i="4"/>
  <c r="W96" i="4"/>
  <c r="C97" i="4"/>
  <c r="L97" i="4"/>
  <c r="X97" i="4"/>
  <c r="D98" i="4"/>
  <c r="V98" i="4"/>
  <c r="Z98" i="4"/>
  <c r="D13" i="4"/>
  <c r="Z20" i="4"/>
  <c r="W25" i="4"/>
  <c r="U27" i="4"/>
  <c r="X29" i="4"/>
  <c r="M31" i="4"/>
  <c r="B33" i="4"/>
  <c r="Y33" i="4"/>
  <c r="U34" i="4"/>
  <c r="W38" i="4"/>
  <c r="M40" i="4"/>
  <c r="B42" i="4"/>
  <c r="Y42" i="4"/>
  <c r="D46" i="4"/>
  <c r="V47" i="4"/>
  <c r="M49" i="4"/>
  <c r="A50" i="4"/>
  <c r="X51" i="4"/>
  <c r="B53" i="4"/>
  <c r="Z54" i="4"/>
  <c r="C56" i="4"/>
  <c r="U56" i="4"/>
  <c r="V57" i="4"/>
  <c r="D58" i="4"/>
  <c r="L59" i="4"/>
  <c r="W59" i="4"/>
  <c r="A61" i="4"/>
  <c r="N61" i="4"/>
  <c r="X61" i="4"/>
  <c r="B63" i="4"/>
  <c r="Y63" i="4"/>
  <c r="C65" i="4"/>
  <c r="Z65" i="4"/>
  <c r="U66" i="4"/>
  <c r="D67" i="4"/>
  <c r="Z67" i="4"/>
  <c r="V68" i="4"/>
  <c r="D69" i="4"/>
  <c r="X69" i="4"/>
  <c r="D70" i="4"/>
  <c r="V70" i="4"/>
  <c r="B71" i="4"/>
  <c r="Y72" i="4"/>
  <c r="W73" i="4"/>
  <c r="V13" i="4"/>
  <c r="B21" i="4"/>
  <c r="V27" i="4"/>
  <c r="Y29" i="4"/>
  <c r="C33" i="4"/>
  <c r="V34" i="4"/>
  <c r="M36" i="4"/>
  <c r="A38" i="4"/>
  <c r="Y38" i="4"/>
  <c r="C42" i="4"/>
  <c r="Z42" i="4"/>
  <c r="V43" i="4"/>
  <c r="L45" i="4"/>
  <c r="A47" i="4"/>
  <c r="W47" i="4"/>
  <c r="B50" i="4"/>
  <c r="Y51" i="4"/>
  <c r="C53" i="4"/>
  <c r="U53" i="4"/>
  <c r="D56" i="4"/>
  <c r="V56" i="4"/>
  <c r="L57" i="4"/>
  <c r="W57" i="4"/>
  <c r="A59" i="4"/>
  <c r="X59" i="4"/>
  <c r="B61" i="4"/>
  <c r="Z61" i="4"/>
  <c r="U62" i="4"/>
  <c r="D63" i="4"/>
  <c r="Z63" i="4"/>
  <c r="U64" i="4"/>
  <c r="D65" i="4"/>
  <c r="L66" i="4"/>
  <c r="W66" i="4"/>
  <c r="C27" i="4"/>
  <c r="M29" i="4"/>
  <c r="B31" i="4"/>
  <c r="X31" i="4"/>
  <c r="C35" i="4"/>
  <c r="V36" i="4"/>
  <c r="M38" i="4"/>
  <c r="X40" i="4"/>
  <c r="C44" i="4"/>
  <c r="Z44" i="4"/>
  <c r="V45" i="4"/>
  <c r="U49" i="4"/>
  <c r="D52" i="4"/>
  <c r="V52" i="4"/>
  <c r="L53" i="4"/>
  <c r="W55" i="4"/>
  <c r="M56" i="4"/>
  <c r="A57" i="4"/>
  <c r="L58" i="4"/>
  <c r="V58" i="4"/>
  <c r="M60" i="4"/>
  <c r="X60" i="4"/>
  <c r="B62" i="4"/>
  <c r="Y62" i="4"/>
  <c r="B64" i="4"/>
  <c r="Y64" i="4"/>
  <c r="U65" i="4"/>
  <c r="C66" i="4"/>
  <c r="U67" i="4"/>
  <c r="D68" i="4"/>
  <c r="L69" i="4"/>
  <c r="Z70" i="4"/>
  <c r="W71" i="4"/>
  <c r="C72" i="4"/>
  <c r="M72" i="4"/>
  <c r="U72" i="4"/>
  <c r="A73" i="4"/>
  <c r="U32" i="4"/>
  <c r="W45" i="4"/>
  <c r="A49" i="4"/>
  <c r="A54" i="4"/>
  <c r="M58" i="4"/>
  <c r="B60" i="4"/>
  <c r="W68" i="4"/>
  <c r="W70" i="4"/>
  <c r="L71" i="4"/>
  <c r="C74" i="4"/>
  <c r="M74" i="4"/>
  <c r="U74" i="4"/>
  <c r="A75" i="4"/>
  <c r="Z75" i="4"/>
  <c r="X76" i="4"/>
  <c r="D77" i="4"/>
  <c r="V77" i="4"/>
  <c r="B78" i="4"/>
  <c r="L78" i="4"/>
  <c r="Y79" i="4"/>
  <c r="W80" i="4"/>
  <c r="C81" i="4"/>
  <c r="M81" i="4"/>
  <c r="U81" i="4"/>
  <c r="A82" i="4"/>
  <c r="Y83" i="4"/>
  <c r="W84" i="4"/>
  <c r="C85" i="4"/>
  <c r="M85" i="4"/>
  <c r="U85" i="4"/>
  <c r="A86" i="4"/>
  <c r="X87" i="4"/>
  <c r="D88" i="4"/>
  <c r="V88" i="4"/>
  <c r="B89" i="4"/>
  <c r="Y90" i="4"/>
  <c r="W91" i="4"/>
  <c r="C92" i="4"/>
  <c r="M92" i="4"/>
  <c r="U92" i="4"/>
  <c r="A93" i="4"/>
  <c r="Z93" i="4"/>
  <c r="X94" i="4"/>
  <c r="D95" i="4"/>
  <c r="V95" i="4"/>
  <c r="B96" i="4"/>
  <c r="L96" i="4"/>
  <c r="Y97" i="4"/>
  <c r="W98" i="4"/>
  <c r="B99" i="4"/>
  <c r="V99" i="4"/>
  <c r="Z99" i="4"/>
  <c r="B100" i="4"/>
  <c r="L100" i="4"/>
  <c r="X100" i="4"/>
  <c r="D101" i="4"/>
  <c r="M101" i="4"/>
  <c r="U101" i="4"/>
  <c r="Y101" i="4"/>
  <c r="A102" i="4"/>
  <c r="W102" i="4"/>
  <c r="C103" i="4"/>
  <c r="M103" i="4"/>
  <c r="U103" i="4"/>
  <c r="Y103" i="4"/>
  <c r="A104" i="4"/>
  <c r="W104" i="4"/>
  <c r="C105" i="4"/>
  <c r="L105" i="4"/>
  <c r="X105" i="4"/>
  <c r="D106" i="4"/>
  <c r="V106" i="4"/>
  <c r="Z106" i="4"/>
  <c r="B107" i="4"/>
  <c r="L107" i="4"/>
  <c r="X107" i="4"/>
  <c r="D108" i="4"/>
  <c r="N108" i="4"/>
  <c r="V108" i="4"/>
  <c r="W36" i="4"/>
  <c r="B40" i="4"/>
  <c r="V49" i="4"/>
  <c r="B57" i="4"/>
  <c r="X58" i="4"/>
  <c r="C62" i="4"/>
  <c r="U63" i="4"/>
  <c r="U69" i="4"/>
  <c r="D72" i="4"/>
  <c r="V72" i="4"/>
  <c r="L73" i="4"/>
  <c r="X73" i="4"/>
  <c r="D74" i="4"/>
  <c r="V74" i="4"/>
  <c r="B75" i="4"/>
  <c r="Y76" i="4"/>
  <c r="W77" i="4"/>
  <c r="C78" i="4"/>
  <c r="M78" i="4"/>
  <c r="U78" i="4"/>
  <c r="A79" i="4"/>
  <c r="Z79" i="4"/>
  <c r="X80" i="4"/>
  <c r="D81" i="4"/>
  <c r="V81" i="4"/>
  <c r="B82" i="4"/>
  <c r="L82" i="4"/>
  <c r="Z83" i="4"/>
  <c r="X84" i="4"/>
  <c r="D85" i="4"/>
  <c r="V85" i="4"/>
  <c r="B86" i="4"/>
  <c r="L86" i="4"/>
  <c r="Y87" i="4"/>
  <c r="O88" i="4"/>
  <c r="W88" i="4"/>
  <c r="C89" i="4"/>
  <c r="L89" i="4"/>
  <c r="Z90" i="4"/>
  <c r="X91" i="4"/>
  <c r="D92" i="4"/>
  <c r="V92" i="4"/>
  <c r="B93" i="4"/>
  <c r="Y94" i="4"/>
  <c r="W95" i="4"/>
  <c r="C96" i="4"/>
  <c r="M96" i="4"/>
  <c r="U96" i="4"/>
  <c r="A97" i="4"/>
  <c r="Z97" i="4"/>
  <c r="X98" i="4"/>
  <c r="C99" i="4"/>
  <c r="W99" i="4"/>
  <c r="C100" i="4"/>
  <c r="M100" i="4"/>
  <c r="U100" i="4"/>
  <c r="Y100" i="4"/>
  <c r="A101" i="4"/>
  <c r="V101" i="4"/>
  <c r="Z101" i="4"/>
  <c r="B102" i="4"/>
  <c r="L102" i="4"/>
  <c r="X102" i="4"/>
  <c r="D103" i="4"/>
  <c r="V103" i="4"/>
  <c r="Z103" i="4"/>
  <c r="B104" i="4"/>
  <c r="L104" i="4"/>
  <c r="X104" i="4"/>
  <c r="D105" i="4"/>
  <c r="M105" i="4"/>
  <c r="U105" i="4"/>
  <c r="Y105" i="4"/>
  <c r="A106" i="4"/>
  <c r="O106" i="4"/>
  <c r="W106" i="4"/>
  <c r="C107" i="4"/>
  <c r="M107" i="4"/>
  <c r="U107" i="4"/>
  <c r="Y107" i="4"/>
  <c r="A108" i="4"/>
  <c r="D27" i="4"/>
  <c r="C31" i="4"/>
  <c r="Y40" i="4"/>
  <c r="D44" i="4"/>
  <c r="M47" i="4"/>
  <c r="L50" i="4"/>
  <c r="W52" i="4"/>
  <c r="Y60" i="4"/>
  <c r="C64" i="4"/>
  <c r="V65" i="4"/>
  <c r="L67" i="4"/>
  <c r="L68" i="4"/>
  <c r="Y69" i="4"/>
  <c r="C71" i="4"/>
  <c r="Z72" i="4"/>
  <c r="Y74" i="4"/>
  <c r="N75" i="4"/>
  <c r="V75" i="4"/>
  <c r="B76" i="4"/>
  <c r="L76" i="4"/>
  <c r="Z77" i="4"/>
  <c r="X78" i="4"/>
  <c r="D79" i="4"/>
  <c r="M79" i="4"/>
  <c r="U79" i="4"/>
  <c r="A80" i="4"/>
  <c r="Y81" i="4"/>
  <c r="W82" i="4"/>
  <c r="C83" i="4"/>
  <c r="M83" i="4"/>
  <c r="U83" i="4"/>
  <c r="A84" i="4"/>
  <c r="Y85" i="4"/>
  <c r="W86" i="4"/>
  <c r="C87" i="4"/>
  <c r="L87" i="4"/>
  <c r="Z88" i="4"/>
  <c r="W89" i="4"/>
  <c r="C90" i="4"/>
  <c r="M90" i="4"/>
  <c r="U90" i="4"/>
  <c r="A91" i="4"/>
  <c r="Y92" i="4"/>
  <c r="V93" i="4"/>
  <c r="B94" i="4"/>
  <c r="L94" i="4"/>
  <c r="Z95" i="4"/>
  <c r="X96" i="4"/>
  <c r="D97" i="4"/>
  <c r="M97" i="4"/>
  <c r="U97" i="4"/>
  <c r="A98" i="4"/>
  <c r="D99" i="4"/>
  <c r="L99" i="4"/>
  <c r="X99" i="4"/>
  <c r="D100" i="4"/>
  <c r="V100" i="4"/>
  <c r="Z100" i="4"/>
  <c r="B101" i="4"/>
  <c r="W101" i="4"/>
  <c r="C102" i="4"/>
  <c r="M102" i="4"/>
  <c r="U102" i="4"/>
  <c r="Y102" i="4"/>
  <c r="A103" i="4"/>
  <c r="W103" i="4"/>
  <c r="C104" i="4"/>
  <c r="M104" i="4"/>
  <c r="U104" i="4"/>
  <c r="Y104" i="4"/>
  <c r="A105" i="4"/>
  <c r="V105" i="4"/>
  <c r="Z105" i="4"/>
  <c r="B106" i="4"/>
  <c r="L106" i="4"/>
  <c r="X106" i="4"/>
  <c r="D107" i="4"/>
  <c r="V107" i="4"/>
  <c r="Z107" i="4"/>
  <c r="B108" i="4"/>
  <c r="L108" i="4"/>
  <c r="L28" i="4"/>
  <c r="M53" i="4"/>
  <c r="V67" i="4"/>
  <c r="B73" i="4"/>
  <c r="W75" i="4"/>
  <c r="A77" i="4"/>
  <c r="Z81" i="4"/>
  <c r="D83" i="4"/>
  <c r="L84" i="4"/>
  <c r="X86" i="4"/>
  <c r="A88" i="4"/>
  <c r="Z92" i="4"/>
  <c r="C94" i="4"/>
  <c r="V97" i="4"/>
  <c r="U99" i="4"/>
  <c r="D102" i="4"/>
  <c r="V102" i="4"/>
  <c r="L103" i="4"/>
  <c r="W105" i="4"/>
  <c r="M106" i="4"/>
  <c r="A107" i="4"/>
  <c r="X108" i="4"/>
  <c r="D109" i="4"/>
  <c r="M109" i="4"/>
  <c r="U109" i="4"/>
  <c r="Y109" i="4"/>
  <c r="A110" i="4"/>
  <c r="W110" i="4"/>
  <c r="C111" i="4"/>
  <c r="M111" i="4"/>
  <c r="U111" i="4"/>
  <c r="Y111" i="4"/>
  <c r="C113" i="4"/>
  <c r="L113" i="4"/>
  <c r="X113" i="4"/>
  <c r="D114" i="4"/>
  <c r="N114" i="4"/>
  <c r="V114" i="4"/>
  <c r="Z114" i="4"/>
  <c r="B115" i="4"/>
  <c r="L115" i="4"/>
  <c r="X115" i="4"/>
  <c r="D116" i="4"/>
  <c r="N116" i="4"/>
  <c r="V116" i="4"/>
  <c r="Z116" i="4"/>
  <c r="B117" i="4"/>
  <c r="W117" i="4"/>
  <c r="C118" i="4"/>
  <c r="M118" i="4"/>
  <c r="U118" i="4"/>
  <c r="Y118" i="4"/>
  <c r="A119" i="4"/>
  <c r="W119" i="4"/>
  <c r="C120" i="4"/>
  <c r="M120" i="4"/>
  <c r="U120" i="4"/>
  <c r="Y120" i="4"/>
  <c r="A121" i="4"/>
  <c r="V121" i="4"/>
  <c r="Z121" i="4"/>
  <c r="B122" i="4"/>
  <c r="L122" i="4"/>
  <c r="X122" i="4"/>
  <c r="D123" i="4"/>
  <c r="N123" i="4"/>
  <c r="V123" i="4"/>
  <c r="Z123" i="4"/>
  <c r="B124" i="4"/>
  <c r="L124" i="4"/>
  <c r="X124" i="4"/>
  <c r="D125" i="4"/>
  <c r="M125" i="4"/>
  <c r="U125" i="4"/>
  <c r="Y125" i="4"/>
  <c r="A126" i="4"/>
  <c r="W126" i="4"/>
  <c r="C127" i="4"/>
  <c r="M127" i="4"/>
  <c r="U127" i="4"/>
  <c r="Y127" i="4"/>
  <c r="A128" i="4"/>
  <c r="W128" i="4"/>
  <c r="C129" i="4"/>
  <c r="L129" i="4"/>
  <c r="X129" i="4"/>
  <c r="D130" i="4"/>
  <c r="N130" i="4"/>
  <c r="V130" i="4"/>
  <c r="Z130" i="4"/>
  <c r="B131" i="4"/>
  <c r="L131" i="4"/>
  <c r="X131" i="4"/>
  <c r="D132" i="4"/>
  <c r="M132" i="4"/>
  <c r="U132" i="4"/>
  <c r="Y132" i="4"/>
  <c r="A133" i="4"/>
  <c r="W133" i="4"/>
  <c r="C134" i="4"/>
  <c r="M134" i="4"/>
  <c r="U134" i="4"/>
  <c r="Y134" i="4"/>
  <c r="A135" i="4"/>
  <c r="N135" i="4"/>
  <c r="V135" i="4"/>
  <c r="Z135" i="4"/>
  <c r="B136" i="4"/>
  <c r="L136" i="4"/>
  <c r="X136" i="4"/>
  <c r="D137" i="4"/>
  <c r="M137" i="4"/>
  <c r="U137" i="4"/>
  <c r="Y137" i="4"/>
  <c r="A138" i="4"/>
  <c r="W138" i="4"/>
  <c r="C139" i="4"/>
  <c r="L139" i="4"/>
  <c r="X139" i="4"/>
  <c r="D140" i="4"/>
  <c r="M140" i="4"/>
  <c r="U140" i="4"/>
  <c r="Y140" i="4"/>
  <c r="A141" i="4"/>
  <c r="O141" i="4"/>
  <c r="W141" i="4"/>
  <c r="C142" i="4"/>
  <c r="M142" i="4"/>
  <c r="U142" i="4"/>
  <c r="Y142" i="4"/>
  <c r="A143" i="4"/>
  <c r="V143" i="4"/>
  <c r="Z143" i="4"/>
  <c r="B144" i="4"/>
  <c r="L144" i="4"/>
  <c r="X144" i="4"/>
  <c r="D145" i="4"/>
  <c r="M145" i="4"/>
  <c r="U145" i="4"/>
  <c r="Y145" i="4"/>
  <c r="A146" i="4"/>
  <c r="W146" i="4"/>
  <c r="C147" i="4"/>
  <c r="M147" i="4"/>
  <c r="U147" i="4"/>
  <c r="Y147" i="4"/>
  <c r="A148" i="4"/>
  <c r="W148" i="4"/>
  <c r="C149" i="4"/>
  <c r="M149" i="4"/>
  <c r="U149" i="4"/>
  <c r="Y149" i="4"/>
  <c r="A150" i="4"/>
  <c r="N150" i="4"/>
  <c r="V150" i="4"/>
  <c r="Z150" i="4"/>
  <c r="B151" i="4"/>
  <c r="W151" i="4"/>
  <c r="C152" i="4"/>
  <c r="M152" i="4"/>
  <c r="U152" i="4"/>
  <c r="Y152" i="4"/>
  <c r="A153" i="4"/>
  <c r="W153" i="4"/>
  <c r="Y31" i="4"/>
  <c r="X55" i="4"/>
  <c r="Z62" i="4"/>
  <c r="Z74" i="4"/>
  <c r="C76" i="4"/>
  <c r="V79" i="4"/>
  <c r="Z85" i="4"/>
  <c r="D87" i="4"/>
  <c r="V90" i="4"/>
  <c r="M94" i="4"/>
  <c r="Y96" i="4"/>
  <c r="B98" i="4"/>
  <c r="Y99" i="4"/>
  <c r="C101" i="4"/>
  <c r="Z102" i="4"/>
  <c r="D104" i="4"/>
  <c r="V104" i="4"/>
  <c r="W107" i="4"/>
  <c r="M108" i="4"/>
  <c r="Y108" i="4"/>
  <c r="A109" i="4"/>
  <c r="V109" i="4"/>
  <c r="Z109" i="4"/>
  <c r="B110" i="4"/>
  <c r="L110" i="4"/>
  <c r="X110" i="4"/>
  <c r="D111" i="4"/>
  <c r="V111" i="4"/>
  <c r="Z111" i="4"/>
  <c r="D113" i="4"/>
  <c r="M113" i="4"/>
  <c r="U113" i="4"/>
  <c r="Y113" i="4"/>
  <c r="A114" i="4"/>
  <c r="O114" i="4"/>
  <c r="W114" i="4"/>
  <c r="C115" i="4"/>
  <c r="M115" i="4"/>
  <c r="U115" i="4"/>
  <c r="Y115" i="4"/>
  <c r="A116" i="4"/>
  <c r="W116" i="4"/>
  <c r="C117" i="4"/>
  <c r="L117" i="4"/>
  <c r="X117" i="4"/>
  <c r="D118" i="4"/>
  <c r="N118" i="4"/>
  <c r="V118" i="4"/>
  <c r="Z118" i="4"/>
  <c r="B119" i="4"/>
  <c r="L119" i="4"/>
  <c r="X119" i="4"/>
  <c r="D120" i="4"/>
  <c r="N120" i="4"/>
  <c r="V120" i="4"/>
  <c r="Z120" i="4"/>
  <c r="B121" i="4"/>
  <c r="W121" i="4"/>
  <c r="C122" i="4"/>
  <c r="M122" i="4"/>
  <c r="U122" i="4"/>
  <c r="Y122" i="4"/>
  <c r="A123" i="4"/>
  <c r="W123" i="4"/>
  <c r="C124" i="4"/>
  <c r="M124" i="4"/>
  <c r="U124" i="4"/>
  <c r="Y124" i="4"/>
  <c r="A125" i="4"/>
  <c r="V125" i="4"/>
  <c r="Z125" i="4"/>
  <c r="B126" i="4"/>
  <c r="L126" i="4"/>
  <c r="X126" i="4"/>
  <c r="D127" i="4"/>
  <c r="V127" i="4"/>
  <c r="Z127" i="4"/>
  <c r="B128" i="4"/>
  <c r="L128" i="4"/>
  <c r="X128" i="4"/>
  <c r="D129" i="4"/>
  <c r="M129" i="4"/>
  <c r="U129" i="4"/>
  <c r="Y129" i="4"/>
  <c r="A130" i="4"/>
  <c r="O130" i="4"/>
  <c r="W130" i="4"/>
  <c r="C131" i="4"/>
  <c r="M131" i="4"/>
  <c r="U131" i="4"/>
  <c r="Y131" i="4"/>
  <c r="A132" i="4"/>
  <c r="V132" i="4"/>
  <c r="Z132" i="4"/>
  <c r="B133" i="4"/>
  <c r="L133" i="4"/>
  <c r="X133" i="4"/>
  <c r="D134" i="4"/>
  <c r="V134" i="4"/>
  <c r="Z134" i="4"/>
  <c r="B135" i="4"/>
  <c r="W135" i="4"/>
  <c r="C136" i="4"/>
  <c r="M136" i="4"/>
  <c r="U136" i="4"/>
  <c r="Y136" i="4"/>
  <c r="A137" i="4"/>
  <c r="N137" i="4"/>
  <c r="V137" i="4"/>
  <c r="Z137" i="4"/>
  <c r="B138" i="4"/>
  <c r="L138" i="4"/>
  <c r="X138" i="4"/>
  <c r="D139" i="4"/>
  <c r="M139" i="4"/>
  <c r="U139" i="4"/>
  <c r="Y139" i="4"/>
  <c r="A140" i="4"/>
  <c r="V140" i="4"/>
  <c r="Z140" i="4"/>
  <c r="B141" i="4"/>
  <c r="L141" i="4"/>
  <c r="X141" i="4"/>
  <c r="D142" i="4"/>
  <c r="V142" i="4"/>
  <c r="Z142" i="4"/>
  <c r="B143" i="4"/>
  <c r="W143" i="4"/>
  <c r="C144" i="4"/>
  <c r="M144" i="4"/>
  <c r="U144" i="4"/>
  <c r="Y144" i="4"/>
  <c r="A145" i="4"/>
  <c r="N145" i="4"/>
  <c r="V145" i="4"/>
  <c r="Z145" i="4"/>
  <c r="B146" i="4"/>
  <c r="L146" i="4"/>
  <c r="X146" i="4"/>
  <c r="D147" i="4"/>
  <c r="V147" i="4"/>
  <c r="Z147" i="4"/>
  <c r="B148" i="4"/>
  <c r="L148" i="4"/>
  <c r="X148" i="4"/>
  <c r="D149" i="4"/>
  <c r="N149" i="4"/>
  <c r="V149" i="4"/>
  <c r="Z149" i="4"/>
  <c r="B150" i="4"/>
  <c r="W150" i="4"/>
  <c r="C151" i="4"/>
  <c r="L151" i="4"/>
  <c r="X151" i="4"/>
  <c r="D152" i="4"/>
  <c r="V152" i="4"/>
  <c r="Z152" i="4"/>
  <c r="B153" i="4"/>
  <c r="L153" i="4"/>
  <c r="X153" i="4"/>
  <c r="M69" i="4"/>
  <c r="X71" i="4"/>
  <c r="M76" i="4"/>
  <c r="Y78" i="4"/>
  <c r="B80" i="4"/>
  <c r="V83" i="4"/>
  <c r="M87" i="4"/>
  <c r="X89" i="4"/>
  <c r="B91" i="4"/>
  <c r="U94" i="4"/>
  <c r="L98" i="4"/>
  <c r="M99" i="4"/>
  <c r="A100" i="4"/>
  <c r="X101" i="4"/>
  <c r="B103" i="4"/>
  <c r="Z104" i="4"/>
  <c r="O105" i="4"/>
  <c r="C106" i="4"/>
  <c r="U106" i="4"/>
  <c r="U108" i="4"/>
  <c r="Z108" i="4"/>
  <c r="B109" i="4"/>
  <c r="W109" i="4"/>
  <c r="C110" i="4"/>
  <c r="M110" i="4"/>
  <c r="U110" i="4"/>
  <c r="Y110" i="4"/>
  <c r="A111" i="4"/>
  <c r="O111" i="4"/>
  <c r="W111" i="4"/>
  <c r="A113" i="4"/>
  <c r="N113" i="4"/>
  <c r="V113" i="4"/>
  <c r="Z113" i="4"/>
  <c r="B114" i="4"/>
  <c r="L114" i="4"/>
  <c r="X114" i="4"/>
  <c r="D115" i="4"/>
  <c r="V115" i="4"/>
  <c r="Z115" i="4"/>
  <c r="B116" i="4"/>
  <c r="L116" i="4"/>
  <c r="X116" i="4"/>
  <c r="D117" i="4"/>
  <c r="M117" i="4"/>
  <c r="U117" i="4"/>
  <c r="Y117" i="4"/>
  <c r="A118" i="4"/>
  <c r="O118" i="4"/>
  <c r="W118" i="4"/>
  <c r="C119" i="4"/>
  <c r="M119" i="4"/>
  <c r="U119" i="4"/>
  <c r="Y119" i="4"/>
  <c r="A120" i="4"/>
  <c r="W120" i="4"/>
  <c r="C121" i="4"/>
  <c r="L121" i="4"/>
  <c r="X121" i="4"/>
  <c r="D122" i="4"/>
  <c r="V122" i="4"/>
  <c r="Z122" i="4"/>
  <c r="B123" i="4"/>
  <c r="L123" i="4"/>
  <c r="X123" i="4"/>
  <c r="D124" i="4"/>
  <c r="N124" i="4"/>
  <c r="V124" i="4"/>
  <c r="Z124" i="4"/>
  <c r="B125" i="4"/>
  <c r="O125" i="4"/>
  <c r="W125" i="4"/>
  <c r="C126" i="4"/>
  <c r="M126" i="4"/>
  <c r="U126" i="4"/>
  <c r="Y126" i="4"/>
  <c r="A127" i="4"/>
  <c r="W127" i="4"/>
  <c r="C128" i="4"/>
  <c r="M128" i="4"/>
  <c r="U128" i="4"/>
  <c r="Y128" i="4"/>
  <c r="A129" i="4"/>
  <c r="N129" i="4"/>
  <c r="V129" i="4"/>
  <c r="Z129" i="4"/>
  <c r="B130" i="4"/>
  <c r="L130" i="4"/>
  <c r="X130" i="4"/>
  <c r="D131" i="4"/>
  <c r="V131" i="4"/>
  <c r="Z131" i="4"/>
  <c r="B132" i="4"/>
  <c r="O132" i="4"/>
  <c r="W132" i="4"/>
  <c r="C133" i="4"/>
  <c r="M133" i="4"/>
  <c r="U133" i="4"/>
  <c r="Y133" i="4"/>
  <c r="A134" i="4"/>
  <c r="O134" i="4"/>
  <c r="W134" i="4"/>
  <c r="C135" i="4"/>
  <c r="L135" i="4"/>
  <c r="X135" i="4"/>
  <c r="D136" i="4"/>
  <c r="N136" i="4"/>
  <c r="V136" i="4"/>
  <c r="Z136" i="4"/>
  <c r="B137" i="4"/>
  <c r="W137" i="4"/>
  <c r="C138" i="4"/>
  <c r="M138" i="4"/>
  <c r="U138" i="4"/>
  <c r="Y138" i="4"/>
  <c r="A139" i="4"/>
  <c r="N139" i="4"/>
  <c r="V139" i="4"/>
  <c r="Z139" i="4"/>
  <c r="B140" i="4"/>
  <c r="O140" i="4"/>
  <c r="W140" i="4"/>
  <c r="C141" i="4"/>
  <c r="M141" i="4"/>
  <c r="U141" i="4"/>
  <c r="Y141" i="4"/>
  <c r="A142" i="4"/>
  <c r="O142" i="4"/>
  <c r="W142" i="4"/>
  <c r="C143" i="4"/>
  <c r="L143" i="4"/>
  <c r="X143" i="4"/>
  <c r="D144" i="4"/>
  <c r="N144" i="4"/>
  <c r="V144" i="4"/>
  <c r="Z144" i="4"/>
  <c r="B145" i="4"/>
  <c r="O145" i="4"/>
  <c r="W145" i="4"/>
  <c r="C146" i="4"/>
  <c r="M146" i="4"/>
  <c r="U146" i="4"/>
  <c r="Y146" i="4"/>
  <c r="A147" i="4"/>
  <c r="W147" i="4"/>
  <c r="C148" i="4"/>
  <c r="M148" i="4"/>
  <c r="U148" i="4"/>
  <c r="Y148" i="4"/>
  <c r="A149" i="4"/>
  <c r="O149" i="4"/>
  <c r="W149" i="4"/>
  <c r="C150" i="4"/>
  <c r="L150" i="4"/>
  <c r="X150" i="4"/>
  <c r="D151" i="4"/>
  <c r="M151" i="4"/>
  <c r="U151" i="4"/>
  <c r="Y151" i="4"/>
  <c r="A152" i="4"/>
  <c r="W152" i="4"/>
  <c r="C153" i="4"/>
  <c r="M153" i="4"/>
  <c r="U153" i="4"/>
  <c r="Y153" i="4"/>
  <c r="A70" i="4"/>
  <c r="U76" i="4"/>
  <c r="L91" i="4"/>
  <c r="B105" i="4"/>
  <c r="D110" i="4"/>
  <c r="V110" i="4"/>
  <c r="L111" i="4"/>
  <c r="W113" i="4"/>
  <c r="M114" i="4"/>
  <c r="A115" i="4"/>
  <c r="Y116" i="4"/>
  <c r="N117" i="4"/>
  <c r="B118" i="4"/>
  <c r="Z119" i="4"/>
  <c r="D121" i="4"/>
  <c r="U121" i="4"/>
  <c r="W124" i="4"/>
  <c r="L125" i="4"/>
  <c r="X127" i="4"/>
  <c r="B129" i="4"/>
  <c r="Y130" i="4"/>
  <c r="O131" i="4"/>
  <c r="C132" i="4"/>
  <c r="Z133" i="4"/>
  <c r="D135" i="4"/>
  <c r="U135" i="4"/>
  <c r="D138" i="4"/>
  <c r="V138" i="4"/>
  <c r="D141" i="4"/>
  <c r="V141" i="4"/>
  <c r="L142" i="4"/>
  <c r="W144" i="4"/>
  <c r="L145" i="4"/>
  <c r="X147" i="4"/>
  <c r="B149" i="4"/>
  <c r="Y150" i="4"/>
  <c r="B152" i="4"/>
  <c r="Z153" i="4"/>
  <c r="C154" i="4"/>
  <c r="L154" i="4"/>
  <c r="X154" i="4"/>
  <c r="D155" i="4"/>
  <c r="N155" i="4"/>
  <c r="V155" i="4"/>
  <c r="Z155" i="4"/>
  <c r="B156" i="4"/>
  <c r="L156" i="4"/>
  <c r="X156" i="4"/>
  <c r="D157" i="4"/>
  <c r="M157" i="4"/>
  <c r="U157" i="4"/>
  <c r="Y157" i="4"/>
  <c r="A158" i="4"/>
  <c r="O158" i="4"/>
  <c r="W158" i="4"/>
  <c r="C159" i="4"/>
  <c r="M159" i="4"/>
  <c r="U159" i="4"/>
  <c r="Y159" i="4"/>
  <c r="A160" i="4"/>
  <c r="W160" i="4"/>
  <c r="C161" i="4"/>
  <c r="M161" i="4"/>
  <c r="U161" i="4"/>
  <c r="Y161" i="4"/>
  <c r="A162" i="4"/>
  <c r="N162" i="4"/>
  <c r="V162" i="4"/>
  <c r="Z162" i="4"/>
  <c r="B163" i="4"/>
  <c r="L163" i="4"/>
  <c r="X163" i="4"/>
  <c r="D164" i="4"/>
  <c r="M164" i="4"/>
  <c r="U164" i="4"/>
  <c r="Y164" i="4"/>
  <c r="A165" i="4"/>
  <c r="W165" i="4"/>
  <c r="C166" i="4"/>
  <c r="M166" i="4"/>
  <c r="U166" i="4"/>
  <c r="Y166" i="4"/>
  <c r="A167" i="4"/>
  <c r="N167" i="4"/>
  <c r="V167" i="4"/>
  <c r="Z167" i="4"/>
  <c r="B168" i="4"/>
  <c r="L168" i="4"/>
  <c r="X168" i="4"/>
  <c r="D169" i="4"/>
  <c r="N169" i="4"/>
  <c r="V169" i="4"/>
  <c r="Z169" i="4"/>
  <c r="B170" i="4"/>
  <c r="O170" i="4"/>
  <c r="W170" i="4"/>
  <c r="C171" i="4"/>
  <c r="L171" i="4"/>
  <c r="X171" i="4"/>
  <c r="D172" i="4"/>
  <c r="N172" i="4"/>
  <c r="V172" i="4"/>
  <c r="Z172" i="4"/>
  <c r="B173" i="4"/>
  <c r="L173" i="4"/>
  <c r="X173" i="4"/>
  <c r="D174" i="4"/>
  <c r="V174" i="4"/>
  <c r="Z174" i="4"/>
  <c r="B175" i="4"/>
  <c r="W175" i="4"/>
  <c r="C176" i="4"/>
  <c r="M176" i="4"/>
  <c r="U176" i="4"/>
  <c r="Y176" i="4"/>
  <c r="A177" i="4"/>
  <c r="N177" i="4"/>
  <c r="V177" i="4"/>
  <c r="Z177" i="4"/>
  <c r="B178" i="4"/>
  <c r="L178" i="4"/>
  <c r="X178" i="4"/>
  <c r="D179" i="4"/>
  <c r="M179" i="4"/>
  <c r="U179" i="4"/>
  <c r="Y179" i="4"/>
  <c r="A180" i="4"/>
  <c r="W180" i="4"/>
  <c r="C181" i="4"/>
  <c r="M181" i="4"/>
  <c r="U181" i="4"/>
  <c r="Y181" i="4"/>
  <c r="A182" i="4"/>
  <c r="O182" i="4"/>
  <c r="W182" i="4"/>
  <c r="C183" i="4"/>
  <c r="M183" i="4"/>
  <c r="U183" i="4"/>
  <c r="Y183" i="4"/>
  <c r="A184" i="4"/>
  <c r="W184" i="4"/>
  <c r="C185" i="4"/>
  <c r="M185" i="4"/>
  <c r="U185" i="4"/>
  <c r="Y185" i="4"/>
  <c r="A186" i="4"/>
  <c r="W186" i="4"/>
  <c r="C187" i="4"/>
  <c r="M187" i="4"/>
  <c r="U187" i="4"/>
  <c r="Y187" i="4"/>
  <c r="A188" i="4"/>
  <c r="V188" i="4"/>
  <c r="Z188" i="4"/>
  <c r="B189" i="4"/>
  <c r="L189" i="4"/>
  <c r="X189" i="4"/>
  <c r="D190" i="4"/>
  <c r="M190" i="4"/>
  <c r="U190" i="4"/>
  <c r="Y190" i="4"/>
  <c r="A191" i="4"/>
  <c r="O191" i="4"/>
  <c r="W191" i="4"/>
  <c r="C192" i="4"/>
  <c r="L192" i="4"/>
  <c r="X82" i="4"/>
  <c r="U87" i="4"/>
  <c r="W100" i="4"/>
  <c r="C108" i="4"/>
  <c r="C109" i="4"/>
  <c r="Z110" i="4"/>
  <c r="W115" i="4"/>
  <c r="M116" i="4"/>
  <c r="A117" i="4"/>
  <c r="X118" i="4"/>
  <c r="N119" i="4"/>
  <c r="B120" i="4"/>
  <c r="Y121" i="4"/>
  <c r="O122" i="4"/>
  <c r="C123" i="4"/>
  <c r="U123" i="4"/>
  <c r="D126" i="4"/>
  <c r="V126" i="4"/>
  <c r="L127" i="4"/>
  <c r="W129" i="4"/>
  <c r="M130" i="4"/>
  <c r="A131" i="4"/>
  <c r="X132" i="4"/>
  <c r="N133" i="4"/>
  <c r="B134" i="4"/>
  <c r="Y135" i="4"/>
  <c r="C137" i="4"/>
  <c r="Z138" i="4"/>
  <c r="O139" i="4"/>
  <c r="C140" i="4"/>
  <c r="Z141" i="4"/>
  <c r="D143" i="4"/>
  <c r="U143" i="4"/>
  <c r="D146" i="4"/>
  <c r="V146" i="4"/>
  <c r="L147" i="4"/>
  <c r="X149" i="4"/>
  <c r="M150" i="4"/>
  <c r="A151" i="4"/>
  <c r="X152" i="4"/>
  <c r="D154" i="4"/>
  <c r="M154" i="4"/>
  <c r="U154" i="4"/>
  <c r="Y154" i="4"/>
  <c r="A155" i="4"/>
  <c r="O155" i="4"/>
  <c r="W155" i="4"/>
  <c r="C156" i="4"/>
  <c r="M156" i="4"/>
  <c r="U156" i="4"/>
  <c r="Y156" i="4"/>
  <c r="A157" i="4"/>
  <c r="N157" i="4"/>
  <c r="V157" i="4"/>
  <c r="Z157" i="4"/>
  <c r="B158" i="4"/>
  <c r="L158" i="4"/>
  <c r="X158" i="4"/>
  <c r="D159" i="4"/>
  <c r="V159" i="4"/>
  <c r="Z159" i="4"/>
  <c r="B160" i="4"/>
  <c r="L160" i="4"/>
  <c r="X160" i="4"/>
  <c r="D161" i="4"/>
  <c r="V161" i="4"/>
  <c r="Z161" i="4"/>
  <c r="B162" i="4"/>
  <c r="O162" i="4"/>
  <c r="W162" i="4"/>
  <c r="C163" i="4"/>
  <c r="M163" i="4"/>
  <c r="U163" i="4"/>
  <c r="Y163" i="4"/>
  <c r="A164" i="4"/>
  <c r="N164" i="4"/>
  <c r="V164" i="4"/>
  <c r="Z164" i="4"/>
  <c r="B165" i="4"/>
  <c r="L165" i="4"/>
  <c r="X165" i="4"/>
  <c r="D166" i="4"/>
  <c r="V166" i="4"/>
  <c r="Z166" i="4"/>
  <c r="B167" i="4"/>
  <c r="O167" i="4"/>
  <c r="W167" i="4"/>
  <c r="C168" i="4"/>
  <c r="M168" i="4"/>
  <c r="U168" i="4"/>
  <c r="Y168" i="4"/>
  <c r="A169" i="4"/>
  <c r="O169" i="4"/>
  <c r="W169" i="4"/>
  <c r="C170" i="4"/>
  <c r="L170" i="4"/>
  <c r="X170" i="4"/>
  <c r="D171" i="4"/>
  <c r="M171" i="4"/>
  <c r="U171" i="4"/>
  <c r="Y171" i="4"/>
  <c r="A172" i="4"/>
  <c r="O172" i="4"/>
  <c r="W172" i="4"/>
  <c r="C173" i="4"/>
  <c r="M173" i="4"/>
  <c r="U173" i="4"/>
  <c r="Y173" i="4"/>
  <c r="A174" i="4"/>
  <c r="O174" i="4"/>
  <c r="W174" i="4"/>
  <c r="C175" i="4"/>
  <c r="L175" i="4"/>
  <c r="X175" i="4"/>
  <c r="D176" i="4"/>
  <c r="N176" i="4"/>
  <c r="V176" i="4"/>
  <c r="Z176" i="4"/>
  <c r="B177" i="4"/>
  <c r="O177" i="4"/>
  <c r="W177" i="4"/>
  <c r="C178" i="4"/>
  <c r="M178" i="4"/>
  <c r="U178" i="4"/>
  <c r="Y178" i="4"/>
  <c r="A179" i="4"/>
  <c r="N179" i="4"/>
  <c r="V179" i="4"/>
  <c r="Z179" i="4"/>
  <c r="B180" i="4"/>
  <c r="L180" i="4"/>
  <c r="X180" i="4"/>
  <c r="D181" i="4"/>
  <c r="N181" i="4"/>
  <c r="V181" i="4"/>
  <c r="Z181" i="4"/>
  <c r="B182" i="4"/>
  <c r="L182" i="4"/>
  <c r="X182" i="4"/>
  <c r="D183" i="4"/>
  <c r="V183" i="4"/>
  <c r="Z183" i="4"/>
  <c r="B184" i="4"/>
  <c r="L184" i="4"/>
  <c r="X184" i="4"/>
  <c r="D185" i="4"/>
  <c r="N185" i="4"/>
  <c r="V185" i="4"/>
  <c r="Z185" i="4"/>
  <c r="B186" i="4"/>
  <c r="L186" i="4"/>
  <c r="X186" i="4"/>
  <c r="D187" i="4"/>
  <c r="N187" i="4"/>
  <c r="V187" i="4"/>
  <c r="Z187" i="4"/>
  <c r="B188" i="4"/>
  <c r="O188" i="4"/>
  <c r="W188" i="4"/>
  <c r="C189" i="4"/>
  <c r="M189" i="4"/>
  <c r="U189" i="4"/>
  <c r="Y189" i="4"/>
  <c r="A190" i="4"/>
  <c r="N190" i="4"/>
  <c r="V190" i="4"/>
  <c r="Z190" i="4"/>
  <c r="B191" i="4"/>
  <c r="L191" i="4"/>
  <c r="X191" i="4"/>
  <c r="D192" i="4"/>
  <c r="M192" i="4"/>
  <c r="U192" i="4"/>
  <c r="Y192" i="4"/>
  <c r="A193" i="4"/>
  <c r="B84" i="4"/>
  <c r="W93" i="4"/>
  <c r="L101" i="4"/>
  <c r="X103" i="4"/>
  <c r="X109" i="4"/>
  <c r="N110" i="4"/>
  <c r="B111" i="4"/>
  <c r="O113" i="4"/>
  <c r="C114" i="4"/>
  <c r="U114" i="4"/>
  <c r="V117" i="4"/>
  <c r="L118" i="4"/>
  <c r="X120" i="4"/>
  <c r="M121" i="4"/>
  <c r="A122" i="4"/>
  <c r="Y123" i="4"/>
  <c r="C125" i="4"/>
  <c r="Z126" i="4"/>
  <c r="D128" i="4"/>
  <c r="V128" i="4"/>
  <c r="W131" i="4"/>
  <c r="L132" i="4"/>
  <c r="X134" i="4"/>
  <c r="M135" i="4"/>
  <c r="A136" i="4"/>
  <c r="X137" i="4"/>
  <c r="B139" i="4"/>
  <c r="X140" i="4"/>
  <c r="B142" i="4"/>
  <c r="Y143" i="4"/>
  <c r="C145" i="4"/>
  <c r="Z146" i="4"/>
  <c r="D148" i="4"/>
  <c r="V148" i="4"/>
  <c r="L149" i="4"/>
  <c r="V151" i="4"/>
  <c r="L152" i="4"/>
  <c r="A154" i="4"/>
  <c r="V154" i="4"/>
  <c r="Z154" i="4"/>
  <c r="B155" i="4"/>
  <c r="L155" i="4"/>
  <c r="X155" i="4"/>
  <c r="D156" i="4"/>
  <c r="V156" i="4"/>
  <c r="Z156" i="4"/>
  <c r="B157" i="4"/>
  <c r="W157" i="4"/>
  <c r="C158" i="4"/>
  <c r="M158" i="4"/>
  <c r="U158" i="4"/>
  <c r="Y158" i="4"/>
  <c r="A159" i="4"/>
  <c r="O159" i="4"/>
  <c r="W159" i="4"/>
  <c r="C160" i="4"/>
  <c r="M160" i="4"/>
  <c r="U160" i="4"/>
  <c r="Y160" i="4"/>
  <c r="A161" i="4"/>
  <c r="W161" i="4"/>
  <c r="C162" i="4"/>
  <c r="L162" i="4"/>
  <c r="X162" i="4"/>
  <c r="D163" i="4"/>
  <c r="V163" i="4"/>
  <c r="Z163" i="4"/>
  <c r="B164" i="4"/>
  <c r="O164" i="4"/>
  <c r="W164" i="4"/>
  <c r="C165" i="4"/>
  <c r="M165" i="4"/>
  <c r="U165" i="4"/>
  <c r="Y165" i="4"/>
  <c r="A166" i="4"/>
  <c r="O166" i="4"/>
  <c r="W166" i="4"/>
  <c r="C167" i="4"/>
  <c r="L167" i="4"/>
  <c r="X167" i="4"/>
  <c r="D168" i="4"/>
  <c r="N168" i="4"/>
  <c r="V168" i="4"/>
  <c r="Z168" i="4"/>
  <c r="B169" i="4"/>
  <c r="L169" i="4"/>
  <c r="X169" i="4"/>
  <c r="D170" i="4"/>
  <c r="M170" i="4"/>
  <c r="U170" i="4"/>
  <c r="Y170" i="4"/>
  <c r="A171" i="4"/>
  <c r="V171" i="4"/>
  <c r="Z171" i="4"/>
  <c r="B172" i="4"/>
  <c r="L172" i="4"/>
  <c r="X172" i="4"/>
  <c r="D173" i="4"/>
  <c r="V173" i="4"/>
  <c r="Z173" i="4"/>
  <c r="B174" i="4"/>
  <c r="L174" i="4"/>
  <c r="X174" i="4"/>
  <c r="D175" i="4"/>
  <c r="M175" i="4"/>
  <c r="U175" i="4"/>
  <c r="Y175" i="4"/>
  <c r="A176" i="4"/>
  <c r="W176" i="4"/>
  <c r="C177" i="4"/>
  <c r="L177" i="4"/>
  <c r="X177" i="4"/>
  <c r="D178" i="4"/>
  <c r="V178" i="4"/>
  <c r="Z178" i="4"/>
  <c r="B179" i="4"/>
  <c r="O179" i="4"/>
  <c r="W179" i="4"/>
  <c r="C180" i="4"/>
  <c r="M180" i="4"/>
  <c r="U180" i="4"/>
  <c r="Y180" i="4"/>
  <c r="A181" i="4"/>
  <c r="O181" i="4"/>
  <c r="W181" i="4"/>
  <c r="C182" i="4"/>
  <c r="M182" i="4"/>
  <c r="U182" i="4"/>
  <c r="Y182" i="4"/>
  <c r="A183" i="4"/>
  <c r="W183" i="4"/>
  <c r="C184" i="4"/>
  <c r="M184" i="4"/>
  <c r="U184" i="4"/>
  <c r="Y184" i="4"/>
  <c r="A185" i="4"/>
  <c r="W185" i="4"/>
  <c r="C186" i="4"/>
  <c r="M186" i="4"/>
  <c r="U186" i="4"/>
  <c r="Y186" i="4"/>
  <c r="A187" i="4"/>
  <c r="O187" i="4"/>
  <c r="W187" i="4"/>
  <c r="C188" i="4"/>
  <c r="L188" i="4"/>
  <c r="X188" i="4"/>
  <c r="D189" i="4"/>
  <c r="N189" i="4"/>
  <c r="V189" i="4"/>
  <c r="Z189" i="4"/>
  <c r="B190" i="4"/>
  <c r="O190" i="4"/>
  <c r="W190" i="4"/>
  <c r="C191" i="4"/>
  <c r="M191" i="4"/>
  <c r="U191" i="4"/>
  <c r="Y191" i="4"/>
  <c r="A192" i="4"/>
  <c r="V192" i="4"/>
  <c r="D90" i="4"/>
  <c r="N104" i="4"/>
  <c r="Y114" i="4"/>
  <c r="V119" i="4"/>
  <c r="B127" i="4"/>
  <c r="O129" i="4"/>
  <c r="L134" i="4"/>
  <c r="W136" i="4"/>
  <c r="A144" i="4"/>
  <c r="N146" i="4"/>
  <c r="Z148" i="4"/>
  <c r="V153" i="4"/>
  <c r="C155" i="4"/>
  <c r="U155" i="4"/>
  <c r="D158" i="4"/>
  <c r="V158" i="4"/>
  <c r="L159" i="4"/>
  <c r="X161" i="4"/>
  <c r="M162" i="4"/>
  <c r="A163" i="4"/>
  <c r="X164" i="4"/>
  <c r="B166" i="4"/>
  <c r="Y167" i="4"/>
  <c r="O168" i="4"/>
  <c r="C169" i="4"/>
  <c r="U169" i="4"/>
  <c r="Z170" i="4"/>
  <c r="C172" i="4"/>
  <c r="U172" i="4"/>
  <c r="V175" i="4"/>
  <c r="L176" i="4"/>
  <c r="W178" i="4"/>
  <c r="L179" i="4"/>
  <c r="X181" i="4"/>
  <c r="B183" i="4"/>
  <c r="Z184" i="4"/>
  <c r="D186" i="4"/>
  <c r="V186" i="4"/>
  <c r="L187" i="4"/>
  <c r="W189" i="4"/>
  <c r="L190" i="4"/>
  <c r="W192" i="4"/>
  <c r="V193" i="4"/>
  <c r="Z193" i="4"/>
  <c r="B194" i="4"/>
  <c r="O194" i="4"/>
  <c r="W194" i="4"/>
  <c r="C195" i="4"/>
  <c r="L195" i="4"/>
  <c r="X195" i="4"/>
  <c r="D196" i="4"/>
  <c r="N196" i="4"/>
  <c r="V196" i="4"/>
  <c r="Z196" i="4"/>
  <c r="B197" i="4"/>
  <c r="L197" i="4"/>
  <c r="X197" i="4"/>
  <c r="D198" i="4"/>
  <c r="M198" i="4"/>
  <c r="U198" i="4"/>
  <c r="Y198" i="4"/>
  <c r="A199" i="4"/>
  <c r="O199" i="4"/>
  <c r="W199" i="4"/>
  <c r="C200" i="4"/>
  <c r="M200" i="4"/>
  <c r="U200" i="4"/>
  <c r="Y200" i="4"/>
  <c r="X3" i="4"/>
  <c r="L3" i="4"/>
  <c r="D3" i="4"/>
  <c r="L109" i="4"/>
  <c r="V133" i="4"/>
  <c r="X159" i="4"/>
  <c r="O163" i="4"/>
  <c r="D167" i="4"/>
  <c r="V170" i="4"/>
  <c r="M174" i="4"/>
  <c r="M177" i="4"/>
  <c r="X179" i="4"/>
  <c r="B181" i="4"/>
  <c r="Z182" i="4"/>
  <c r="L185" i="4"/>
  <c r="X187" i="4"/>
  <c r="D193" i="4"/>
  <c r="U193" i="4"/>
  <c r="B195" i="4"/>
  <c r="O195" i="4"/>
  <c r="M196" i="4"/>
  <c r="Y196" i="4"/>
  <c r="W197" i="4"/>
  <c r="N199" i="4"/>
  <c r="Z199" i="4"/>
  <c r="L200" i="4"/>
  <c r="X200" i="4"/>
  <c r="U3" i="4"/>
  <c r="A95" i="4"/>
  <c r="Y106" i="4"/>
  <c r="B113" i="4"/>
  <c r="O115" i="4"/>
  <c r="Z117" i="4"/>
  <c r="L120" i="4"/>
  <c r="W122" i="4"/>
  <c r="C130" i="4"/>
  <c r="L137" i="4"/>
  <c r="W139" i="4"/>
  <c r="B147" i="4"/>
  <c r="Z151" i="4"/>
  <c r="B154" i="4"/>
  <c r="Y155" i="4"/>
  <c r="O156" i="4"/>
  <c r="C157" i="4"/>
  <c r="Z158" i="4"/>
  <c r="D160" i="4"/>
  <c r="V160" i="4"/>
  <c r="L161" i="4"/>
  <c r="W163" i="4"/>
  <c r="L164" i="4"/>
  <c r="X166" i="4"/>
  <c r="M167" i="4"/>
  <c r="A168" i="4"/>
  <c r="Y169" i="4"/>
  <c r="N170" i="4"/>
  <c r="B171" i="4"/>
  <c r="Y172" i="4"/>
  <c r="O173" i="4"/>
  <c r="C174" i="4"/>
  <c r="U174" i="4"/>
  <c r="Z175" i="4"/>
  <c r="D177" i="4"/>
  <c r="U177" i="4"/>
  <c r="D180" i="4"/>
  <c r="V180" i="4"/>
  <c r="L181" i="4"/>
  <c r="X183" i="4"/>
  <c r="B185" i="4"/>
  <c r="Z186" i="4"/>
  <c r="D188" i="4"/>
  <c r="U188" i="4"/>
  <c r="D191" i="4"/>
  <c r="V191" i="4"/>
  <c r="X192" i="4"/>
  <c r="B193" i="4"/>
  <c r="W193" i="4"/>
  <c r="C194" i="4"/>
  <c r="L194" i="4"/>
  <c r="X194" i="4"/>
  <c r="D195" i="4"/>
  <c r="M195" i="4"/>
  <c r="U195" i="4"/>
  <c r="Y195" i="4"/>
  <c r="A196" i="4"/>
  <c r="O196" i="4"/>
  <c r="W196" i="4"/>
  <c r="C197" i="4"/>
  <c r="M197" i="4"/>
  <c r="U197" i="4"/>
  <c r="Y197" i="4"/>
  <c r="A198" i="4"/>
  <c r="N198" i="4"/>
  <c r="V198" i="4"/>
  <c r="Z198" i="4"/>
  <c r="B199" i="4"/>
  <c r="L199" i="4"/>
  <c r="X199" i="4"/>
  <c r="D200" i="4"/>
  <c r="N200" i="4"/>
  <c r="V200" i="4"/>
  <c r="Z200" i="4"/>
  <c r="W3" i="4"/>
  <c r="C3" i="4"/>
  <c r="D119" i="4"/>
  <c r="N126" i="4"/>
  <c r="Z128" i="4"/>
  <c r="M143" i="4"/>
  <c r="D153" i="4"/>
  <c r="L157" i="4"/>
  <c r="N160" i="4"/>
  <c r="C164" i="4"/>
  <c r="Z165" i="4"/>
  <c r="U167" i="4"/>
  <c r="W173" i="4"/>
  <c r="A178" i="4"/>
  <c r="D184" i="4"/>
  <c r="A189" i="4"/>
  <c r="X190" i="4"/>
  <c r="B192" i="4"/>
  <c r="M193" i="4"/>
  <c r="Y193" i="4"/>
  <c r="V194" i="4"/>
  <c r="C196" i="4"/>
  <c r="U196" i="4"/>
  <c r="A197" i="4"/>
  <c r="L198" i="4"/>
  <c r="X198" i="4"/>
  <c r="V199" i="4"/>
  <c r="B200" i="4"/>
  <c r="Y3" i="4"/>
  <c r="A3" i="4"/>
  <c r="L80" i="4"/>
  <c r="W108" i="4"/>
  <c r="C116" i="4"/>
  <c r="M123" i="4"/>
  <c r="X125" i="4"/>
  <c r="U130" i="4"/>
  <c r="D133" i="4"/>
  <c r="L140" i="4"/>
  <c r="X142" i="4"/>
  <c r="D150" i="4"/>
  <c r="W154" i="4"/>
  <c r="M155" i="4"/>
  <c r="A156" i="4"/>
  <c r="X157" i="4"/>
  <c r="N158" i="4"/>
  <c r="B159" i="4"/>
  <c r="Z160" i="4"/>
  <c r="D162" i="4"/>
  <c r="U162" i="4"/>
  <c r="D165" i="4"/>
  <c r="V165" i="4"/>
  <c r="L166" i="4"/>
  <c r="W168" i="4"/>
  <c r="M169" i="4"/>
  <c r="A170" i="4"/>
  <c r="W171" i="4"/>
  <c r="M172" i="4"/>
  <c r="A173" i="4"/>
  <c r="Y174" i="4"/>
  <c r="N175" i="4"/>
  <c r="B176" i="4"/>
  <c r="Y177" i="4"/>
  <c r="C179" i="4"/>
  <c r="Z180" i="4"/>
  <c r="D182" i="4"/>
  <c r="V182" i="4"/>
  <c r="L183" i="4"/>
  <c r="X185" i="4"/>
  <c r="B187" i="4"/>
  <c r="Y188" i="4"/>
  <c r="C190" i="4"/>
  <c r="Z191" i="4"/>
  <c r="O192" i="4"/>
  <c r="Z192" i="4"/>
  <c r="C193" i="4"/>
  <c r="L193" i="4"/>
  <c r="X193" i="4"/>
  <c r="D194" i="4"/>
  <c r="M194" i="4"/>
  <c r="U194" i="4"/>
  <c r="Y194" i="4"/>
  <c r="A195" i="4"/>
  <c r="N195" i="4"/>
  <c r="V195" i="4"/>
  <c r="Z195" i="4"/>
  <c r="B196" i="4"/>
  <c r="L196" i="4"/>
  <c r="X196" i="4"/>
  <c r="D197" i="4"/>
  <c r="N197" i="4"/>
  <c r="V197" i="4"/>
  <c r="Z197" i="4"/>
  <c r="B198" i="4"/>
  <c r="O198" i="4"/>
  <c r="W198" i="4"/>
  <c r="C199" i="4"/>
  <c r="M199" i="4"/>
  <c r="U199" i="4"/>
  <c r="Y199" i="4"/>
  <c r="A200" i="4"/>
  <c r="O200" i="4"/>
  <c r="W200" i="4"/>
  <c r="Z3" i="4"/>
  <c r="V3" i="4"/>
  <c r="J3" i="4"/>
  <c r="B3" i="4"/>
  <c r="X111" i="4"/>
  <c r="U116" i="4"/>
  <c r="A124" i="4"/>
  <c r="X145" i="4"/>
  <c r="U150" i="4"/>
  <c r="W156" i="4"/>
  <c r="B161" i="4"/>
  <c r="Y162" i="4"/>
  <c r="A175" i="4"/>
  <c r="X176" i="4"/>
  <c r="N180" i="4"/>
  <c r="V184" i="4"/>
  <c r="M188" i="4"/>
  <c r="A194" i="4"/>
  <c r="N194" i="4"/>
  <c r="Z194" i="4"/>
  <c r="W195" i="4"/>
  <c r="C198" i="4"/>
  <c r="D199" i="4"/>
  <c r="M3" i="4"/>
  <c r="Q153" i="4"/>
  <c r="Q157" i="4"/>
  <c r="Q161" i="4"/>
  <c r="Q181" i="4"/>
  <c r="Q193" i="4"/>
  <c r="Q190" i="4"/>
  <c r="G155" i="4"/>
  <c r="J156" i="4"/>
  <c r="I179" i="4"/>
  <c r="J179" i="4"/>
  <c r="I181" i="4"/>
  <c r="K182" i="4"/>
  <c r="K193" i="4"/>
  <c r="K194" i="4"/>
  <c r="Q151" i="4"/>
  <c r="Q179" i="4"/>
  <c r="Q183" i="4"/>
  <c r="Q187" i="4"/>
  <c r="Q195" i="4"/>
  <c r="Q199" i="4"/>
  <c r="Q144" i="4"/>
  <c r="G146" i="4"/>
  <c r="J147" i="4"/>
  <c r="Q148" i="4"/>
  <c r="J150" i="4"/>
  <c r="Q164" i="4"/>
  <c r="Q168" i="4"/>
  <c r="Q172" i="4"/>
  <c r="G175" i="4"/>
  <c r="Q176" i="4"/>
  <c r="J176" i="4"/>
  <c r="K176" i="4"/>
  <c r="J178" i="4"/>
  <c r="Q150" i="4"/>
  <c r="Q162" i="4"/>
  <c r="Q166" i="4"/>
  <c r="E166" i="4"/>
  <c r="K166" i="4"/>
  <c r="I167" i="4"/>
  <c r="K168" i="4"/>
  <c r="J169" i="4"/>
  <c r="I170" i="4"/>
  <c r="J170" i="4"/>
  <c r="Q178" i="4"/>
  <c r="J159" i="4"/>
  <c r="J161" i="4"/>
  <c r="K164" i="4"/>
  <c r="G144" i="4"/>
  <c r="G149" i="4"/>
  <c r="G158" i="4"/>
  <c r="I162" i="4"/>
  <c r="I164" i="4"/>
  <c r="Q171" i="4"/>
  <c r="I172" i="4"/>
  <c r="G173" i="4"/>
  <c r="I173" i="4"/>
  <c r="Q174" i="4"/>
  <c r="Q184" i="4"/>
  <c r="G191" i="4"/>
  <c r="Q192" i="4"/>
  <c r="J192" i="4"/>
  <c r="K192" i="4"/>
  <c r="K187" i="4"/>
  <c r="I188" i="4"/>
  <c r="K189" i="4"/>
  <c r="K199" i="4"/>
  <c r="I200" i="4"/>
  <c r="K144" i="4"/>
  <c r="K147" i="4"/>
  <c r="J151" i="4"/>
  <c r="Q152" i="4"/>
  <c r="G152" i="4"/>
  <c r="I152" i="4"/>
  <c r="K156" i="4"/>
  <c r="Q165" i="4"/>
  <c r="G165" i="4"/>
  <c r="Q177" i="4"/>
  <c r="Q182" i="4"/>
  <c r="G184" i="4"/>
  <c r="J185" i="4"/>
  <c r="Q186" i="4"/>
  <c r="G186" i="4"/>
  <c r="I186" i="4"/>
  <c r="Q194" i="4"/>
  <c r="G196" i="4"/>
  <c r="J197" i="4"/>
  <c r="Q198" i="4"/>
  <c r="G198" i="4"/>
  <c r="J143" i="4"/>
  <c r="I165" i="4"/>
  <c r="G145" i="4"/>
  <c r="Q146" i="4"/>
  <c r="J146" i="4"/>
  <c r="K146" i="4"/>
  <c r="K148" i="4"/>
  <c r="G150" i="4"/>
  <c r="J152" i="4"/>
  <c r="J153" i="4"/>
  <c r="G154" i="4"/>
  <c r="Q155" i="4"/>
  <c r="J155" i="4"/>
  <c r="K157" i="4"/>
  <c r="G159" i="4"/>
  <c r="J160" i="4"/>
  <c r="G161" i="4"/>
  <c r="K162" i="4"/>
  <c r="I163" i="4"/>
  <c r="G164" i="4"/>
  <c r="J165" i="4"/>
  <c r="I166" i="4"/>
  <c r="I168" i="4"/>
  <c r="K170" i="4"/>
  <c r="G171" i="4"/>
  <c r="J173" i="4"/>
  <c r="K173" i="4"/>
  <c r="K174" i="4"/>
  <c r="G176" i="4"/>
  <c r="J177" i="4"/>
  <c r="G178" i="4"/>
  <c r="I178" i="4"/>
  <c r="K179" i="4"/>
  <c r="I180" i="4"/>
  <c r="K181" i="4"/>
  <c r="G183" i="4"/>
  <c r="J184" i="4"/>
  <c r="K184" i="4"/>
  <c r="J186" i="4"/>
  <c r="I187" i="4"/>
  <c r="J187" i="4"/>
  <c r="Q189" i="4"/>
  <c r="I189" i="4"/>
  <c r="K190" i="4"/>
  <c r="G192" i="4"/>
  <c r="J193" i="4"/>
  <c r="G195" i="4"/>
  <c r="J196" i="4"/>
  <c r="J198" i="4"/>
  <c r="I199" i="4"/>
  <c r="I144" i="4"/>
  <c r="Q145" i="4"/>
  <c r="K145" i="4"/>
  <c r="I146" i="4"/>
  <c r="G147" i="4"/>
  <c r="J148" i="4"/>
  <c r="I149" i="4"/>
  <c r="J149" i="4"/>
  <c r="G151" i="4"/>
  <c r="K151" i="4"/>
  <c r="G153" i="4"/>
  <c r="Q154" i="4"/>
  <c r="I155" i="4"/>
  <c r="J157" i="4"/>
  <c r="I158" i="4"/>
  <c r="Q160" i="4"/>
  <c r="I160" i="4"/>
  <c r="K161" i="4"/>
  <c r="G163" i="4"/>
  <c r="J164" i="4"/>
  <c r="G166" i="4"/>
  <c r="J167" i="4"/>
  <c r="K169" i="4"/>
  <c r="K171" i="4"/>
  <c r="J172" i="4"/>
  <c r="J174" i="4"/>
  <c r="I175" i="4"/>
  <c r="I177" i="4"/>
  <c r="K178" i="4"/>
  <c r="G180" i="4"/>
  <c r="J181" i="4"/>
  <c r="G182" i="4"/>
  <c r="K183" i="4"/>
  <c r="I184" i="4"/>
  <c r="G185" i="4"/>
  <c r="K185" i="4"/>
  <c r="G187" i="4"/>
  <c r="J188" i="4"/>
  <c r="J190" i="4"/>
  <c r="I191" i="4"/>
  <c r="I193" i="4"/>
  <c r="G194" i="4"/>
  <c r="I194" i="4"/>
  <c r="K195" i="4"/>
  <c r="I196" i="4"/>
  <c r="K197" i="4"/>
  <c r="G199" i="4"/>
  <c r="J200" i="4"/>
  <c r="K200" i="4"/>
  <c r="J144" i="4"/>
  <c r="I145" i="4"/>
  <c r="J145" i="4"/>
  <c r="Q147" i="4"/>
  <c r="I147" i="4"/>
  <c r="G148" i="4"/>
  <c r="I148" i="4"/>
  <c r="Q149" i="4"/>
  <c r="K149" i="4"/>
  <c r="I150" i="4"/>
  <c r="K150" i="4"/>
  <c r="K152" i="4"/>
  <c r="K153" i="4"/>
  <c r="I154" i="4"/>
  <c r="Q156" i="4"/>
  <c r="I156" i="4"/>
  <c r="G157" i="4"/>
  <c r="I157" i="4"/>
  <c r="Q158" i="4"/>
  <c r="K158" i="4"/>
  <c r="I159" i="4"/>
  <c r="K160" i="4"/>
  <c r="G162" i="4"/>
  <c r="J163" i="4"/>
  <c r="K163" i="4"/>
  <c r="K165" i="4"/>
  <c r="G167" i="4"/>
  <c r="J168" i="4"/>
  <c r="Q169" i="4"/>
  <c r="I169" i="4"/>
  <c r="I171" i="4"/>
  <c r="G172" i="4"/>
  <c r="G174" i="4"/>
  <c r="Q175" i="4"/>
  <c r="K175" i="4"/>
  <c r="I176" i="4"/>
  <c r="G177" i="4"/>
  <c r="K177" i="4"/>
  <c r="G179" i="4"/>
  <c r="J180" i="4"/>
  <c r="J182" i="4"/>
  <c r="I183" i="4"/>
  <c r="Q185" i="4"/>
  <c r="I185" i="4"/>
  <c r="K186" i="4"/>
  <c r="G188" i="4"/>
  <c r="J189" i="4"/>
  <c r="G190" i="4"/>
  <c r="Q191" i="4"/>
  <c r="K191" i="4"/>
  <c r="I192" i="4"/>
  <c r="G193" i="4"/>
  <c r="J194" i="4"/>
  <c r="I195" i="4"/>
  <c r="J195" i="4"/>
  <c r="Q197" i="4"/>
  <c r="I197" i="4"/>
  <c r="K198" i="4"/>
  <c r="G200" i="4"/>
  <c r="Q143" i="4"/>
  <c r="I143" i="4"/>
  <c r="G143" i="4"/>
  <c r="K143" i="4"/>
  <c r="J154" i="4"/>
  <c r="Q159" i="4"/>
  <c r="J162" i="4"/>
  <c r="Q167" i="4"/>
  <c r="G170" i="4"/>
  <c r="I153" i="4"/>
  <c r="K155" i="4"/>
  <c r="K159" i="4"/>
  <c r="G160" i="4"/>
  <c r="I161" i="4"/>
  <c r="K167" i="4"/>
  <c r="G168" i="4"/>
  <c r="K154" i="4"/>
  <c r="G156" i="4"/>
  <c r="J158" i="4"/>
  <c r="Q163" i="4"/>
  <c r="J166" i="4"/>
  <c r="Q170" i="4"/>
  <c r="Q173" i="4"/>
  <c r="J175" i="4"/>
  <c r="Q180" i="4"/>
  <c r="J183" i="4"/>
  <c r="Q188" i="4"/>
  <c r="J191" i="4"/>
  <c r="Q196" i="4"/>
  <c r="J199" i="4"/>
  <c r="G169" i="4"/>
  <c r="J171" i="4"/>
  <c r="K172" i="4"/>
  <c r="I174" i="4"/>
  <c r="K180" i="4"/>
  <c r="G181" i="4"/>
  <c r="I182" i="4"/>
  <c r="K188" i="4"/>
  <c r="G189" i="4"/>
  <c r="I190" i="4"/>
  <c r="K196" i="4"/>
  <c r="G197" i="4"/>
  <c r="I198" i="4"/>
  <c r="Q200" i="4"/>
  <c r="Q138" i="4"/>
  <c r="Q141" i="4"/>
  <c r="Q136" i="4"/>
  <c r="Q142" i="4"/>
  <c r="G142" i="4"/>
  <c r="I142" i="4"/>
  <c r="J138" i="4"/>
  <c r="I139" i="4"/>
  <c r="J139" i="4"/>
  <c r="I141" i="4"/>
  <c r="K141" i="4"/>
  <c r="Q135" i="4"/>
  <c r="K135" i="4"/>
  <c r="G137" i="4"/>
  <c r="K137" i="4"/>
  <c r="I136" i="4"/>
  <c r="G136" i="4"/>
  <c r="J137" i="4"/>
  <c r="G139" i="4"/>
  <c r="Q140" i="4"/>
  <c r="J140" i="4"/>
  <c r="K140" i="4"/>
  <c r="K142" i="4"/>
  <c r="I135" i="4"/>
  <c r="J135" i="4"/>
  <c r="Q137" i="4"/>
  <c r="I137" i="4"/>
  <c r="G138" i="4"/>
  <c r="I138" i="4"/>
  <c r="Q139" i="4"/>
  <c r="K139" i="4"/>
  <c r="I140" i="4"/>
  <c r="G141" i="4"/>
  <c r="J142" i="4"/>
  <c r="G135" i="4"/>
  <c r="J136" i="4"/>
  <c r="K136" i="4"/>
  <c r="K138" i="4"/>
  <c r="G140" i="4"/>
  <c r="J141" i="4"/>
  <c r="I130" i="4"/>
  <c r="K130" i="4"/>
  <c r="J131" i="4"/>
  <c r="K131" i="4"/>
  <c r="G134" i="4"/>
  <c r="K134" i="4"/>
  <c r="Q123" i="4"/>
  <c r="G129" i="4"/>
  <c r="I129" i="4"/>
  <c r="Q122" i="4"/>
  <c r="Q132" i="4"/>
  <c r="Q133" i="4"/>
  <c r="G133" i="4"/>
  <c r="I133" i="4"/>
  <c r="Q85" i="4"/>
  <c r="K129" i="4"/>
  <c r="I131" i="4"/>
  <c r="I132" i="4"/>
  <c r="J132" i="4"/>
  <c r="K133" i="4"/>
  <c r="J134" i="4"/>
  <c r="Q83" i="4"/>
  <c r="K11" i="4"/>
  <c r="J129" i="4"/>
  <c r="G130" i="4"/>
  <c r="G131" i="4"/>
  <c r="G132" i="4"/>
  <c r="J133" i="4"/>
  <c r="I134" i="4"/>
  <c r="Q92" i="4"/>
  <c r="J130" i="4"/>
  <c r="K132" i="4"/>
  <c r="Q93" i="4"/>
  <c r="Q130" i="4"/>
  <c r="Q125" i="4"/>
  <c r="Q129" i="4"/>
  <c r="Q131" i="4"/>
  <c r="Q94" i="4"/>
  <c r="Q95" i="4"/>
  <c r="Q134" i="4"/>
  <c r="Q19" i="4"/>
  <c r="Q64" i="4"/>
  <c r="Q115" i="4"/>
  <c r="I122" i="4"/>
  <c r="I123" i="4"/>
  <c r="J123" i="4"/>
  <c r="G80" i="4"/>
  <c r="Q81" i="4"/>
  <c r="Q90" i="4"/>
  <c r="G90" i="4"/>
  <c r="Q91" i="4"/>
  <c r="Q128" i="4"/>
  <c r="Q61" i="4"/>
  <c r="I62" i="4"/>
  <c r="G64" i="4"/>
  <c r="J64" i="4"/>
  <c r="I67" i="4"/>
  <c r="K67" i="4"/>
  <c r="K82" i="4"/>
  <c r="G83" i="4"/>
  <c r="I83" i="4"/>
  <c r="J84" i="4"/>
  <c r="J85" i="4"/>
  <c r="K85" i="4"/>
  <c r="I93" i="4"/>
  <c r="J94" i="4"/>
  <c r="J95" i="4"/>
  <c r="K95" i="4"/>
  <c r="J97" i="4"/>
  <c r="J103" i="4"/>
  <c r="J104" i="4"/>
  <c r="K106" i="4"/>
  <c r="Q58" i="4"/>
  <c r="Q75" i="4"/>
  <c r="K80" i="4"/>
  <c r="I81" i="4"/>
  <c r="K86" i="4"/>
  <c r="G87" i="4"/>
  <c r="I87" i="4"/>
  <c r="J88" i="4"/>
  <c r="K91" i="4"/>
  <c r="K96" i="4"/>
  <c r="J100" i="4"/>
  <c r="K102" i="4"/>
  <c r="J118" i="4"/>
  <c r="K118" i="4"/>
  <c r="K19" i="4"/>
  <c r="G22" i="4"/>
  <c r="J22" i="4"/>
  <c r="I26" i="4"/>
  <c r="I37" i="4"/>
  <c r="K37" i="4"/>
  <c r="G38" i="4"/>
  <c r="J38" i="4"/>
  <c r="I41" i="4"/>
  <c r="Q49" i="4"/>
  <c r="I49" i="4"/>
  <c r="K53" i="4"/>
  <c r="J54" i="4"/>
  <c r="J77" i="4"/>
  <c r="Q87" i="4"/>
  <c r="Q88" i="4"/>
  <c r="Q118" i="4"/>
  <c r="Q124" i="4"/>
  <c r="K124" i="4"/>
  <c r="G125" i="4"/>
  <c r="G128" i="4"/>
  <c r="I128" i="4"/>
  <c r="G18" i="4"/>
  <c r="K18" i="4"/>
  <c r="K40" i="4"/>
  <c r="G43" i="4"/>
  <c r="Q48" i="4"/>
  <c r="J48" i="4"/>
  <c r="Q69" i="4"/>
  <c r="I4" i="4"/>
  <c r="J4" i="4"/>
  <c r="Q17" i="4"/>
  <c r="I17" i="4"/>
  <c r="J24" i="4"/>
  <c r="Q29" i="4"/>
  <c r="I29" i="4"/>
  <c r="K29" i="4"/>
  <c r="G30" i="4"/>
  <c r="J30" i="4"/>
  <c r="Q31" i="4"/>
  <c r="Q7" i="4"/>
  <c r="I7" i="4"/>
  <c r="K7" i="4"/>
  <c r="K41" i="4"/>
  <c r="G44" i="4"/>
  <c r="H44" i="4" s="1"/>
  <c r="J44" i="4"/>
  <c r="J45" i="4"/>
  <c r="G50" i="4"/>
  <c r="G57" i="4"/>
  <c r="I57" i="4"/>
  <c r="K57" i="4"/>
  <c r="G58" i="4"/>
  <c r="J58" i="4"/>
  <c r="I75" i="4"/>
  <c r="K75" i="4"/>
  <c r="G79" i="4"/>
  <c r="K79" i="4"/>
  <c r="J80" i="4"/>
  <c r="J81" i="4"/>
  <c r="K81" i="4"/>
  <c r="K87" i="4"/>
  <c r="G88" i="4"/>
  <c r="K88" i="4"/>
  <c r="I89" i="4"/>
  <c r="J90" i="4"/>
  <c r="I91" i="4"/>
  <c r="I98" i="4"/>
  <c r="G100" i="4"/>
  <c r="J107" i="4"/>
  <c r="J108" i="4"/>
  <c r="K110" i="4"/>
  <c r="K12" i="4"/>
  <c r="I15" i="4"/>
  <c r="J15" i="4"/>
  <c r="K15" i="4"/>
  <c r="K21" i="4"/>
  <c r="Q27" i="4"/>
  <c r="I27" i="4"/>
  <c r="K33" i="4"/>
  <c r="J34" i="4"/>
  <c r="Q42" i="4"/>
  <c r="J42" i="4"/>
  <c r="K42" i="4"/>
  <c r="Q47" i="4"/>
  <c r="Q51" i="4"/>
  <c r="G52" i="4"/>
  <c r="I52" i="4"/>
  <c r="K60" i="4"/>
  <c r="Q63" i="4"/>
  <c r="I63" i="4"/>
  <c r="K63" i="4"/>
  <c r="Q65" i="4"/>
  <c r="Q67" i="4"/>
  <c r="K83" i="4"/>
  <c r="G84" i="4"/>
  <c r="K84" i="4"/>
  <c r="I85" i="4"/>
  <c r="K93" i="4"/>
  <c r="G94" i="4"/>
  <c r="K94" i="4"/>
  <c r="I95" i="4"/>
  <c r="G99" i="4"/>
  <c r="J111" i="4"/>
  <c r="J112" i="4"/>
  <c r="K114" i="4"/>
  <c r="G118" i="4"/>
  <c r="I118" i="4"/>
  <c r="Q119" i="4"/>
  <c r="J122" i="4"/>
  <c r="K122" i="4"/>
  <c r="G123" i="4"/>
  <c r="G124" i="4"/>
  <c r="I124" i="4"/>
  <c r="J125" i="4"/>
  <c r="K128" i="4"/>
  <c r="I69" i="4"/>
  <c r="G70" i="4"/>
  <c r="Q77" i="4"/>
  <c r="Q80" i="4"/>
  <c r="G81" i="4"/>
  <c r="G82" i="4"/>
  <c r="J83" i="4"/>
  <c r="Q84" i="4"/>
  <c r="G85" i="4"/>
  <c r="G86" i="4"/>
  <c r="J87" i="4"/>
  <c r="Q89" i="4"/>
  <c r="J89" i="4"/>
  <c r="K89" i="4"/>
  <c r="I90" i="4"/>
  <c r="J92" i="4"/>
  <c r="J96" i="4"/>
  <c r="Q97" i="4"/>
  <c r="K97" i="4"/>
  <c r="Q98" i="4"/>
  <c r="G98" i="4"/>
  <c r="Q99" i="4"/>
  <c r="I99" i="4"/>
  <c r="Q101" i="4"/>
  <c r="G101" i="4"/>
  <c r="K101" i="4"/>
  <c r="K103" i="4"/>
  <c r="Q105" i="4"/>
  <c r="G105" i="4"/>
  <c r="K105" i="4"/>
  <c r="K107" i="4"/>
  <c r="Q109" i="4"/>
  <c r="G109" i="4"/>
  <c r="K109" i="4"/>
  <c r="K111" i="4"/>
  <c r="Q113" i="4"/>
  <c r="G113" i="4"/>
  <c r="K113" i="4"/>
  <c r="G115" i="4"/>
  <c r="G116" i="4"/>
  <c r="I116" i="4"/>
  <c r="J117" i="4"/>
  <c r="I119" i="4"/>
  <c r="J119" i="4"/>
  <c r="Q120" i="4"/>
  <c r="K120" i="4"/>
  <c r="Q121" i="4"/>
  <c r="G121" i="4"/>
  <c r="K126" i="4"/>
  <c r="G127" i="4"/>
  <c r="K127" i="4"/>
  <c r="J128" i="4"/>
  <c r="G72" i="4"/>
  <c r="J72" i="4"/>
  <c r="Q73" i="4"/>
  <c r="Q74" i="4"/>
  <c r="K74" i="4"/>
  <c r="I80" i="4"/>
  <c r="J82" i="4"/>
  <c r="I84" i="4"/>
  <c r="I86" i="4"/>
  <c r="J86" i="4"/>
  <c r="I88" i="4"/>
  <c r="G91" i="4"/>
  <c r="G92" i="4"/>
  <c r="G96" i="4"/>
  <c r="I97" i="4"/>
  <c r="J98" i="4"/>
  <c r="K99" i="4"/>
  <c r="I101" i="4"/>
  <c r="J101" i="4"/>
  <c r="Q102" i="4"/>
  <c r="G102" i="4"/>
  <c r="I104" i="4"/>
  <c r="I105" i="4"/>
  <c r="J105" i="4"/>
  <c r="Q106" i="4"/>
  <c r="G106" i="4"/>
  <c r="I108" i="4"/>
  <c r="I109" i="4"/>
  <c r="J109" i="4"/>
  <c r="Q110" i="4"/>
  <c r="G110" i="4"/>
  <c r="I112" i="4"/>
  <c r="I113" i="4"/>
  <c r="J113" i="4"/>
  <c r="Q114" i="4"/>
  <c r="G114" i="4"/>
  <c r="I115" i="4"/>
  <c r="J115" i="4"/>
  <c r="Q116" i="4"/>
  <c r="K116" i="4"/>
  <c r="Q117" i="4"/>
  <c r="G117" i="4"/>
  <c r="G119" i="4"/>
  <c r="G120" i="4"/>
  <c r="I120" i="4"/>
  <c r="J121" i="4"/>
  <c r="Q126" i="4"/>
  <c r="G126" i="4"/>
  <c r="I126" i="4"/>
  <c r="J127" i="4"/>
  <c r="Q10" i="4"/>
  <c r="K10" i="4"/>
  <c r="I6" i="4"/>
  <c r="I5" i="4"/>
  <c r="K5" i="4"/>
  <c r="G6" i="4"/>
  <c r="J6" i="4"/>
  <c r="J8" i="4"/>
  <c r="G9" i="4"/>
  <c r="I9" i="4"/>
  <c r="G10" i="4"/>
  <c r="I12" i="4"/>
  <c r="J16" i="4"/>
  <c r="J17" i="4"/>
  <c r="I21" i="4"/>
  <c r="I22" i="4"/>
  <c r="J23" i="4"/>
  <c r="K24" i="4"/>
  <c r="Q25" i="4"/>
  <c r="K25" i="4"/>
  <c r="J26" i="4"/>
  <c r="K26" i="4"/>
  <c r="G27" i="4"/>
  <c r="G28" i="4"/>
  <c r="J28" i="4"/>
  <c r="J29" i="4"/>
  <c r="G31" i="4"/>
  <c r="G32" i="4"/>
  <c r="H32" i="4" s="1"/>
  <c r="I35" i="4"/>
  <c r="I38" i="4"/>
  <c r="G40" i="4"/>
  <c r="Q41" i="4"/>
  <c r="K43" i="4"/>
  <c r="K44" i="4"/>
  <c r="I47" i="4"/>
  <c r="J47" i="4"/>
  <c r="K47" i="4"/>
  <c r="K49" i="4"/>
  <c r="J50" i="4"/>
  <c r="G51" i="4"/>
  <c r="J53" i="4"/>
  <c r="Q55" i="4"/>
  <c r="Q32" i="4"/>
  <c r="G47" i="4"/>
  <c r="J49" i="4"/>
  <c r="K51" i="4"/>
  <c r="K9" i="4"/>
  <c r="J10" i="4"/>
  <c r="G12" i="4"/>
  <c r="J12" i="4"/>
  <c r="J13" i="4"/>
  <c r="G15" i="4"/>
  <c r="G16" i="4"/>
  <c r="G20" i="4"/>
  <c r="I20" i="4"/>
  <c r="J20" i="4"/>
  <c r="Q21" i="4"/>
  <c r="Q23" i="4"/>
  <c r="I23" i="4"/>
  <c r="K23" i="4"/>
  <c r="Q24" i="4"/>
  <c r="G25" i="4"/>
  <c r="I25" i="4"/>
  <c r="G26" i="4"/>
  <c r="I28" i="4"/>
  <c r="J32" i="4"/>
  <c r="J33" i="4"/>
  <c r="Q35" i="4"/>
  <c r="K35" i="4"/>
  <c r="Q39" i="4"/>
  <c r="J40" i="4"/>
  <c r="G41" i="4"/>
  <c r="I42" i="4"/>
  <c r="Q43" i="4"/>
  <c r="I43" i="4"/>
  <c r="Q45" i="4"/>
  <c r="I45" i="4"/>
  <c r="K45" i="4"/>
  <c r="G46" i="4"/>
  <c r="J46" i="4"/>
  <c r="Q5" i="4"/>
  <c r="G8" i="4"/>
  <c r="Q9" i="4"/>
  <c r="G11" i="4"/>
  <c r="K8" i="4"/>
  <c r="I10" i="4"/>
  <c r="Q11" i="4"/>
  <c r="I11" i="4"/>
  <c r="Q13" i="4"/>
  <c r="I13" i="4"/>
  <c r="K13" i="4"/>
  <c r="G14" i="4"/>
  <c r="J14" i="4"/>
  <c r="Q15" i="4"/>
  <c r="Q16" i="4"/>
  <c r="K17" i="4"/>
  <c r="J18" i="4"/>
  <c r="I19" i="4"/>
  <c r="G24" i="4"/>
  <c r="Q26" i="4"/>
  <c r="K27" i="4"/>
  <c r="K28" i="4"/>
  <c r="I31" i="4"/>
  <c r="J31" i="4"/>
  <c r="K31" i="4"/>
  <c r="Q33" i="4"/>
  <c r="I33" i="4"/>
  <c r="G34" i="4"/>
  <c r="G36" i="4"/>
  <c r="I36" i="4"/>
  <c r="J36" i="4"/>
  <c r="Q37" i="4"/>
  <c r="I39" i="4"/>
  <c r="K39" i="4"/>
  <c r="G42" i="4"/>
  <c r="G48" i="4"/>
  <c r="I51" i="4"/>
  <c r="I55" i="4"/>
  <c r="I58" i="4"/>
  <c r="G60" i="4"/>
  <c r="K61" i="4"/>
  <c r="J62" i="4"/>
  <c r="G63" i="4"/>
  <c r="K64" i="4"/>
  <c r="I68" i="4"/>
  <c r="J68" i="4"/>
  <c r="J69" i="4"/>
  <c r="Q71" i="4"/>
  <c r="K71" i="4"/>
  <c r="J76" i="4"/>
  <c r="I79" i="4"/>
  <c r="J79" i="4"/>
  <c r="G89" i="4"/>
  <c r="K90" i="4"/>
  <c r="I92" i="4"/>
  <c r="G93" i="4"/>
  <c r="I100" i="4"/>
  <c r="Q104" i="4"/>
  <c r="Q82" i="4"/>
  <c r="Q86" i="4"/>
  <c r="K55" i="4"/>
  <c r="J60" i="4"/>
  <c r="I61" i="4"/>
  <c r="G62" i="4"/>
  <c r="J65" i="4"/>
  <c r="G67" i="4"/>
  <c r="G68" i="4"/>
  <c r="I71" i="4"/>
  <c r="I74" i="4"/>
  <c r="G76" i="4"/>
  <c r="I77" i="4"/>
  <c r="K77" i="4"/>
  <c r="G78" i="4"/>
  <c r="J78" i="4"/>
  <c r="Q79" i="4"/>
  <c r="J91" i="4"/>
  <c r="K92" i="4"/>
  <c r="J93" i="4"/>
  <c r="I94" i="4"/>
  <c r="G95" i="4"/>
  <c r="I96" i="4"/>
  <c r="Q96" i="4"/>
  <c r="G97" i="4"/>
  <c r="K100" i="4"/>
  <c r="Q112" i="4"/>
  <c r="J52" i="4"/>
  <c r="Q53" i="4"/>
  <c r="I53" i="4"/>
  <c r="G54" i="4"/>
  <c r="G56" i="4"/>
  <c r="J56" i="4"/>
  <c r="Q57" i="4"/>
  <c r="K58" i="4"/>
  <c r="Q59" i="4"/>
  <c r="I59" i="4"/>
  <c r="K59" i="4"/>
  <c r="Q62" i="4"/>
  <c r="J63" i="4"/>
  <c r="I65" i="4"/>
  <c r="K65" i="4"/>
  <c r="G66" i="4"/>
  <c r="J66" i="4"/>
  <c r="Q68" i="4"/>
  <c r="K69" i="4"/>
  <c r="J70" i="4"/>
  <c r="G73" i="4"/>
  <c r="H73" i="4" s="1"/>
  <c r="I73" i="4"/>
  <c r="K73" i="4"/>
  <c r="G74" i="4"/>
  <c r="J74" i="4"/>
  <c r="K76" i="4"/>
  <c r="K98" i="4"/>
  <c r="J99" i="4"/>
  <c r="Q100" i="4"/>
  <c r="Q108" i="4"/>
  <c r="J102" i="4"/>
  <c r="G103" i="4"/>
  <c r="Q103" i="4"/>
  <c r="G104" i="4"/>
  <c r="K104" i="4"/>
  <c r="J106" i="4"/>
  <c r="G107" i="4"/>
  <c r="Q107" i="4"/>
  <c r="G108" i="4"/>
  <c r="K108" i="4"/>
  <c r="J110" i="4"/>
  <c r="G111" i="4"/>
  <c r="Q111" i="4"/>
  <c r="G112" i="4"/>
  <c r="K112" i="4"/>
  <c r="J114" i="4"/>
  <c r="K115" i="4"/>
  <c r="J116" i="4"/>
  <c r="I117" i="4"/>
  <c r="K121" i="4"/>
  <c r="K123" i="4"/>
  <c r="J124" i="4"/>
  <c r="I125" i="4"/>
  <c r="I102" i="4"/>
  <c r="I103" i="4"/>
  <c r="I106" i="4"/>
  <c r="I107" i="4"/>
  <c r="I110" i="4"/>
  <c r="I111" i="4"/>
  <c r="I114" i="4"/>
  <c r="K117" i="4"/>
  <c r="K119" i="4"/>
  <c r="J120" i="4"/>
  <c r="I121" i="4"/>
  <c r="K125" i="4"/>
  <c r="G122" i="4"/>
  <c r="J126" i="4"/>
  <c r="I127" i="4"/>
  <c r="Q127" i="4"/>
  <c r="Q4" i="4"/>
  <c r="J5" i="4"/>
  <c r="I8" i="4"/>
  <c r="G13" i="4"/>
  <c r="I14" i="4"/>
  <c r="K14" i="4"/>
  <c r="Q14" i="4"/>
  <c r="K16" i="4"/>
  <c r="G19" i="4"/>
  <c r="J19" i="4"/>
  <c r="Q20" i="4"/>
  <c r="J21" i="4"/>
  <c r="I24" i="4"/>
  <c r="G29" i="4"/>
  <c r="I30" i="4"/>
  <c r="K30" i="4"/>
  <c r="Q30" i="4"/>
  <c r="K32" i="4"/>
  <c r="G35" i="4"/>
  <c r="J35" i="4"/>
  <c r="Q36" i="4"/>
  <c r="J37" i="4"/>
  <c r="I40" i="4"/>
  <c r="G45" i="4"/>
  <c r="I46" i="4"/>
  <c r="K46" i="4"/>
  <c r="Q46" i="4"/>
  <c r="K48" i="4"/>
  <c r="J51" i="4"/>
  <c r="Q52" i="4"/>
  <c r="I56" i="4"/>
  <c r="G61" i="4"/>
  <c r="K62" i="4"/>
  <c r="J67" i="4"/>
  <c r="I72" i="4"/>
  <c r="G77" i="4"/>
  <c r="I78" i="4"/>
  <c r="K78" i="4"/>
  <c r="Q78" i="4"/>
  <c r="K4" i="4"/>
  <c r="G7" i="4"/>
  <c r="J7" i="4"/>
  <c r="Q8" i="4"/>
  <c r="J9" i="4"/>
  <c r="G17" i="4"/>
  <c r="I18" i="4"/>
  <c r="Q18" i="4"/>
  <c r="K20" i="4"/>
  <c r="G23" i="4"/>
  <c r="J25" i="4"/>
  <c r="G33" i="4"/>
  <c r="I34" i="4"/>
  <c r="K34" i="4"/>
  <c r="Q34" i="4"/>
  <c r="K36" i="4"/>
  <c r="G39" i="4"/>
  <c r="J39" i="4"/>
  <c r="Q40" i="4"/>
  <c r="J41" i="4"/>
  <c r="I44" i="4"/>
  <c r="G49" i="4"/>
  <c r="I50" i="4"/>
  <c r="K50" i="4"/>
  <c r="Q50" i="4"/>
  <c r="K52" i="4"/>
  <c r="G55" i="4"/>
  <c r="J55" i="4"/>
  <c r="Q56" i="4"/>
  <c r="J57" i="4"/>
  <c r="I60" i="4"/>
  <c r="G65" i="4"/>
  <c r="I66" i="4"/>
  <c r="K66" i="4"/>
  <c r="Q66" i="4"/>
  <c r="K68" i="4"/>
  <c r="G71" i="4"/>
  <c r="J71" i="4"/>
  <c r="Q72" i="4"/>
  <c r="J73" i="4"/>
  <c r="I76" i="4"/>
  <c r="G5" i="4"/>
  <c r="K6" i="4"/>
  <c r="Q6" i="4"/>
  <c r="J11" i="4"/>
  <c r="Q12" i="4"/>
  <c r="I16" i="4"/>
  <c r="G21" i="4"/>
  <c r="K22" i="4"/>
  <c r="Q22" i="4"/>
  <c r="J27" i="4"/>
  <c r="Q28" i="4"/>
  <c r="I32" i="4"/>
  <c r="G37" i="4"/>
  <c r="K38" i="4"/>
  <c r="Q38" i="4"/>
  <c r="J43" i="4"/>
  <c r="Q44" i="4"/>
  <c r="G53" i="4"/>
  <c r="I54" i="4"/>
  <c r="K54" i="4"/>
  <c r="Q54" i="4"/>
  <c r="K56" i="4"/>
  <c r="G59" i="4"/>
  <c r="J59" i="4"/>
  <c r="Q60" i="4"/>
  <c r="J61" i="4"/>
  <c r="I64" i="4"/>
  <c r="G69" i="4"/>
  <c r="I70" i="4"/>
  <c r="K70" i="4"/>
  <c r="Q70" i="4"/>
  <c r="K72" i="4"/>
  <c r="G75" i="4"/>
  <c r="J75" i="4"/>
  <c r="Q76" i="4"/>
  <c r="H22" i="4" l="1"/>
  <c r="H81" i="4"/>
  <c r="H56" i="4"/>
  <c r="H53" i="4"/>
  <c r="H15" i="4"/>
  <c r="H65" i="4"/>
  <c r="H69" i="4"/>
  <c r="H20" i="4"/>
  <c r="H151" i="4"/>
  <c r="H117" i="4"/>
  <c r="H99" i="4"/>
  <c r="H83" i="4"/>
  <c r="H57" i="4"/>
  <c r="H135" i="4"/>
  <c r="H23" i="4"/>
  <c r="H120" i="4"/>
  <c r="H38" i="4"/>
  <c r="H16" i="4"/>
  <c r="H52" i="4"/>
  <c r="H168" i="4"/>
  <c r="H189" i="4"/>
  <c r="H169" i="4"/>
  <c r="H194" i="4"/>
  <c r="H154" i="4"/>
  <c r="H51" i="4"/>
  <c r="H148" i="4"/>
  <c r="H76" i="4"/>
  <c r="H170" i="4"/>
  <c r="H166" i="4"/>
  <c r="H178" i="4"/>
  <c r="H103" i="4"/>
  <c r="H110" i="4"/>
  <c r="H86" i="4"/>
  <c r="H128" i="4"/>
  <c r="H185" i="4"/>
  <c r="H163" i="4"/>
  <c r="H192" i="4"/>
  <c r="H19" i="4"/>
  <c r="H90" i="4"/>
  <c r="H157" i="4"/>
  <c r="H39" i="4"/>
  <c r="H45" i="4"/>
  <c r="H121" i="4"/>
  <c r="H94" i="4"/>
  <c r="H172" i="4"/>
  <c r="H112" i="4"/>
  <c r="H181" i="4"/>
  <c r="H179" i="4"/>
  <c r="H182" i="4"/>
  <c r="H186" i="4"/>
  <c r="H93" i="4"/>
  <c r="H37" i="4"/>
  <c r="H98" i="4"/>
  <c r="H124" i="4"/>
  <c r="H156" i="4"/>
  <c r="H180" i="4"/>
  <c r="H77" i="4"/>
  <c r="H6" i="4"/>
  <c r="H193" i="4"/>
  <c r="H195" i="4"/>
  <c r="H74" i="4"/>
  <c r="H89" i="4"/>
  <c r="H36" i="4"/>
  <c r="H88" i="4"/>
  <c r="H167" i="4"/>
  <c r="H64" i="4"/>
  <c r="H5" i="4"/>
  <c r="H122" i="4"/>
  <c r="H24" i="4"/>
  <c r="H109" i="4"/>
  <c r="H150" i="4"/>
  <c r="H61" i="4"/>
  <c r="H10" i="4"/>
  <c r="H131" i="4"/>
  <c r="H107" i="4"/>
  <c r="H190" i="4"/>
  <c r="H127" i="4"/>
  <c r="H191" i="4"/>
  <c r="H30" i="4"/>
  <c r="H108" i="4"/>
  <c r="H62" i="4"/>
  <c r="H60" i="4"/>
  <c r="H34" i="4"/>
  <c r="H106" i="4"/>
  <c r="H82" i="4"/>
  <c r="H132" i="4"/>
  <c r="H139" i="4"/>
  <c r="H176" i="4"/>
  <c r="H161" i="4"/>
  <c r="H25" i="4"/>
  <c r="H59" i="4"/>
  <c r="H27" i="4"/>
  <c r="H50" i="4"/>
  <c r="H177" i="4"/>
  <c r="H126" i="4"/>
  <c r="H114" i="4"/>
  <c r="H116" i="4"/>
  <c r="H84" i="4"/>
  <c r="H133" i="4"/>
  <c r="H142" i="4"/>
  <c r="H160" i="4"/>
  <c r="H187" i="4"/>
  <c r="H184" i="4"/>
  <c r="H173" i="4"/>
  <c r="H26" i="4"/>
  <c r="H12" i="4"/>
  <c r="H43" i="4"/>
  <c r="H92" i="4"/>
  <c r="H115" i="4"/>
  <c r="H118" i="4"/>
  <c r="H138" i="4"/>
  <c r="H200" i="4"/>
  <c r="H162" i="4"/>
  <c r="H68" i="4"/>
  <c r="H87" i="4"/>
  <c r="H147" i="4"/>
  <c r="H66" i="4"/>
  <c r="H48" i="4"/>
  <c r="H14" i="4"/>
  <c r="H47" i="4"/>
  <c r="H70" i="4"/>
  <c r="H80" i="4"/>
  <c r="H140" i="4"/>
  <c r="H199" i="4"/>
  <c r="H153" i="4"/>
  <c r="H171" i="4"/>
  <c r="H175" i="4"/>
  <c r="H58" i="4"/>
  <c r="H134" i="4"/>
  <c r="H54" i="4"/>
  <c r="H105" i="4"/>
  <c r="H78" i="4"/>
  <c r="H49" i="4"/>
  <c r="H104" i="4"/>
  <c r="H97" i="4"/>
  <c r="H46" i="4"/>
  <c r="H102" i="4"/>
  <c r="H113" i="4"/>
  <c r="H101" i="4"/>
  <c r="H100" i="4"/>
  <c r="H125" i="4"/>
  <c r="H174" i="4"/>
  <c r="H198" i="4"/>
  <c r="H165" i="4"/>
  <c r="H119" i="4"/>
  <c r="H129" i="4"/>
  <c r="H158" i="4"/>
  <c r="H17" i="4"/>
  <c r="H111" i="4"/>
  <c r="H63" i="4"/>
  <c r="H31" i="4"/>
  <c r="H85" i="4"/>
  <c r="H197" i="4"/>
  <c r="H164" i="4"/>
  <c r="H152" i="4"/>
  <c r="H144" i="4"/>
  <c r="H67" i="4"/>
  <c r="H123" i="4"/>
  <c r="H141" i="4"/>
  <c r="H4" i="4"/>
  <c r="H35" i="4"/>
  <c r="H146" i="4"/>
  <c r="H3" i="4"/>
  <c r="H55" i="4"/>
  <c r="H11" i="4"/>
  <c r="H41" i="4"/>
  <c r="H28" i="4"/>
  <c r="H96" i="4"/>
  <c r="H143" i="4"/>
  <c r="H95" i="4"/>
  <c r="H196" i="4"/>
  <c r="H75" i="4"/>
  <c r="H7" i="4"/>
  <c r="H72" i="4"/>
  <c r="H71" i="4"/>
  <c r="H13" i="4"/>
  <c r="H8" i="4"/>
  <c r="H91" i="4"/>
  <c r="H18" i="4"/>
  <c r="H130" i="4"/>
  <c r="H136" i="4"/>
  <c r="H159" i="4"/>
  <c r="H145" i="4"/>
  <c r="H155" i="4"/>
  <c r="H21" i="4"/>
  <c r="H33" i="4"/>
  <c r="H9" i="4"/>
  <c r="H149" i="4"/>
  <c r="H29" i="4"/>
  <c r="H188" i="4"/>
  <c r="F166" i="4"/>
  <c r="H42" i="4"/>
  <c r="H40" i="4"/>
  <c r="H79" i="4"/>
  <c r="H137" i="4"/>
  <c r="H183" i="4"/>
  <c r="R48" i="4"/>
  <c r="E180" i="4"/>
  <c r="F180" i="4" s="1"/>
  <c r="E193" i="4"/>
  <c r="F193" i="4" s="1"/>
  <c r="E200" i="4"/>
  <c r="F200" i="4" s="1"/>
  <c r="E185" i="4"/>
  <c r="F185" i="4" s="1"/>
  <c r="E189" i="4"/>
  <c r="F189" i="4" s="1"/>
  <c r="E198" i="4"/>
  <c r="F198" i="4" s="1"/>
  <c r="E186" i="4"/>
  <c r="F186" i="4" s="1"/>
  <c r="E196" i="4"/>
  <c r="F196" i="4" s="1"/>
  <c r="E191" i="4"/>
  <c r="F191" i="4" s="1"/>
  <c r="E197" i="4"/>
  <c r="F197" i="4" s="1"/>
  <c r="E183" i="4"/>
  <c r="F183" i="4" s="1"/>
  <c r="E187" i="4"/>
  <c r="F187" i="4" s="1"/>
  <c r="E194" i="4"/>
  <c r="F194" i="4" s="1"/>
  <c r="E190" i="4"/>
  <c r="F190" i="4" s="1"/>
  <c r="E184" i="4"/>
  <c r="F184" i="4" s="1"/>
  <c r="E188" i="4"/>
  <c r="F188" i="4" s="1"/>
  <c r="E199" i="4"/>
  <c r="F199" i="4" s="1"/>
  <c r="E195" i="4"/>
  <c r="F195" i="4" s="1"/>
  <c r="E192" i="4"/>
  <c r="F192" i="4" s="1"/>
  <c r="E182" i="4"/>
  <c r="F182" i="4" s="1"/>
  <c r="E181" i="4"/>
  <c r="F181" i="4" s="1"/>
  <c r="E125" i="4"/>
  <c r="F125" i="4" s="1"/>
  <c r="E140" i="4"/>
  <c r="F140" i="4" s="1"/>
  <c r="E137" i="4"/>
  <c r="F137" i="4" s="1"/>
  <c r="E167" i="4"/>
  <c r="F167" i="4" s="1"/>
  <c r="E143" i="4"/>
  <c r="F143" i="4" s="1"/>
  <c r="E144" i="4"/>
  <c r="F144" i="4" s="1"/>
  <c r="E173" i="4"/>
  <c r="F173" i="4" s="1"/>
  <c r="E172" i="4"/>
  <c r="F172" i="4" s="1"/>
  <c r="E151" i="4"/>
  <c r="F151" i="4" s="1"/>
  <c r="E127" i="4"/>
  <c r="F127" i="4" s="1"/>
  <c r="E122" i="4"/>
  <c r="F122" i="4" s="1"/>
  <c r="E124" i="4"/>
  <c r="F124" i="4" s="1"/>
  <c r="E132" i="4"/>
  <c r="F132" i="4" s="1"/>
  <c r="E130" i="4"/>
  <c r="F130" i="4" s="1"/>
  <c r="R130" i="4"/>
  <c r="E141" i="4"/>
  <c r="F141" i="4" s="1"/>
  <c r="R141" i="4"/>
  <c r="E160" i="4"/>
  <c r="F160" i="4" s="1"/>
  <c r="E154" i="4"/>
  <c r="F154" i="4" s="1"/>
  <c r="E164" i="4"/>
  <c r="F164" i="4" s="1"/>
  <c r="E157" i="4"/>
  <c r="F157" i="4" s="1"/>
  <c r="E153" i="4"/>
  <c r="F153" i="4" s="1"/>
  <c r="E128" i="4"/>
  <c r="F128" i="4" s="1"/>
  <c r="E138" i="4"/>
  <c r="F138" i="4" s="1"/>
  <c r="E135" i="4"/>
  <c r="F135" i="4" s="1"/>
  <c r="E175" i="4"/>
  <c r="F175" i="4" s="1"/>
  <c r="E149" i="4"/>
  <c r="F149" i="4" s="1"/>
  <c r="E161" i="4"/>
  <c r="F161" i="4" s="1"/>
  <c r="E147" i="4"/>
  <c r="F147" i="4" s="1"/>
  <c r="E148" i="4"/>
  <c r="F148" i="4" s="1"/>
  <c r="R148" i="4"/>
  <c r="E133" i="4"/>
  <c r="F133" i="4" s="1"/>
  <c r="E177" i="4"/>
  <c r="F177" i="4" s="1"/>
  <c r="E156" i="4"/>
  <c r="F156" i="4" s="1"/>
  <c r="E179" i="4"/>
  <c r="F179" i="4" s="1"/>
  <c r="E123" i="4"/>
  <c r="F123" i="4" s="1"/>
  <c r="E126" i="4"/>
  <c r="F126" i="4" s="1"/>
  <c r="E134" i="4"/>
  <c r="F134" i="4" s="1"/>
  <c r="E131" i="4"/>
  <c r="F131" i="4" s="1"/>
  <c r="E163" i="4"/>
  <c r="F163" i="4" s="1"/>
  <c r="E159" i="4"/>
  <c r="F159" i="4" s="1"/>
  <c r="E171" i="4"/>
  <c r="F171" i="4" s="1"/>
  <c r="E170" i="4"/>
  <c r="F170" i="4" s="1"/>
  <c r="E155" i="4"/>
  <c r="F155" i="4" s="1"/>
  <c r="E168" i="4"/>
  <c r="F168" i="4" s="1"/>
  <c r="E129" i="4"/>
  <c r="F129" i="4" s="1"/>
  <c r="E139" i="4"/>
  <c r="F139" i="4" s="1"/>
  <c r="E165" i="4"/>
  <c r="F165" i="4" s="1"/>
  <c r="E158" i="4"/>
  <c r="F158" i="4" s="1"/>
  <c r="E169" i="4"/>
  <c r="F169" i="4" s="1"/>
  <c r="E162" i="4"/>
  <c r="F162" i="4" s="1"/>
  <c r="R162" i="4"/>
  <c r="E136" i="4"/>
  <c r="F136" i="4" s="1"/>
  <c r="E142" i="4"/>
  <c r="F142" i="4" s="1"/>
  <c r="E152" i="4"/>
  <c r="F152" i="4" s="1"/>
  <c r="E178" i="4"/>
  <c r="F178" i="4" s="1"/>
  <c r="E145" i="4"/>
  <c r="F145" i="4" s="1"/>
  <c r="E174" i="4"/>
  <c r="F174" i="4" s="1"/>
  <c r="E146" i="4"/>
  <c r="F146" i="4" s="1"/>
  <c r="E150" i="4"/>
  <c r="F150" i="4" s="1"/>
  <c r="R150" i="4"/>
  <c r="E176" i="4"/>
  <c r="F176" i="4" s="1"/>
  <c r="R105" i="4"/>
  <c r="R71" i="4"/>
  <c r="E121" i="4"/>
  <c r="F121" i="4" s="1"/>
  <c r="R15" i="4"/>
  <c r="R8" i="4"/>
  <c r="R76" i="4"/>
  <c r="R118" i="4"/>
  <c r="R79" i="4"/>
  <c r="R49" i="4"/>
  <c r="E71" i="4"/>
  <c r="F71" i="4" s="1"/>
  <c r="E25" i="4"/>
  <c r="F25" i="4" s="1"/>
  <c r="E107" i="4"/>
  <c r="F107" i="4" s="1"/>
  <c r="E97" i="4"/>
  <c r="F97" i="4" s="1"/>
  <c r="E83" i="4"/>
  <c r="F83" i="4" s="1"/>
  <c r="E10" i="4"/>
  <c r="F10" i="4" s="1"/>
  <c r="E89" i="4"/>
  <c r="F89" i="4" s="1"/>
  <c r="E18" i="4"/>
  <c r="F18" i="4" s="1"/>
  <c r="E40" i="4"/>
  <c r="F40" i="4" s="1"/>
  <c r="E53" i="4"/>
  <c r="F53" i="4" s="1"/>
  <c r="E78" i="4"/>
  <c r="F78" i="4" s="1"/>
  <c r="E58" i="4"/>
  <c r="F58" i="4" s="1"/>
  <c r="E38" i="4"/>
  <c r="F38" i="4" s="1"/>
  <c r="E6" i="4"/>
  <c r="F6" i="4" s="1"/>
  <c r="E66" i="4"/>
  <c r="F66" i="4" s="1"/>
  <c r="E55" i="4"/>
  <c r="F55" i="4" s="1"/>
  <c r="E37" i="4"/>
  <c r="F37" i="4" s="1"/>
  <c r="E33" i="4"/>
  <c r="F33" i="4" s="1"/>
  <c r="E43" i="4"/>
  <c r="F43" i="4" s="1"/>
  <c r="E68" i="4"/>
  <c r="F68" i="4" s="1"/>
  <c r="E101" i="4"/>
  <c r="F101" i="4" s="1"/>
  <c r="E77" i="4"/>
  <c r="F77" i="4" s="1"/>
  <c r="E87" i="4"/>
  <c r="F87" i="4" s="1"/>
  <c r="E50" i="4"/>
  <c r="F50" i="4" s="1"/>
  <c r="E31" i="4"/>
  <c r="F31" i="4" s="1"/>
  <c r="E16" i="4"/>
  <c r="F16" i="4" s="1"/>
  <c r="E91" i="4"/>
  <c r="F91" i="4" s="1"/>
  <c r="E85" i="4"/>
  <c r="F85" i="4" s="1"/>
  <c r="E65" i="4"/>
  <c r="F65" i="4" s="1"/>
  <c r="E3" i="4"/>
  <c r="F3" i="4" s="1"/>
  <c r="AX2" i="13"/>
  <c r="E102" i="4"/>
  <c r="F102" i="4" s="1"/>
  <c r="E70" i="4"/>
  <c r="F70" i="4" s="1"/>
  <c r="E108" i="4"/>
  <c r="F108" i="4" s="1"/>
  <c r="E57" i="4"/>
  <c r="F57" i="4" s="1"/>
  <c r="E52" i="4"/>
  <c r="F52" i="4" s="1"/>
  <c r="E15" i="4"/>
  <c r="F15" i="4" s="1"/>
  <c r="E11" i="4"/>
  <c r="F11" i="4" s="1"/>
  <c r="E4" i="4"/>
  <c r="F4" i="4" s="1"/>
  <c r="E51" i="4"/>
  <c r="F51" i="4" s="1"/>
  <c r="E117" i="4"/>
  <c r="F117" i="4" s="1"/>
  <c r="E111" i="4"/>
  <c r="F111" i="4" s="1"/>
  <c r="E114" i="4"/>
  <c r="F114" i="4" s="1"/>
  <c r="E93" i="4"/>
  <c r="F93" i="4" s="1"/>
  <c r="E13" i="4"/>
  <c r="F13" i="4" s="1"/>
  <c r="E59" i="4"/>
  <c r="F59" i="4" s="1"/>
  <c r="E17" i="4"/>
  <c r="F17" i="4" s="1"/>
  <c r="E90" i="4"/>
  <c r="F90" i="4" s="1"/>
  <c r="E28" i="4"/>
  <c r="F28" i="4" s="1"/>
  <c r="E29" i="4"/>
  <c r="F29" i="4" s="1"/>
  <c r="E26" i="4"/>
  <c r="F26" i="4" s="1"/>
  <c r="E113" i="4"/>
  <c r="F113" i="4" s="1"/>
  <c r="E86" i="4"/>
  <c r="F86" i="4" s="1"/>
  <c r="E60" i="4"/>
  <c r="F60" i="4" s="1"/>
  <c r="E64" i="4"/>
  <c r="F64" i="4" s="1"/>
  <c r="E96" i="4"/>
  <c r="F96" i="4" s="1"/>
  <c r="E32" i="4"/>
  <c r="F32" i="4" s="1"/>
  <c r="E7" i="4"/>
  <c r="F7" i="4" s="1"/>
  <c r="E105" i="4"/>
  <c r="F105" i="4" s="1"/>
  <c r="E95" i="4"/>
  <c r="F95" i="4" s="1"/>
  <c r="E54" i="4"/>
  <c r="F54" i="4" s="1"/>
  <c r="E88" i="4"/>
  <c r="F88" i="4" s="1"/>
  <c r="E8" i="4"/>
  <c r="F8" i="4" s="1"/>
  <c r="E44" i="4"/>
  <c r="F44" i="4" s="1"/>
  <c r="E24" i="4"/>
  <c r="F24" i="4" s="1"/>
  <c r="E94" i="4"/>
  <c r="F94" i="4" s="1"/>
  <c r="E20" i="4"/>
  <c r="F20" i="4" s="1"/>
  <c r="E36" i="4"/>
  <c r="F36" i="4" s="1"/>
  <c r="E23" i="4"/>
  <c r="F23" i="4" s="1"/>
  <c r="E100" i="4"/>
  <c r="F100" i="4" s="1"/>
  <c r="E115" i="4"/>
  <c r="F115" i="4" s="1"/>
  <c r="E47" i="4"/>
  <c r="F47" i="4" s="1"/>
  <c r="E27" i="4"/>
  <c r="F27" i="4" s="1"/>
  <c r="E81" i="4"/>
  <c r="F81" i="4" s="1"/>
  <c r="E39" i="4"/>
  <c r="F39" i="4" s="1"/>
  <c r="E118" i="4"/>
  <c r="F118" i="4" s="1"/>
  <c r="E112" i="4"/>
  <c r="F112" i="4" s="1"/>
  <c r="E56" i="4"/>
  <c r="F56" i="4" s="1"/>
  <c r="E34" i="4"/>
  <c r="F34" i="4" s="1"/>
  <c r="E14" i="4"/>
  <c r="F14" i="4" s="1"/>
  <c r="E74" i="4"/>
  <c r="F74" i="4" s="1"/>
  <c r="E42" i="4"/>
  <c r="F42" i="4" s="1"/>
  <c r="E22" i="4"/>
  <c r="F22" i="4" s="1"/>
  <c r="E104" i="4"/>
  <c r="F104" i="4" s="1"/>
  <c r="E75" i="4"/>
  <c r="F75" i="4" s="1"/>
  <c r="E98" i="4"/>
  <c r="F98" i="4" s="1"/>
  <c r="E48" i="4"/>
  <c r="F48" i="4" s="1"/>
  <c r="E41" i="4"/>
  <c r="F41" i="4" s="1"/>
  <c r="E21" i="4"/>
  <c r="F21" i="4" s="1"/>
  <c r="E9" i="4"/>
  <c r="F9" i="4" s="1"/>
  <c r="E116" i="4"/>
  <c r="F116" i="4" s="1"/>
  <c r="E73" i="4"/>
  <c r="F73" i="4" s="1"/>
  <c r="E109" i="4"/>
  <c r="F109" i="4" s="1"/>
  <c r="E63" i="4"/>
  <c r="F63" i="4" s="1"/>
  <c r="E110" i="4"/>
  <c r="F110" i="4" s="1"/>
  <c r="E106" i="4"/>
  <c r="F106" i="4" s="1"/>
  <c r="E80" i="4"/>
  <c r="F80" i="4" s="1"/>
  <c r="E46" i="4"/>
  <c r="F46" i="4" s="1"/>
  <c r="E61" i="4"/>
  <c r="F61" i="4" s="1"/>
  <c r="E62" i="4"/>
  <c r="F62" i="4" s="1"/>
  <c r="E76" i="4"/>
  <c r="F76" i="4" s="1"/>
  <c r="E30" i="4"/>
  <c r="F30" i="4" s="1"/>
  <c r="E12" i="4"/>
  <c r="F12" i="4" s="1"/>
  <c r="E67" i="4"/>
  <c r="F67" i="4" s="1"/>
  <c r="E79" i="4"/>
  <c r="F79" i="4" s="1"/>
  <c r="E72" i="4"/>
  <c r="F72" i="4" s="1"/>
  <c r="E19" i="4"/>
  <c r="F19" i="4" s="1"/>
  <c r="E45" i="4"/>
  <c r="F45" i="4" s="1"/>
  <c r="E35" i="4"/>
  <c r="F35" i="4" s="1"/>
  <c r="E5" i="4"/>
  <c r="F5" i="4" s="1"/>
  <c r="E99" i="4"/>
  <c r="F99" i="4" s="1"/>
  <c r="E103" i="4"/>
  <c r="F103" i="4" s="1"/>
  <c r="E84" i="4"/>
  <c r="F84" i="4" s="1"/>
  <c r="E69" i="4"/>
  <c r="F69" i="4" s="1"/>
  <c r="E49" i="4"/>
  <c r="F49" i="4" s="1"/>
  <c r="E92" i="4"/>
  <c r="F92" i="4" s="1"/>
  <c r="E82" i="4"/>
  <c r="F82" i="4" s="1"/>
  <c r="E119" i="4"/>
  <c r="F119" i="4" s="1"/>
  <c r="E120" i="4"/>
  <c r="F120" i="4" s="1"/>
  <c r="I151" i="4"/>
  <c r="I48" i="4"/>
  <c r="I82" i="4"/>
  <c r="AV2" i="13"/>
  <c r="AY2" i="13" s="1"/>
  <c r="BD2" i="13"/>
  <c r="AB3" i="4" s="1"/>
  <c r="BA2" i="13"/>
  <c r="BB2" i="13" s="1"/>
  <c r="AB133" i="4"/>
  <c r="AB134" i="4"/>
  <c r="AB123" i="4"/>
  <c r="AB112" i="4"/>
  <c r="AB120" i="4"/>
  <c r="AB172" i="4"/>
  <c r="AB180" i="4"/>
  <c r="AB159" i="4"/>
  <c r="AB193" i="4"/>
  <c r="AB160" i="4"/>
  <c r="AB152" i="4"/>
  <c r="AB200" i="4"/>
  <c r="AB185" i="4"/>
  <c r="AB178" i="4"/>
  <c r="AB154" i="4"/>
  <c r="AB145" i="4"/>
  <c r="AB190" i="4"/>
  <c r="AB184" i="4"/>
  <c r="AB174" i="4"/>
  <c r="AB164" i="4"/>
  <c r="AB157" i="4"/>
  <c r="AB146" i="4"/>
  <c r="AB189" i="4"/>
  <c r="AB150" i="4"/>
  <c r="AB153" i="4"/>
  <c r="AB119" i="4"/>
  <c r="AB115" i="4"/>
  <c r="AB125" i="4"/>
  <c r="AB131" i="4"/>
  <c r="AB116" i="4"/>
  <c r="AB127" i="4"/>
  <c r="AB121" i="4"/>
  <c r="AB122" i="4"/>
  <c r="AB110" i="4"/>
  <c r="AB118" i="4"/>
  <c r="AB129" i="4"/>
  <c r="AB139" i="4"/>
  <c r="AB140" i="4"/>
  <c r="AB137" i="4"/>
  <c r="AB188" i="4"/>
  <c r="AB167" i="4"/>
  <c r="AB198" i="4"/>
  <c r="AB186" i="4"/>
  <c r="AB175" i="4"/>
  <c r="AB149" i="4"/>
  <c r="AB161" i="4"/>
  <c r="AB147" i="4"/>
  <c r="AB148" i="4"/>
  <c r="AB166" i="4"/>
  <c r="AB199" i="4"/>
  <c r="AB176" i="4"/>
  <c r="AB117" i="4"/>
  <c r="AB111" i="4"/>
  <c r="AB128" i="4"/>
  <c r="AB114" i="4"/>
  <c r="AB124" i="4"/>
  <c r="AB132" i="4"/>
  <c r="AB130" i="4"/>
  <c r="AB136" i="4"/>
  <c r="AB141" i="4"/>
  <c r="AB142" i="4"/>
  <c r="AB196" i="4"/>
  <c r="AB163" i="4"/>
  <c r="AB177" i="4"/>
  <c r="AB195" i="4"/>
  <c r="AB171" i="4"/>
  <c r="AB156" i="4"/>
  <c r="AB179" i="4"/>
  <c r="AB170" i="4"/>
  <c r="AB155" i="4"/>
  <c r="AB192" i="4"/>
  <c r="AB151" i="4"/>
  <c r="AB168" i="4"/>
  <c r="AB182" i="4"/>
  <c r="AB126" i="4"/>
  <c r="AB113" i="4"/>
  <c r="R138" i="4"/>
  <c r="AB138" i="4"/>
  <c r="AB135" i="4"/>
  <c r="AB143" i="4"/>
  <c r="AB191" i="4"/>
  <c r="AB165" i="4"/>
  <c r="AB158" i="4"/>
  <c r="AB197" i="4"/>
  <c r="R183" i="4"/>
  <c r="AB183" i="4"/>
  <c r="AB144" i="4"/>
  <c r="AB181" i="4"/>
  <c r="AB173" i="4"/>
  <c r="AB169" i="4"/>
  <c r="AB162" i="4"/>
  <c r="AB187" i="4"/>
  <c r="AB194" i="4"/>
  <c r="AB100" i="4"/>
  <c r="AB95" i="4"/>
  <c r="AB102" i="4"/>
  <c r="AB104" i="4"/>
  <c r="AB98" i="4"/>
  <c r="AB94" i="4"/>
  <c r="AB99" i="4"/>
  <c r="AB103" i="4"/>
  <c r="AB93" i="4"/>
  <c r="AB91" i="4"/>
  <c r="AB106" i="4"/>
  <c r="AB96" i="4"/>
  <c r="AB107" i="4"/>
  <c r="AB97" i="4"/>
  <c r="AB109" i="4"/>
  <c r="AB101" i="4"/>
  <c r="AB108" i="4"/>
  <c r="AB105" i="4"/>
  <c r="R90" i="4"/>
  <c r="AB90" i="4"/>
  <c r="AB92" i="4"/>
  <c r="AB70" i="4"/>
  <c r="AB38" i="4"/>
  <c r="AB6" i="4"/>
  <c r="AB52" i="4"/>
  <c r="AB15" i="4"/>
  <c r="AB23" i="4"/>
  <c r="AB83" i="4"/>
  <c r="AB47" i="4"/>
  <c r="AB27" i="4"/>
  <c r="AB24" i="4"/>
  <c r="AB71" i="4"/>
  <c r="AB32" i="4"/>
  <c r="AB68" i="4"/>
  <c r="AB87" i="4"/>
  <c r="AB50" i="4"/>
  <c r="AB12" i="4"/>
  <c r="AB75" i="4"/>
  <c r="AB66" i="4"/>
  <c r="AB20" i="4"/>
  <c r="AB45" i="4"/>
  <c r="AB35" i="4"/>
  <c r="AB5" i="4"/>
  <c r="AB84" i="4"/>
  <c r="AB13" i="4"/>
  <c r="AB59" i="4"/>
  <c r="AB17" i="4"/>
  <c r="AB16" i="4"/>
  <c r="AB85" i="4"/>
  <c r="AB65" i="4"/>
  <c r="AB80" i="4"/>
  <c r="AB14" i="4"/>
  <c r="AB58" i="4"/>
  <c r="AB44" i="4"/>
  <c r="AB19" i="4"/>
  <c r="AB11" i="4"/>
  <c r="AB4" i="4"/>
  <c r="AB21" i="4"/>
  <c r="AB36" i="4"/>
  <c r="AB81" i="4"/>
  <c r="AB18" i="4"/>
  <c r="AB86" i="4"/>
  <c r="AB76" i="4"/>
  <c r="AB42" i="4"/>
  <c r="AB28" i="4"/>
  <c r="AB53" i="4"/>
  <c r="AB56" i="4"/>
  <c r="AB34" i="4"/>
  <c r="AB29" i="4"/>
  <c r="AB51" i="4"/>
  <c r="AB9" i="4"/>
  <c r="AB73" i="4"/>
  <c r="AB77" i="4"/>
  <c r="AB63" i="4"/>
  <c r="AB31" i="4"/>
  <c r="AB39" i="4"/>
  <c r="AB64" i="4"/>
  <c r="AB46" i="4"/>
  <c r="AB74" i="4"/>
  <c r="AB54" i="4"/>
  <c r="AB22" i="4"/>
  <c r="AB78" i="4"/>
  <c r="AB62" i="4"/>
  <c r="AB30" i="4"/>
  <c r="AB60" i="4"/>
  <c r="AB10" i="4"/>
  <c r="AB40" i="4"/>
  <c r="AB8" i="4"/>
  <c r="AB67" i="4"/>
  <c r="AB57" i="4"/>
  <c r="AB79" i="4"/>
  <c r="AB72" i="4"/>
  <c r="AB55" i="4"/>
  <c r="AB48" i="4"/>
  <c r="AB37" i="4"/>
  <c r="AB33" i="4"/>
  <c r="AB43" i="4"/>
  <c r="AB41" i="4"/>
  <c r="AB25" i="4"/>
  <c r="AB26" i="4"/>
  <c r="AB7" i="4"/>
  <c r="AB89" i="4"/>
  <c r="AB61" i="4"/>
  <c r="AB88" i="4"/>
  <c r="AB69" i="4"/>
  <c r="AB49" i="4"/>
  <c r="AB82" i="4"/>
  <c r="R153" i="4"/>
  <c r="Z11" i="7" a="1"/>
  <c r="Z11" i="7" s="1"/>
  <c r="Z32" i="7" a="1"/>
  <c r="Z32" i="7" s="1"/>
  <c r="Z8" i="7" a="1"/>
  <c r="Z8" i="7" s="1"/>
  <c r="Z16" i="7" a="1"/>
  <c r="Z16" i="7" s="1"/>
  <c r="Z22" i="7" a="1"/>
  <c r="Z22" i="7" s="1"/>
  <c r="Z35" i="7" a="1"/>
  <c r="Z35" i="7" s="1"/>
  <c r="Z43" i="7" a="1"/>
  <c r="Z43" i="7" s="1"/>
  <c r="Z44" i="7" a="1"/>
  <c r="Z44" i="7" s="1"/>
  <c r="Z51" i="7" a="1"/>
  <c r="Z51" i="7" s="1"/>
  <c r="Z10" i="7" a="1"/>
  <c r="Z10" i="7" s="1"/>
  <c r="Z26" i="7" a="1"/>
  <c r="Z26" i="7" s="1"/>
  <c r="Z7" i="7" a="1"/>
  <c r="Z7" i="7" s="1"/>
  <c r="Z15" i="7" a="1"/>
  <c r="Z15" i="7" s="1"/>
  <c r="Z21" i="7" a="1"/>
  <c r="Z21" i="7" s="1"/>
  <c r="Z31" i="7" a="1"/>
  <c r="Z31" i="7" s="1"/>
  <c r="Z42" i="7" a="1"/>
  <c r="Z42" i="7" s="1"/>
  <c r="Z50" i="7" a="1"/>
  <c r="Z50" i="7" s="1"/>
  <c r="Z57" i="7" a="1"/>
  <c r="Z57" i="7" s="1"/>
  <c r="Z62" i="7" a="1"/>
  <c r="Z62" i="7" s="1"/>
  <c r="Z20" i="7" a="1"/>
  <c r="Z20" i="7" s="1"/>
  <c r="Z14" i="7" a="1"/>
  <c r="Z14" i="7" s="1"/>
  <c r="Z30" i="7" a="1"/>
  <c r="Z30" i="7" s="1"/>
  <c r="Z47" i="7" a="1"/>
  <c r="Z47" i="7" s="1"/>
  <c r="Z48" i="7" a="1"/>
  <c r="Z48" i="7" s="1"/>
  <c r="Z53" i="7" a="1"/>
  <c r="Z53" i="7" s="1"/>
  <c r="Z59" i="7" a="1"/>
  <c r="Z59" i="7" s="1"/>
  <c r="Z61" i="7" a="1"/>
  <c r="Z61" i="7" s="1"/>
  <c r="Z64" i="7" a="1"/>
  <c r="Z64" i="7" s="1"/>
  <c r="Z67" i="7" a="1"/>
  <c r="Z67" i="7" s="1"/>
  <c r="Z71" i="7" a="1"/>
  <c r="Z71" i="7" s="1"/>
  <c r="Z75" i="7" a="1"/>
  <c r="Z75" i="7" s="1"/>
  <c r="Z79" i="7" a="1"/>
  <c r="Z79" i="7" s="1"/>
  <c r="Z83" i="7" a="1"/>
  <c r="Z83" i="7" s="1"/>
  <c r="Z13" i="7" a="1"/>
  <c r="Z13" i="7" s="1"/>
  <c r="Z9" i="7" a="1"/>
  <c r="Z9" i="7" s="1"/>
  <c r="Z24" i="7" a="1"/>
  <c r="Z24" i="7" s="1"/>
  <c r="Z45" i="7" a="1"/>
  <c r="Z45" i="7" s="1"/>
  <c r="Z66" i="7" a="1"/>
  <c r="Z66" i="7" s="1"/>
  <c r="Z70" i="7" a="1"/>
  <c r="Z70" i="7" s="1"/>
  <c r="Z74" i="7" a="1"/>
  <c r="Z74" i="7" s="1"/>
  <c r="Z78" i="7" a="1"/>
  <c r="Z78" i="7" s="1"/>
  <c r="Z82" i="7" a="1"/>
  <c r="Z82" i="7" s="1"/>
  <c r="Z86" i="7" a="1"/>
  <c r="Z86" i="7" s="1"/>
  <c r="Z91" i="7" a="1"/>
  <c r="Z91" i="7" s="1"/>
  <c r="Z95" i="7" a="1"/>
  <c r="Z95" i="7" s="1"/>
  <c r="Z4" i="7" a="1"/>
  <c r="Z4" i="7" s="1"/>
  <c r="Z18" i="7" a="1"/>
  <c r="Z18" i="7" s="1"/>
  <c r="Z56" i="7" a="1"/>
  <c r="Z56" i="7" s="1"/>
  <c r="Z54" i="7" a="1"/>
  <c r="Z54" i="7" s="1"/>
  <c r="Z60" i="7" a="1"/>
  <c r="Z60" i="7" s="1"/>
  <c r="Z69" i="7" a="1"/>
  <c r="Z69" i="7" s="1"/>
  <c r="Z77" i="7" a="1"/>
  <c r="Z77" i="7" s="1"/>
  <c r="Z85" i="7" a="1"/>
  <c r="Z85" i="7" s="1"/>
  <c r="Z89" i="7" a="1"/>
  <c r="Z89" i="7" s="1"/>
  <c r="Z92" i="7" a="1"/>
  <c r="Z92" i="7" s="1"/>
  <c r="Z100" i="7" a="1"/>
  <c r="Z100" i="7" s="1"/>
  <c r="Z105" i="7" a="1"/>
  <c r="Z105" i="7" s="1"/>
  <c r="Z110" i="7" a="1"/>
  <c r="Z110" i="7" s="1"/>
  <c r="Z111" i="7" a="1"/>
  <c r="Z111" i="7" s="1"/>
  <c r="Z115" i="7" a="1"/>
  <c r="Z115" i="7" s="1"/>
  <c r="Z49" i="7" a="1"/>
  <c r="Z49" i="7" s="1"/>
  <c r="Z33" i="7" a="1"/>
  <c r="Z33" i="7" s="1"/>
  <c r="Z36" i="7" a="1"/>
  <c r="Z36" i="7" s="1"/>
  <c r="Z63" i="7" a="1"/>
  <c r="Z63" i="7" s="1"/>
  <c r="Z68" i="7" a="1"/>
  <c r="Z68" i="7" s="1"/>
  <c r="Z76" i="7" a="1"/>
  <c r="Z76" i="7" s="1"/>
  <c r="Z84" i="7" a="1"/>
  <c r="Z84" i="7" s="1"/>
  <c r="Z87" i="7" a="1"/>
  <c r="Z87" i="7" s="1"/>
  <c r="Z90" i="7" a="1"/>
  <c r="Z90" i="7" s="1"/>
  <c r="Z93" i="7" a="1"/>
  <c r="Z93" i="7" s="1"/>
  <c r="Z96" i="7" a="1"/>
  <c r="Z96" i="7" s="1"/>
  <c r="Z99" i="7" a="1"/>
  <c r="Z99" i="7" s="1"/>
  <c r="Z103" i="7" a="1"/>
  <c r="Z103" i="7" s="1"/>
  <c r="Z104" i="7" a="1"/>
  <c r="Z104" i="7" s="1"/>
  <c r="Z109" i="7" a="1"/>
  <c r="Z109" i="7" s="1"/>
  <c r="Z52" i="7" a="1"/>
  <c r="Z52" i="7" s="1"/>
  <c r="Z6" i="7" a="1"/>
  <c r="Z6" i="7" s="1"/>
  <c r="Z38" i="7" a="1"/>
  <c r="Z38" i="7" s="1"/>
  <c r="Z65" i="7" a="1"/>
  <c r="Z65" i="7" s="1"/>
  <c r="Z73" i="7" a="1"/>
  <c r="Z73" i="7" s="1"/>
  <c r="Z81" i="7" a="1"/>
  <c r="Z81" i="7" s="1"/>
  <c r="Z88" i="7" a="1"/>
  <c r="Z88" i="7" s="1"/>
  <c r="Z94" i="7" a="1"/>
  <c r="Z94" i="7" s="1"/>
  <c r="Z98" i="7" a="1"/>
  <c r="Z98" i="7" s="1"/>
  <c r="Z102" i="7" a="1"/>
  <c r="Z102" i="7" s="1"/>
  <c r="Z107" i="7" a="1"/>
  <c r="Z107" i="7" s="1"/>
  <c r="Z108" i="7" a="1"/>
  <c r="Z108" i="7" s="1"/>
  <c r="Z80" i="7" a="1"/>
  <c r="Z80" i="7" s="1"/>
  <c r="Z97" i="7" a="1"/>
  <c r="Z97" i="7" s="1"/>
  <c r="Z106" i="7" a="1"/>
  <c r="Z106" i="7" s="1"/>
  <c r="Z112" i="7" a="1"/>
  <c r="Z112" i="7" s="1"/>
  <c r="Z113" i="7" a="1"/>
  <c r="Z113" i="7" s="1"/>
  <c r="Z116" i="7" a="1"/>
  <c r="Z116" i="7" s="1"/>
  <c r="Z118" i="7" a="1"/>
  <c r="Z118" i="7" s="1"/>
  <c r="Z123" i="7" a="1"/>
  <c r="Z123" i="7" s="1"/>
  <c r="Z127" i="7" a="1"/>
  <c r="Z127" i="7" s="1"/>
  <c r="Z131" i="7" a="1"/>
  <c r="Z131" i="7" s="1"/>
  <c r="Z135" i="7" a="1"/>
  <c r="Z135" i="7" s="1"/>
  <c r="Z139" i="7" a="1"/>
  <c r="Z139" i="7" s="1"/>
  <c r="Z143" i="7" a="1"/>
  <c r="Z143" i="7" s="1"/>
  <c r="Z147" i="7" a="1"/>
  <c r="Z147" i="7" s="1"/>
  <c r="Z152" i="7" a="1"/>
  <c r="Z152" i="7" s="1"/>
  <c r="Z156" i="7" a="1"/>
  <c r="Z156" i="7" s="1"/>
  <c r="Z160" i="7" a="1"/>
  <c r="Z160" i="7" s="1"/>
  <c r="Z164" i="7" a="1"/>
  <c r="Z164" i="7" s="1"/>
  <c r="Z168" i="7" a="1"/>
  <c r="Z168" i="7" s="1"/>
  <c r="Z173" i="7" a="1"/>
  <c r="Z173" i="7" s="1"/>
  <c r="Z177" i="7" a="1"/>
  <c r="Z177" i="7" s="1"/>
  <c r="Z181" i="7" a="1"/>
  <c r="Z181" i="7" s="1"/>
  <c r="Z189" i="7" a="1"/>
  <c r="Z189" i="7" s="1"/>
  <c r="Z193" i="7" a="1"/>
  <c r="Z193" i="7" s="1"/>
  <c r="Z197" i="7" a="1"/>
  <c r="Z197" i="7" s="1"/>
  <c r="Z72" i="7" a="1"/>
  <c r="Z72" i="7" s="1"/>
  <c r="Z114" i="7" a="1"/>
  <c r="Z114" i="7" s="1"/>
  <c r="Z117" i="7" a="1"/>
  <c r="Z117" i="7" s="1"/>
  <c r="Z121" i="7" a="1"/>
  <c r="Z121" i="7" s="1"/>
  <c r="Z122" i="7" a="1"/>
  <c r="Z122" i="7" s="1"/>
  <c r="Z126" i="7" a="1"/>
  <c r="Z126" i="7" s="1"/>
  <c r="Z130" i="7" a="1"/>
  <c r="Z130" i="7" s="1"/>
  <c r="Z134" i="7" a="1"/>
  <c r="Z134" i="7" s="1"/>
  <c r="Z138" i="7" a="1"/>
  <c r="Z138" i="7" s="1"/>
  <c r="Z142" i="7" a="1"/>
  <c r="Z142" i="7" s="1"/>
  <c r="Z146" i="7" a="1"/>
  <c r="Z146" i="7" s="1"/>
  <c r="Z151" i="7" a="1"/>
  <c r="Z151" i="7" s="1"/>
  <c r="Z155" i="7" a="1"/>
  <c r="Z155" i="7" s="1"/>
  <c r="Z159" i="7" a="1"/>
  <c r="Z159" i="7" s="1"/>
  <c r="Z163" i="7" a="1"/>
  <c r="Z163" i="7" s="1"/>
  <c r="Z58" i="7" a="1"/>
  <c r="Z58" i="7" s="1"/>
  <c r="Z120" i="7" a="1"/>
  <c r="Z120" i="7" s="1"/>
  <c r="Z125" i="7" a="1"/>
  <c r="Z125" i="7" s="1"/>
  <c r="Z129" i="7" a="1"/>
  <c r="Z129" i="7" s="1"/>
  <c r="Z133" i="7" a="1"/>
  <c r="Z133" i="7" s="1"/>
  <c r="Z137" i="7" a="1"/>
  <c r="Z137" i="7" s="1"/>
  <c r="Z136" i="7" a="1"/>
  <c r="Z136" i="7" s="1"/>
  <c r="Z140" i="7" a="1"/>
  <c r="Z140" i="7" s="1"/>
  <c r="Z148" i="7" a="1"/>
  <c r="Z148" i="7" s="1"/>
  <c r="Z157" i="7" a="1"/>
  <c r="Z157" i="7" s="1"/>
  <c r="Z170" i="7" a="1"/>
  <c r="Z170" i="7" s="1"/>
  <c r="Z180" i="7" a="1"/>
  <c r="Z180" i="7" s="1"/>
  <c r="Z187" i="7" a="1"/>
  <c r="Z187" i="7" s="1"/>
  <c r="Z190" i="7" a="1"/>
  <c r="Z190" i="7" s="1"/>
  <c r="Z17" i="7" a="1"/>
  <c r="Z17" i="7" s="1"/>
  <c r="Z132" i="7" a="1"/>
  <c r="Z132" i="7" s="1"/>
  <c r="Z145" i="7" a="1"/>
  <c r="Z145" i="7" s="1"/>
  <c r="Z154" i="7" a="1"/>
  <c r="Z154" i="7" s="1"/>
  <c r="Z162" i="7" a="1"/>
  <c r="Z162" i="7" s="1"/>
  <c r="Z165" i="7" a="1"/>
  <c r="Z165" i="7" s="1"/>
  <c r="Z171" i="7" a="1"/>
  <c r="Z171" i="7" s="1"/>
  <c r="Z174" i="7" a="1"/>
  <c r="Z174" i="7" s="1"/>
  <c r="Z183" i="7" a="1"/>
  <c r="Z183" i="7" s="1"/>
  <c r="Z185" i="7" a="1"/>
  <c r="Z185" i="7" s="1"/>
  <c r="Z188" i="7" a="1"/>
  <c r="Z188" i="7" s="1"/>
  <c r="Z191" i="7" a="1"/>
  <c r="Z191" i="7" s="1"/>
  <c r="Z194" i="7" a="1"/>
  <c r="Z194" i="7" s="1"/>
  <c r="Z200" i="7" a="1"/>
  <c r="Z200" i="7" s="1"/>
  <c r="Z23" i="7" a="1"/>
  <c r="Z23" i="7" s="1"/>
  <c r="Z29" i="7" a="1"/>
  <c r="Z29" i="7" s="1"/>
  <c r="Z41" i="7" a="1"/>
  <c r="Z41" i="7" s="1"/>
  <c r="Z161" i="7" a="1"/>
  <c r="Z161" i="7" s="1"/>
  <c r="Z192" i="7" a="1"/>
  <c r="Z192" i="7" s="1"/>
  <c r="Z195" i="7" a="1"/>
  <c r="Z195" i="7" s="1"/>
  <c r="Z198" i="7" a="1"/>
  <c r="Z198" i="7" s="1"/>
  <c r="Z5" i="7" a="1"/>
  <c r="Z5" i="7" s="1"/>
  <c r="Z37" i="7" a="1"/>
  <c r="Z37" i="7" s="1"/>
  <c r="Z55" i="7" a="1"/>
  <c r="Z55" i="7" s="1"/>
  <c r="Z141" i="7" a="1"/>
  <c r="Z141" i="7" s="1"/>
  <c r="Z150" i="7" a="1"/>
  <c r="Z150" i="7" s="1"/>
  <c r="Z167" i="7" a="1"/>
  <c r="Z167" i="7" s="1"/>
  <c r="Z176" i="7" a="1"/>
  <c r="Z176" i="7" s="1"/>
  <c r="Z179" i="7" a="1"/>
  <c r="Z179" i="7" s="1"/>
  <c r="Z182" i="7" a="1"/>
  <c r="Z182" i="7" s="1"/>
  <c r="Z186" i="7" a="1"/>
  <c r="Z186" i="7" s="1"/>
  <c r="Z199" i="7" a="1"/>
  <c r="Z199" i="7" s="1"/>
  <c r="Z12" i="7" a="1"/>
  <c r="Z12" i="7" s="1"/>
  <c r="Z25" i="7" a="1"/>
  <c r="Z25" i="7" s="1"/>
  <c r="Z39" i="7" a="1"/>
  <c r="Z39" i="7" s="1"/>
  <c r="Z46" i="7" a="1"/>
  <c r="Z46" i="7" s="1"/>
  <c r="Z119" i="7" a="1"/>
  <c r="Z119" i="7" s="1"/>
  <c r="Z128" i="7" a="1"/>
  <c r="Z128" i="7" s="1"/>
  <c r="Z144" i="7" a="1"/>
  <c r="Z144" i="7" s="1"/>
  <c r="Z153" i="7" a="1"/>
  <c r="Z153" i="7" s="1"/>
  <c r="Z166" i="7" a="1"/>
  <c r="Z166" i="7" s="1"/>
  <c r="Z169" i="7" a="1"/>
  <c r="Z169" i="7" s="1"/>
  <c r="Z172" i="7" a="1"/>
  <c r="Z172" i="7" s="1"/>
  <c r="Z175" i="7" a="1"/>
  <c r="Z175" i="7" s="1"/>
  <c r="Z178" i="7" a="1"/>
  <c r="Z178" i="7" s="1"/>
  <c r="Z19" i="7" a="1"/>
  <c r="Z19" i="7" s="1"/>
  <c r="Z27" i="7" a="1"/>
  <c r="Z27" i="7" s="1"/>
  <c r="Z34" i="7" a="1"/>
  <c r="Z34" i="7" s="1"/>
  <c r="Z40" i="7" a="1"/>
  <c r="Z40" i="7" s="1"/>
  <c r="Z124" i="7" a="1"/>
  <c r="Z124" i="7" s="1"/>
  <c r="Z149" i="7" a="1"/>
  <c r="Z149" i="7" s="1"/>
  <c r="Z158" i="7" a="1"/>
  <c r="Z158" i="7" s="1"/>
  <c r="Z184" i="7" a="1"/>
  <c r="Z184" i="7" s="1"/>
  <c r="Z196" i="7" a="1"/>
  <c r="Z196" i="7" s="1"/>
  <c r="Z101" i="7" a="1"/>
  <c r="Z101" i="7" s="1"/>
  <c r="Z28" i="7" a="1"/>
  <c r="Z28" i="7" s="1"/>
  <c r="Z3" i="7" a="1"/>
  <c r="Z3" i="7" s="1"/>
  <c r="Y10" i="7" a="1"/>
  <c r="Y10" i="7" s="1"/>
  <c r="Y26" i="7" a="1"/>
  <c r="Y26" i="7" s="1"/>
  <c r="Y7" i="7" a="1"/>
  <c r="Y7" i="7" s="1"/>
  <c r="Y15" i="7" a="1"/>
  <c r="Y15" i="7" s="1"/>
  <c r="Y21" i="7" a="1"/>
  <c r="Y21" i="7" s="1"/>
  <c r="Y31" i="7" a="1"/>
  <c r="Y31" i="7" s="1"/>
  <c r="Y42" i="7" a="1"/>
  <c r="Y42" i="7" s="1"/>
  <c r="Y50" i="7" a="1"/>
  <c r="Y50" i="7" s="1"/>
  <c r="Y52" i="7" a="1"/>
  <c r="Y52" i="7" s="1"/>
  <c r="Y4" i="7" a="1"/>
  <c r="Y4" i="7" s="1"/>
  <c r="Y20" i="7" a="1"/>
  <c r="Y20" i="7" s="1"/>
  <c r="Y6" i="7" a="1"/>
  <c r="Y6" i="7" s="1"/>
  <c r="Y14" i="7" a="1"/>
  <c r="Y14" i="7" s="1"/>
  <c r="Y18" i="7" a="1"/>
  <c r="Y18" i="7" s="1"/>
  <c r="Y30" i="7" a="1"/>
  <c r="Y30" i="7" s="1"/>
  <c r="Y38" i="7" a="1"/>
  <c r="Y38" i="7" s="1"/>
  <c r="Y47" i="7" a="1"/>
  <c r="Y47" i="7" s="1"/>
  <c r="Y48" i="7" a="1"/>
  <c r="Y48" i="7" s="1"/>
  <c r="Y56" i="7" a="1"/>
  <c r="Y56" i="7" s="1"/>
  <c r="Y59" i="7" a="1"/>
  <c r="Y59" i="7" s="1"/>
  <c r="Y60" i="7" a="1"/>
  <c r="Y60" i="7" s="1"/>
  <c r="Y61" i="7" a="1"/>
  <c r="Y61" i="7" s="1"/>
  <c r="Y13" i="7" a="1"/>
  <c r="Y13" i="7" s="1"/>
  <c r="Y9" i="7" a="1"/>
  <c r="Y9" i="7" s="1"/>
  <c r="Y24" i="7" a="1"/>
  <c r="Y24" i="7" s="1"/>
  <c r="Y45" i="7" a="1"/>
  <c r="Y45" i="7" s="1"/>
  <c r="Y66" i="7" a="1"/>
  <c r="Y66" i="7" s="1"/>
  <c r="Y70" i="7" a="1"/>
  <c r="Y70" i="7" s="1"/>
  <c r="Y74" i="7" a="1"/>
  <c r="Y74" i="7" s="1"/>
  <c r="Y78" i="7" a="1"/>
  <c r="Y78" i="7" s="1"/>
  <c r="Y82" i="7" a="1"/>
  <c r="Y82" i="7" s="1"/>
  <c r="Y86" i="7" a="1"/>
  <c r="Y86" i="7" s="1"/>
  <c r="Y11" i="7" a="1"/>
  <c r="Y11" i="7" s="1"/>
  <c r="Y8" i="7" a="1"/>
  <c r="Y8" i="7" s="1"/>
  <c r="Y22" i="7" a="1"/>
  <c r="Y22" i="7" s="1"/>
  <c r="Y43" i="7" a="1"/>
  <c r="Y43" i="7" s="1"/>
  <c r="Y44" i="7" a="1"/>
  <c r="Y44" i="7" s="1"/>
  <c r="Y54" i="7" a="1"/>
  <c r="Y54" i="7" s="1"/>
  <c r="Y62" i="7" a="1"/>
  <c r="Y62" i="7" s="1"/>
  <c r="Y65" i="7" a="1"/>
  <c r="Y65" i="7" s="1"/>
  <c r="Y69" i="7" a="1"/>
  <c r="Y69" i="7" s="1"/>
  <c r="Y73" i="7" a="1"/>
  <c r="Y73" i="7" s="1"/>
  <c r="Y77" i="7" a="1"/>
  <c r="Y77" i="7" s="1"/>
  <c r="Y81" i="7" a="1"/>
  <c r="Y81" i="7" s="1"/>
  <c r="Y85" i="7" a="1"/>
  <c r="Y85" i="7" s="1"/>
  <c r="Y90" i="7" a="1"/>
  <c r="Y90" i="7" s="1"/>
  <c r="Y94" i="7" a="1"/>
  <c r="Y94" i="7" s="1"/>
  <c r="Y49" i="7" a="1"/>
  <c r="Y49" i="7" s="1"/>
  <c r="Y33" i="7" a="1"/>
  <c r="Y33" i="7" s="1"/>
  <c r="Y36" i="7" a="1"/>
  <c r="Y36" i="7" s="1"/>
  <c r="Y63" i="7" a="1"/>
  <c r="Y63" i="7" s="1"/>
  <c r="Y68" i="7" a="1"/>
  <c r="Y68" i="7" s="1"/>
  <c r="Y76" i="7" a="1"/>
  <c r="Y76" i="7" s="1"/>
  <c r="Y84" i="7" a="1"/>
  <c r="Y84" i="7" s="1"/>
  <c r="Y87" i="7" a="1"/>
  <c r="Y87" i="7" s="1"/>
  <c r="Y93" i="7" a="1"/>
  <c r="Y93" i="7" s="1"/>
  <c r="Y96" i="7" a="1"/>
  <c r="Y96" i="7" s="1"/>
  <c r="Y99" i="7" a="1"/>
  <c r="Y99" i="7" s="1"/>
  <c r="Y103" i="7" a="1"/>
  <c r="Y103" i="7" s="1"/>
  <c r="Y104" i="7" a="1"/>
  <c r="Y104" i="7" s="1"/>
  <c r="Y109" i="7" a="1"/>
  <c r="Y109" i="7" s="1"/>
  <c r="Y114" i="7" a="1"/>
  <c r="Y114" i="7" s="1"/>
  <c r="Y16" i="7" a="1"/>
  <c r="Y16" i="7" s="1"/>
  <c r="Y51" i="7" a="1"/>
  <c r="Y51" i="7" s="1"/>
  <c r="Y53" i="7" a="1"/>
  <c r="Y53" i="7" s="1"/>
  <c r="Y67" i="7" a="1"/>
  <c r="Y67" i="7" s="1"/>
  <c r="Y75" i="7" a="1"/>
  <c r="Y75" i="7" s="1"/>
  <c r="Y83" i="7" a="1"/>
  <c r="Y83" i="7" s="1"/>
  <c r="Y88" i="7" a="1"/>
  <c r="Y88" i="7" s="1"/>
  <c r="Y98" i="7" a="1"/>
  <c r="Y98" i="7" s="1"/>
  <c r="Y102" i="7" a="1"/>
  <c r="Y102" i="7" s="1"/>
  <c r="Y107" i="7" a="1"/>
  <c r="Y107" i="7" s="1"/>
  <c r="Y108" i="7" a="1"/>
  <c r="Y108" i="7" s="1"/>
  <c r="Y17" i="7" a="1"/>
  <c r="Y17" i="7" s="1"/>
  <c r="Y55" i="7" a="1"/>
  <c r="Y55" i="7" s="1"/>
  <c r="Y57" i="7" a="1"/>
  <c r="Y57" i="7" s="1"/>
  <c r="Y58" i="7" a="1"/>
  <c r="Y58" i="7" s="1"/>
  <c r="Y72" i="7" a="1"/>
  <c r="Y72" i="7" s="1"/>
  <c r="Y80" i="7" a="1"/>
  <c r="Y80" i="7" s="1"/>
  <c r="Y91" i="7" a="1"/>
  <c r="Y91" i="7" s="1"/>
  <c r="Y97" i="7" a="1"/>
  <c r="Y97" i="7" s="1"/>
  <c r="Y101" i="7" a="1"/>
  <c r="Y101" i="7" s="1"/>
  <c r="Y106" i="7" a="1"/>
  <c r="Y106" i="7" s="1"/>
  <c r="Y112" i="7" a="1"/>
  <c r="Y112" i="7" s="1"/>
  <c r="Y71" i="7" a="1"/>
  <c r="Y71" i="7" s="1"/>
  <c r="Y117" i="7" a="1"/>
  <c r="Y117" i="7" s="1"/>
  <c r="Y121" i="7" a="1"/>
  <c r="Y121" i="7" s="1"/>
  <c r="Y126" i="7" a="1"/>
  <c r="Y126" i="7" s="1"/>
  <c r="Y130" i="7" a="1"/>
  <c r="Y130" i="7" s="1"/>
  <c r="Y134" i="7" a="1"/>
  <c r="Y134" i="7" s="1"/>
  <c r="Y138" i="7" a="1"/>
  <c r="Y138" i="7" s="1"/>
  <c r="Y142" i="7" a="1"/>
  <c r="Y142" i="7" s="1"/>
  <c r="Y146" i="7" a="1"/>
  <c r="Y146" i="7" s="1"/>
  <c r="Y151" i="7" a="1"/>
  <c r="Y151" i="7" s="1"/>
  <c r="Y155" i="7" a="1"/>
  <c r="Y155" i="7" s="1"/>
  <c r="Y159" i="7" a="1"/>
  <c r="Y159" i="7" s="1"/>
  <c r="Y163" i="7" a="1"/>
  <c r="Y163" i="7" s="1"/>
  <c r="Y167" i="7" a="1"/>
  <c r="Y167" i="7" s="1"/>
  <c r="Y172" i="7" a="1"/>
  <c r="Y172" i="7" s="1"/>
  <c r="Y176" i="7" a="1"/>
  <c r="Y176" i="7" s="1"/>
  <c r="Y180" i="7" a="1"/>
  <c r="Y180" i="7" s="1"/>
  <c r="Y188" i="7" a="1"/>
  <c r="Y188" i="7" s="1"/>
  <c r="Y192" i="7" a="1"/>
  <c r="Y192" i="7" s="1"/>
  <c r="Y196" i="7" a="1"/>
  <c r="Y196" i="7" s="1"/>
  <c r="Y89" i="7" a="1"/>
  <c r="Y89" i="7" s="1"/>
  <c r="Y92" i="7" a="1"/>
  <c r="Y92" i="7" s="1"/>
  <c r="Y95" i="7" a="1"/>
  <c r="Y95" i="7" s="1"/>
  <c r="Y100" i="7" a="1"/>
  <c r="Y100" i="7" s="1"/>
  <c r="Y111" i="7" a="1"/>
  <c r="Y111" i="7" s="1"/>
  <c r="Y120" i="7" a="1"/>
  <c r="Y120" i="7" s="1"/>
  <c r="Y125" i="7" a="1"/>
  <c r="Y125" i="7" s="1"/>
  <c r="Y129" i="7" a="1"/>
  <c r="Y129" i="7" s="1"/>
  <c r="Y133" i="7" a="1"/>
  <c r="Y133" i="7" s="1"/>
  <c r="Y137" i="7" a="1"/>
  <c r="Y137" i="7" s="1"/>
  <c r="Y141" i="7" a="1"/>
  <c r="Y141" i="7" s="1"/>
  <c r="Y145" i="7" a="1"/>
  <c r="Y145" i="7" s="1"/>
  <c r="Y149" i="7" a="1"/>
  <c r="Y149" i="7" s="1"/>
  <c r="Y150" i="7" a="1"/>
  <c r="Y150" i="7" s="1"/>
  <c r="Y154" i="7" a="1"/>
  <c r="Y154" i="7" s="1"/>
  <c r="Y158" i="7" a="1"/>
  <c r="Y158" i="7" s="1"/>
  <c r="Y162" i="7" a="1"/>
  <c r="Y162" i="7" s="1"/>
  <c r="Y35" i="7" a="1"/>
  <c r="Y35" i="7" s="1"/>
  <c r="Y64" i="7" a="1"/>
  <c r="Y64" i="7" s="1"/>
  <c r="Y105" i="7" a="1"/>
  <c r="Y105" i="7" s="1"/>
  <c r="Y115" i="7" a="1"/>
  <c r="Y115" i="7" s="1"/>
  <c r="Y119" i="7" a="1"/>
  <c r="Y119" i="7" s="1"/>
  <c r="Y124" i="7" a="1"/>
  <c r="Y124" i="7" s="1"/>
  <c r="Y128" i="7" a="1"/>
  <c r="Y128" i="7" s="1"/>
  <c r="Y132" i="7" a="1"/>
  <c r="Y132" i="7" s="1"/>
  <c r="Y136" i="7" a="1"/>
  <c r="Y136" i="7" s="1"/>
  <c r="Y32" i="7" a="1"/>
  <c r="Y32" i="7" s="1"/>
  <c r="Y79" i="7" a="1"/>
  <c r="Y79" i="7" s="1"/>
  <c r="Y118" i="7" a="1"/>
  <c r="Y118" i="7" s="1"/>
  <c r="Y127" i="7" a="1"/>
  <c r="Y127" i="7" s="1"/>
  <c r="Y139" i="7" a="1"/>
  <c r="Y139" i="7" s="1"/>
  <c r="Y147" i="7" a="1"/>
  <c r="Y147" i="7" s="1"/>
  <c r="Y156" i="7" a="1"/>
  <c r="Y156" i="7" s="1"/>
  <c r="Y164" i="7" a="1"/>
  <c r="Y164" i="7" s="1"/>
  <c r="Y165" i="7" a="1"/>
  <c r="Y165" i="7" s="1"/>
  <c r="Y168" i="7" a="1"/>
  <c r="Y168" i="7" s="1"/>
  <c r="Y171" i="7" a="1"/>
  <c r="Y171" i="7" s="1"/>
  <c r="Y174" i="7" a="1"/>
  <c r="Y174" i="7" s="1"/>
  <c r="Y177" i="7" a="1"/>
  <c r="Y177" i="7" s="1"/>
  <c r="Y183" i="7" a="1"/>
  <c r="Y183" i="7" s="1"/>
  <c r="Y185" i="7" a="1"/>
  <c r="Y185" i="7" s="1"/>
  <c r="Y191" i="7" a="1"/>
  <c r="Y191" i="7" s="1"/>
  <c r="Y194" i="7" a="1"/>
  <c r="Y194" i="7" s="1"/>
  <c r="Y113" i="7" a="1"/>
  <c r="Y113" i="7" s="1"/>
  <c r="Y116" i="7" a="1"/>
  <c r="Y116" i="7" s="1"/>
  <c r="Y123" i="7" a="1"/>
  <c r="Y123" i="7" s="1"/>
  <c r="Y144" i="7" a="1"/>
  <c r="Y144" i="7" s="1"/>
  <c r="Y153" i="7" a="1"/>
  <c r="Y153" i="7" s="1"/>
  <c r="Y161" i="7" a="1"/>
  <c r="Y161" i="7" s="1"/>
  <c r="Y166" i="7" a="1"/>
  <c r="Y166" i="7" s="1"/>
  <c r="Y169" i="7" a="1"/>
  <c r="Y169" i="7" s="1"/>
  <c r="Y175" i="7" a="1"/>
  <c r="Y175" i="7" s="1"/>
  <c r="Y178" i="7" a="1"/>
  <c r="Y178" i="7" s="1"/>
  <c r="Y181" i="7" a="1"/>
  <c r="Y181" i="7" s="1"/>
  <c r="Y195" i="7" a="1"/>
  <c r="Y195" i="7" s="1"/>
  <c r="Y199" i="7" a="1"/>
  <c r="Y199" i="7" s="1"/>
  <c r="Y19" i="7" a="1"/>
  <c r="Y19" i="7" s="1"/>
  <c r="Y28" i="7" a="1"/>
  <c r="Y28" i="7" s="1"/>
  <c r="Y40" i="7" a="1"/>
  <c r="Y40" i="7" s="1"/>
  <c r="Y135" i="7" a="1"/>
  <c r="Y135" i="7" s="1"/>
  <c r="Y143" i="7" a="1"/>
  <c r="Y143" i="7" s="1"/>
  <c r="Y152" i="7" a="1"/>
  <c r="Y152" i="7" s="1"/>
  <c r="Y170" i="7" a="1"/>
  <c r="Y170" i="7" s="1"/>
  <c r="Y179" i="7" a="1"/>
  <c r="Y179" i="7" s="1"/>
  <c r="Y182" i="7" a="1"/>
  <c r="Y182" i="7" s="1"/>
  <c r="Y186" i="7" a="1"/>
  <c r="Y186" i="7" s="1"/>
  <c r="Y189" i="7" a="1"/>
  <c r="Y189" i="7" s="1"/>
  <c r="Y12" i="7" a="1"/>
  <c r="Y12" i="7" s="1"/>
  <c r="Y25" i="7" a="1"/>
  <c r="Y25" i="7" s="1"/>
  <c r="Y29" i="7" a="1"/>
  <c r="Y29" i="7" s="1"/>
  <c r="Y39" i="7" a="1"/>
  <c r="Y39" i="7" s="1"/>
  <c r="Y110" i="7" a="1"/>
  <c r="Y110" i="7" s="1"/>
  <c r="Y122" i="7" a="1"/>
  <c r="Y122" i="7" s="1"/>
  <c r="Y131" i="7" a="1"/>
  <c r="Y131" i="7" s="1"/>
  <c r="Y148" i="7" a="1"/>
  <c r="Y148" i="7" s="1"/>
  <c r="Y157" i="7" a="1"/>
  <c r="Y157" i="7" s="1"/>
  <c r="Y173" i="7" a="1"/>
  <c r="Y173" i="7" s="1"/>
  <c r="Y27" i="7" a="1"/>
  <c r="Y27" i="7" s="1"/>
  <c r="Y34" i="7" a="1"/>
  <c r="Y34" i="7" s="1"/>
  <c r="Y3" i="7" a="1"/>
  <c r="Y3" i="7" s="1"/>
  <c r="Y160" i="7" a="1"/>
  <c r="Y160" i="7" s="1"/>
  <c r="Y184" i="7" a="1"/>
  <c r="Y184" i="7" s="1"/>
  <c r="Y200" i="7" a="1"/>
  <c r="Y200" i="7" s="1"/>
  <c r="Y140" i="7" a="1"/>
  <c r="Y140" i="7" s="1"/>
  <c r="Y190" i="7" a="1"/>
  <c r="Y190" i="7" s="1"/>
  <c r="Y187" i="7" a="1"/>
  <c r="Y187" i="7" s="1"/>
  <c r="Y193" i="7" a="1"/>
  <c r="Y193" i="7" s="1"/>
  <c r="Y198" i="7" a="1"/>
  <c r="Y198" i="7" s="1"/>
  <c r="Y5" i="7" a="1"/>
  <c r="Y5" i="7" s="1"/>
  <c r="Y23" i="7" a="1"/>
  <c r="Y23" i="7" s="1"/>
  <c r="Y37" i="7" a="1"/>
  <c r="Y37" i="7" s="1"/>
  <c r="Y41" i="7" a="1"/>
  <c r="Y41" i="7" s="1"/>
  <c r="Y46" i="7" a="1"/>
  <c r="Y46" i="7" s="1"/>
  <c r="Y197" i="7" a="1"/>
  <c r="Y197" i="7" s="1"/>
  <c r="X52" i="7" a="1"/>
  <c r="X52" i="7" s="1"/>
  <c r="X4" i="7" a="1"/>
  <c r="X4" i="7" s="1"/>
  <c r="X20" i="7" a="1"/>
  <c r="X20" i="7" s="1"/>
  <c r="X6" i="7" a="1"/>
  <c r="X6" i="7" s="1"/>
  <c r="X14" i="7" a="1"/>
  <c r="X14" i="7" s="1"/>
  <c r="X18" i="7" a="1"/>
  <c r="X18" i="7" s="1"/>
  <c r="X30" i="7" a="1"/>
  <c r="X30" i="7" s="1"/>
  <c r="X38" i="7" a="1"/>
  <c r="X38" i="7" s="1"/>
  <c r="X47" i="7" a="1"/>
  <c r="X47" i="7" s="1"/>
  <c r="X48" i="7" a="1"/>
  <c r="X48" i="7" s="1"/>
  <c r="X56" i="7" a="1"/>
  <c r="X56" i="7" s="1"/>
  <c r="X49" i="7" a="1"/>
  <c r="X49" i="7" s="1"/>
  <c r="X13" i="7" a="1"/>
  <c r="X13" i="7" s="1"/>
  <c r="X33" i="7" a="1"/>
  <c r="X33" i="7" s="1"/>
  <c r="X9" i="7" a="1"/>
  <c r="X9" i="7" s="1"/>
  <c r="X17" i="7" a="1"/>
  <c r="X17" i="7" s="1"/>
  <c r="X24" i="7" a="1"/>
  <c r="X24" i="7" s="1"/>
  <c r="X36" i="7" a="1"/>
  <c r="X36" i="7" s="1"/>
  <c r="X45" i="7" a="1"/>
  <c r="X45" i="7" s="1"/>
  <c r="X55" i="7" a="1"/>
  <c r="X55" i="7" s="1"/>
  <c r="X54" i="7" a="1"/>
  <c r="X54" i="7" s="1"/>
  <c r="X58" i="7" a="1"/>
  <c r="X58" i="7" s="1"/>
  <c r="X64" i="7" a="1"/>
  <c r="X64" i="7" s="1"/>
  <c r="X11" i="7" a="1"/>
  <c r="X11" i="7" s="1"/>
  <c r="X8" i="7" a="1"/>
  <c r="X8" i="7" s="1"/>
  <c r="X22" i="7" a="1"/>
  <c r="X22" i="7" s="1"/>
  <c r="X43" i="7" a="1"/>
  <c r="X43" i="7" s="1"/>
  <c r="X44" i="7" a="1"/>
  <c r="X44" i="7" s="1"/>
  <c r="X62" i="7" a="1"/>
  <c r="X62" i="7" s="1"/>
  <c r="X65" i="7" a="1"/>
  <c r="X65" i="7" s="1"/>
  <c r="X69" i="7" a="1"/>
  <c r="X69" i="7" s="1"/>
  <c r="X73" i="7" a="1"/>
  <c r="X73" i="7" s="1"/>
  <c r="X77" i="7" a="1"/>
  <c r="X77" i="7" s="1"/>
  <c r="X81" i="7" a="1"/>
  <c r="X81" i="7" s="1"/>
  <c r="X85" i="7" a="1"/>
  <c r="X85" i="7" s="1"/>
  <c r="X10" i="7" a="1"/>
  <c r="X10" i="7" s="1"/>
  <c r="X7" i="7" a="1"/>
  <c r="X7" i="7" s="1"/>
  <c r="X21" i="7" a="1"/>
  <c r="X21" i="7" s="1"/>
  <c r="X42" i="7" a="1"/>
  <c r="X42" i="7" s="1"/>
  <c r="X57" i="7" a="1"/>
  <c r="X57" i="7" s="1"/>
  <c r="X60" i="7" a="1"/>
  <c r="X60" i="7" s="1"/>
  <c r="X63" i="7" a="1"/>
  <c r="X63" i="7" s="1"/>
  <c r="X68" i="7" a="1"/>
  <c r="X68" i="7" s="1"/>
  <c r="X72" i="7" a="1"/>
  <c r="X72" i="7" s="1"/>
  <c r="X76" i="7" a="1"/>
  <c r="X76" i="7" s="1"/>
  <c r="X80" i="7" a="1"/>
  <c r="X80" i="7" s="1"/>
  <c r="X84" i="7" a="1"/>
  <c r="X84" i="7" s="1"/>
  <c r="X88" i="7" a="1"/>
  <c r="X88" i="7" s="1"/>
  <c r="X89" i="7" a="1"/>
  <c r="X89" i="7" s="1"/>
  <c r="X93" i="7" a="1"/>
  <c r="X93" i="7" s="1"/>
  <c r="X16" i="7" a="1"/>
  <c r="X16" i="7" s="1"/>
  <c r="X51" i="7" a="1"/>
  <c r="X51" i="7" s="1"/>
  <c r="X53" i="7" a="1"/>
  <c r="X53" i="7" s="1"/>
  <c r="X67" i="7" a="1"/>
  <c r="X67" i="7" s="1"/>
  <c r="X75" i="7" a="1"/>
  <c r="X75" i="7" s="1"/>
  <c r="X83" i="7" a="1"/>
  <c r="X83" i="7" s="1"/>
  <c r="X90" i="7" a="1"/>
  <c r="X90" i="7" s="1"/>
  <c r="X98" i="7" a="1"/>
  <c r="X98" i="7" s="1"/>
  <c r="X102" i="7" a="1"/>
  <c r="X102" i="7" s="1"/>
  <c r="X107" i="7" a="1"/>
  <c r="X107" i="7" s="1"/>
  <c r="X108" i="7" a="1"/>
  <c r="X108" i="7" s="1"/>
  <c r="X113" i="7" a="1"/>
  <c r="X113" i="7" s="1"/>
  <c r="X117" i="7" a="1"/>
  <c r="X117" i="7" s="1"/>
  <c r="X26" i="7" a="1"/>
  <c r="X26" i="7" s="1"/>
  <c r="X31" i="7" a="1"/>
  <c r="X31" i="7" s="1"/>
  <c r="X59" i="7" a="1"/>
  <c r="X59" i="7" s="1"/>
  <c r="X66" i="7" a="1"/>
  <c r="X66" i="7" s="1"/>
  <c r="X74" i="7" a="1"/>
  <c r="X74" i="7" s="1"/>
  <c r="X82" i="7" a="1"/>
  <c r="X82" i="7" s="1"/>
  <c r="X91" i="7" a="1"/>
  <c r="X91" i="7" s="1"/>
  <c r="X94" i="7" a="1"/>
  <c r="X94" i="7" s="1"/>
  <c r="X97" i="7" a="1"/>
  <c r="X97" i="7" s="1"/>
  <c r="X101" i="7" a="1"/>
  <c r="X101" i="7" s="1"/>
  <c r="X106" i="7" a="1"/>
  <c r="X106" i="7" s="1"/>
  <c r="X32" i="7" a="1"/>
  <c r="X32" i="7" s="1"/>
  <c r="X35" i="7" a="1"/>
  <c r="X35" i="7" s="1"/>
  <c r="X71" i="7" a="1"/>
  <c r="X71" i="7" s="1"/>
  <c r="X79" i="7" a="1"/>
  <c r="X79" i="7" s="1"/>
  <c r="X92" i="7" a="1"/>
  <c r="X92" i="7" s="1"/>
  <c r="X95" i="7" a="1"/>
  <c r="X95" i="7" s="1"/>
  <c r="X100" i="7" a="1"/>
  <c r="X100" i="7" s="1"/>
  <c r="X104" i="7" a="1"/>
  <c r="X104" i="7" s="1"/>
  <c r="X105" i="7" a="1"/>
  <c r="X105" i="7" s="1"/>
  <c r="X110" i="7" a="1"/>
  <c r="X110" i="7" s="1"/>
  <c r="X111" i="7" a="1"/>
  <c r="X111" i="7" s="1"/>
  <c r="X61" i="7" a="1"/>
  <c r="X61" i="7" s="1"/>
  <c r="X114" i="7" a="1"/>
  <c r="X114" i="7" s="1"/>
  <c r="X120" i="7" a="1"/>
  <c r="X120" i="7" s="1"/>
  <c r="X125" i="7" a="1"/>
  <c r="X125" i="7" s="1"/>
  <c r="X129" i="7" a="1"/>
  <c r="X129" i="7" s="1"/>
  <c r="X133" i="7" a="1"/>
  <c r="X133" i="7" s="1"/>
  <c r="X137" i="7" a="1"/>
  <c r="X137" i="7" s="1"/>
  <c r="X141" i="7" a="1"/>
  <c r="X141" i="7" s="1"/>
  <c r="X145" i="7" a="1"/>
  <c r="X145" i="7" s="1"/>
  <c r="X149" i="7" a="1"/>
  <c r="X149" i="7" s="1"/>
  <c r="X150" i="7" a="1"/>
  <c r="X150" i="7" s="1"/>
  <c r="X154" i="7" a="1"/>
  <c r="X154" i="7" s="1"/>
  <c r="X158" i="7" a="1"/>
  <c r="X158" i="7" s="1"/>
  <c r="X162" i="7" a="1"/>
  <c r="X162" i="7" s="1"/>
  <c r="X166" i="7" a="1"/>
  <c r="X166" i="7" s="1"/>
  <c r="X170" i="7" a="1"/>
  <c r="X170" i="7" s="1"/>
  <c r="X171" i="7" a="1"/>
  <c r="X171" i="7" s="1"/>
  <c r="X175" i="7" a="1"/>
  <c r="X175" i="7" s="1"/>
  <c r="X179" i="7" a="1"/>
  <c r="X179" i="7" s="1"/>
  <c r="X183" i="7" a="1"/>
  <c r="X183" i="7" s="1"/>
  <c r="X187" i="7" a="1"/>
  <c r="X187" i="7" s="1"/>
  <c r="X191" i="7" a="1"/>
  <c r="X191" i="7" s="1"/>
  <c r="X195" i="7" a="1"/>
  <c r="X195" i="7" s="1"/>
  <c r="X86" i="7" a="1"/>
  <c r="X86" i="7" s="1"/>
  <c r="X109" i="7" a="1"/>
  <c r="X109" i="7" s="1"/>
  <c r="X115" i="7" a="1"/>
  <c r="X115" i="7" s="1"/>
  <c r="X119" i="7" a="1"/>
  <c r="X119" i="7" s="1"/>
  <c r="X124" i="7" a="1"/>
  <c r="X124" i="7" s="1"/>
  <c r="X128" i="7" a="1"/>
  <c r="X128" i="7" s="1"/>
  <c r="X132" i="7" a="1"/>
  <c r="X132" i="7" s="1"/>
  <c r="X136" i="7" a="1"/>
  <c r="X136" i="7" s="1"/>
  <c r="X140" i="7" a="1"/>
  <c r="X140" i="7" s="1"/>
  <c r="X144" i="7" a="1"/>
  <c r="X144" i="7" s="1"/>
  <c r="X148" i="7" a="1"/>
  <c r="X148" i="7" s="1"/>
  <c r="X153" i="7" a="1"/>
  <c r="X153" i="7" s="1"/>
  <c r="X157" i="7" a="1"/>
  <c r="X157" i="7" s="1"/>
  <c r="X161" i="7" a="1"/>
  <c r="X161" i="7" s="1"/>
  <c r="X15" i="7" a="1"/>
  <c r="X15" i="7" s="1"/>
  <c r="X50" i="7" a="1"/>
  <c r="X50" i="7" s="1"/>
  <c r="X78" i="7" a="1"/>
  <c r="X78" i="7" s="1"/>
  <c r="X87" i="7" a="1"/>
  <c r="X87" i="7" s="1"/>
  <c r="X96" i="7" a="1"/>
  <c r="X96" i="7" s="1"/>
  <c r="X103" i="7" a="1"/>
  <c r="X103" i="7" s="1"/>
  <c r="X116" i="7" a="1"/>
  <c r="X116" i="7" s="1"/>
  <c r="X118" i="7" a="1"/>
  <c r="X118" i="7" s="1"/>
  <c r="X122" i="7" a="1"/>
  <c r="X122" i="7" s="1"/>
  <c r="X123" i="7" a="1"/>
  <c r="X123" i="7" s="1"/>
  <c r="X127" i="7" a="1"/>
  <c r="X127" i="7" s="1"/>
  <c r="X131" i="7" a="1"/>
  <c r="X131" i="7" s="1"/>
  <c r="X135" i="7" a="1"/>
  <c r="X135" i="7" s="1"/>
  <c r="X112" i="7" a="1"/>
  <c r="X112" i="7" s="1"/>
  <c r="X134" i="7" a="1"/>
  <c r="X134" i="7" s="1"/>
  <c r="X138" i="7" a="1"/>
  <c r="X138" i="7" s="1"/>
  <c r="X146" i="7" a="1"/>
  <c r="X146" i="7" s="1"/>
  <c r="X155" i="7" a="1"/>
  <c r="X155" i="7" s="1"/>
  <c r="X163" i="7" a="1"/>
  <c r="X163" i="7" s="1"/>
  <c r="X169" i="7" a="1"/>
  <c r="X169" i="7" s="1"/>
  <c r="X178" i="7" a="1"/>
  <c r="X178" i="7" s="1"/>
  <c r="X181" i="7" a="1"/>
  <c r="X181" i="7" s="1"/>
  <c r="X188" i="7" a="1"/>
  <c r="X188" i="7" s="1"/>
  <c r="X121" i="7" a="1"/>
  <c r="X121" i="7" s="1"/>
  <c r="X130" i="7" a="1"/>
  <c r="X130" i="7" s="1"/>
  <c r="X143" i="7" a="1"/>
  <c r="X143" i="7" s="1"/>
  <c r="X152" i="7" a="1"/>
  <c r="X152" i="7" s="1"/>
  <c r="X160" i="7" a="1"/>
  <c r="X160" i="7" s="1"/>
  <c r="X172" i="7" a="1"/>
  <c r="X172" i="7" s="1"/>
  <c r="X182" i="7" a="1"/>
  <c r="X182" i="7" s="1"/>
  <c r="X184" i="7" a="1"/>
  <c r="X184" i="7" s="1"/>
  <c r="X186" i="7" a="1"/>
  <c r="X186" i="7" s="1"/>
  <c r="X189" i="7" a="1"/>
  <c r="X189" i="7" s="1"/>
  <c r="X192" i="7" a="1"/>
  <c r="X192" i="7" s="1"/>
  <c r="X198" i="7" a="1"/>
  <c r="X198" i="7" s="1"/>
  <c r="X12" i="7" a="1"/>
  <c r="X12" i="7" s="1"/>
  <c r="X27" i="7" a="1"/>
  <c r="X27" i="7" s="1"/>
  <c r="X39" i="7" a="1"/>
  <c r="X39" i="7" s="1"/>
  <c r="X3" i="7" a="1"/>
  <c r="X3" i="7" s="1"/>
  <c r="X126" i="7" a="1"/>
  <c r="X126" i="7" s="1"/>
  <c r="X159" i="7" a="1"/>
  <c r="X159" i="7" s="1"/>
  <c r="X167" i="7" a="1"/>
  <c r="X167" i="7" s="1"/>
  <c r="X173" i="7" a="1"/>
  <c r="X173" i="7" s="1"/>
  <c r="X176" i="7" a="1"/>
  <c r="X176" i="7" s="1"/>
  <c r="X199" i="7" a="1"/>
  <c r="X199" i="7" s="1"/>
  <c r="X34" i="7" a="1"/>
  <c r="X34" i="7" s="1"/>
  <c r="X139" i="7" a="1"/>
  <c r="X139" i="7" s="1"/>
  <c r="X164" i="7" a="1"/>
  <c r="X164" i="7" s="1"/>
  <c r="X185" i="7" a="1"/>
  <c r="X185" i="7" s="1"/>
  <c r="X194" i="7" a="1"/>
  <c r="X194" i="7" s="1"/>
  <c r="X200" i="7" a="1"/>
  <c r="X200" i="7" s="1"/>
  <c r="X19" i="7" a="1"/>
  <c r="X19" i="7" s="1"/>
  <c r="X40" i="7" a="1"/>
  <c r="X40" i="7" s="1"/>
  <c r="X70" i="7" a="1"/>
  <c r="X70" i="7" s="1"/>
  <c r="X99" i="7" a="1"/>
  <c r="X99" i="7" s="1"/>
  <c r="X142" i="7" a="1"/>
  <c r="X142" i="7" s="1"/>
  <c r="X151" i="7" a="1"/>
  <c r="X151" i="7" s="1"/>
  <c r="X190" i="7" a="1"/>
  <c r="X190" i="7" s="1"/>
  <c r="X193" i="7" a="1"/>
  <c r="X193" i="7" s="1"/>
  <c r="X196" i="7" a="1"/>
  <c r="X196" i="7" s="1"/>
  <c r="X197" i="7" a="1"/>
  <c r="X197" i="7" s="1"/>
  <c r="X5" i="7" a="1"/>
  <c r="X5" i="7" s="1"/>
  <c r="X23" i="7" a="1"/>
  <c r="X23" i="7" s="1"/>
  <c r="X28" i="7" a="1"/>
  <c r="X28" i="7" s="1"/>
  <c r="X37" i="7" a="1"/>
  <c r="X37" i="7" s="1"/>
  <c r="X41" i="7" a="1"/>
  <c r="X41" i="7" s="1"/>
  <c r="X174" i="7" a="1"/>
  <c r="X174" i="7" s="1"/>
  <c r="X46" i="7" a="1"/>
  <c r="X46" i="7" s="1"/>
  <c r="X165" i="7" a="1"/>
  <c r="X165" i="7" s="1"/>
  <c r="X177" i="7" a="1"/>
  <c r="X177" i="7" s="1"/>
  <c r="X25" i="7" a="1"/>
  <c r="X25" i="7" s="1"/>
  <c r="X147" i="7" a="1"/>
  <c r="X147" i="7" s="1"/>
  <c r="X168" i="7" a="1"/>
  <c r="X168" i="7" s="1"/>
  <c r="X180" i="7" a="1"/>
  <c r="X180" i="7" s="1"/>
  <c r="X156" i="7" a="1"/>
  <c r="X156" i="7" s="1"/>
  <c r="X29" i="7" a="1"/>
  <c r="X29" i="7" s="1"/>
  <c r="W49" i="7" a="1"/>
  <c r="W49" i="7" s="1"/>
  <c r="W13" i="7" a="1"/>
  <c r="W13" i="7" s="1"/>
  <c r="W33" i="7" a="1"/>
  <c r="W33" i="7" s="1"/>
  <c r="W9" i="7" a="1"/>
  <c r="W9" i="7" s="1"/>
  <c r="W17" i="7" a="1"/>
  <c r="W17" i="7" s="1"/>
  <c r="W24" i="7" a="1"/>
  <c r="W24" i="7" s="1"/>
  <c r="W36" i="7" a="1"/>
  <c r="W36" i="7" s="1"/>
  <c r="W45" i="7" a="1"/>
  <c r="W45" i="7" s="1"/>
  <c r="W55" i="7" a="1"/>
  <c r="W55" i="7" s="1"/>
  <c r="W11" i="7" a="1"/>
  <c r="W11" i="7" s="1"/>
  <c r="W32" i="7" a="1"/>
  <c r="W32" i="7" s="1"/>
  <c r="W8" i="7" a="1"/>
  <c r="W8" i="7" s="1"/>
  <c r="W16" i="7" a="1"/>
  <c r="W16" i="7" s="1"/>
  <c r="W22" i="7" a="1"/>
  <c r="W22" i="7" s="1"/>
  <c r="W35" i="7" a="1"/>
  <c r="W35" i="7" s="1"/>
  <c r="W43" i="7" a="1"/>
  <c r="W43" i="7" s="1"/>
  <c r="W44" i="7" a="1"/>
  <c r="W44" i="7" s="1"/>
  <c r="W51" i="7" a="1"/>
  <c r="W51" i="7" s="1"/>
  <c r="W53" i="7" a="1"/>
  <c r="W53" i="7" s="1"/>
  <c r="W63" i="7" a="1"/>
  <c r="W63" i="7" s="1"/>
  <c r="W4" i="7" a="1"/>
  <c r="W4" i="7" s="1"/>
  <c r="W10" i="7" a="1"/>
  <c r="W10" i="7" s="1"/>
  <c r="W7" i="7" a="1"/>
  <c r="W7" i="7" s="1"/>
  <c r="W21" i="7" a="1"/>
  <c r="W21" i="7" s="1"/>
  <c r="W42" i="7" a="1"/>
  <c r="W42" i="7" s="1"/>
  <c r="W57" i="7" a="1"/>
  <c r="W57" i="7" s="1"/>
  <c r="W60" i="7" a="1"/>
  <c r="W60" i="7" s="1"/>
  <c r="W68" i="7" a="1"/>
  <c r="W68" i="7" s="1"/>
  <c r="W72" i="7" a="1"/>
  <c r="W72" i="7" s="1"/>
  <c r="W76" i="7" a="1"/>
  <c r="W76" i="7" s="1"/>
  <c r="W80" i="7" a="1"/>
  <c r="W80" i="7" s="1"/>
  <c r="W84" i="7" a="1"/>
  <c r="W84" i="7" s="1"/>
  <c r="W52" i="7" a="1"/>
  <c r="W52" i="7" s="1"/>
  <c r="W6" i="7" a="1"/>
  <c r="W6" i="7" s="1"/>
  <c r="W18" i="7" a="1"/>
  <c r="W18" i="7" s="1"/>
  <c r="W38" i="7" a="1"/>
  <c r="W38" i="7" s="1"/>
  <c r="W56" i="7" a="1"/>
  <c r="W56" i="7" s="1"/>
  <c r="W58" i="7" a="1"/>
  <c r="W58" i="7" s="1"/>
  <c r="W67" i="7" a="1"/>
  <c r="W67" i="7" s="1"/>
  <c r="W71" i="7" a="1"/>
  <c r="W71" i="7" s="1"/>
  <c r="W75" i="7" a="1"/>
  <c r="W75" i="7" s="1"/>
  <c r="W79" i="7" a="1"/>
  <c r="W79" i="7" s="1"/>
  <c r="W83" i="7" a="1"/>
  <c r="W83" i="7" s="1"/>
  <c r="W87" i="7" a="1"/>
  <c r="W87" i="7" s="1"/>
  <c r="W92" i="7" a="1"/>
  <c r="W92" i="7" s="1"/>
  <c r="W96" i="7" a="1"/>
  <c r="W96" i="7" s="1"/>
  <c r="W26" i="7" a="1"/>
  <c r="W26" i="7" s="1"/>
  <c r="W31" i="7" a="1"/>
  <c r="W31" i="7" s="1"/>
  <c r="W59" i="7" a="1"/>
  <c r="W59" i="7" s="1"/>
  <c r="W66" i="7" a="1"/>
  <c r="W66" i="7" s="1"/>
  <c r="W74" i="7" a="1"/>
  <c r="W74" i="7" s="1"/>
  <c r="W82" i="7" a="1"/>
  <c r="W82" i="7" s="1"/>
  <c r="W88" i="7" a="1"/>
  <c r="W88" i="7" s="1"/>
  <c r="W91" i="7" a="1"/>
  <c r="W91" i="7" s="1"/>
  <c r="W94" i="7" a="1"/>
  <c r="W94" i="7" s="1"/>
  <c r="W97" i="7" a="1"/>
  <c r="W97" i="7" s="1"/>
  <c r="W101" i="7" a="1"/>
  <c r="W101" i="7" s="1"/>
  <c r="W106" i="7" a="1"/>
  <c r="W106" i="7" s="1"/>
  <c r="W112" i="7" a="1"/>
  <c r="W112" i="7" s="1"/>
  <c r="W116" i="7" a="1"/>
  <c r="W116" i="7" s="1"/>
  <c r="W14" i="7" a="1"/>
  <c r="W14" i="7" s="1"/>
  <c r="W48" i="7" a="1"/>
  <c r="W48" i="7" s="1"/>
  <c r="W62" i="7" a="1"/>
  <c r="W62" i="7" s="1"/>
  <c r="W65" i="7" a="1"/>
  <c r="W65" i="7" s="1"/>
  <c r="W73" i="7" a="1"/>
  <c r="W73" i="7" s="1"/>
  <c r="W81" i="7" a="1"/>
  <c r="W81" i="7" s="1"/>
  <c r="W95" i="7" a="1"/>
  <c r="W95" i="7" s="1"/>
  <c r="W100" i="7" a="1"/>
  <c r="W100" i="7" s="1"/>
  <c r="W104" i="7" a="1"/>
  <c r="W104" i="7" s="1"/>
  <c r="W105" i="7" a="1"/>
  <c r="W105" i="7" s="1"/>
  <c r="W110" i="7" a="1"/>
  <c r="W110" i="7" s="1"/>
  <c r="W111" i="7" a="1"/>
  <c r="W111" i="7" s="1"/>
  <c r="W15" i="7" a="1"/>
  <c r="W15" i="7" s="1"/>
  <c r="W50" i="7" a="1"/>
  <c r="W50" i="7" s="1"/>
  <c r="W61" i="7" a="1"/>
  <c r="W61" i="7" s="1"/>
  <c r="W64" i="7" a="1"/>
  <c r="W64" i="7" s="1"/>
  <c r="W70" i="7" a="1"/>
  <c r="W70" i="7" s="1"/>
  <c r="W78" i="7" a="1"/>
  <c r="W78" i="7" s="1"/>
  <c r="W86" i="7" a="1"/>
  <c r="W86" i="7" s="1"/>
  <c r="W89" i="7" a="1"/>
  <c r="W89" i="7" s="1"/>
  <c r="W99" i="7" a="1"/>
  <c r="W99" i="7" s="1"/>
  <c r="W103" i="7" a="1"/>
  <c r="W103" i="7" s="1"/>
  <c r="W109" i="7" a="1"/>
  <c r="W109" i="7" s="1"/>
  <c r="W85" i="7" a="1"/>
  <c r="W85" i="7" s="1"/>
  <c r="W102" i="7" a="1"/>
  <c r="W102" i="7" s="1"/>
  <c r="W115" i="7" a="1"/>
  <c r="W115" i="7" s="1"/>
  <c r="W119" i="7" a="1"/>
  <c r="W119" i="7" s="1"/>
  <c r="W124" i="7" a="1"/>
  <c r="W124" i="7" s="1"/>
  <c r="W128" i="7" a="1"/>
  <c r="W128" i="7" s="1"/>
  <c r="W132" i="7" a="1"/>
  <c r="W132" i="7" s="1"/>
  <c r="W136" i="7" a="1"/>
  <c r="W136" i="7" s="1"/>
  <c r="W140" i="7" a="1"/>
  <c r="W140" i="7" s="1"/>
  <c r="W144" i="7" a="1"/>
  <c r="W144" i="7" s="1"/>
  <c r="W148" i="7" a="1"/>
  <c r="W148" i="7" s="1"/>
  <c r="W153" i="7" a="1"/>
  <c r="W153" i="7" s="1"/>
  <c r="W157" i="7" a="1"/>
  <c r="W157" i="7" s="1"/>
  <c r="W161" i="7" a="1"/>
  <c r="W161" i="7" s="1"/>
  <c r="W165" i="7" a="1"/>
  <c r="W165" i="7" s="1"/>
  <c r="W169" i="7" a="1"/>
  <c r="W169" i="7" s="1"/>
  <c r="W174" i="7" a="1"/>
  <c r="W174" i="7" s="1"/>
  <c r="W178" i="7" a="1"/>
  <c r="W178" i="7" s="1"/>
  <c r="W182" i="7" a="1"/>
  <c r="W182" i="7" s="1"/>
  <c r="W184" i="7" a="1"/>
  <c r="W184" i="7" s="1"/>
  <c r="W185" i="7" a="1"/>
  <c r="W185" i="7" s="1"/>
  <c r="W186" i="7" a="1"/>
  <c r="W186" i="7" s="1"/>
  <c r="W190" i="7" a="1"/>
  <c r="W190" i="7" s="1"/>
  <c r="W194" i="7" a="1"/>
  <c r="W194" i="7" s="1"/>
  <c r="W30" i="7" a="1"/>
  <c r="W30" i="7" s="1"/>
  <c r="W47" i="7" a="1"/>
  <c r="W47" i="7" s="1"/>
  <c r="W54" i="7" a="1"/>
  <c r="W54" i="7" s="1"/>
  <c r="W77" i="7" a="1"/>
  <c r="W77" i="7" s="1"/>
  <c r="W98" i="7" a="1"/>
  <c r="W98" i="7" s="1"/>
  <c r="W107" i="7" a="1"/>
  <c r="W107" i="7" s="1"/>
  <c r="W118" i="7" a="1"/>
  <c r="W118" i="7" s="1"/>
  <c r="W122" i="7" a="1"/>
  <c r="W122" i="7" s="1"/>
  <c r="W123" i="7" a="1"/>
  <c r="W123" i="7" s="1"/>
  <c r="W127" i="7" a="1"/>
  <c r="W127" i="7" s="1"/>
  <c r="W131" i="7" a="1"/>
  <c r="W131" i="7" s="1"/>
  <c r="W135" i="7" a="1"/>
  <c r="W135" i="7" s="1"/>
  <c r="W139" i="7" a="1"/>
  <c r="W139" i="7" s="1"/>
  <c r="W143" i="7" a="1"/>
  <c r="W143" i="7" s="1"/>
  <c r="W147" i="7" a="1"/>
  <c r="W147" i="7" s="1"/>
  <c r="W152" i="7" a="1"/>
  <c r="W152" i="7" s="1"/>
  <c r="W156" i="7" a="1"/>
  <c r="W156" i="7" s="1"/>
  <c r="W160" i="7" a="1"/>
  <c r="W160" i="7" s="1"/>
  <c r="W164" i="7" a="1"/>
  <c r="W164" i="7" s="1"/>
  <c r="W20" i="7" a="1"/>
  <c r="W20" i="7" s="1"/>
  <c r="W69" i="7" a="1"/>
  <c r="W69" i="7" s="1"/>
  <c r="W90" i="7" a="1"/>
  <c r="W90" i="7" s="1"/>
  <c r="W93" i="7" a="1"/>
  <c r="W93" i="7" s="1"/>
  <c r="W113" i="7" a="1"/>
  <c r="W113" i="7" s="1"/>
  <c r="W121" i="7" a="1"/>
  <c r="W121" i="7" s="1"/>
  <c r="W126" i="7" a="1"/>
  <c r="W126" i="7" s="1"/>
  <c r="W130" i="7" a="1"/>
  <c r="W130" i="7" s="1"/>
  <c r="W134" i="7" a="1"/>
  <c r="W134" i="7" s="1"/>
  <c r="W125" i="7" a="1"/>
  <c r="W125" i="7" s="1"/>
  <c r="W145" i="7" a="1"/>
  <c r="W145" i="7" s="1"/>
  <c r="W154" i="7" a="1"/>
  <c r="W154" i="7" s="1"/>
  <c r="W162" i="7" a="1"/>
  <c r="W162" i="7" s="1"/>
  <c r="W166" i="7" a="1"/>
  <c r="W166" i="7" s="1"/>
  <c r="W172" i="7" a="1"/>
  <c r="W172" i="7" s="1"/>
  <c r="W175" i="7" a="1"/>
  <c r="W175" i="7" s="1"/>
  <c r="W189" i="7" a="1"/>
  <c r="W189" i="7" s="1"/>
  <c r="W192" i="7" a="1"/>
  <c r="W192" i="7" s="1"/>
  <c r="W195" i="7" a="1"/>
  <c r="W195" i="7" s="1"/>
  <c r="W137" i="7" a="1"/>
  <c r="W137" i="7" s="1"/>
  <c r="W142" i="7" a="1"/>
  <c r="W142" i="7" s="1"/>
  <c r="W151" i="7" a="1"/>
  <c r="W151" i="7" s="1"/>
  <c r="W159" i="7" a="1"/>
  <c r="W159" i="7" s="1"/>
  <c r="W167" i="7" a="1"/>
  <c r="W167" i="7" s="1"/>
  <c r="W170" i="7" a="1"/>
  <c r="W170" i="7" s="1"/>
  <c r="W173" i="7" a="1"/>
  <c r="W173" i="7" s="1"/>
  <c r="W176" i="7" a="1"/>
  <c r="W176" i="7" s="1"/>
  <c r="W179" i="7" a="1"/>
  <c r="W179" i="7" s="1"/>
  <c r="W193" i="7" a="1"/>
  <c r="W193" i="7" s="1"/>
  <c r="W196" i="7" a="1"/>
  <c r="W196" i="7" s="1"/>
  <c r="W5" i="7" a="1"/>
  <c r="W5" i="7" s="1"/>
  <c r="W25" i="7" a="1"/>
  <c r="W25" i="7" s="1"/>
  <c r="W34" i="7" a="1"/>
  <c r="W34" i="7" s="1"/>
  <c r="W37" i="7" a="1"/>
  <c r="W37" i="7" s="1"/>
  <c r="W46" i="7" a="1"/>
  <c r="W46" i="7" s="1"/>
  <c r="W108" i="7" a="1"/>
  <c r="W108" i="7" s="1"/>
  <c r="W117" i="7" a="1"/>
  <c r="W117" i="7" s="1"/>
  <c r="W141" i="7" a="1"/>
  <c r="W141" i="7" s="1"/>
  <c r="W150" i="7" a="1"/>
  <c r="W150" i="7" s="1"/>
  <c r="W200" i="7" a="1"/>
  <c r="W200" i="7" s="1"/>
  <c r="W19" i="7" a="1"/>
  <c r="W19" i="7" s="1"/>
  <c r="W27" i="7" a="1"/>
  <c r="W27" i="7" s="1"/>
  <c r="W40" i="7" a="1"/>
  <c r="W40" i="7" s="1"/>
  <c r="W146" i="7" a="1"/>
  <c r="W146" i="7" s="1"/>
  <c r="W155" i="7" a="1"/>
  <c r="W155" i="7" s="1"/>
  <c r="W181" i="7" a="1"/>
  <c r="W181" i="7" s="1"/>
  <c r="W188" i="7" a="1"/>
  <c r="W188" i="7" s="1"/>
  <c r="W191" i="7" a="1"/>
  <c r="W191" i="7" s="1"/>
  <c r="W197" i="7" a="1"/>
  <c r="W197" i="7" s="1"/>
  <c r="W23" i="7" a="1"/>
  <c r="W23" i="7" s="1"/>
  <c r="W28" i="7" a="1"/>
  <c r="W28" i="7" s="1"/>
  <c r="W41" i="7" a="1"/>
  <c r="W41" i="7" s="1"/>
  <c r="W114" i="7" a="1"/>
  <c r="W114" i="7" s="1"/>
  <c r="W133" i="7" a="1"/>
  <c r="W133" i="7" s="1"/>
  <c r="W149" i="7" a="1"/>
  <c r="W149" i="7" s="1"/>
  <c r="W158" i="7" a="1"/>
  <c r="W158" i="7" s="1"/>
  <c r="W168" i="7" a="1"/>
  <c r="W168" i="7" s="1"/>
  <c r="W177" i="7" a="1"/>
  <c r="W177" i="7" s="1"/>
  <c r="W180" i="7" a="1"/>
  <c r="W180" i="7" s="1"/>
  <c r="W183" i="7" a="1"/>
  <c r="W183" i="7" s="1"/>
  <c r="W187" i="7" a="1"/>
  <c r="W187" i="7" s="1"/>
  <c r="W198" i="7" a="1"/>
  <c r="W198" i="7" s="1"/>
  <c r="W29" i="7" a="1"/>
  <c r="W29" i="7" s="1"/>
  <c r="W129" i="7" a="1"/>
  <c r="W129" i="7" s="1"/>
  <c r="W163" i="7" a="1"/>
  <c r="W163" i="7" s="1"/>
  <c r="W120" i="7" a="1"/>
  <c r="W120" i="7" s="1"/>
  <c r="W138" i="7" a="1"/>
  <c r="W138" i="7" s="1"/>
  <c r="W199" i="7" a="1"/>
  <c r="W199" i="7" s="1"/>
  <c r="W39" i="7" a="1"/>
  <c r="W39" i="7" s="1"/>
  <c r="W3" i="7" a="1"/>
  <c r="W3" i="7" s="1"/>
  <c r="W171" i="7" a="1"/>
  <c r="W171" i="7" s="1"/>
  <c r="W12" i="7" a="1"/>
  <c r="W12" i="7" s="1"/>
  <c r="U4" i="7" a="1"/>
  <c r="U4" i="7" s="1"/>
  <c r="U10" i="7" a="1"/>
  <c r="U10" i="7" s="1"/>
  <c r="U26" i="7" a="1"/>
  <c r="U26" i="7" s="1"/>
  <c r="U7" i="7" a="1"/>
  <c r="U7" i="7" s="1"/>
  <c r="U15" i="7" a="1"/>
  <c r="U15" i="7" s="1"/>
  <c r="U21" i="7" a="1"/>
  <c r="U21" i="7" s="1"/>
  <c r="U31" i="7" a="1"/>
  <c r="U31" i="7" s="1"/>
  <c r="U42" i="7" a="1"/>
  <c r="U42" i="7" s="1"/>
  <c r="U50" i="7" a="1"/>
  <c r="U50" i="7" s="1"/>
  <c r="U57" i="7" a="1"/>
  <c r="U57" i="7" s="1"/>
  <c r="U49" i="7" a="1"/>
  <c r="U49" i="7" s="1"/>
  <c r="U52" i="7" a="1"/>
  <c r="U52" i="7" s="1"/>
  <c r="U20" i="7" a="1"/>
  <c r="U20" i="7" s="1"/>
  <c r="U6" i="7" a="1"/>
  <c r="U6" i="7" s="1"/>
  <c r="U14" i="7" a="1"/>
  <c r="U14" i="7" s="1"/>
  <c r="U18" i="7" a="1"/>
  <c r="U18" i="7" s="1"/>
  <c r="U30" i="7" a="1"/>
  <c r="U30" i="7" s="1"/>
  <c r="U38" i="7" a="1"/>
  <c r="U38" i="7" s="1"/>
  <c r="U47" i="7" a="1"/>
  <c r="U47" i="7" s="1"/>
  <c r="U48" i="7" a="1"/>
  <c r="U48" i="7" s="1"/>
  <c r="U56" i="7" a="1"/>
  <c r="U56" i="7" s="1"/>
  <c r="U59" i="7" a="1"/>
  <c r="U59" i="7" s="1"/>
  <c r="U65" i="7" a="1"/>
  <c r="U65" i="7" s="1"/>
  <c r="U33" i="7" a="1"/>
  <c r="U33" i="7" s="1"/>
  <c r="U17" i="7" a="1"/>
  <c r="U17" i="7" s="1"/>
  <c r="U36" i="7" a="1"/>
  <c r="U36" i="7" s="1"/>
  <c r="U55" i="7" a="1"/>
  <c r="U55" i="7" s="1"/>
  <c r="U53" i="7" a="1"/>
  <c r="U53" i="7" s="1"/>
  <c r="U61" i="7" a="1"/>
  <c r="U61" i="7" s="1"/>
  <c r="U64" i="7" a="1"/>
  <c r="U64" i="7" s="1"/>
  <c r="U66" i="7" a="1"/>
  <c r="U66" i="7" s="1"/>
  <c r="U70" i="7" a="1"/>
  <c r="U70" i="7" s="1"/>
  <c r="U74" i="7" a="1"/>
  <c r="U74" i="7" s="1"/>
  <c r="U78" i="7" a="1"/>
  <c r="U78" i="7" s="1"/>
  <c r="U82" i="7" a="1"/>
  <c r="U82" i="7" s="1"/>
  <c r="U86" i="7" a="1"/>
  <c r="U86" i="7" s="1"/>
  <c r="U32" i="7" a="1"/>
  <c r="U32" i="7" s="1"/>
  <c r="U16" i="7" a="1"/>
  <c r="U16" i="7" s="1"/>
  <c r="U35" i="7" a="1"/>
  <c r="U35" i="7" s="1"/>
  <c r="U51" i="7" a="1"/>
  <c r="U51" i="7" s="1"/>
  <c r="U54" i="7" a="1"/>
  <c r="U54" i="7" s="1"/>
  <c r="U69" i="7" a="1"/>
  <c r="U69" i="7" s="1"/>
  <c r="U73" i="7" a="1"/>
  <c r="U73" i="7" s="1"/>
  <c r="U77" i="7" a="1"/>
  <c r="U77" i="7" s="1"/>
  <c r="U81" i="7" a="1"/>
  <c r="U81" i="7" s="1"/>
  <c r="U85" i="7" a="1"/>
  <c r="U85" i="7" s="1"/>
  <c r="U90" i="7" a="1"/>
  <c r="U90" i="7" s="1"/>
  <c r="U94" i="7" a="1"/>
  <c r="U94" i="7" s="1"/>
  <c r="U13" i="7" a="1"/>
  <c r="U13" i="7" s="1"/>
  <c r="U24" i="7" a="1"/>
  <c r="U24" i="7" s="1"/>
  <c r="U45" i="7" a="1"/>
  <c r="U45" i="7" s="1"/>
  <c r="U62" i="7" a="1"/>
  <c r="U62" i="7" s="1"/>
  <c r="U72" i="7" a="1"/>
  <c r="U72" i="7" s="1"/>
  <c r="U80" i="7" a="1"/>
  <c r="U80" i="7" s="1"/>
  <c r="U89" i="7" a="1"/>
  <c r="U89" i="7" s="1"/>
  <c r="U92" i="7" a="1"/>
  <c r="U92" i="7" s="1"/>
  <c r="U95" i="7" a="1"/>
  <c r="U95" i="7" s="1"/>
  <c r="U99" i="7" a="1"/>
  <c r="U99" i="7" s="1"/>
  <c r="U103" i="7" a="1"/>
  <c r="U103" i="7" s="1"/>
  <c r="U108" i="7" a="1"/>
  <c r="U108" i="7" s="1"/>
  <c r="U109" i="7" a="1"/>
  <c r="U109" i="7" s="1"/>
  <c r="U114" i="7" a="1"/>
  <c r="U114" i="7" s="1"/>
  <c r="U8" i="7" a="1"/>
  <c r="U8" i="7" s="1"/>
  <c r="U43" i="7" a="1"/>
  <c r="U43" i="7" s="1"/>
  <c r="U58" i="7" a="1"/>
  <c r="U58" i="7" s="1"/>
  <c r="U71" i="7" a="1"/>
  <c r="U71" i="7" s="1"/>
  <c r="U79" i="7" a="1"/>
  <c r="U79" i="7" s="1"/>
  <c r="U87" i="7" a="1"/>
  <c r="U87" i="7" s="1"/>
  <c r="U93" i="7" a="1"/>
  <c r="U93" i="7" s="1"/>
  <c r="U96" i="7" a="1"/>
  <c r="U96" i="7" s="1"/>
  <c r="U98" i="7" a="1"/>
  <c r="U98" i="7" s="1"/>
  <c r="U102" i="7" a="1"/>
  <c r="U102" i="7" s="1"/>
  <c r="U107" i="7" a="1"/>
  <c r="U107" i="7" s="1"/>
  <c r="U9" i="7" a="1"/>
  <c r="U9" i="7" s="1"/>
  <c r="U44" i="7" a="1"/>
  <c r="U44" i="7" s="1"/>
  <c r="U60" i="7" a="1"/>
  <c r="U60" i="7" s="1"/>
  <c r="U68" i="7" a="1"/>
  <c r="U68" i="7" s="1"/>
  <c r="U76" i="7" a="1"/>
  <c r="U76" i="7" s="1"/>
  <c r="U84" i="7" a="1"/>
  <c r="U84" i="7" s="1"/>
  <c r="U88" i="7" a="1"/>
  <c r="U88" i="7" s="1"/>
  <c r="U97" i="7" a="1"/>
  <c r="U97" i="7" s="1"/>
  <c r="U101" i="7" a="1"/>
  <c r="U101" i="7" s="1"/>
  <c r="U106" i="7" a="1"/>
  <c r="U106" i="7" s="1"/>
  <c r="U112" i="7" a="1"/>
  <c r="U112" i="7" s="1"/>
  <c r="U22" i="7" a="1"/>
  <c r="U22" i="7" s="1"/>
  <c r="U67" i="7" a="1"/>
  <c r="U67" i="7" s="1"/>
  <c r="U100" i="7" a="1"/>
  <c r="U100" i="7" s="1"/>
  <c r="U111" i="7" a="1"/>
  <c r="U111" i="7" s="1"/>
  <c r="U116" i="7" a="1"/>
  <c r="U116" i="7" s="1"/>
  <c r="U121" i="7" a="1"/>
  <c r="U121" i="7" s="1"/>
  <c r="U126" i="7" a="1"/>
  <c r="U126" i="7" s="1"/>
  <c r="U130" i="7" a="1"/>
  <c r="U130" i="7" s="1"/>
  <c r="U134" i="7" a="1"/>
  <c r="U134" i="7" s="1"/>
  <c r="U138" i="7" a="1"/>
  <c r="U138" i="7" s="1"/>
  <c r="U142" i="7" a="1"/>
  <c r="U142" i="7" s="1"/>
  <c r="U146" i="7" a="1"/>
  <c r="U146" i="7" s="1"/>
  <c r="U150" i="7" a="1"/>
  <c r="U150" i="7" s="1"/>
  <c r="U151" i="7" a="1"/>
  <c r="U151" i="7" s="1"/>
  <c r="U155" i="7" a="1"/>
  <c r="U155" i="7" s="1"/>
  <c r="U159" i="7" a="1"/>
  <c r="U159" i="7" s="1"/>
  <c r="U163" i="7" a="1"/>
  <c r="U163" i="7" s="1"/>
  <c r="U167" i="7" a="1"/>
  <c r="U167" i="7" s="1"/>
  <c r="U172" i="7" a="1"/>
  <c r="U172" i="7" s="1"/>
  <c r="U176" i="7" a="1"/>
  <c r="U176" i="7" s="1"/>
  <c r="U180" i="7" a="1"/>
  <c r="U180" i="7" s="1"/>
  <c r="U188" i="7" a="1"/>
  <c r="U188" i="7" s="1"/>
  <c r="U192" i="7" a="1"/>
  <c r="U192" i="7" s="1"/>
  <c r="U196" i="7" a="1"/>
  <c r="U196" i="7" s="1"/>
  <c r="U11" i="7" a="1"/>
  <c r="U11" i="7" s="1"/>
  <c r="U63" i="7" a="1"/>
  <c r="U63" i="7" s="1"/>
  <c r="U105" i="7" a="1"/>
  <c r="U105" i="7" s="1"/>
  <c r="U113" i="7" a="1"/>
  <c r="U113" i="7" s="1"/>
  <c r="U117" i="7" a="1"/>
  <c r="U117" i="7" s="1"/>
  <c r="U120" i="7" a="1"/>
  <c r="U120" i="7" s="1"/>
  <c r="U125" i="7" a="1"/>
  <c r="U125" i="7" s="1"/>
  <c r="U129" i="7" a="1"/>
  <c r="U129" i="7" s="1"/>
  <c r="U133" i="7" a="1"/>
  <c r="U133" i="7" s="1"/>
  <c r="U137" i="7" a="1"/>
  <c r="U137" i="7" s="1"/>
  <c r="U141" i="7" a="1"/>
  <c r="U141" i="7" s="1"/>
  <c r="U145" i="7" a="1"/>
  <c r="U145" i="7" s="1"/>
  <c r="U149" i="7" a="1"/>
  <c r="U149" i="7" s="1"/>
  <c r="U154" i="7" a="1"/>
  <c r="U154" i="7" s="1"/>
  <c r="U158" i="7" a="1"/>
  <c r="U158" i="7" s="1"/>
  <c r="U162" i="7" a="1"/>
  <c r="U162" i="7" s="1"/>
  <c r="U83" i="7" a="1"/>
  <c r="U83" i="7" s="1"/>
  <c r="U110" i="7" a="1"/>
  <c r="U110" i="7" s="1"/>
  <c r="U119" i="7" a="1"/>
  <c r="U119" i="7" s="1"/>
  <c r="U124" i="7" a="1"/>
  <c r="U124" i="7" s="1"/>
  <c r="U128" i="7" a="1"/>
  <c r="U128" i="7" s="1"/>
  <c r="U132" i="7" a="1"/>
  <c r="U132" i="7" s="1"/>
  <c r="U136" i="7" a="1"/>
  <c r="U136" i="7" s="1"/>
  <c r="U104" i="7" a="1"/>
  <c r="U104" i="7" s="1"/>
  <c r="U123" i="7" a="1"/>
  <c r="U123" i="7" s="1"/>
  <c r="U143" i="7" a="1"/>
  <c r="U143" i="7" s="1"/>
  <c r="U152" i="7" a="1"/>
  <c r="U152" i="7" s="1"/>
  <c r="U160" i="7" a="1"/>
  <c r="U160" i="7" s="1"/>
  <c r="U173" i="7" a="1"/>
  <c r="U173" i="7" s="1"/>
  <c r="U183" i="7" a="1"/>
  <c r="U183" i="7" s="1"/>
  <c r="U187" i="7" a="1"/>
  <c r="U187" i="7" s="1"/>
  <c r="U190" i="7" a="1"/>
  <c r="U190" i="7" s="1"/>
  <c r="U193" i="7" a="1"/>
  <c r="U193" i="7" s="1"/>
  <c r="U135" i="7" a="1"/>
  <c r="U135" i="7" s="1"/>
  <c r="U140" i="7" a="1"/>
  <c r="U140" i="7" s="1"/>
  <c r="U148" i="7" a="1"/>
  <c r="U148" i="7" s="1"/>
  <c r="U157" i="7" a="1"/>
  <c r="U157" i="7" s="1"/>
  <c r="U165" i="7" a="1"/>
  <c r="U165" i="7" s="1"/>
  <c r="U168" i="7" a="1"/>
  <c r="U168" i="7" s="1"/>
  <c r="U171" i="7" a="1"/>
  <c r="U171" i="7" s="1"/>
  <c r="U174" i="7" a="1"/>
  <c r="U174" i="7" s="1"/>
  <c r="U177" i="7" a="1"/>
  <c r="U177" i="7" s="1"/>
  <c r="U185" i="7" a="1"/>
  <c r="U185" i="7" s="1"/>
  <c r="U191" i="7" a="1"/>
  <c r="U191" i="7" s="1"/>
  <c r="U194" i="7" a="1"/>
  <c r="U194" i="7" s="1"/>
  <c r="U197" i="7" a="1"/>
  <c r="U197" i="7" s="1"/>
  <c r="U199" i="7" a="1"/>
  <c r="U199" i="7" s="1"/>
  <c r="U19" i="7" a="1"/>
  <c r="U19" i="7" s="1"/>
  <c r="U28" i="7" a="1"/>
  <c r="U28" i="7" s="1"/>
  <c r="U40" i="7" a="1"/>
  <c r="U40" i="7" s="1"/>
  <c r="U122" i="7" a="1"/>
  <c r="U122" i="7" s="1"/>
  <c r="U131" i="7" a="1"/>
  <c r="U131" i="7" s="1"/>
  <c r="U139" i="7" a="1"/>
  <c r="U139" i="7" s="1"/>
  <c r="U164" i="7" a="1"/>
  <c r="U164" i="7" s="1"/>
  <c r="U166" i="7" a="1"/>
  <c r="U166" i="7" s="1"/>
  <c r="U169" i="7" a="1"/>
  <c r="U169" i="7" s="1"/>
  <c r="U175" i="7" a="1"/>
  <c r="U175" i="7" s="1"/>
  <c r="U178" i="7" a="1"/>
  <c r="U178" i="7" s="1"/>
  <c r="U181" i="7" a="1"/>
  <c r="U181" i="7" s="1"/>
  <c r="U198" i="7" a="1"/>
  <c r="U198" i="7" s="1"/>
  <c r="U5" i="7" a="1"/>
  <c r="U5" i="7" s="1"/>
  <c r="U23" i="7" a="1"/>
  <c r="U23" i="7" s="1"/>
  <c r="U41" i="7" a="1"/>
  <c r="U41" i="7" s="1"/>
  <c r="U91" i="7" a="1"/>
  <c r="U91" i="7" s="1"/>
  <c r="U118" i="7" a="1"/>
  <c r="U118" i="7" s="1"/>
  <c r="U127" i="7" a="1"/>
  <c r="U127" i="7" s="1"/>
  <c r="U144" i="7" a="1"/>
  <c r="U144" i="7" s="1"/>
  <c r="U153" i="7" a="1"/>
  <c r="U153" i="7" s="1"/>
  <c r="U184" i="7" a="1"/>
  <c r="U184" i="7" s="1"/>
  <c r="U12" i="7" a="1"/>
  <c r="U12" i="7" s="1"/>
  <c r="U25" i="7" a="1"/>
  <c r="U25" i="7" s="1"/>
  <c r="U29" i="7" a="1"/>
  <c r="U29" i="7" s="1"/>
  <c r="U39" i="7" a="1"/>
  <c r="U39" i="7" s="1"/>
  <c r="U46" i="7" a="1"/>
  <c r="U46" i="7" s="1"/>
  <c r="U147" i="7" a="1"/>
  <c r="U147" i="7" s="1"/>
  <c r="U156" i="7" a="1"/>
  <c r="U156" i="7" s="1"/>
  <c r="U195" i="7" a="1"/>
  <c r="U195" i="7" s="1"/>
  <c r="U27" i="7" a="1"/>
  <c r="U27" i="7" s="1"/>
  <c r="U34" i="7" a="1"/>
  <c r="U34" i="7" s="1"/>
  <c r="U75" i="7" a="1"/>
  <c r="U75" i="7" s="1"/>
  <c r="U179" i="7" a="1"/>
  <c r="U179" i="7" s="1"/>
  <c r="U200" i="7" a="1"/>
  <c r="U200" i="7" s="1"/>
  <c r="U115" i="7" a="1"/>
  <c r="U115" i="7" s="1"/>
  <c r="U170" i="7" a="1"/>
  <c r="U170" i="7" s="1"/>
  <c r="U182" i="7" a="1"/>
  <c r="U182" i="7" s="1"/>
  <c r="U161" i="7" a="1"/>
  <c r="U161" i="7" s="1"/>
  <c r="U186" i="7" a="1"/>
  <c r="U186" i="7" s="1"/>
  <c r="U37" i="7" a="1"/>
  <c r="U37" i="7" s="1"/>
  <c r="U189" i="7" a="1"/>
  <c r="U189" i="7" s="1"/>
  <c r="U3" i="7" a="1"/>
  <c r="U3" i="7" s="1"/>
  <c r="V11" i="7" a="1"/>
  <c r="V11" i="7" s="1"/>
  <c r="V32" i="7" a="1"/>
  <c r="V32" i="7" s="1"/>
  <c r="V8" i="7" a="1"/>
  <c r="V8" i="7" s="1"/>
  <c r="V16" i="7" a="1"/>
  <c r="V16" i="7" s="1"/>
  <c r="V22" i="7" a="1"/>
  <c r="V22" i="7" s="1"/>
  <c r="V35" i="7" a="1"/>
  <c r="V35" i="7" s="1"/>
  <c r="V43" i="7" a="1"/>
  <c r="V43" i="7" s="1"/>
  <c r="V51" i="7" a="1"/>
  <c r="V51" i="7" s="1"/>
  <c r="V4" i="7" a="1"/>
  <c r="V4" i="7" s="1"/>
  <c r="V10" i="7" a="1"/>
  <c r="V10" i="7" s="1"/>
  <c r="V26" i="7" a="1"/>
  <c r="V26" i="7" s="1"/>
  <c r="V7" i="7" a="1"/>
  <c r="V7" i="7" s="1"/>
  <c r="V15" i="7" a="1"/>
  <c r="V15" i="7" s="1"/>
  <c r="V21" i="7" a="1"/>
  <c r="V21" i="7" s="1"/>
  <c r="V31" i="7" a="1"/>
  <c r="V31" i="7" s="1"/>
  <c r="V42" i="7" a="1"/>
  <c r="V42" i="7" s="1"/>
  <c r="V50" i="7" a="1"/>
  <c r="V50" i="7" s="1"/>
  <c r="V57" i="7" a="1"/>
  <c r="V57" i="7" s="1"/>
  <c r="V62" i="7" a="1"/>
  <c r="V62" i="7" s="1"/>
  <c r="V52" i="7" a="1"/>
  <c r="V52" i="7" s="1"/>
  <c r="V6" i="7" a="1"/>
  <c r="V6" i="7" s="1"/>
  <c r="V18" i="7" a="1"/>
  <c r="V18" i="7" s="1"/>
  <c r="V38" i="7" a="1"/>
  <c r="V38" i="7" s="1"/>
  <c r="V56" i="7" a="1"/>
  <c r="V56" i="7" s="1"/>
  <c r="V58" i="7" a="1"/>
  <c r="V58" i="7" s="1"/>
  <c r="V63" i="7" a="1"/>
  <c r="V63" i="7" s="1"/>
  <c r="V67" i="7" a="1"/>
  <c r="V67" i="7" s="1"/>
  <c r="V71" i="7" a="1"/>
  <c r="V71" i="7" s="1"/>
  <c r="V75" i="7" a="1"/>
  <c r="V75" i="7" s="1"/>
  <c r="V79" i="7" a="1"/>
  <c r="V79" i="7" s="1"/>
  <c r="V83" i="7" a="1"/>
  <c r="V83" i="7" s="1"/>
  <c r="V49" i="7" a="1"/>
  <c r="V49" i="7" s="1"/>
  <c r="V33" i="7" a="1"/>
  <c r="V33" i="7" s="1"/>
  <c r="V17" i="7" a="1"/>
  <c r="V17" i="7" s="1"/>
  <c r="V36" i="7" a="1"/>
  <c r="V36" i="7" s="1"/>
  <c r="V55" i="7" a="1"/>
  <c r="V55" i="7" s="1"/>
  <c r="V53" i="7" a="1"/>
  <c r="V53" i="7" s="1"/>
  <c r="V59" i="7" a="1"/>
  <c r="V59" i="7" s="1"/>
  <c r="V61" i="7" a="1"/>
  <c r="V61" i="7" s="1"/>
  <c r="V64" i="7" a="1"/>
  <c r="V64" i="7" s="1"/>
  <c r="V66" i="7" a="1"/>
  <c r="V66" i="7" s="1"/>
  <c r="V70" i="7" a="1"/>
  <c r="V70" i="7" s="1"/>
  <c r="V74" i="7" a="1"/>
  <c r="V74" i="7" s="1"/>
  <c r="V78" i="7" a="1"/>
  <c r="V78" i="7" s="1"/>
  <c r="V82" i="7" a="1"/>
  <c r="V82" i="7" s="1"/>
  <c r="V86" i="7" a="1"/>
  <c r="V86" i="7" s="1"/>
  <c r="V91" i="7" a="1"/>
  <c r="V91" i="7" s="1"/>
  <c r="V95" i="7" a="1"/>
  <c r="V95" i="7" s="1"/>
  <c r="V14" i="7" a="1"/>
  <c r="V14" i="7" s="1"/>
  <c r="V48" i="7" a="1"/>
  <c r="V48" i="7" s="1"/>
  <c r="V65" i="7" a="1"/>
  <c r="V65" i="7" s="1"/>
  <c r="V73" i="7" a="1"/>
  <c r="V73" i="7" s="1"/>
  <c r="V81" i="7" a="1"/>
  <c r="V81" i="7" s="1"/>
  <c r="V100" i="7" a="1"/>
  <c r="V100" i="7" s="1"/>
  <c r="V104" i="7" a="1"/>
  <c r="V104" i="7" s="1"/>
  <c r="V105" i="7" a="1"/>
  <c r="V105" i="7" s="1"/>
  <c r="V110" i="7" a="1"/>
  <c r="V110" i="7" s="1"/>
  <c r="V111" i="7" a="1"/>
  <c r="V111" i="7" s="1"/>
  <c r="V115" i="7" a="1"/>
  <c r="V115" i="7" s="1"/>
  <c r="V13" i="7" a="1"/>
  <c r="V13" i="7" s="1"/>
  <c r="V24" i="7" a="1"/>
  <c r="V24" i="7" s="1"/>
  <c r="V45" i="7" a="1"/>
  <c r="V45" i="7" s="1"/>
  <c r="V72" i="7" a="1"/>
  <c r="V72" i="7" s="1"/>
  <c r="V80" i="7" a="1"/>
  <c r="V80" i="7" s="1"/>
  <c r="V89" i="7" a="1"/>
  <c r="V89" i="7" s="1"/>
  <c r="V92" i="7" a="1"/>
  <c r="V92" i="7" s="1"/>
  <c r="V99" i="7" a="1"/>
  <c r="V99" i="7" s="1"/>
  <c r="V103" i="7" a="1"/>
  <c r="V103" i="7" s="1"/>
  <c r="V108" i="7" a="1"/>
  <c r="V108" i="7" s="1"/>
  <c r="V109" i="7" a="1"/>
  <c r="V109" i="7" s="1"/>
  <c r="V20" i="7" a="1"/>
  <c r="V20" i="7" s="1"/>
  <c r="V30" i="7" a="1"/>
  <c r="V30" i="7" s="1"/>
  <c r="V47" i="7" a="1"/>
  <c r="V47" i="7" s="1"/>
  <c r="V54" i="7" a="1"/>
  <c r="V54" i="7" s="1"/>
  <c r="V69" i="7" a="1"/>
  <c r="V69" i="7" s="1"/>
  <c r="V77" i="7" a="1"/>
  <c r="V77" i="7" s="1"/>
  <c r="V85" i="7" a="1"/>
  <c r="V85" i="7" s="1"/>
  <c r="V87" i="7" a="1"/>
  <c r="V87" i="7" s="1"/>
  <c r="V90" i="7" a="1"/>
  <c r="V90" i="7" s="1"/>
  <c r="V93" i="7" a="1"/>
  <c r="V93" i="7" s="1"/>
  <c r="V96" i="7" a="1"/>
  <c r="V96" i="7" s="1"/>
  <c r="V98" i="7" a="1"/>
  <c r="V98" i="7" s="1"/>
  <c r="V102" i="7" a="1"/>
  <c r="V102" i="7" s="1"/>
  <c r="V107" i="7" a="1"/>
  <c r="V107" i="7" s="1"/>
  <c r="V113" i="7" a="1"/>
  <c r="V113" i="7" s="1"/>
  <c r="V44" i="7" a="1"/>
  <c r="V44" i="7" s="1"/>
  <c r="V76" i="7" a="1"/>
  <c r="V76" i="7" s="1"/>
  <c r="V118" i="7" a="1"/>
  <c r="V118" i="7" s="1"/>
  <c r="V122" i="7" a="1"/>
  <c r="V122" i="7" s="1"/>
  <c r="V123" i="7" a="1"/>
  <c r="V123" i="7" s="1"/>
  <c r="V127" i="7" a="1"/>
  <c r="V127" i="7" s="1"/>
  <c r="V131" i="7" a="1"/>
  <c r="V131" i="7" s="1"/>
  <c r="V135" i="7" a="1"/>
  <c r="V135" i="7" s="1"/>
  <c r="V139" i="7" a="1"/>
  <c r="V139" i="7" s="1"/>
  <c r="V143" i="7" a="1"/>
  <c r="V143" i="7" s="1"/>
  <c r="V147" i="7" a="1"/>
  <c r="V147" i="7" s="1"/>
  <c r="V152" i="7" a="1"/>
  <c r="V152" i="7" s="1"/>
  <c r="V156" i="7" a="1"/>
  <c r="V156" i="7" s="1"/>
  <c r="V160" i="7" a="1"/>
  <c r="V160" i="7" s="1"/>
  <c r="V164" i="7" a="1"/>
  <c r="V164" i="7" s="1"/>
  <c r="V168" i="7" a="1"/>
  <c r="V168" i="7" s="1"/>
  <c r="V173" i="7" a="1"/>
  <c r="V173" i="7" s="1"/>
  <c r="V177" i="7" a="1"/>
  <c r="V177" i="7" s="1"/>
  <c r="V181" i="7" a="1"/>
  <c r="V181" i="7" s="1"/>
  <c r="V189" i="7" a="1"/>
  <c r="V189" i="7" s="1"/>
  <c r="V193" i="7" a="1"/>
  <c r="V193" i="7" s="1"/>
  <c r="V197" i="7" a="1"/>
  <c r="V197" i="7" s="1"/>
  <c r="V9" i="7" a="1"/>
  <c r="V9" i="7" s="1"/>
  <c r="V68" i="7" a="1"/>
  <c r="V68" i="7" s="1"/>
  <c r="V116" i="7" a="1"/>
  <c r="V116" i="7" s="1"/>
  <c r="V121" i="7" a="1"/>
  <c r="V121" i="7" s="1"/>
  <c r="V126" i="7" a="1"/>
  <c r="V126" i="7" s="1"/>
  <c r="V130" i="7" a="1"/>
  <c r="V130" i="7" s="1"/>
  <c r="V134" i="7" a="1"/>
  <c r="V134" i="7" s="1"/>
  <c r="V138" i="7" a="1"/>
  <c r="V138" i="7" s="1"/>
  <c r="V142" i="7" a="1"/>
  <c r="V142" i="7" s="1"/>
  <c r="V146" i="7" a="1"/>
  <c r="V146" i="7" s="1"/>
  <c r="V151" i="7" a="1"/>
  <c r="V151" i="7" s="1"/>
  <c r="V155" i="7" a="1"/>
  <c r="V155" i="7" s="1"/>
  <c r="V159" i="7" a="1"/>
  <c r="V159" i="7" s="1"/>
  <c r="V163" i="7" a="1"/>
  <c r="V163" i="7" s="1"/>
  <c r="V101" i="7" a="1"/>
  <c r="V101" i="7" s="1"/>
  <c r="V112" i="7" a="1"/>
  <c r="V112" i="7" s="1"/>
  <c r="V114" i="7" a="1"/>
  <c r="V114" i="7" s="1"/>
  <c r="V117" i="7" a="1"/>
  <c r="V117" i="7" s="1"/>
  <c r="V120" i="7" a="1"/>
  <c r="V120" i="7" s="1"/>
  <c r="V125" i="7" a="1"/>
  <c r="V125" i="7" s="1"/>
  <c r="V129" i="7" a="1"/>
  <c r="V129" i="7" s="1"/>
  <c r="V133" i="7" a="1"/>
  <c r="V133" i="7" s="1"/>
  <c r="V137" i="7" a="1"/>
  <c r="V137" i="7" s="1"/>
  <c r="V60" i="7" a="1"/>
  <c r="V60" i="7" s="1"/>
  <c r="V94" i="7" a="1"/>
  <c r="V94" i="7" s="1"/>
  <c r="V132" i="7" a="1"/>
  <c r="V132" i="7" s="1"/>
  <c r="V144" i="7" a="1"/>
  <c r="V144" i="7" s="1"/>
  <c r="V153" i="7" a="1"/>
  <c r="V153" i="7" s="1"/>
  <c r="V161" i="7" a="1"/>
  <c r="V161" i="7" s="1"/>
  <c r="V167" i="7" a="1"/>
  <c r="V167" i="7" s="1"/>
  <c r="V170" i="7" a="1"/>
  <c r="V170" i="7" s="1"/>
  <c r="V176" i="7" a="1"/>
  <c r="V176" i="7" s="1"/>
  <c r="V179" i="7" a="1"/>
  <c r="V179" i="7" s="1"/>
  <c r="V182" i="7" a="1"/>
  <c r="V182" i="7" s="1"/>
  <c r="V184" i="7" a="1"/>
  <c r="V184" i="7" s="1"/>
  <c r="V186" i="7" a="1"/>
  <c r="V186" i="7" s="1"/>
  <c r="V196" i="7" a="1"/>
  <c r="V196" i="7" s="1"/>
  <c r="V84" i="7" a="1"/>
  <c r="V84" i="7" s="1"/>
  <c r="V97" i="7" a="1"/>
  <c r="V97" i="7" s="1"/>
  <c r="V106" i="7" a="1"/>
  <c r="V106" i="7" s="1"/>
  <c r="V119" i="7" a="1"/>
  <c r="V119" i="7" s="1"/>
  <c r="V128" i="7" a="1"/>
  <c r="V128" i="7" s="1"/>
  <c r="V141" i="7" a="1"/>
  <c r="V141" i="7" s="1"/>
  <c r="V149" i="7" a="1"/>
  <c r="V149" i="7" s="1"/>
  <c r="V150" i="7" a="1"/>
  <c r="V150" i="7" s="1"/>
  <c r="V158" i="7" a="1"/>
  <c r="V158" i="7" s="1"/>
  <c r="V180" i="7" a="1"/>
  <c r="V180" i="7" s="1"/>
  <c r="V183" i="7" a="1"/>
  <c r="V183" i="7" s="1"/>
  <c r="V187" i="7" a="1"/>
  <c r="V187" i="7" s="1"/>
  <c r="V190" i="7" a="1"/>
  <c r="V190" i="7" s="1"/>
  <c r="V200" i="7" a="1"/>
  <c r="V200" i="7" s="1"/>
  <c r="V23" i="7" a="1"/>
  <c r="V23" i="7" s="1"/>
  <c r="V29" i="7" a="1"/>
  <c r="V29" i="7" s="1"/>
  <c r="V41" i="7" a="1"/>
  <c r="V41" i="7" s="1"/>
  <c r="V88" i="7" a="1"/>
  <c r="V88" i="7" s="1"/>
  <c r="V148" i="7" a="1"/>
  <c r="V148" i="7" s="1"/>
  <c r="V157" i="7" a="1"/>
  <c r="V157" i="7" s="1"/>
  <c r="V185" i="7" a="1"/>
  <c r="V185" i="7" s="1"/>
  <c r="V188" i="7" a="1"/>
  <c r="V188" i="7" s="1"/>
  <c r="V191" i="7" a="1"/>
  <c r="V191" i="7" s="1"/>
  <c r="V194" i="7" a="1"/>
  <c r="V194" i="7" s="1"/>
  <c r="V28" i="7" a="1"/>
  <c r="V28" i="7" s="1"/>
  <c r="V37" i="7" a="1"/>
  <c r="V37" i="7" s="1"/>
  <c r="V136" i="7" a="1"/>
  <c r="V136" i="7" s="1"/>
  <c r="V162" i="7" a="1"/>
  <c r="V162" i="7" s="1"/>
  <c r="V166" i="7" a="1"/>
  <c r="V166" i="7" s="1"/>
  <c r="V169" i="7" a="1"/>
  <c r="V169" i="7" s="1"/>
  <c r="V172" i="7" a="1"/>
  <c r="V172" i="7" s="1"/>
  <c r="V175" i="7" a="1"/>
  <c r="V175" i="7" s="1"/>
  <c r="V178" i="7" a="1"/>
  <c r="V178" i="7" s="1"/>
  <c r="V198" i="7" a="1"/>
  <c r="V198" i="7" s="1"/>
  <c r="V5" i="7" a="1"/>
  <c r="V5" i="7" s="1"/>
  <c r="V124" i="7" a="1"/>
  <c r="V124" i="7" s="1"/>
  <c r="V140" i="7" a="1"/>
  <c r="V140" i="7" s="1"/>
  <c r="V165" i="7" a="1"/>
  <c r="V165" i="7" s="1"/>
  <c r="V171" i="7" a="1"/>
  <c r="V171" i="7" s="1"/>
  <c r="V174" i="7" a="1"/>
  <c r="V174" i="7" s="1"/>
  <c r="V199" i="7" a="1"/>
  <c r="V199" i="7" s="1"/>
  <c r="V12" i="7" a="1"/>
  <c r="V12" i="7" s="1"/>
  <c r="V25" i="7" a="1"/>
  <c r="V25" i="7" s="1"/>
  <c r="V39" i="7" a="1"/>
  <c r="V39" i="7" s="1"/>
  <c r="V19" i="7" a="1"/>
  <c r="V19" i="7" s="1"/>
  <c r="V27" i="7" a="1"/>
  <c r="V27" i="7" s="1"/>
  <c r="V34" i="7" a="1"/>
  <c r="V34" i="7" s="1"/>
  <c r="V40" i="7" a="1"/>
  <c r="V40" i="7" s="1"/>
  <c r="V46" i="7" a="1"/>
  <c r="V46" i="7" s="1"/>
  <c r="V3" i="7" a="1"/>
  <c r="V3" i="7" s="1"/>
  <c r="V145" i="7" a="1"/>
  <c r="V145" i="7" s="1"/>
  <c r="V154" i="7" a="1"/>
  <c r="V154" i="7" s="1"/>
  <c r="V192" i="7" a="1"/>
  <c r="V192" i="7" s="1"/>
  <c r="V195" i="7" a="1"/>
  <c r="V195" i="7" s="1"/>
  <c r="R157" i="4"/>
  <c r="R190" i="4"/>
  <c r="R161" i="4"/>
  <c r="R181" i="4"/>
  <c r="R182" i="4"/>
  <c r="R198" i="4"/>
  <c r="R146" i="4"/>
  <c r="R194" i="4"/>
  <c r="R184" i="4"/>
  <c r="R175" i="4"/>
  <c r="R195" i="4"/>
  <c r="R179" i="4"/>
  <c r="R187" i="4"/>
  <c r="R191" i="4"/>
  <c r="R160" i="4"/>
  <c r="R174" i="4"/>
  <c r="R164" i="4"/>
  <c r="R149" i="4"/>
  <c r="R166" i="4"/>
  <c r="R199" i="4"/>
  <c r="R165" i="4"/>
  <c r="R158" i="4"/>
  <c r="R151" i="4"/>
  <c r="R168" i="4"/>
  <c r="R176" i="4"/>
  <c r="R193" i="4"/>
  <c r="R152" i="4"/>
  <c r="R178" i="4"/>
  <c r="R192" i="4"/>
  <c r="R144" i="4"/>
  <c r="R200" i="4"/>
  <c r="R186" i="4"/>
  <c r="R167" i="4"/>
  <c r="R177" i="4"/>
  <c r="R171" i="4"/>
  <c r="R189" i="4"/>
  <c r="R155" i="4"/>
  <c r="R196" i="4"/>
  <c r="R188" i="4"/>
  <c r="R180" i="4"/>
  <c r="R143" i="4"/>
  <c r="R170" i="4"/>
  <c r="R172" i="4"/>
  <c r="R159" i="4"/>
  <c r="R154" i="4"/>
  <c r="R145" i="4"/>
  <c r="R185" i="4"/>
  <c r="R169" i="4"/>
  <c r="R147" i="4"/>
  <c r="R163" i="4"/>
  <c r="R156" i="4"/>
  <c r="R197" i="4"/>
  <c r="R173" i="4"/>
  <c r="R136" i="4"/>
  <c r="R137" i="4"/>
  <c r="R142" i="4"/>
  <c r="A3" i="7" a="1"/>
  <c r="A3" i="7" s="1"/>
  <c r="A12" i="7" a="1"/>
  <c r="A12" i="7" s="1"/>
  <c r="A25" i="7" a="1"/>
  <c r="A25" i="7" s="1"/>
  <c r="R135" i="4"/>
  <c r="R139" i="4"/>
  <c r="R140" i="4"/>
  <c r="R125" i="4"/>
  <c r="R81" i="4"/>
  <c r="R132" i="4"/>
  <c r="R92" i="4"/>
  <c r="R133" i="4"/>
  <c r="R18" i="4"/>
  <c r="R32" i="4"/>
  <c r="R86" i="4"/>
  <c r="R13" i="4"/>
  <c r="R73" i="4"/>
  <c r="R77" i="4"/>
  <c r="R64" i="4"/>
  <c r="R24" i="4"/>
  <c r="R83" i="4"/>
  <c r="R16" i="4"/>
  <c r="R129" i="4"/>
  <c r="R78" i="4"/>
  <c r="R94" i="4"/>
  <c r="R37" i="4"/>
  <c r="R33" i="4"/>
  <c r="R131" i="4"/>
  <c r="R74" i="4"/>
  <c r="R100" i="4"/>
  <c r="R72" i="4"/>
  <c r="R42" i="4"/>
  <c r="R121" i="4"/>
  <c r="R63" i="4"/>
  <c r="R68" i="4"/>
  <c r="R85" i="4"/>
  <c r="R115" i="4"/>
  <c r="R88" i="4"/>
  <c r="R104" i="4"/>
  <c r="R107" i="4"/>
  <c r="R93" i="4"/>
  <c r="R65" i="4"/>
  <c r="R4" i="4"/>
  <c r="R41" i="4"/>
  <c r="R106" i="4"/>
  <c r="R80" i="4"/>
  <c r="R91" i="4"/>
  <c r="R134" i="4"/>
  <c r="R117" i="4"/>
  <c r="R113" i="4"/>
  <c r="R95" i="4"/>
  <c r="R58" i="4"/>
  <c r="R36" i="4"/>
  <c r="R123" i="4"/>
  <c r="R108" i="4"/>
  <c r="R111" i="4"/>
  <c r="R116" i="4"/>
  <c r="R102" i="4"/>
  <c r="R109" i="4"/>
  <c r="R101" i="4"/>
  <c r="R122" i="4"/>
  <c r="R47" i="4"/>
  <c r="R27" i="4"/>
  <c r="R124" i="4"/>
  <c r="R103" i="4"/>
  <c r="R98" i="4"/>
  <c r="R87" i="4"/>
  <c r="R112" i="4"/>
  <c r="R128" i="4"/>
  <c r="R31" i="4"/>
  <c r="R127" i="4"/>
  <c r="R82" i="4"/>
  <c r="R119" i="4"/>
  <c r="R84" i="4"/>
  <c r="R114" i="4"/>
  <c r="R17" i="4"/>
  <c r="R69" i="4"/>
  <c r="R75" i="4"/>
  <c r="R19" i="4"/>
  <c r="R51" i="4"/>
  <c r="R7" i="4"/>
  <c r="R126" i="4"/>
  <c r="R61" i="4"/>
  <c r="R89" i="4"/>
  <c r="R39" i="4"/>
  <c r="R26" i="4"/>
  <c r="R66" i="4"/>
  <c r="R67" i="4"/>
  <c r="R57" i="4"/>
  <c r="R29" i="4"/>
  <c r="R11" i="4"/>
  <c r="R120" i="4"/>
  <c r="R97" i="4"/>
  <c r="R34" i="4"/>
  <c r="R10" i="4"/>
  <c r="R25" i="4"/>
  <c r="R110" i="4"/>
  <c r="R62" i="4"/>
  <c r="R96" i="4"/>
  <c r="R59" i="4"/>
  <c r="R53" i="4"/>
  <c r="R55" i="4"/>
  <c r="R99" i="4"/>
  <c r="R60" i="4"/>
  <c r="R21" i="4"/>
  <c r="R45" i="4"/>
  <c r="R5" i="4"/>
  <c r="R22" i="4"/>
  <c r="R50" i="4"/>
  <c r="R43" i="4"/>
  <c r="R35" i="4"/>
  <c r="R23" i="4"/>
  <c r="R9" i="4"/>
  <c r="K200" i="7" a="1"/>
  <c r="K200" i="7" s="1"/>
  <c r="K193" i="7" a="1"/>
  <c r="K193" i="7" s="1"/>
  <c r="K192" i="7" a="1"/>
  <c r="K192" i="7" s="1"/>
  <c r="K199" i="7" a="1"/>
  <c r="K199" i="7" s="1"/>
  <c r="K198" i="7" a="1"/>
  <c r="K198" i="7" s="1"/>
  <c r="K194" i="7" a="1"/>
  <c r="K194" i="7" s="1"/>
  <c r="K186" i="7" a="1"/>
  <c r="K186" i="7" s="1"/>
  <c r="K185" i="7" a="1"/>
  <c r="K185" i="7" s="1"/>
  <c r="K197" i="7" a="1"/>
  <c r="K197" i="7" s="1"/>
  <c r="K191" i="7" a="1"/>
  <c r="K191" i="7" s="1"/>
  <c r="K184" i="7" a="1"/>
  <c r="K184" i="7" s="1"/>
  <c r="K196" i="7" a="1"/>
  <c r="K196" i="7" s="1"/>
  <c r="K190" i="7" a="1"/>
  <c r="K190" i="7" s="1"/>
  <c r="K195" i="7" a="1"/>
  <c r="K195" i="7" s="1"/>
  <c r="K189" i="7" a="1"/>
  <c r="K189" i="7" s="1"/>
  <c r="K182" i="7" a="1"/>
  <c r="K182" i="7" s="1"/>
  <c r="K181" i="7" a="1"/>
  <c r="K181" i="7" s="1"/>
  <c r="K180" i="7" a="1"/>
  <c r="K180" i="7" s="1"/>
  <c r="K187" i="7" a="1"/>
  <c r="K187" i="7" s="1"/>
  <c r="K188" i="7" a="1"/>
  <c r="K188" i="7" s="1"/>
  <c r="K183" i="7" a="1"/>
  <c r="K183" i="7" s="1"/>
  <c r="K174" i="7" a="1"/>
  <c r="K174" i="7" s="1"/>
  <c r="K173" i="7" a="1"/>
  <c r="K173" i="7" s="1"/>
  <c r="K179" i="7" a="1"/>
  <c r="K179" i="7" s="1"/>
  <c r="K176" i="7" a="1"/>
  <c r="K176" i="7" s="1"/>
  <c r="K175" i="7" a="1"/>
  <c r="K175" i="7" s="1"/>
  <c r="K177" i="7" a="1"/>
  <c r="K177" i="7" s="1"/>
  <c r="K167" i="7" a="1"/>
  <c r="K167" i="7" s="1"/>
  <c r="K166" i="7" a="1"/>
  <c r="K166" i="7" s="1"/>
  <c r="K178" i="7" a="1"/>
  <c r="K178" i="7" s="1"/>
  <c r="K172" i="7" a="1"/>
  <c r="K172" i="7" s="1"/>
  <c r="K165" i="7" a="1"/>
  <c r="K165" i="7" s="1"/>
  <c r="K171" i="7" a="1"/>
  <c r="K171" i="7" s="1"/>
  <c r="K163" i="7" a="1"/>
  <c r="K163" i="7" s="1"/>
  <c r="K160" i="7" a="1"/>
  <c r="K160" i="7" s="1"/>
  <c r="K159" i="7" a="1"/>
  <c r="K159" i="7" s="1"/>
  <c r="K169" i="7" a="1"/>
  <c r="K169" i="7" s="1"/>
  <c r="K162" i="7" a="1"/>
  <c r="K162" i="7" s="1"/>
  <c r="K158" i="7" a="1"/>
  <c r="K158" i="7" s="1"/>
  <c r="K157" i="7" a="1"/>
  <c r="K157" i="7" s="1"/>
  <c r="K170" i="7" a="1"/>
  <c r="K170" i="7" s="1"/>
  <c r="K164" i="7" a="1"/>
  <c r="K164" i="7" s="1"/>
  <c r="K156" i="7" a="1"/>
  <c r="K156" i="7" s="1"/>
  <c r="K155" i="7" a="1"/>
  <c r="K155" i="7" s="1"/>
  <c r="K148" i="7" a="1"/>
  <c r="K148" i="7" s="1"/>
  <c r="K147" i="7" a="1"/>
  <c r="K147" i="7" s="1"/>
  <c r="K168" i="7" a="1"/>
  <c r="K168" i="7" s="1"/>
  <c r="K151" i="7" a="1"/>
  <c r="K151" i="7" s="1"/>
  <c r="K150" i="7" a="1"/>
  <c r="K150" i="7" s="1"/>
  <c r="K144" i="7" a="1"/>
  <c r="K144" i="7" s="1"/>
  <c r="K143" i="7" a="1"/>
  <c r="K143" i="7" s="1"/>
  <c r="K136" i="7" a="1"/>
  <c r="K136" i="7" s="1"/>
  <c r="K135" i="7" a="1"/>
  <c r="K135" i="7" s="1"/>
  <c r="K133" i="7" a="1"/>
  <c r="K133" i="7" s="1"/>
  <c r="K131" i="7" a="1"/>
  <c r="K131" i="7" s="1"/>
  <c r="K153" i="7" a="1"/>
  <c r="K153" i="7" s="1"/>
  <c r="K152" i="7" a="1"/>
  <c r="K152" i="7" s="1"/>
  <c r="K145" i="7" a="1"/>
  <c r="K145" i="7" s="1"/>
  <c r="K140" i="7" a="1"/>
  <c r="K140" i="7" s="1"/>
  <c r="K139" i="7" a="1"/>
  <c r="K139" i="7" s="1"/>
  <c r="K134" i="7" a="1"/>
  <c r="K134" i="7" s="1"/>
  <c r="K132" i="7" a="1"/>
  <c r="K132" i="7" s="1"/>
  <c r="K130" i="7" a="1"/>
  <c r="K130" i="7" s="1"/>
  <c r="K161" i="7" a="1"/>
  <c r="K161" i="7" s="1"/>
  <c r="K154" i="7" a="1"/>
  <c r="K154" i="7" s="1"/>
  <c r="K138" i="7" a="1"/>
  <c r="K138" i="7" s="1"/>
  <c r="K137" i="7" a="1"/>
  <c r="K137" i="7" s="1"/>
  <c r="K149" i="7" a="1"/>
  <c r="K149" i="7" s="1"/>
  <c r="K146" i="7" a="1"/>
  <c r="K146" i="7" s="1"/>
  <c r="K141" i="7" a="1"/>
  <c r="K141" i="7" s="1"/>
  <c r="K129" i="7" a="1"/>
  <c r="K129" i="7" s="1"/>
  <c r="K142" i="7" a="1"/>
  <c r="K142" i="7" s="1"/>
  <c r="K125" i="7" a="1"/>
  <c r="K125" i="7" s="1"/>
  <c r="K121" i="7" a="1"/>
  <c r="K121" i="7" s="1"/>
  <c r="K117" i="7" a="1"/>
  <c r="K117" i="7" s="1"/>
  <c r="K116" i="7" a="1"/>
  <c r="K116" i="7" s="1"/>
  <c r="K109" i="7" a="1"/>
  <c r="K109" i="7" s="1"/>
  <c r="K108" i="7" a="1"/>
  <c r="K108" i="7" s="1"/>
  <c r="K101" i="7" a="1"/>
  <c r="K101" i="7" s="1"/>
  <c r="K100" i="7" a="1"/>
  <c r="K100" i="7" s="1"/>
  <c r="K126" i="7" a="1"/>
  <c r="K126" i="7" s="1"/>
  <c r="K122" i="7" a="1"/>
  <c r="K122" i="7" s="1"/>
  <c r="K118" i="7" a="1"/>
  <c r="K118" i="7" s="1"/>
  <c r="K115" i="7" a="1"/>
  <c r="K115" i="7" s="1"/>
  <c r="K114" i="7" a="1"/>
  <c r="K114" i="7" s="1"/>
  <c r="K107" i="7" a="1"/>
  <c r="K107" i="7" s="1"/>
  <c r="K106" i="7" a="1"/>
  <c r="K106" i="7" s="1"/>
  <c r="K128" i="7" a="1"/>
  <c r="K128" i="7" s="1"/>
  <c r="K124" i="7" a="1"/>
  <c r="K124" i="7" s="1"/>
  <c r="K120" i="7" a="1"/>
  <c r="K120" i="7" s="1"/>
  <c r="K111" i="7" a="1"/>
  <c r="K111" i="7" s="1"/>
  <c r="K110" i="7" a="1"/>
  <c r="K110" i="7" s="1"/>
  <c r="K103" i="7" a="1"/>
  <c r="K103" i="7" s="1"/>
  <c r="K102" i="7" a="1"/>
  <c r="K102" i="7" s="1"/>
  <c r="K127" i="7" a="1"/>
  <c r="K127" i="7" s="1"/>
  <c r="K105" i="7" a="1"/>
  <c r="K105" i="7" s="1"/>
  <c r="K99" i="7" a="1"/>
  <c r="K99" i="7" s="1"/>
  <c r="K92" i="7" a="1"/>
  <c r="K92" i="7" s="1"/>
  <c r="K91" i="7" a="1"/>
  <c r="K91" i="7" s="1"/>
  <c r="K84" i="7" a="1"/>
  <c r="K84" i="7" s="1"/>
  <c r="K83" i="7" a="1"/>
  <c r="K83" i="7" s="1"/>
  <c r="K76" i="7" a="1"/>
  <c r="K76" i="7" s="1"/>
  <c r="K75" i="7" a="1"/>
  <c r="K75" i="7" s="1"/>
  <c r="K68" i="7" a="1"/>
  <c r="K68" i="7" s="1"/>
  <c r="K67" i="7" a="1"/>
  <c r="K67" i="7" s="1"/>
  <c r="K60" i="7" a="1"/>
  <c r="K60" i="7" s="1"/>
  <c r="K59" i="7" a="1"/>
  <c r="K59" i="7" s="1"/>
  <c r="K98" i="7" a="1"/>
  <c r="K98" i="7" s="1"/>
  <c r="K97" i="7" a="1"/>
  <c r="K97" i="7" s="1"/>
  <c r="K90" i="7" a="1"/>
  <c r="K90" i="7" s="1"/>
  <c r="K89" i="7" a="1"/>
  <c r="K89" i="7" s="1"/>
  <c r="K82" i="7" a="1"/>
  <c r="K82" i="7" s="1"/>
  <c r="K81" i="7" a="1"/>
  <c r="K81" i="7" s="1"/>
  <c r="K74" i="7" a="1"/>
  <c r="K74" i="7" s="1"/>
  <c r="K73" i="7" a="1"/>
  <c r="K73" i="7" s="1"/>
  <c r="K66" i="7" a="1"/>
  <c r="K66" i="7" s="1"/>
  <c r="K65" i="7" a="1"/>
  <c r="K65" i="7" s="1"/>
  <c r="K123" i="7" a="1"/>
  <c r="K123" i="7" s="1"/>
  <c r="K113" i="7" a="1"/>
  <c r="K113" i="7" s="1"/>
  <c r="K104" i="7" a="1"/>
  <c r="K104" i="7" s="1"/>
  <c r="K94" i="7" a="1"/>
  <c r="K94" i="7" s="1"/>
  <c r="K93" i="7" a="1"/>
  <c r="K93" i="7" s="1"/>
  <c r="K86" i="7" a="1"/>
  <c r="K86" i="7" s="1"/>
  <c r="K85" i="7" a="1"/>
  <c r="K85" i="7" s="1"/>
  <c r="K78" i="7" a="1"/>
  <c r="K78" i="7" s="1"/>
  <c r="K77" i="7" a="1"/>
  <c r="K77" i="7" s="1"/>
  <c r="K70" i="7" a="1"/>
  <c r="K70" i="7" s="1"/>
  <c r="K69" i="7" a="1"/>
  <c r="K69" i="7" s="1"/>
  <c r="K62" i="7" a="1"/>
  <c r="K62" i="7" s="1"/>
  <c r="K61" i="7" a="1"/>
  <c r="K61" i="7" s="1"/>
  <c r="K119" i="7" a="1"/>
  <c r="K119" i="7" s="1"/>
  <c r="K96" i="7" a="1"/>
  <c r="K96" i="7" s="1"/>
  <c r="K87" i="7" a="1"/>
  <c r="K87" i="7" s="1"/>
  <c r="K64" i="7" a="1"/>
  <c r="K64" i="7" s="1"/>
  <c r="K58" i="7" a="1"/>
  <c r="K58" i="7" s="1"/>
  <c r="K48" i="7" a="1"/>
  <c r="K48" i="7" s="1"/>
  <c r="K47" i="7" a="1"/>
  <c r="K47" i="7" s="1"/>
  <c r="K88" i="7" a="1"/>
  <c r="K88" i="7" s="1"/>
  <c r="K79" i="7" a="1"/>
  <c r="K79" i="7" s="1"/>
  <c r="K54" i="7" a="1"/>
  <c r="K54" i="7" s="1"/>
  <c r="K57" i="7" a="1"/>
  <c r="K57" i="7" s="1"/>
  <c r="K45" i="7" a="1"/>
  <c r="K45" i="7" s="1"/>
  <c r="K112" i="7" a="1"/>
  <c r="K112" i="7" s="1"/>
  <c r="K95" i="7" a="1"/>
  <c r="K95" i="7" s="1"/>
  <c r="K72" i="7" a="1"/>
  <c r="K72" i="7" s="1"/>
  <c r="K63" i="7" a="1"/>
  <c r="K63" i="7" s="1"/>
  <c r="K53" i="7" a="1"/>
  <c r="K53" i="7" s="1"/>
  <c r="K51" i="7" a="1"/>
  <c r="K51" i="7" s="1"/>
  <c r="K50" i="7" a="1"/>
  <c r="K50" i="7" s="1"/>
  <c r="K36" i="7" a="1"/>
  <c r="K36" i="7" s="1"/>
  <c r="K35" i="7" a="1"/>
  <c r="K35" i="7" s="1"/>
  <c r="K17" i="7" a="1"/>
  <c r="K17" i="7" s="1"/>
  <c r="K16" i="7" a="1"/>
  <c r="K16" i="7" s="1"/>
  <c r="K33" i="7" a="1"/>
  <c r="K33" i="7" s="1"/>
  <c r="K32" i="7" a="1"/>
  <c r="K32" i="7" s="1"/>
  <c r="K52" i="7" a="1"/>
  <c r="K52" i="7" s="1"/>
  <c r="K49" i="7" a="1"/>
  <c r="K49" i="7" s="1"/>
  <c r="K29" i="7" a="1"/>
  <c r="K29" i="7" s="1"/>
  <c r="K28" i="7" a="1"/>
  <c r="K28" i="7" s="1"/>
  <c r="K80" i="7" a="1"/>
  <c r="K80" i="7" s="1"/>
  <c r="K71" i="7" a="1"/>
  <c r="K71" i="7" s="1"/>
  <c r="K55" i="7" a="1"/>
  <c r="K55" i="7" s="1"/>
  <c r="K31" i="7" a="1"/>
  <c r="K31" i="7" s="1"/>
  <c r="K30" i="7" a="1"/>
  <c r="K30" i="7" s="1"/>
  <c r="K15" i="7" a="1"/>
  <c r="K15" i="7" s="1"/>
  <c r="K14" i="7" a="1"/>
  <c r="K14" i="7" s="1"/>
  <c r="K26" i="7" a="1"/>
  <c r="K26" i="7" s="1"/>
  <c r="K20" i="7" a="1"/>
  <c r="K20" i="7" s="1"/>
  <c r="K46" i="7" a="1"/>
  <c r="K46" i="7" s="1"/>
  <c r="K41" i="7" a="1"/>
  <c r="K41" i="7" s="1"/>
  <c r="K27" i="7" a="1"/>
  <c r="K27" i="7" s="1"/>
  <c r="K25" i="7" a="1"/>
  <c r="K25" i="7" s="1"/>
  <c r="K56" i="7" a="1"/>
  <c r="K56" i="7" s="1"/>
  <c r="K44" i="7" a="1"/>
  <c r="K44" i="7" s="1"/>
  <c r="K43" i="7" a="1"/>
  <c r="K43" i="7" s="1"/>
  <c r="K24" i="7" a="1"/>
  <c r="K24" i="7" s="1"/>
  <c r="K22" i="7" a="1"/>
  <c r="K22" i="7" s="1"/>
  <c r="K9" i="7" a="1"/>
  <c r="K9" i="7" s="1"/>
  <c r="K8" i="7" a="1"/>
  <c r="K8" i="7" s="1"/>
  <c r="K13" i="7" a="1"/>
  <c r="K13" i="7" s="1"/>
  <c r="K11" i="7" a="1"/>
  <c r="K11" i="7" s="1"/>
  <c r="K40" i="7" a="1"/>
  <c r="K40" i="7" s="1"/>
  <c r="K39" i="7" a="1"/>
  <c r="K39" i="7" s="1"/>
  <c r="K23" i="7" a="1"/>
  <c r="K23" i="7" s="1"/>
  <c r="K19" i="7" a="1"/>
  <c r="K19" i="7" s="1"/>
  <c r="K42" i="7" a="1"/>
  <c r="K42" i="7" s="1"/>
  <c r="K18" i="7" a="1"/>
  <c r="K18" i="7" s="1"/>
  <c r="K37" i="7" a="1"/>
  <c r="K37" i="7" s="1"/>
  <c r="K7" i="7" a="1"/>
  <c r="K7" i="7" s="1"/>
  <c r="K4" i="7" a="1"/>
  <c r="K4" i="7" s="1"/>
  <c r="K12" i="7" a="1"/>
  <c r="K12" i="7" s="1"/>
  <c r="K10" i="7" a="1"/>
  <c r="K10" i="7" s="1"/>
  <c r="K34" i="7" a="1"/>
  <c r="K34" i="7" s="1"/>
  <c r="K5" i="7" a="1"/>
  <c r="K5" i="7" s="1"/>
  <c r="K38" i="7" a="1"/>
  <c r="K38" i="7" s="1"/>
  <c r="K3" i="7" a="1"/>
  <c r="K3" i="7" s="1"/>
  <c r="K21" i="7" a="1"/>
  <c r="K21" i="7" s="1"/>
  <c r="K6" i="7" a="1"/>
  <c r="K6" i="7" s="1"/>
  <c r="M195" i="7" a="1"/>
  <c r="M195" i="7" s="1"/>
  <c r="M194" i="7" a="1"/>
  <c r="M194" i="7" s="1"/>
  <c r="M200" i="7" a="1"/>
  <c r="M200" i="7" s="1"/>
  <c r="M193" i="7" a="1"/>
  <c r="M193" i="7" s="1"/>
  <c r="M192" i="7" a="1"/>
  <c r="M192" i="7" s="1"/>
  <c r="M197" i="7" a="1"/>
  <c r="M197" i="7" s="1"/>
  <c r="M188" i="7" a="1"/>
  <c r="M188" i="7" s="1"/>
  <c r="M187" i="7" a="1"/>
  <c r="M187" i="7" s="1"/>
  <c r="M198" i="7" a="1"/>
  <c r="M198" i="7" s="1"/>
  <c r="M186" i="7" a="1"/>
  <c r="M186" i="7" s="1"/>
  <c r="M185" i="7" a="1"/>
  <c r="M185" i="7" s="1"/>
  <c r="M196" i="7" a="1"/>
  <c r="M196" i="7" s="1"/>
  <c r="M191" i="7" a="1"/>
  <c r="M191" i="7" s="1"/>
  <c r="M184" i="7" a="1"/>
  <c r="M184" i="7" s="1"/>
  <c r="M183" i="7" a="1"/>
  <c r="M183" i="7" s="1"/>
  <c r="M180" i="7" a="1"/>
  <c r="M180" i="7" s="1"/>
  <c r="M190" i="7" a="1"/>
  <c r="M190" i="7" s="1"/>
  <c r="M182" i="7" a="1"/>
  <c r="M182" i="7" s="1"/>
  <c r="M181" i="7" a="1"/>
  <c r="M181" i="7" s="1"/>
  <c r="M179" i="7" a="1"/>
  <c r="M179" i="7" s="1"/>
  <c r="M189" i="7" a="1"/>
  <c r="M189" i="7" s="1"/>
  <c r="M199" i="7" a="1"/>
  <c r="M199" i="7" s="1"/>
  <c r="M176" i="7" a="1"/>
  <c r="M176" i="7" s="1"/>
  <c r="M175" i="7" a="1"/>
  <c r="M175" i="7" s="1"/>
  <c r="M174" i="7" a="1"/>
  <c r="M174" i="7" s="1"/>
  <c r="M173" i="7" a="1"/>
  <c r="M173" i="7" s="1"/>
  <c r="M178" i="7" a="1"/>
  <c r="M178" i="7" s="1"/>
  <c r="M177" i="7" a="1"/>
  <c r="M177" i="7" s="1"/>
  <c r="M169" i="7" a="1"/>
  <c r="M169" i="7" s="1"/>
  <c r="M168" i="7" a="1"/>
  <c r="M168" i="7" s="1"/>
  <c r="M161" i="7" a="1"/>
  <c r="M161" i="7" s="1"/>
  <c r="M160" i="7" a="1"/>
  <c r="M160" i="7" s="1"/>
  <c r="M167" i="7" a="1"/>
  <c r="M167" i="7" s="1"/>
  <c r="M166" i="7" a="1"/>
  <c r="M166" i="7" s="1"/>
  <c r="M172" i="7" a="1"/>
  <c r="M172" i="7" s="1"/>
  <c r="M165" i="7" a="1"/>
  <c r="M165" i="7" s="1"/>
  <c r="M164" i="7" a="1"/>
  <c r="M164" i="7" s="1"/>
  <c r="M154" i="7" a="1"/>
  <c r="M154" i="7" s="1"/>
  <c r="M153" i="7" a="1"/>
  <c r="M153" i="7" s="1"/>
  <c r="M170" i="7" a="1"/>
  <c r="M170" i="7" s="1"/>
  <c r="M159" i="7" a="1"/>
  <c r="M159" i="7" s="1"/>
  <c r="M152" i="7" a="1"/>
  <c r="M152" i="7" s="1"/>
  <c r="M151" i="7" a="1"/>
  <c r="M151" i="7" s="1"/>
  <c r="M163" i="7" a="1"/>
  <c r="M163" i="7" s="1"/>
  <c r="M158" i="7" a="1"/>
  <c r="M158" i="7" s="1"/>
  <c r="M157" i="7" a="1"/>
  <c r="M157" i="7" s="1"/>
  <c r="M150" i="7" a="1"/>
  <c r="M150" i="7" s="1"/>
  <c r="M149" i="7" a="1"/>
  <c r="M149" i="7" s="1"/>
  <c r="M156" i="7" a="1"/>
  <c r="M156" i="7" s="1"/>
  <c r="M148" i="7" a="1"/>
  <c r="M148" i="7" s="1"/>
  <c r="M145" i="7" a="1"/>
  <c r="M145" i="7" s="1"/>
  <c r="M138" i="7" a="1"/>
  <c r="M138" i="7" s="1"/>
  <c r="M137" i="7" a="1"/>
  <c r="M137" i="7" s="1"/>
  <c r="M133" i="7" a="1"/>
  <c r="M133" i="7" s="1"/>
  <c r="M131" i="7" a="1"/>
  <c r="M131" i="7" s="1"/>
  <c r="M144" i="7" a="1"/>
  <c r="M144" i="7" s="1"/>
  <c r="M142" i="7" a="1"/>
  <c r="M142" i="7" s="1"/>
  <c r="M141" i="7" a="1"/>
  <c r="M141" i="7" s="1"/>
  <c r="M134" i="7" a="1"/>
  <c r="M134" i="7" s="1"/>
  <c r="M132" i="7" a="1"/>
  <c r="M132" i="7" s="1"/>
  <c r="M130" i="7" a="1"/>
  <c r="M130" i="7" s="1"/>
  <c r="M155" i="7" a="1"/>
  <c r="M155" i="7" s="1"/>
  <c r="M146" i="7" a="1"/>
  <c r="M146" i="7" s="1"/>
  <c r="M140" i="7" a="1"/>
  <c r="M140" i="7" s="1"/>
  <c r="M139" i="7" a="1"/>
  <c r="M139" i="7" s="1"/>
  <c r="M162" i="7" a="1"/>
  <c r="M162" i="7" s="1"/>
  <c r="M143" i="7" a="1"/>
  <c r="M143" i="7" s="1"/>
  <c r="M129" i="7" a="1"/>
  <c r="M129" i="7" s="1"/>
  <c r="M147" i="7" a="1"/>
  <c r="M147" i="7" s="1"/>
  <c r="M135" i="7" a="1"/>
  <c r="M135" i="7" s="1"/>
  <c r="M136" i="7" a="1"/>
  <c r="M136" i="7" s="1"/>
  <c r="M127" i="7" a="1"/>
  <c r="M127" i="7" s="1"/>
  <c r="M123" i="7" a="1"/>
  <c r="M123" i="7" s="1"/>
  <c r="M119" i="7" a="1"/>
  <c r="M119" i="7" s="1"/>
  <c r="M111" i="7" a="1"/>
  <c r="M111" i="7" s="1"/>
  <c r="M110" i="7" a="1"/>
  <c r="M110" i="7" s="1"/>
  <c r="M103" i="7" a="1"/>
  <c r="M103" i="7" s="1"/>
  <c r="M102" i="7" a="1"/>
  <c r="M102" i="7" s="1"/>
  <c r="M171" i="7" a="1"/>
  <c r="M171" i="7" s="1"/>
  <c r="M128" i="7" a="1"/>
  <c r="M128" i="7" s="1"/>
  <c r="M124" i="7" a="1"/>
  <c r="M124" i="7" s="1"/>
  <c r="M120" i="7" a="1"/>
  <c r="M120" i="7" s="1"/>
  <c r="M116" i="7" a="1"/>
  <c r="M116" i="7" s="1"/>
  <c r="M109" i="7" a="1"/>
  <c r="M109" i="7" s="1"/>
  <c r="M108" i="7" a="1"/>
  <c r="M108" i="7" s="1"/>
  <c r="M126" i="7" a="1"/>
  <c r="M126" i="7" s="1"/>
  <c r="M122" i="7" a="1"/>
  <c r="M122" i="7" s="1"/>
  <c r="M118" i="7" a="1"/>
  <c r="M118" i="7" s="1"/>
  <c r="M113" i="7" a="1"/>
  <c r="M113" i="7" s="1"/>
  <c r="M112" i="7" a="1"/>
  <c r="M112" i="7" s="1"/>
  <c r="M105" i="7" a="1"/>
  <c r="M105" i="7" s="1"/>
  <c r="M104" i="7" a="1"/>
  <c r="M104" i="7" s="1"/>
  <c r="M121" i="7" a="1"/>
  <c r="M121" i="7" s="1"/>
  <c r="M115" i="7" a="1"/>
  <c r="M115" i="7" s="1"/>
  <c r="M106" i="7" a="1"/>
  <c r="M106" i="7" s="1"/>
  <c r="M100" i="7" a="1"/>
  <c r="M100" i="7" s="1"/>
  <c r="M94" i="7" a="1"/>
  <c r="M94" i="7" s="1"/>
  <c r="M93" i="7" a="1"/>
  <c r="M93" i="7" s="1"/>
  <c r="M86" i="7" a="1"/>
  <c r="M86" i="7" s="1"/>
  <c r="M85" i="7" a="1"/>
  <c r="M85" i="7" s="1"/>
  <c r="M78" i="7" a="1"/>
  <c r="M78" i="7" s="1"/>
  <c r="M77" i="7" a="1"/>
  <c r="M77" i="7" s="1"/>
  <c r="M70" i="7" a="1"/>
  <c r="M70" i="7" s="1"/>
  <c r="M69" i="7" a="1"/>
  <c r="M69" i="7" s="1"/>
  <c r="M62" i="7" a="1"/>
  <c r="M62" i="7" s="1"/>
  <c r="M61" i="7" a="1"/>
  <c r="M61" i="7" s="1"/>
  <c r="M125" i="7" a="1"/>
  <c r="M125" i="7" s="1"/>
  <c r="M107" i="7" a="1"/>
  <c r="M107" i="7" s="1"/>
  <c r="M92" i="7" a="1"/>
  <c r="M92" i="7" s="1"/>
  <c r="M91" i="7" a="1"/>
  <c r="M91" i="7" s="1"/>
  <c r="M84" i="7" a="1"/>
  <c r="M84" i="7" s="1"/>
  <c r="M83" i="7" a="1"/>
  <c r="M83" i="7" s="1"/>
  <c r="M76" i="7" a="1"/>
  <c r="M76" i="7" s="1"/>
  <c r="M75" i="7" a="1"/>
  <c r="M75" i="7" s="1"/>
  <c r="M68" i="7" a="1"/>
  <c r="M68" i="7" s="1"/>
  <c r="M67" i="7" a="1"/>
  <c r="M67" i="7" s="1"/>
  <c r="M60" i="7" a="1"/>
  <c r="M60" i="7" s="1"/>
  <c r="M117" i="7" a="1"/>
  <c r="M117" i="7" s="1"/>
  <c r="M114" i="7" a="1"/>
  <c r="M114" i="7" s="1"/>
  <c r="M101" i="7" a="1"/>
  <c r="M101" i="7" s="1"/>
  <c r="M96" i="7" a="1"/>
  <c r="M96" i="7" s="1"/>
  <c r="M95" i="7" a="1"/>
  <c r="M95" i="7" s="1"/>
  <c r="M88" i="7" a="1"/>
  <c r="M88" i="7" s="1"/>
  <c r="M87" i="7" a="1"/>
  <c r="M87" i="7" s="1"/>
  <c r="M80" i="7" a="1"/>
  <c r="M80" i="7" s="1"/>
  <c r="M79" i="7" a="1"/>
  <c r="M79" i="7" s="1"/>
  <c r="M72" i="7" a="1"/>
  <c r="M72" i="7" s="1"/>
  <c r="M71" i="7" a="1"/>
  <c r="M71" i="7" s="1"/>
  <c r="M64" i="7" a="1"/>
  <c r="M64" i="7" s="1"/>
  <c r="M63" i="7" a="1"/>
  <c r="M63" i="7" s="1"/>
  <c r="M97" i="7" a="1"/>
  <c r="M97" i="7" s="1"/>
  <c r="M74" i="7" a="1"/>
  <c r="M74" i="7" s="1"/>
  <c r="M65" i="7" a="1"/>
  <c r="M65" i="7" s="1"/>
  <c r="M59" i="7" a="1"/>
  <c r="M59" i="7" s="1"/>
  <c r="M51" i="7" a="1"/>
  <c r="M51" i="7" s="1"/>
  <c r="M50" i="7" a="1"/>
  <c r="M50" i="7" s="1"/>
  <c r="M98" i="7" a="1"/>
  <c r="M98" i="7" s="1"/>
  <c r="M89" i="7" a="1"/>
  <c r="M89" i="7" s="1"/>
  <c r="M66" i="7" a="1"/>
  <c r="M66" i="7" s="1"/>
  <c r="M53" i="7" a="1"/>
  <c r="M53" i="7" s="1"/>
  <c r="M48" i="7" a="1"/>
  <c r="M48" i="7" s="1"/>
  <c r="M47" i="7" a="1"/>
  <c r="M47" i="7" s="1"/>
  <c r="M82" i="7" a="1"/>
  <c r="M82" i="7" s="1"/>
  <c r="M73" i="7" a="1"/>
  <c r="M73" i="7" s="1"/>
  <c r="M54" i="7" a="1"/>
  <c r="M54" i="7" s="1"/>
  <c r="M56" i="7" a="1"/>
  <c r="M56" i="7" s="1"/>
  <c r="M55" i="7" a="1"/>
  <c r="M55" i="7" s="1"/>
  <c r="M45" i="7" a="1"/>
  <c r="M45" i="7" s="1"/>
  <c r="M42" i="7" a="1"/>
  <c r="M42" i="7" s="1"/>
  <c r="M38" i="7" a="1"/>
  <c r="M38" i="7" s="1"/>
  <c r="M21" i="7" a="1"/>
  <c r="M21" i="7" s="1"/>
  <c r="M18" i="7" a="1"/>
  <c r="M18" i="7" s="1"/>
  <c r="M7" i="7" a="1"/>
  <c r="M7" i="7" s="1"/>
  <c r="M6" i="7" a="1"/>
  <c r="M6" i="7" s="1"/>
  <c r="M10" i="7" a="1"/>
  <c r="M10" i="7" s="1"/>
  <c r="M4" i="7" a="1"/>
  <c r="M4" i="7" s="1"/>
  <c r="M37" i="7" a="1"/>
  <c r="M37" i="7" s="1"/>
  <c r="M34" i="7" a="1"/>
  <c r="M34" i="7" s="1"/>
  <c r="M58" i="7" a="1"/>
  <c r="M58" i="7" s="1"/>
  <c r="M36" i="7" a="1"/>
  <c r="M36" i="7" s="1"/>
  <c r="M35" i="7" a="1"/>
  <c r="M35" i="7" s="1"/>
  <c r="M17" i="7" a="1"/>
  <c r="M17" i="7" s="1"/>
  <c r="M16" i="7" a="1"/>
  <c r="M16" i="7" s="1"/>
  <c r="M33" i="7" a="1"/>
  <c r="M33" i="7" s="1"/>
  <c r="M32" i="7" a="1"/>
  <c r="M32" i="7" s="1"/>
  <c r="M52" i="7" a="1"/>
  <c r="M52" i="7" s="1"/>
  <c r="M49" i="7" a="1"/>
  <c r="M49" i="7" s="1"/>
  <c r="M29" i="7" a="1"/>
  <c r="M29" i="7" s="1"/>
  <c r="M28" i="7" a="1"/>
  <c r="M28" i="7" s="1"/>
  <c r="M57" i="7" a="1"/>
  <c r="M57" i="7" s="1"/>
  <c r="M31" i="7" a="1"/>
  <c r="M31" i="7" s="1"/>
  <c r="M30" i="7" a="1"/>
  <c r="M30" i="7" s="1"/>
  <c r="M15" i="7" a="1"/>
  <c r="M15" i="7" s="1"/>
  <c r="M14" i="7" a="1"/>
  <c r="M14" i="7" s="1"/>
  <c r="M26" i="7" a="1"/>
  <c r="M26" i="7" s="1"/>
  <c r="M20" i="7" a="1"/>
  <c r="M20" i="7" s="1"/>
  <c r="M46" i="7" a="1"/>
  <c r="M46" i="7" s="1"/>
  <c r="M41" i="7" a="1"/>
  <c r="M41" i="7" s="1"/>
  <c r="M27" i="7" a="1"/>
  <c r="M27" i="7" s="1"/>
  <c r="M25" i="7" a="1"/>
  <c r="M25" i="7" s="1"/>
  <c r="M99" i="7" a="1"/>
  <c r="M99" i="7" s="1"/>
  <c r="M90" i="7" a="1"/>
  <c r="M90" i="7" s="1"/>
  <c r="M81" i="7" a="1"/>
  <c r="M81" i="7" s="1"/>
  <c r="M43" i="7" a="1"/>
  <c r="M43" i="7" s="1"/>
  <c r="M13" i="7" a="1"/>
  <c r="M13" i="7" s="1"/>
  <c r="M39" i="7" a="1"/>
  <c r="M39" i="7" s="1"/>
  <c r="M12" i="7" a="1"/>
  <c r="M12" i="7" s="1"/>
  <c r="M24" i="7" a="1"/>
  <c r="M24" i="7" s="1"/>
  <c r="M8" i="7" a="1"/>
  <c r="M8" i="7" s="1"/>
  <c r="M23" i="7" a="1"/>
  <c r="M23" i="7" s="1"/>
  <c r="M11" i="7" a="1"/>
  <c r="M11" i="7" s="1"/>
  <c r="M9" i="7" a="1"/>
  <c r="M9" i="7" s="1"/>
  <c r="M3" i="7" a="1"/>
  <c r="M3" i="7" s="1"/>
  <c r="M44" i="7" a="1"/>
  <c r="M44" i="7" s="1"/>
  <c r="M22" i="7" a="1"/>
  <c r="M22" i="7" s="1"/>
  <c r="M40" i="7" a="1"/>
  <c r="M40" i="7" s="1"/>
  <c r="M19" i="7" a="1"/>
  <c r="M19" i="7" s="1"/>
  <c r="M5" i="7" a="1"/>
  <c r="M5" i="7" s="1"/>
  <c r="O197" i="7" a="1"/>
  <c r="O197" i="7" s="1"/>
  <c r="O196" i="7" a="1"/>
  <c r="O196" i="7" s="1"/>
  <c r="O195" i="7" a="1"/>
  <c r="O195" i="7" s="1"/>
  <c r="O194" i="7" a="1"/>
  <c r="O194" i="7" s="1"/>
  <c r="O198" i="7" a="1"/>
  <c r="O198" i="7" s="1"/>
  <c r="O190" i="7" a="1"/>
  <c r="O190" i="7" s="1"/>
  <c r="O189" i="7" a="1"/>
  <c r="O189" i="7" s="1"/>
  <c r="O192" i="7" a="1"/>
  <c r="O192" i="7" s="1"/>
  <c r="O188" i="7" a="1"/>
  <c r="O188" i="7" s="1"/>
  <c r="O187" i="7" a="1"/>
  <c r="O187" i="7" s="1"/>
  <c r="O199" i="7" a="1"/>
  <c r="O199" i="7" s="1"/>
  <c r="O185" i="7" a="1"/>
  <c r="O185" i="7" s="1"/>
  <c r="O182" i="7" a="1"/>
  <c r="O182" i="7" s="1"/>
  <c r="O181" i="7" a="1"/>
  <c r="O181" i="7" s="1"/>
  <c r="O186" i="7" a="1"/>
  <c r="O186" i="7" s="1"/>
  <c r="O180" i="7" a="1"/>
  <c r="O180" i="7" s="1"/>
  <c r="O193" i="7" a="1"/>
  <c r="O193" i="7" s="1"/>
  <c r="O191" i="7" a="1"/>
  <c r="O191" i="7" s="1"/>
  <c r="O184" i="7" a="1"/>
  <c r="O184" i="7" s="1"/>
  <c r="O183" i="7" a="1"/>
  <c r="O183" i="7" s="1"/>
  <c r="O200" i="7" a="1"/>
  <c r="O200" i="7" s="1"/>
  <c r="O178" i="7" a="1"/>
  <c r="O178" i="7" s="1"/>
  <c r="O177" i="7" a="1"/>
  <c r="O177" i="7" s="1"/>
  <c r="O176" i="7" a="1"/>
  <c r="O176" i="7" s="1"/>
  <c r="O175" i="7" a="1"/>
  <c r="O175" i="7" s="1"/>
  <c r="O174" i="7" a="1"/>
  <c r="O174" i="7" s="1"/>
  <c r="O171" i="7" a="1"/>
  <c r="O171" i="7" s="1"/>
  <c r="O170" i="7" a="1"/>
  <c r="O170" i="7" s="1"/>
  <c r="O163" i="7" a="1"/>
  <c r="O163" i="7" s="1"/>
  <c r="O162" i="7" a="1"/>
  <c r="O162" i="7" s="1"/>
  <c r="O169" i="7" a="1"/>
  <c r="O169" i="7" s="1"/>
  <c r="O168" i="7" a="1"/>
  <c r="O168" i="7" s="1"/>
  <c r="O179" i="7" a="1"/>
  <c r="O179" i="7" s="1"/>
  <c r="O173" i="7" a="1"/>
  <c r="O173" i="7" s="1"/>
  <c r="O166" i="7" a="1"/>
  <c r="O166" i="7" s="1"/>
  <c r="O156" i="7" a="1"/>
  <c r="O156" i="7" s="1"/>
  <c r="O155" i="7" a="1"/>
  <c r="O155" i="7" s="1"/>
  <c r="O154" i="7" a="1"/>
  <c r="O154" i="7" s="1"/>
  <c r="O153" i="7" a="1"/>
  <c r="O153" i="7" s="1"/>
  <c r="O167" i="7" a="1"/>
  <c r="O167" i="7" s="1"/>
  <c r="O164" i="7" a="1"/>
  <c r="O164" i="7" s="1"/>
  <c r="O161" i="7" a="1"/>
  <c r="O161" i="7" s="1"/>
  <c r="O159" i="7" a="1"/>
  <c r="O159" i="7" s="1"/>
  <c r="O152" i="7" a="1"/>
  <c r="O152" i="7" s="1"/>
  <c r="O151" i="7" a="1"/>
  <c r="O151" i="7" s="1"/>
  <c r="O144" i="7" a="1"/>
  <c r="O144" i="7" s="1"/>
  <c r="O157" i="7" a="1"/>
  <c r="O157" i="7" s="1"/>
  <c r="O149" i="7" a="1"/>
  <c r="O149" i="7" s="1"/>
  <c r="O140" i="7" a="1"/>
  <c r="O140" i="7" s="1"/>
  <c r="O139" i="7" a="1"/>
  <c r="O139" i="7" s="1"/>
  <c r="O133" i="7" a="1"/>
  <c r="O133" i="7" s="1"/>
  <c r="O131" i="7" a="1"/>
  <c r="O131" i="7" s="1"/>
  <c r="O165" i="7" a="1"/>
  <c r="O165" i="7" s="1"/>
  <c r="O148" i="7" a="1"/>
  <c r="O148" i="7" s="1"/>
  <c r="O145" i="7" a="1"/>
  <c r="O145" i="7" s="1"/>
  <c r="O143" i="7" a="1"/>
  <c r="O143" i="7" s="1"/>
  <c r="O136" i="7" a="1"/>
  <c r="O136" i="7" s="1"/>
  <c r="O135" i="7" a="1"/>
  <c r="O135" i="7" s="1"/>
  <c r="O134" i="7" a="1"/>
  <c r="O134" i="7" s="1"/>
  <c r="O132" i="7" a="1"/>
  <c r="O132" i="7" s="1"/>
  <c r="O130" i="7" a="1"/>
  <c r="O130" i="7" s="1"/>
  <c r="O160" i="7" a="1"/>
  <c r="O160" i="7" s="1"/>
  <c r="O150" i="7" a="1"/>
  <c r="O150" i="7" s="1"/>
  <c r="O147" i="7" a="1"/>
  <c r="O147" i="7" s="1"/>
  <c r="O142" i="7" a="1"/>
  <c r="O142" i="7" s="1"/>
  <c r="O141" i="7" a="1"/>
  <c r="O141" i="7" s="1"/>
  <c r="O138" i="7" a="1"/>
  <c r="O138" i="7" s="1"/>
  <c r="O172" i="7" a="1"/>
  <c r="O172" i="7" s="1"/>
  <c r="O158" i="7" a="1"/>
  <c r="O158" i="7" s="1"/>
  <c r="O129" i="7" a="1"/>
  <c r="O129" i="7" s="1"/>
  <c r="O125" i="7" a="1"/>
  <c r="O125" i="7" s="1"/>
  <c r="O121" i="7" a="1"/>
  <c r="O121" i="7" s="1"/>
  <c r="O117" i="7" a="1"/>
  <c r="O117" i="7" s="1"/>
  <c r="O113" i="7" a="1"/>
  <c r="O113" i="7" s="1"/>
  <c r="O112" i="7" a="1"/>
  <c r="O112" i="7" s="1"/>
  <c r="O105" i="7" a="1"/>
  <c r="O105" i="7" s="1"/>
  <c r="O104" i="7" a="1"/>
  <c r="O104" i="7" s="1"/>
  <c r="O126" i="7" a="1"/>
  <c r="O126" i="7" s="1"/>
  <c r="O122" i="7" a="1"/>
  <c r="O122" i="7" s="1"/>
  <c r="O118" i="7" a="1"/>
  <c r="O118" i="7" s="1"/>
  <c r="O111" i="7" a="1"/>
  <c r="O111" i="7" s="1"/>
  <c r="O110" i="7" a="1"/>
  <c r="O110" i="7" s="1"/>
  <c r="O103" i="7" a="1"/>
  <c r="O103" i="7" s="1"/>
  <c r="O102" i="7" a="1"/>
  <c r="O102" i="7" s="1"/>
  <c r="O146" i="7" a="1"/>
  <c r="O146" i="7" s="1"/>
  <c r="O128" i="7" a="1"/>
  <c r="O128" i="7" s="1"/>
  <c r="O124" i="7" a="1"/>
  <c r="O124" i="7" s="1"/>
  <c r="O120" i="7" a="1"/>
  <c r="O120" i="7" s="1"/>
  <c r="O115" i="7" a="1"/>
  <c r="O115" i="7" s="1"/>
  <c r="O114" i="7" a="1"/>
  <c r="O114" i="7" s="1"/>
  <c r="O107" i="7" a="1"/>
  <c r="O107" i="7" s="1"/>
  <c r="O106" i="7" a="1"/>
  <c r="O106" i="7" s="1"/>
  <c r="O137" i="7" a="1"/>
  <c r="O137" i="7" s="1"/>
  <c r="O116" i="7" a="1"/>
  <c r="O116" i="7" s="1"/>
  <c r="O99" i="7" a="1"/>
  <c r="O99" i="7" s="1"/>
  <c r="O96" i="7" a="1"/>
  <c r="O96" i="7" s="1"/>
  <c r="O95" i="7" a="1"/>
  <c r="O95" i="7" s="1"/>
  <c r="O88" i="7" a="1"/>
  <c r="O88" i="7" s="1"/>
  <c r="O87" i="7" a="1"/>
  <c r="O87" i="7" s="1"/>
  <c r="O80" i="7" a="1"/>
  <c r="O80" i="7" s="1"/>
  <c r="O79" i="7" a="1"/>
  <c r="O79" i="7" s="1"/>
  <c r="O72" i="7" a="1"/>
  <c r="O72" i="7" s="1"/>
  <c r="O71" i="7" a="1"/>
  <c r="O71" i="7" s="1"/>
  <c r="O64" i="7" a="1"/>
  <c r="O64" i="7" s="1"/>
  <c r="O63" i="7" a="1"/>
  <c r="O63" i="7" s="1"/>
  <c r="O53" i="7" a="1"/>
  <c r="O53" i="7" s="1"/>
  <c r="O119" i="7" a="1"/>
  <c r="O119" i="7" s="1"/>
  <c r="O108" i="7" a="1"/>
  <c r="O108" i="7" s="1"/>
  <c r="O101" i="7" a="1"/>
  <c r="O101" i="7" s="1"/>
  <c r="O94" i="7" a="1"/>
  <c r="O94" i="7" s="1"/>
  <c r="O93" i="7" a="1"/>
  <c r="O93" i="7" s="1"/>
  <c r="O86" i="7" a="1"/>
  <c r="O86" i="7" s="1"/>
  <c r="O85" i="7" a="1"/>
  <c r="O85" i="7" s="1"/>
  <c r="O78" i="7" a="1"/>
  <c r="O78" i="7" s="1"/>
  <c r="O77" i="7" a="1"/>
  <c r="O77" i="7" s="1"/>
  <c r="O70" i="7" a="1"/>
  <c r="O70" i="7" s="1"/>
  <c r="O69" i="7" a="1"/>
  <c r="O69" i="7" s="1"/>
  <c r="O62" i="7" a="1"/>
  <c r="O62" i="7" s="1"/>
  <c r="O61" i="7" a="1"/>
  <c r="O61" i="7" s="1"/>
  <c r="O127" i="7" a="1"/>
  <c r="O127" i="7" s="1"/>
  <c r="O98" i="7" a="1"/>
  <c r="O98" i="7" s="1"/>
  <c r="O97" i="7" a="1"/>
  <c r="O97" i="7" s="1"/>
  <c r="O90" i="7" a="1"/>
  <c r="O90" i="7" s="1"/>
  <c r="O89" i="7" a="1"/>
  <c r="O89" i="7" s="1"/>
  <c r="O82" i="7" a="1"/>
  <c r="O82" i="7" s="1"/>
  <c r="O81" i="7" a="1"/>
  <c r="O81" i="7" s="1"/>
  <c r="O74" i="7" a="1"/>
  <c r="O74" i="7" s="1"/>
  <c r="O73" i="7" a="1"/>
  <c r="O73" i="7" s="1"/>
  <c r="O66" i="7" a="1"/>
  <c r="O66" i="7" s="1"/>
  <c r="O65" i="7" a="1"/>
  <c r="O65" i="7" s="1"/>
  <c r="O109" i="7" a="1"/>
  <c r="O109" i="7" s="1"/>
  <c r="O100" i="7" a="1"/>
  <c r="O100" i="7" s="1"/>
  <c r="O84" i="7" a="1"/>
  <c r="O84" i="7" s="1"/>
  <c r="O75" i="7" a="1"/>
  <c r="O75" i="7" s="1"/>
  <c r="O58" i="7" a="1"/>
  <c r="O58" i="7" s="1"/>
  <c r="O56" i="7" a="1"/>
  <c r="O56" i="7" s="1"/>
  <c r="O55" i="7" a="1"/>
  <c r="O55" i="7" s="1"/>
  <c r="O76" i="7" a="1"/>
  <c r="O76" i="7" s="1"/>
  <c r="O67" i="7" a="1"/>
  <c r="O67" i="7" s="1"/>
  <c r="O54" i="7" a="1"/>
  <c r="O54" i="7" s="1"/>
  <c r="O51" i="7" a="1"/>
  <c r="O51" i="7" s="1"/>
  <c r="O50" i="7" a="1"/>
  <c r="O50" i="7" s="1"/>
  <c r="O123" i="7" a="1"/>
  <c r="O123" i="7" s="1"/>
  <c r="O92" i="7" a="1"/>
  <c r="O92" i="7" s="1"/>
  <c r="O83" i="7" a="1"/>
  <c r="O83" i="7" s="1"/>
  <c r="O60" i="7" a="1"/>
  <c r="O60" i="7" s="1"/>
  <c r="O57" i="7" a="1"/>
  <c r="O57" i="7" s="1"/>
  <c r="O45" i="7" a="1"/>
  <c r="O45" i="7" s="1"/>
  <c r="O47" i="7" a="1"/>
  <c r="O47" i="7" s="1"/>
  <c r="O44" i="7" a="1"/>
  <c r="O44" i="7" s="1"/>
  <c r="O43" i="7" a="1"/>
  <c r="O43" i="7" s="1"/>
  <c r="O24" i="7" a="1"/>
  <c r="O24" i="7" s="1"/>
  <c r="O22" i="7" a="1"/>
  <c r="O22" i="7" s="1"/>
  <c r="O9" i="7" a="1"/>
  <c r="O9" i="7" s="1"/>
  <c r="O8" i="7" a="1"/>
  <c r="O8" i="7" s="1"/>
  <c r="O13" i="7" a="1"/>
  <c r="O13" i="7" s="1"/>
  <c r="O11" i="7" a="1"/>
  <c r="O11" i="7" s="1"/>
  <c r="O40" i="7" a="1"/>
  <c r="O40" i="7" s="1"/>
  <c r="O39" i="7" a="1"/>
  <c r="O39" i="7" s="1"/>
  <c r="O23" i="7" a="1"/>
  <c r="O23" i="7" s="1"/>
  <c r="O19" i="7" a="1"/>
  <c r="O19" i="7" s="1"/>
  <c r="O91" i="7" a="1"/>
  <c r="O91" i="7" s="1"/>
  <c r="O48" i="7" a="1"/>
  <c r="O48" i="7" s="1"/>
  <c r="O42" i="7" a="1"/>
  <c r="O42" i="7" s="1"/>
  <c r="O38" i="7" a="1"/>
  <c r="O38" i="7" s="1"/>
  <c r="O21" i="7" a="1"/>
  <c r="O21" i="7" s="1"/>
  <c r="O18" i="7" a="1"/>
  <c r="O18" i="7" s="1"/>
  <c r="O7" i="7" a="1"/>
  <c r="O7" i="7" s="1"/>
  <c r="O6" i="7" a="1"/>
  <c r="O6" i="7" s="1"/>
  <c r="O10" i="7" a="1"/>
  <c r="O10" i="7" s="1"/>
  <c r="O4" i="7" a="1"/>
  <c r="O4" i="7" s="1"/>
  <c r="O37" i="7" a="1"/>
  <c r="O37" i="7" s="1"/>
  <c r="O34" i="7" a="1"/>
  <c r="O34" i="7" s="1"/>
  <c r="O68" i="7" a="1"/>
  <c r="O68" i="7" s="1"/>
  <c r="O36" i="7" a="1"/>
  <c r="O36" i="7" s="1"/>
  <c r="O35" i="7" a="1"/>
  <c r="O35" i="7" s="1"/>
  <c r="O17" i="7" a="1"/>
  <c r="O17" i="7" s="1"/>
  <c r="O16" i="7" a="1"/>
  <c r="O16" i="7" s="1"/>
  <c r="O33" i="7" a="1"/>
  <c r="O33" i="7" s="1"/>
  <c r="O32" i="7" a="1"/>
  <c r="O32" i="7" s="1"/>
  <c r="O52" i="7" a="1"/>
  <c r="O52" i="7" s="1"/>
  <c r="O49" i="7" a="1"/>
  <c r="O49" i="7" s="1"/>
  <c r="O29" i="7" a="1"/>
  <c r="O29" i="7" s="1"/>
  <c r="O28" i="7" a="1"/>
  <c r="O28" i="7" s="1"/>
  <c r="O3" i="7" a="1"/>
  <c r="O3" i="7" s="1"/>
  <c r="O15" i="7" a="1"/>
  <c r="O15" i="7" s="1"/>
  <c r="O20" i="7" a="1"/>
  <c r="O20" i="7" s="1"/>
  <c r="O59" i="7" a="1"/>
  <c r="O59" i="7" s="1"/>
  <c r="O30" i="7" a="1"/>
  <c r="O30" i="7" s="1"/>
  <c r="O46" i="7" a="1"/>
  <c r="O46" i="7" s="1"/>
  <c r="O25" i="7" a="1"/>
  <c r="O25" i="7" s="1"/>
  <c r="O12" i="7" a="1"/>
  <c r="O12" i="7" s="1"/>
  <c r="O27" i="7" a="1"/>
  <c r="O27" i="7" s="1"/>
  <c r="O5" i="7" a="1"/>
  <c r="O5" i="7" s="1"/>
  <c r="O31" i="7" a="1"/>
  <c r="O31" i="7" s="1"/>
  <c r="O14" i="7" a="1"/>
  <c r="O14" i="7" s="1"/>
  <c r="O26" i="7" a="1"/>
  <c r="O26" i="7" s="1"/>
  <c r="O41" i="7" a="1"/>
  <c r="O41" i="7" s="1"/>
  <c r="R12" i="4"/>
  <c r="R70" i="4"/>
  <c r="R52" i="4"/>
  <c r="B196" i="7" a="1"/>
  <c r="B196" i="7" s="1"/>
  <c r="B195" i="7" a="1"/>
  <c r="B195" i="7" s="1"/>
  <c r="B194" i="7" a="1"/>
  <c r="B194" i="7" s="1"/>
  <c r="B193" i="7" a="1"/>
  <c r="B193" i="7" s="1"/>
  <c r="B197" i="7" a="1"/>
  <c r="B197" i="7" s="1"/>
  <c r="B189" i="7" a="1"/>
  <c r="B189" i="7" s="1"/>
  <c r="B188" i="7" a="1"/>
  <c r="B188" i="7" s="1"/>
  <c r="B200" i="7" a="1"/>
  <c r="B200" i="7" s="1"/>
  <c r="B187" i="7" a="1"/>
  <c r="B187" i="7" s="1"/>
  <c r="B186" i="7" a="1"/>
  <c r="B186" i="7" s="1"/>
  <c r="B198" i="7" a="1"/>
  <c r="B198" i="7" s="1"/>
  <c r="B181" i="7" a="1"/>
  <c r="B181" i="7" s="1"/>
  <c r="B185" i="7" a="1"/>
  <c r="B185" i="7" s="1"/>
  <c r="B184" i="7" a="1"/>
  <c r="B184" i="7" s="1"/>
  <c r="B199" i="7" a="1"/>
  <c r="B199" i="7" s="1"/>
  <c r="B192" i="7" a="1"/>
  <c r="B192" i="7" s="1"/>
  <c r="B190" i="7" a="1"/>
  <c r="B190" i="7" s="1"/>
  <c r="B183" i="7" a="1"/>
  <c r="B183" i="7" s="1"/>
  <c r="B182" i="7" a="1"/>
  <c r="B182" i="7" s="1"/>
  <c r="B191" i="7" a="1"/>
  <c r="B191" i="7" s="1"/>
  <c r="B180" i="7" a="1"/>
  <c r="B180" i="7" s="1"/>
  <c r="B177" i="7" a="1"/>
  <c r="B177" i="7" s="1"/>
  <c r="B176" i="7" a="1"/>
  <c r="B176" i="7" s="1"/>
  <c r="B175" i="7" a="1"/>
  <c r="B175" i="7" s="1"/>
  <c r="B174" i="7" a="1"/>
  <c r="B174" i="7" s="1"/>
  <c r="B178" i="7" a="1"/>
  <c r="B178" i="7" s="1"/>
  <c r="B170" i="7" a="1"/>
  <c r="B170" i="7" s="1"/>
  <c r="B169" i="7" a="1"/>
  <c r="B169" i="7" s="1"/>
  <c r="B162" i="7" a="1"/>
  <c r="B162" i="7" s="1"/>
  <c r="B161" i="7" a="1"/>
  <c r="B161" i="7" s="1"/>
  <c r="B168" i="7" a="1"/>
  <c r="B168" i="7" s="1"/>
  <c r="B167" i="7" a="1"/>
  <c r="B167" i="7" s="1"/>
  <c r="B173" i="7" a="1"/>
  <c r="B173" i="7" s="1"/>
  <c r="B165" i="7" a="1"/>
  <c r="B165" i="7" s="1"/>
  <c r="B155" i="7" a="1"/>
  <c r="B155" i="7" s="1"/>
  <c r="B154" i="7" a="1"/>
  <c r="B154" i="7" s="1"/>
  <c r="B172" i="7" a="1"/>
  <c r="B172" i="7" s="1"/>
  <c r="B164" i="7" a="1"/>
  <c r="B164" i="7" s="1"/>
  <c r="B160" i="7" a="1"/>
  <c r="B160" i="7" s="1"/>
  <c r="B153" i="7" a="1"/>
  <c r="B153" i="7" s="1"/>
  <c r="B152" i="7" a="1"/>
  <c r="B152" i="7" s="1"/>
  <c r="B166" i="7" a="1"/>
  <c r="B166" i="7" s="1"/>
  <c r="B163" i="7" a="1"/>
  <c r="B163" i="7" s="1"/>
  <c r="B159" i="7" a="1"/>
  <c r="B159" i="7" s="1"/>
  <c r="B158" i="7" a="1"/>
  <c r="B158" i="7" s="1"/>
  <c r="B151" i="7" a="1"/>
  <c r="B151" i="7" s="1"/>
  <c r="B150" i="7" a="1"/>
  <c r="B150" i="7" s="1"/>
  <c r="B156" i="7" a="1"/>
  <c r="B156" i="7" s="1"/>
  <c r="B148" i="7" a="1"/>
  <c r="B148" i="7" s="1"/>
  <c r="B139" i="7" a="1"/>
  <c r="B139" i="7" s="1"/>
  <c r="B138" i="7" a="1"/>
  <c r="B138" i="7" s="1"/>
  <c r="B134" i="7" a="1"/>
  <c r="B134" i="7" s="1"/>
  <c r="B132" i="7" a="1"/>
  <c r="B132" i="7" s="1"/>
  <c r="B147" i="7" a="1"/>
  <c r="B147" i="7" s="1"/>
  <c r="B143" i="7" a="1"/>
  <c r="B143" i="7" s="1"/>
  <c r="B142" i="7" a="1"/>
  <c r="B142" i="7" s="1"/>
  <c r="B135" i="7" a="1"/>
  <c r="B135" i="7" s="1"/>
  <c r="B133" i="7" a="1"/>
  <c r="B133" i="7" s="1"/>
  <c r="B131" i="7" a="1"/>
  <c r="B131" i="7" s="1"/>
  <c r="B171" i="7" a="1"/>
  <c r="B171" i="7" s="1"/>
  <c r="B149" i="7" a="1"/>
  <c r="B149" i="7" s="1"/>
  <c r="B146" i="7" a="1"/>
  <c r="B146" i="7" s="1"/>
  <c r="B141" i="7" a="1"/>
  <c r="B141" i="7" s="1"/>
  <c r="B140" i="7" a="1"/>
  <c r="B140" i="7" s="1"/>
  <c r="B145" i="7" a="1"/>
  <c r="B145" i="7" s="1"/>
  <c r="B137" i="7" a="1"/>
  <c r="B137" i="7" s="1"/>
  <c r="B179" i="7" a="1"/>
  <c r="B179" i="7" s="1"/>
  <c r="B157" i="7" a="1"/>
  <c r="B157" i="7" s="1"/>
  <c r="B130" i="7" a="1"/>
  <c r="B130" i="7" s="1"/>
  <c r="B144" i="7" a="1"/>
  <c r="B144" i="7" s="1"/>
  <c r="B128" i="7" a="1"/>
  <c r="B128" i="7" s="1"/>
  <c r="B124" i="7" a="1"/>
  <c r="B124" i="7" s="1"/>
  <c r="B120" i="7" a="1"/>
  <c r="B120" i="7" s="1"/>
  <c r="B112" i="7" a="1"/>
  <c r="B112" i="7" s="1"/>
  <c r="B111" i="7" a="1"/>
  <c r="B111" i="7" s="1"/>
  <c r="B104" i="7" a="1"/>
  <c r="B104" i="7" s="1"/>
  <c r="B103" i="7" a="1"/>
  <c r="B103" i="7" s="1"/>
  <c r="B136" i="7" a="1"/>
  <c r="B136" i="7" s="1"/>
  <c r="B129" i="7" a="1"/>
  <c r="B129" i="7" s="1"/>
  <c r="B125" i="7" a="1"/>
  <c r="B125" i="7" s="1"/>
  <c r="B121" i="7" a="1"/>
  <c r="B121" i="7" s="1"/>
  <c r="B117" i="7" a="1"/>
  <c r="B117" i="7" s="1"/>
  <c r="B110" i="7" a="1"/>
  <c r="B110" i="7" s="1"/>
  <c r="B109" i="7" a="1"/>
  <c r="B109" i="7" s="1"/>
  <c r="B102" i="7" a="1"/>
  <c r="B102" i="7" s="1"/>
  <c r="B127" i="7" a="1"/>
  <c r="B127" i="7" s="1"/>
  <c r="B123" i="7" a="1"/>
  <c r="B123" i="7" s="1"/>
  <c r="B119" i="7" a="1"/>
  <c r="B119" i="7" s="1"/>
  <c r="B114" i="7" a="1"/>
  <c r="B114" i="7" s="1"/>
  <c r="B113" i="7" a="1"/>
  <c r="B113" i="7" s="1"/>
  <c r="B106" i="7" a="1"/>
  <c r="B106" i="7" s="1"/>
  <c r="B105" i="7" a="1"/>
  <c r="B105" i="7" s="1"/>
  <c r="B115" i="7" a="1"/>
  <c r="B115" i="7" s="1"/>
  <c r="B95" i="7" a="1"/>
  <c r="B95" i="7" s="1"/>
  <c r="B94" i="7" a="1"/>
  <c r="B94" i="7" s="1"/>
  <c r="B87" i="7" a="1"/>
  <c r="B87" i="7" s="1"/>
  <c r="B86" i="7" a="1"/>
  <c r="B86" i="7" s="1"/>
  <c r="B79" i="7" a="1"/>
  <c r="B79" i="7" s="1"/>
  <c r="B78" i="7" a="1"/>
  <c r="B78" i="7" s="1"/>
  <c r="B71" i="7" a="1"/>
  <c r="B71" i="7" s="1"/>
  <c r="B70" i="7" a="1"/>
  <c r="B70" i="7" s="1"/>
  <c r="B63" i="7" a="1"/>
  <c r="B63" i="7" s="1"/>
  <c r="B62" i="7" a="1"/>
  <c r="B62" i="7" s="1"/>
  <c r="B118" i="7" a="1"/>
  <c r="B118" i="7" s="1"/>
  <c r="B116" i="7" a="1"/>
  <c r="B116" i="7" s="1"/>
  <c r="B107" i="7" a="1"/>
  <c r="B107" i="7" s="1"/>
  <c r="B100" i="7" a="1"/>
  <c r="B100" i="7" s="1"/>
  <c r="B93" i="7" a="1"/>
  <c r="B93" i="7" s="1"/>
  <c r="B92" i="7" a="1"/>
  <c r="B92" i="7" s="1"/>
  <c r="B85" i="7" a="1"/>
  <c r="B85" i="7" s="1"/>
  <c r="B84" i="7" a="1"/>
  <c r="B84" i="7" s="1"/>
  <c r="B77" i="7" a="1"/>
  <c r="B77" i="7" s="1"/>
  <c r="B76" i="7" a="1"/>
  <c r="B76" i="7" s="1"/>
  <c r="B69" i="7" a="1"/>
  <c r="B69" i="7" s="1"/>
  <c r="B68" i="7" a="1"/>
  <c r="B68" i="7" s="1"/>
  <c r="B61" i="7" a="1"/>
  <c r="B61" i="7" s="1"/>
  <c r="B60" i="7" a="1"/>
  <c r="B60" i="7" s="1"/>
  <c r="B126" i="7" a="1"/>
  <c r="B126" i="7" s="1"/>
  <c r="B101" i="7" a="1"/>
  <c r="B101" i="7" s="1"/>
  <c r="B97" i="7" a="1"/>
  <c r="B97" i="7" s="1"/>
  <c r="B96" i="7" a="1"/>
  <c r="B96" i="7" s="1"/>
  <c r="B89" i="7" a="1"/>
  <c r="B89" i="7" s="1"/>
  <c r="B88" i="7" a="1"/>
  <c r="B88" i="7" s="1"/>
  <c r="B81" i="7" a="1"/>
  <c r="B81" i="7" s="1"/>
  <c r="B80" i="7" a="1"/>
  <c r="B80" i="7" s="1"/>
  <c r="B73" i="7" a="1"/>
  <c r="B73" i="7" s="1"/>
  <c r="B72" i="7" a="1"/>
  <c r="B72" i="7" s="1"/>
  <c r="B65" i="7" a="1"/>
  <c r="B65" i="7" s="1"/>
  <c r="B64" i="7" a="1"/>
  <c r="B64" i="7" s="1"/>
  <c r="B83" i="7" a="1"/>
  <c r="B83" i="7" s="1"/>
  <c r="B74" i="7" a="1"/>
  <c r="B74" i="7" s="1"/>
  <c r="B54" i="7" a="1"/>
  <c r="B54" i="7" s="1"/>
  <c r="B55" i="7" a="1"/>
  <c r="B55" i="7" s="1"/>
  <c r="B51" i="7" a="1"/>
  <c r="B51" i="7" s="1"/>
  <c r="B122" i="7" a="1"/>
  <c r="B122" i="7" s="1"/>
  <c r="B98" i="7" a="1"/>
  <c r="B98" i="7" s="1"/>
  <c r="B75" i="7" a="1"/>
  <c r="B75" i="7" s="1"/>
  <c r="B66" i="7" a="1"/>
  <c r="B66" i="7" s="1"/>
  <c r="B59" i="7" a="1"/>
  <c r="B59" i="7" s="1"/>
  <c r="B50" i="7" a="1"/>
  <c r="B50" i="7" s="1"/>
  <c r="B48" i="7" a="1"/>
  <c r="B48" i="7" s="1"/>
  <c r="B108" i="7" a="1"/>
  <c r="B108" i="7" s="1"/>
  <c r="B91" i="7" a="1"/>
  <c r="B91" i="7" s="1"/>
  <c r="B82" i="7" a="1"/>
  <c r="B82" i="7" s="1"/>
  <c r="B57" i="7" a="1"/>
  <c r="B57" i="7" s="1"/>
  <c r="B56" i="7" a="1"/>
  <c r="B56" i="7" s="1"/>
  <c r="B45" i="7" a="1"/>
  <c r="B45" i="7" s="1"/>
  <c r="B99" i="7" a="1"/>
  <c r="B99" i="7" s="1"/>
  <c r="B90" i="7" a="1"/>
  <c r="B90" i="7" s="1"/>
  <c r="B58" i="7" a="1"/>
  <c r="B58" i="7" s="1"/>
  <c r="B43" i="7" a="1"/>
  <c r="B43" i="7" s="1"/>
  <c r="B42" i="7" a="1"/>
  <c r="B42" i="7" s="1"/>
  <c r="B22" i="7" a="1"/>
  <c r="B22" i="7" s="1"/>
  <c r="B21" i="7" a="1"/>
  <c r="B21" i="7" s="1"/>
  <c r="B8" i="7" a="1"/>
  <c r="B8" i="7" s="1"/>
  <c r="B7" i="7" a="1"/>
  <c r="B7" i="7" s="1"/>
  <c r="B11" i="7" a="1"/>
  <c r="B11" i="7" s="1"/>
  <c r="B10" i="7" a="1"/>
  <c r="B10" i="7" s="1"/>
  <c r="B39" i="7" a="1"/>
  <c r="B39" i="7" s="1"/>
  <c r="B37" i="7" a="1"/>
  <c r="B37" i="7" s="1"/>
  <c r="B67" i="7" a="1"/>
  <c r="B67" i="7" s="1"/>
  <c r="B47" i="7" a="1"/>
  <c r="B47" i="7" s="1"/>
  <c r="B38" i="7" a="1"/>
  <c r="B38" i="7" s="1"/>
  <c r="B36" i="7" a="1"/>
  <c r="B36" i="7" s="1"/>
  <c r="B18" i="7" a="1"/>
  <c r="B18" i="7" s="1"/>
  <c r="B17" i="7" a="1"/>
  <c r="B17" i="7" s="1"/>
  <c r="B6" i="7" a="1"/>
  <c r="B6" i="7" s="1"/>
  <c r="B33" i="7" a="1"/>
  <c r="B33" i="7" s="1"/>
  <c r="B4" i="7" a="1"/>
  <c r="B4" i="7" s="1"/>
  <c r="B52" i="7" a="1"/>
  <c r="B52" i="7" s="1"/>
  <c r="B34" i="7" a="1"/>
  <c r="B34" i="7" s="1"/>
  <c r="B29" i="7" a="1"/>
  <c r="B29" i="7" s="1"/>
  <c r="B35" i="7" a="1"/>
  <c r="B35" i="7" s="1"/>
  <c r="B31" i="7" a="1"/>
  <c r="B31" i="7" s="1"/>
  <c r="B16" i="7" a="1"/>
  <c r="B16" i="7" s="1"/>
  <c r="B15" i="7" a="1"/>
  <c r="B15" i="7" s="1"/>
  <c r="B32" i="7" a="1"/>
  <c r="B32" i="7" s="1"/>
  <c r="B26" i="7" a="1"/>
  <c r="B26" i="7" s="1"/>
  <c r="B49" i="7" a="1"/>
  <c r="B49" i="7" s="1"/>
  <c r="B46" i="7" a="1"/>
  <c r="B46" i="7" s="1"/>
  <c r="B28" i="7" a="1"/>
  <c r="B28" i="7" s="1"/>
  <c r="B27" i="7" a="1"/>
  <c r="B27" i="7" s="1"/>
  <c r="B14" i="7" a="1"/>
  <c r="B14" i="7" s="1"/>
  <c r="B13" i="7" a="1"/>
  <c r="B13" i="7" s="1"/>
  <c r="B19" i="7" a="1"/>
  <c r="B19" i="7" s="1"/>
  <c r="B12" i="7" a="1"/>
  <c r="B12" i="7" s="1"/>
  <c r="B24" i="7" a="1"/>
  <c r="B24" i="7" s="1"/>
  <c r="B41" i="7" a="1"/>
  <c r="B41" i="7" s="1"/>
  <c r="B23" i="7" a="1"/>
  <c r="B23" i="7" s="1"/>
  <c r="B5" i="7" a="1"/>
  <c r="B5" i="7" s="1"/>
  <c r="B25" i="7" a="1"/>
  <c r="B25" i="7" s="1"/>
  <c r="B53" i="7" a="1"/>
  <c r="B53" i="7" s="1"/>
  <c r="B30" i="7" a="1"/>
  <c r="B30" i="7" s="1"/>
  <c r="B9" i="7" a="1"/>
  <c r="B9" i="7" s="1"/>
  <c r="B3" i="7" a="1"/>
  <c r="B3" i="7" s="1"/>
  <c r="B44" i="7" a="1"/>
  <c r="B44" i="7" s="1"/>
  <c r="B20" i="7" a="1"/>
  <c r="B20" i="7" s="1"/>
  <c r="B40" i="7" a="1"/>
  <c r="B40" i="7" s="1"/>
  <c r="N200" i="7" a="1"/>
  <c r="N200" i="7" s="1"/>
  <c r="N199" i="7" a="1"/>
  <c r="N199" i="7" s="1"/>
  <c r="N192" i="7" a="1"/>
  <c r="N192" i="7" s="1"/>
  <c r="N198" i="7" a="1"/>
  <c r="N198" i="7" s="1"/>
  <c r="N197" i="7" a="1"/>
  <c r="N197" i="7" s="1"/>
  <c r="N193" i="7" a="1"/>
  <c r="N193" i="7" s="1"/>
  <c r="N185" i="7" a="1"/>
  <c r="N185" i="7" s="1"/>
  <c r="N184" i="7" a="1"/>
  <c r="N184" i="7" s="1"/>
  <c r="N196" i="7" a="1"/>
  <c r="N196" i="7" s="1"/>
  <c r="N191" i="7" a="1"/>
  <c r="N191" i="7" s="1"/>
  <c r="N190" i="7" a="1"/>
  <c r="N190" i="7" s="1"/>
  <c r="N194" i="7" a="1"/>
  <c r="N194" i="7" s="1"/>
  <c r="N189" i="7" a="1"/>
  <c r="N189" i="7" s="1"/>
  <c r="N188" i="7" a="1"/>
  <c r="N188" i="7" s="1"/>
  <c r="N181" i="7" a="1"/>
  <c r="N181" i="7" s="1"/>
  <c r="N186" i="7" a="1"/>
  <c r="N186" i="7" s="1"/>
  <c r="N187" i="7" a="1"/>
  <c r="N187" i="7" s="1"/>
  <c r="N182" i="7" a="1"/>
  <c r="N182" i="7" s="1"/>
  <c r="N183" i="7" a="1"/>
  <c r="N183" i="7" s="1"/>
  <c r="N180" i="7" a="1"/>
  <c r="N180" i="7" s="1"/>
  <c r="N195" i="7" a="1"/>
  <c r="N195" i="7" s="1"/>
  <c r="N173" i="7" a="1"/>
  <c r="N173" i="7" s="1"/>
  <c r="N178" i="7" a="1"/>
  <c r="N178" i="7" s="1"/>
  <c r="N179" i="7" a="1"/>
  <c r="N179" i="7" s="1"/>
  <c r="N175" i="7" a="1"/>
  <c r="N175" i="7" s="1"/>
  <c r="N174" i="7" a="1"/>
  <c r="N174" i="7" s="1"/>
  <c r="N166" i="7" a="1"/>
  <c r="N166" i="7" s="1"/>
  <c r="N165" i="7" a="1"/>
  <c r="N165" i="7" s="1"/>
  <c r="N172" i="7" a="1"/>
  <c r="N172" i="7" s="1"/>
  <c r="N171" i="7" a="1"/>
  <c r="N171" i="7" s="1"/>
  <c r="N177" i="7" a="1"/>
  <c r="N177" i="7" s="1"/>
  <c r="N170" i="7" a="1"/>
  <c r="N170" i="7" s="1"/>
  <c r="N163" i="7" a="1"/>
  <c r="N163" i="7" s="1"/>
  <c r="N159" i="7" a="1"/>
  <c r="N159" i="7" s="1"/>
  <c r="N158" i="7" a="1"/>
  <c r="N158" i="7" s="1"/>
  <c r="N168" i="7" a="1"/>
  <c r="N168" i="7" s="1"/>
  <c r="N160" i="7" a="1"/>
  <c r="N160" i="7" s="1"/>
  <c r="N157" i="7" a="1"/>
  <c r="N157" i="7" s="1"/>
  <c r="N156" i="7" a="1"/>
  <c r="N156" i="7" s="1"/>
  <c r="N169" i="7" a="1"/>
  <c r="N169" i="7" s="1"/>
  <c r="N162" i="7" a="1"/>
  <c r="N162" i="7" s="1"/>
  <c r="N155" i="7" a="1"/>
  <c r="N155" i="7" s="1"/>
  <c r="N154" i="7" a="1"/>
  <c r="N154" i="7" s="1"/>
  <c r="N147" i="7" a="1"/>
  <c r="N147" i="7" s="1"/>
  <c r="N146" i="7" a="1"/>
  <c r="N146" i="7" s="1"/>
  <c r="N150" i="7" a="1"/>
  <c r="N150" i="7" s="1"/>
  <c r="N144" i="7" a="1"/>
  <c r="N144" i="7" s="1"/>
  <c r="N143" i="7" a="1"/>
  <c r="N143" i="7" s="1"/>
  <c r="N142" i="7" a="1"/>
  <c r="N142" i="7" s="1"/>
  <c r="N135" i="7" a="1"/>
  <c r="N135" i="7" s="1"/>
  <c r="N134" i="7" a="1"/>
  <c r="N134" i="7" s="1"/>
  <c r="N132" i="7" a="1"/>
  <c r="N132" i="7" s="1"/>
  <c r="N176" i="7" a="1"/>
  <c r="N176" i="7" s="1"/>
  <c r="N164" i="7" a="1"/>
  <c r="N164" i="7" s="1"/>
  <c r="N161" i="7" a="1"/>
  <c r="N161" i="7" s="1"/>
  <c r="N151" i="7" a="1"/>
  <c r="N151" i="7" s="1"/>
  <c r="N149" i="7" a="1"/>
  <c r="N149" i="7" s="1"/>
  <c r="N139" i="7" a="1"/>
  <c r="N139" i="7" s="1"/>
  <c r="N138" i="7" a="1"/>
  <c r="N138" i="7" s="1"/>
  <c r="N133" i="7" a="1"/>
  <c r="N133" i="7" s="1"/>
  <c r="N131" i="7" a="1"/>
  <c r="N131" i="7" s="1"/>
  <c r="N129" i="7" a="1"/>
  <c r="N129" i="7" s="1"/>
  <c r="N167" i="7" a="1"/>
  <c r="N167" i="7" s="1"/>
  <c r="N152" i="7" a="1"/>
  <c r="N152" i="7" s="1"/>
  <c r="N148" i="7" a="1"/>
  <c r="N148" i="7" s="1"/>
  <c r="N145" i="7" a="1"/>
  <c r="N145" i="7" s="1"/>
  <c r="N137" i="7" a="1"/>
  <c r="N137" i="7" s="1"/>
  <c r="N136" i="7" a="1"/>
  <c r="N136" i="7" s="1"/>
  <c r="N140" i="7" a="1"/>
  <c r="N140" i="7" s="1"/>
  <c r="N128" i="7" a="1"/>
  <c r="N128" i="7" s="1"/>
  <c r="N124" i="7" a="1"/>
  <c r="N124" i="7" s="1"/>
  <c r="N120" i="7" a="1"/>
  <c r="N120" i="7" s="1"/>
  <c r="N116" i="7" a="1"/>
  <c r="N116" i="7" s="1"/>
  <c r="N115" i="7" a="1"/>
  <c r="N115" i="7" s="1"/>
  <c r="N108" i="7" a="1"/>
  <c r="N108" i="7" s="1"/>
  <c r="N107" i="7" a="1"/>
  <c r="N107" i="7" s="1"/>
  <c r="N100" i="7" a="1"/>
  <c r="N100" i="7" s="1"/>
  <c r="N99" i="7" a="1"/>
  <c r="N99" i="7" s="1"/>
  <c r="N130" i="7" a="1"/>
  <c r="N130" i="7" s="1"/>
  <c r="N125" i="7" a="1"/>
  <c r="N125" i="7" s="1"/>
  <c r="N121" i="7" a="1"/>
  <c r="N121" i="7" s="1"/>
  <c r="N117" i="7" a="1"/>
  <c r="N117" i="7" s="1"/>
  <c r="N114" i="7" a="1"/>
  <c r="N114" i="7" s="1"/>
  <c r="N113" i="7" a="1"/>
  <c r="N113" i="7" s="1"/>
  <c r="N106" i="7" a="1"/>
  <c r="N106" i="7" s="1"/>
  <c r="N105" i="7" a="1"/>
  <c r="N105" i="7" s="1"/>
  <c r="N153" i="7" a="1"/>
  <c r="N153" i="7" s="1"/>
  <c r="N141" i="7" a="1"/>
  <c r="N141" i="7" s="1"/>
  <c r="N127" i="7" a="1"/>
  <c r="N127" i="7" s="1"/>
  <c r="N123" i="7" a="1"/>
  <c r="N123" i="7" s="1"/>
  <c r="N119" i="7" a="1"/>
  <c r="N119" i="7" s="1"/>
  <c r="N110" i="7" a="1"/>
  <c r="N110" i="7" s="1"/>
  <c r="N109" i="7" a="1"/>
  <c r="N109" i="7" s="1"/>
  <c r="N102" i="7" a="1"/>
  <c r="N102" i="7" s="1"/>
  <c r="N126" i="7" a="1"/>
  <c r="N126" i="7" s="1"/>
  <c r="N111" i="7" a="1"/>
  <c r="N111" i="7" s="1"/>
  <c r="N98" i="7" a="1"/>
  <c r="N98" i="7" s="1"/>
  <c r="N91" i="7" a="1"/>
  <c r="N91" i="7" s="1"/>
  <c r="N90" i="7" a="1"/>
  <c r="N90" i="7" s="1"/>
  <c r="N83" i="7" a="1"/>
  <c r="N83" i="7" s="1"/>
  <c r="N82" i="7" a="1"/>
  <c r="N82" i="7" s="1"/>
  <c r="N75" i="7" a="1"/>
  <c r="N75" i="7" s="1"/>
  <c r="N74" i="7" a="1"/>
  <c r="N74" i="7" s="1"/>
  <c r="N67" i="7" a="1"/>
  <c r="N67" i="7" s="1"/>
  <c r="N66" i="7" a="1"/>
  <c r="N66" i="7" s="1"/>
  <c r="N59" i="7" a="1"/>
  <c r="N59" i="7" s="1"/>
  <c r="N58" i="7" a="1"/>
  <c r="N58" i="7" s="1"/>
  <c r="N112" i="7" a="1"/>
  <c r="N112" i="7" s="1"/>
  <c r="N103" i="7" a="1"/>
  <c r="N103" i="7" s="1"/>
  <c r="N97" i="7" a="1"/>
  <c r="N97" i="7" s="1"/>
  <c r="N96" i="7" a="1"/>
  <c r="N96" i="7" s="1"/>
  <c r="N89" i="7" a="1"/>
  <c r="N89" i="7" s="1"/>
  <c r="N88" i="7" a="1"/>
  <c r="N88" i="7" s="1"/>
  <c r="N81" i="7" a="1"/>
  <c r="N81" i="7" s="1"/>
  <c r="N80" i="7" a="1"/>
  <c r="N80" i="7" s="1"/>
  <c r="N73" i="7" a="1"/>
  <c r="N73" i="7" s="1"/>
  <c r="N72" i="7" a="1"/>
  <c r="N72" i="7" s="1"/>
  <c r="N65" i="7" a="1"/>
  <c r="N65" i="7" s="1"/>
  <c r="N64" i="7" a="1"/>
  <c r="N64" i="7" s="1"/>
  <c r="N122" i="7" a="1"/>
  <c r="N122" i="7" s="1"/>
  <c r="N93" i="7" a="1"/>
  <c r="N93" i="7" s="1"/>
  <c r="N92" i="7" a="1"/>
  <c r="N92" i="7" s="1"/>
  <c r="N85" i="7" a="1"/>
  <c r="N85" i="7" s="1"/>
  <c r="N84" i="7" a="1"/>
  <c r="N84" i="7" s="1"/>
  <c r="N77" i="7" a="1"/>
  <c r="N77" i="7" s="1"/>
  <c r="N76" i="7" a="1"/>
  <c r="N76" i="7" s="1"/>
  <c r="N69" i="7" a="1"/>
  <c r="N69" i="7" s="1"/>
  <c r="N68" i="7" a="1"/>
  <c r="N68" i="7" s="1"/>
  <c r="N61" i="7" a="1"/>
  <c r="N61" i="7" s="1"/>
  <c r="N60" i="7" a="1"/>
  <c r="N60" i="7" s="1"/>
  <c r="N79" i="7" a="1"/>
  <c r="N79" i="7" s="1"/>
  <c r="N70" i="7" a="1"/>
  <c r="N70" i="7" s="1"/>
  <c r="N47" i="7" a="1"/>
  <c r="N47" i="7" s="1"/>
  <c r="N45" i="7" a="1"/>
  <c r="N45" i="7" s="1"/>
  <c r="N118" i="7" a="1"/>
  <c r="N118" i="7" s="1"/>
  <c r="N104" i="7" a="1"/>
  <c r="N104" i="7" s="1"/>
  <c r="N94" i="7" a="1"/>
  <c r="N94" i="7" s="1"/>
  <c r="N71" i="7" a="1"/>
  <c r="N71" i="7" s="1"/>
  <c r="N62" i="7" a="1"/>
  <c r="N62" i="7" s="1"/>
  <c r="N57" i="7" a="1"/>
  <c r="N57" i="7" s="1"/>
  <c r="N56" i="7" a="1"/>
  <c r="N56" i="7" s="1"/>
  <c r="N101" i="7" a="1"/>
  <c r="N101" i="7" s="1"/>
  <c r="N87" i="7" a="1"/>
  <c r="N87" i="7" s="1"/>
  <c r="N78" i="7" a="1"/>
  <c r="N78" i="7" s="1"/>
  <c r="N53" i="7" a="1"/>
  <c r="N53" i="7" s="1"/>
  <c r="N50" i="7" a="1"/>
  <c r="N50" i="7" s="1"/>
  <c r="N48" i="7" a="1"/>
  <c r="N48" i="7" s="1"/>
  <c r="N55" i="7" a="1"/>
  <c r="N55" i="7" s="1"/>
  <c r="N35" i="7" a="1"/>
  <c r="N35" i="7" s="1"/>
  <c r="N31" i="7" a="1"/>
  <c r="N31" i="7" s="1"/>
  <c r="N16" i="7" a="1"/>
  <c r="N16" i="7" s="1"/>
  <c r="N15" i="7" a="1"/>
  <c r="N15" i="7" s="1"/>
  <c r="N32" i="7" a="1"/>
  <c r="N32" i="7" s="1"/>
  <c r="N26" i="7" a="1"/>
  <c r="N26" i="7" s="1"/>
  <c r="N49" i="7" a="1"/>
  <c r="N49" i="7" s="1"/>
  <c r="N46" i="7" a="1"/>
  <c r="N46" i="7" s="1"/>
  <c r="N28" i="7" a="1"/>
  <c r="N28" i="7" s="1"/>
  <c r="N27" i="7" a="1"/>
  <c r="N27" i="7" s="1"/>
  <c r="N44" i="7" a="1"/>
  <c r="N44" i="7" s="1"/>
  <c r="N30" i="7" a="1"/>
  <c r="N30" i="7" s="1"/>
  <c r="N24" i="7" a="1"/>
  <c r="N24" i="7" s="1"/>
  <c r="N14" i="7" a="1"/>
  <c r="N14" i="7" s="1"/>
  <c r="N9" i="7" a="1"/>
  <c r="N9" i="7" s="1"/>
  <c r="N20" i="7" a="1"/>
  <c r="N20" i="7" s="1"/>
  <c r="N13" i="7" a="1"/>
  <c r="N13" i="7" s="1"/>
  <c r="N41" i="7" a="1"/>
  <c r="N41" i="7" s="1"/>
  <c r="N40" i="7" a="1"/>
  <c r="N40" i="7" s="1"/>
  <c r="N25" i="7" a="1"/>
  <c r="N25" i="7" s="1"/>
  <c r="N23" i="7" a="1"/>
  <c r="N23" i="7" s="1"/>
  <c r="N95" i="7" a="1"/>
  <c r="N95" i="7" s="1"/>
  <c r="N86" i="7" a="1"/>
  <c r="N86" i="7" s="1"/>
  <c r="N54" i="7" a="1"/>
  <c r="N54" i="7" s="1"/>
  <c r="N43" i="7" a="1"/>
  <c r="N43" i="7" s="1"/>
  <c r="N42" i="7" a="1"/>
  <c r="N42" i="7" s="1"/>
  <c r="N22" i="7" a="1"/>
  <c r="N22" i="7" s="1"/>
  <c r="N21" i="7" a="1"/>
  <c r="N21" i="7" s="1"/>
  <c r="N8" i="7" a="1"/>
  <c r="N8" i="7" s="1"/>
  <c r="N7" i="7" a="1"/>
  <c r="N7" i="7" s="1"/>
  <c r="N11" i="7" a="1"/>
  <c r="N11" i="7" s="1"/>
  <c r="N10" i="7" a="1"/>
  <c r="N10" i="7" s="1"/>
  <c r="N39" i="7" a="1"/>
  <c r="N39" i="7" s="1"/>
  <c r="N37" i="7" a="1"/>
  <c r="N37" i="7" s="1"/>
  <c r="N19" i="7" a="1"/>
  <c r="N19" i="7" s="1"/>
  <c r="N12" i="7" a="1"/>
  <c r="N12" i="7" s="1"/>
  <c r="N63" i="7" a="1"/>
  <c r="N63" i="7" s="1"/>
  <c r="N6" i="7" a="1"/>
  <c r="N6" i="7" s="1"/>
  <c r="N52" i="7" a="1"/>
  <c r="N52" i="7" s="1"/>
  <c r="N5" i="7" a="1"/>
  <c r="N5" i="7" s="1"/>
  <c r="N38" i="7" a="1"/>
  <c r="N38" i="7" s="1"/>
  <c r="N17" i="7" a="1"/>
  <c r="N17" i="7" s="1"/>
  <c r="N34" i="7" a="1"/>
  <c r="N34" i="7" s="1"/>
  <c r="N18" i="7" a="1"/>
  <c r="N18" i="7" s="1"/>
  <c r="N33" i="7" a="1"/>
  <c r="N33" i="7" s="1"/>
  <c r="N4" i="7" a="1"/>
  <c r="N4" i="7" s="1"/>
  <c r="N29" i="7" a="1"/>
  <c r="N29" i="7" s="1"/>
  <c r="N51" i="7" a="1"/>
  <c r="N51" i="7" s="1"/>
  <c r="N36" i="7" a="1"/>
  <c r="N36" i="7" s="1"/>
  <c r="N3" i="7" a="1"/>
  <c r="N3" i="7" s="1"/>
  <c r="R56" i="4"/>
  <c r="D198" i="7" a="1"/>
  <c r="D198" i="7" s="1"/>
  <c r="D197" i="7" a="1"/>
  <c r="D197" i="7" s="1"/>
  <c r="D196" i="7" a="1"/>
  <c r="D196" i="7" s="1"/>
  <c r="D195" i="7" a="1"/>
  <c r="D195" i="7" s="1"/>
  <c r="D200" i="7" a="1"/>
  <c r="D200" i="7" s="1"/>
  <c r="D191" i="7" a="1"/>
  <c r="D191" i="7" s="1"/>
  <c r="D190" i="7" a="1"/>
  <c r="D190" i="7" s="1"/>
  <c r="D194" i="7" a="1"/>
  <c r="D194" i="7" s="1"/>
  <c r="D189" i="7" a="1"/>
  <c r="D189" i="7" s="1"/>
  <c r="D188" i="7" a="1"/>
  <c r="D188" i="7" s="1"/>
  <c r="D199" i="7" a="1"/>
  <c r="D199" i="7" s="1"/>
  <c r="D187" i="7" a="1"/>
  <c r="D187" i="7" s="1"/>
  <c r="D183" i="7" a="1"/>
  <c r="D183" i="7" s="1"/>
  <c r="D182" i="7" a="1"/>
  <c r="D182" i="7" s="1"/>
  <c r="D192" i="7" a="1"/>
  <c r="D192" i="7" s="1"/>
  <c r="D186" i="7" a="1"/>
  <c r="D186" i="7" s="1"/>
  <c r="D193" i="7" a="1"/>
  <c r="D193" i="7" s="1"/>
  <c r="D184" i="7" a="1"/>
  <c r="D184" i="7" s="1"/>
  <c r="D185" i="7" a="1"/>
  <c r="D185" i="7" s="1"/>
  <c r="D180" i="7" a="1"/>
  <c r="D180" i="7" s="1"/>
  <c r="D179" i="7" a="1"/>
  <c r="D179" i="7" s="1"/>
  <c r="D181" i="7" a="1"/>
  <c r="D181" i="7" s="1"/>
  <c r="D178" i="7" a="1"/>
  <c r="D178" i="7" s="1"/>
  <c r="D177" i="7" a="1"/>
  <c r="D177" i="7" s="1"/>
  <c r="D176" i="7" a="1"/>
  <c r="D176" i="7" s="1"/>
  <c r="D174" i="7" a="1"/>
  <c r="D174" i="7" s="1"/>
  <c r="D172" i="7" a="1"/>
  <c r="D172" i="7" s="1"/>
  <c r="D171" i="7" a="1"/>
  <c r="D171" i="7" s="1"/>
  <c r="D164" i="7" a="1"/>
  <c r="D164" i="7" s="1"/>
  <c r="D163" i="7" a="1"/>
  <c r="D163" i="7" s="1"/>
  <c r="D175" i="7" a="1"/>
  <c r="D175" i="7" s="1"/>
  <c r="D173" i="7" a="1"/>
  <c r="D173" i="7" s="1"/>
  <c r="D170" i="7" a="1"/>
  <c r="D170" i="7" s="1"/>
  <c r="D169" i="7" a="1"/>
  <c r="D169" i="7" s="1"/>
  <c r="D168" i="7" a="1"/>
  <c r="D168" i="7" s="1"/>
  <c r="D157" i="7" a="1"/>
  <c r="D157" i="7" s="1"/>
  <c r="D156" i="7" a="1"/>
  <c r="D156" i="7" s="1"/>
  <c r="D166" i="7" a="1"/>
  <c r="D166" i="7" s="1"/>
  <c r="D162" i="7" a="1"/>
  <c r="D162" i="7" s="1"/>
  <c r="D155" i="7" a="1"/>
  <c r="D155" i="7" s="1"/>
  <c r="D154" i="7" a="1"/>
  <c r="D154" i="7" s="1"/>
  <c r="D167" i="7" a="1"/>
  <c r="D167" i="7" s="1"/>
  <c r="D161" i="7" a="1"/>
  <c r="D161" i="7" s="1"/>
  <c r="D160" i="7" a="1"/>
  <c r="D160" i="7" s="1"/>
  <c r="D153" i="7" a="1"/>
  <c r="D153" i="7" s="1"/>
  <c r="D152" i="7" a="1"/>
  <c r="D152" i="7" s="1"/>
  <c r="D145" i="7" a="1"/>
  <c r="D145" i="7" s="1"/>
  <c r="D165" i="7" a="1"/>
  <c r="D165" i="7" s="1"/>
  <c r="D147" i="7" a="1"/>
  <c r="D147" i="7" s="1"/>
  <c r="D141" i="7" a="1"/>
  <c r="D141" i="7" s="1"/>
  <c r="D140" i="7" a="1"/>
  <c r="D140" i="7" s="1"/>
  <c r="D134" i="7" a="1"/>
  <c r="D134" i="7" s="1"/>
  <c r="D132" i="7" a="1"/>
  <c r="D132" i="7" s="1"/>
  <c r="D159" i="7" a="1"/>
  <c r="D159" i="7" s="1"/>
  <c r="D151" i="7" a="1"/>
  <c r="D151" i="7" s="1"/>
  <c r="D148" i="7" a="1"/>
  <c r="D148" i="7" s="1"/>
  <c r="D144" i="7" a="1"/>
  <c r="D144" i="7" s="1"/>
  <c r="D137" i="7" a="1"/>
  <c r="D137" i="7" s="1"/>
  <c r="D136" i="7" a="1"/>
  <c r="D136" i="7" s="1"/>
  <c r="D135" i="7" a="1"/>
  <c r="D135" i="7" s="1"/>
  <c r="D133" i="7" a="1"/>
  <c r="D133" i="7" s="1"/>
  <c r="D131" i="7" a="1"/>
  <c r="D131" i="7" s="1"/>
  <c r="D150" i="7" a="1"/>
  <c r="D150" i="7" s="1"/>
  <c r="D143" i="7" a="1"/>
  <c r="D143" i="7" s="1"/>
  <c r="D142" i="7" a="1"/>
  <c r="D142" i="7" s="1"/>
  <c r="D138" i="7" a="1"/>
  <c r="D138" i="7" s="1"/>
  <c r="D139" i="7" a="1"/>
  <c r="D139" i="7" s="1"/>
  <c r="D149" i="7" a="1"/>
  <c r="D149" i="7" s="1"/>
  <c r="D146" i="7" a="1"/>
  <c r="D146" i="7" s="1"/>
  <c r="D130" i="7" a="1"/>
  <c r="D130" i="7" s="1"/>
  <c r="D126" i="7" a="1"/>
  <c r="D126" i="7" s="1"/>
  <c r="D122" i="7" a="1"/>
  <c r="D122" i="7" s="1"/>
  <c r="D118" i="7" a="1"/>
  <c r="D118" i="7" s="1"/>
  <c r="D114" i="7" a="1"/>
  <c r="D114" i="7" s="1"/>
  <c r="D113" i="7" a="1"/>
  <c r="D113" i="7" s="1"/>
  <c r="D106" i="7" a="1"/>
  <c r="D106" i="7" s="1"/>
  <c r="D105" i="7" a="1"/>
  <c r="D105" i="7" s="1"/>
  <c r="D158" i="7" a="1"/>
  <c r="D158" i="7" s="1"/>
  <c r="D127" i="7" a="1"/>
  <c r="D127" i="7" s="1"/>
  <c r="D123" i="7" a="1"/>
  <c r="D123" i="7" s="1"/>
  <c r="D119" i="7" a="1"/>
  <c r="D119" i="7" s="1"/>
  <c r="D112" i="7" a="1"/>
  <c r="D112" i="7" s="1"/>
  <c r="D111" i="7" a="1"/>
  <c r="D111" i="7" s="1"/>
  <c r="D104" i="7" a="1"/>
  <c r="D104" i="7" s="1"/>
  <c r="D103" i="7" a="1"/>
  <c r="D103" i="7" s="1"/>
  <c r="D129" i="7" a="1"/>
  <c r="D129" i="7" s="1"/>
  <c r="D125" i="7" a="1"/>
  <c r="D125" i="7" s="1"/>
  <c r="D121" i="7" a="1"/>
  <c r="D121" i="7" s="1"/>
  <c r="D117" i="7" a="1"/>
  <c r="D117" i="7" s="1"/>
  <c r="D116" i="7" a="1"/>
  <c r="D116" i="7" s="1"/>
  <c r="D115" i="7" a="1"/>
  <c r="D115" i="7" s="1"/>
  <c r="D108" i="7" a="1"/>
  <c r="D108" i="7" s="1"/>
  <c r="D107" i="7" a="1"/>
  <c r="D107" i="7" s="1"/>
  <c r="D124" i="7" a="1"/>
  <c r="D124" i="7" s="1"/>
  <c r="D102" i="7" a="1"/>
  <c r="D102" i="7" s="1"/>
  <c r="D97" i="7" a="1"/>
  <c r="D97" i="7" s="1"/>
  <c r="D96" i="7" a="1"/>
  <c r="D96" i="7" s="1"/>
  <c r="D89" i="7" a="1"/>
  <c r="D89" i="7" s="1"/>
  <c r="D88" i="7" a="1"/>
  <c r="D88" i="7" s="1"/>
  <c r="D81" i="7" a="1"/>
  <c r="D81" i="7" s="1"/>
  <c r="D80" i="7" a="1"/>
  <c r="D80" i="7" s="1"/>
  <c r="D73" i="7" a="1"/>
  <c r="D73" i="7" s="1"/>
  <c r="D72" i="7" a="1"/>
  <c r="D72" i="7" s="1"/>
  <c r="D65" i="7" a="1"/>
  <c r="D65" i="7" s="1"/>
  <c r="D64" i="7" a="1"/>
  <c r="D64" i="7" s="1"/>
  <c r="D54" i="7" a="1"/>
  <c r="D54" i="7" s="1"/>
  <c r="D128" i="7" a="1"/>
  <c r="D128" i="7" s="1"/>
  <c r="D101" i="7" a="1"/>
  <c r="D101" i="7" s="1"/>
  <c r="D95" i="7" a="1"/>
  <c r="D95" i="7" s="1"/>
  <c r="D94" i="7" a="1"/>
  <c r="D94" i="7" s="1"/>
  <c r="D87" i="7" a="1"/>
  <c r="D87" i="7" s="1"/>
  <c r="D86" i="7" a="1"/>
  <c r="D86" i="7" s="1"/>
  <c r="D79" i="7" a="1"/>
  <c r="D79" i="7" s="1"/>
  <c r="D78" i="7" a="1"/>
  <c r="D78" i="7" s="1"/>
  <c r="D71" i="7" a="1"/>
  <c r="D71" i="7" s="1"/>
  <c r="D70" i="7" a="1"/>
  <c r="D70" i="7" s="1"/>
  <c r="D63" i="7" a="1"/>
  <c r="D63" i="7" s="1"/>
  <c r="D62" i="7" a="1"/>
  <c r="D62" i="7" s="1"/>
  <c r="D120" i="7" a="1"/>
  <c r="D120" i="7" s="1"/>
  <c r="D110" i="7" a="1"/>
  <c r="D110" i="7" s="1"/>
  <c r="D100" i="7" a="1"/>
  <c r="D100" i="7" s="1"/>
  <c r="D99" i="7" a="1"/>
  <c r="D99" i="7" s="1"/>
  <c r="D98" i="7" a="1"/>
  <c r="D98" i="7" s="1"/>
  <c r="D91" i="7" a="1"/>
  <c r="D91" i="7" s="1"/>
  <c r="D90" i="7" a="1"/>
  <c r="D90" i="7" s="1"/>
  <c r="D83" i="7" a="1"/>
  <c r="D83" i="7" s="1"/>
  <c r="D82" i="7" a="1"/>
  <c r="D82" i="7" s="1"/>
  <c r="D75" i="7" a="1"/>
  <c r="D75" i="7" s="1"/>
  <c r="D74" i="7" a="1"/>
  <c r="D74" i="7" s="1"/>
  <c r="D67" i="7" a="1"/>
  <c r="D67" i="7" s="1"/>
  <c r="D66" i="7" a="1"/>
  <c r="D66" i="7" s="1"/>
  <c r="D93" i="7" a="1"/>
  <c r="D93" i="7" s="1"/>
  <c r="D84" i="7" a="1"/>
  <c r="D84" i="7" s="1"/>
  <c r="D61" i="7" a="1"/>
  <c r="D61" i="7" s="1"/>
  <c r="D58" i="7" a="1"/>
  <c r="D58" i="7" s="1"/>
  <c r="D57" i="7" a="1"/>
  <c r="D57" i="7" s="1"/>
  <c r="D56" i="7" a="1"/>
  <c r="D56" i="7" s="1"/>
  <c r="D109" i="7" a="1"/>
  <c r="D109" i="7" s="1"/>
  <c r="D85" i="7" a="1"/>
  <c r="D85" i="7" s="1"/>
  <c r="D76" i="7" a="1"/>
  <c r="D76" i="7" s="1"/>
  <c r="D55" i="7" a="1"/>
  <c r="D55" i="7" s="1"/>
  <c r="D51" i="7" a="1"/>
  <c r="D51" i="7" s="1"/>
  <c r="D92" i="7" a="1"/>
  <c r="D92" i="7" s="1"/>
  <c r="D69" i="7" a="1"/>
  <c r="D69" i="7" s="1"/>
  <c r="D60" i="7" a="1"/>
  <c r="D60" i="7" s="1"/>
  <c r="D59" i="7" a="1"/>
  <c r="D59" i="7" s="1"/>
  <c r="D53" i="7" a="1"/>
  <c r="D53" i="7" s="1"/>
  <c r="D47" i="7" a="1"/>
  <c r="D47" i="7" s="1"/>
  <c r="D45" i="7" a="1"/>
  <c r="D45" i="7" s="1"/>
  <c r="D44" i="7" a="1"/>
  <c r="D44" i="7" s="1"/>
  <c r="D30" i="7" a="1"/>
  <c r="D30" i="7" s="1"/>
  <c r="D24" i="7" a="1"/>
  <c r="D24" i="7" s="1"/>
  <c r="D14" i="7" a="1"/>
  <c r="D14" i="7" s="1"/>
  <c r="D9" i="7" a="1"/>
  <c r="D9" i="7" s="1"/>
  <c r="D20" i="7" a="1"/>
  <c r="D20" i="7" s="1"/>
  <c r="D13" i="7" a="1"/>
  <c r="D13" i="7" s="1"/>
  <c r="D41" i="7" a="1"/>
  <c r="D41" i="7" s="1"/>
  <c r="D40" i="7" a="1"/>
  <c r="D40" i="7" s="1"/>
  <c r="D25" i="7" a="1"/>
  <c r="D25" i="7" s="1"/>
  <c r="D23" i="7" a="1"/>
  <c r="D23" i="7" s="1"/>
  <c r="D48" i="7" a="1"/>
  <c r="D48" i="7" s="1"/>
  <c r="D43" i="7" a="1"/>
  <c r="D43" i="7" s="1"/>
  <c r="D42" i="7" a="1"/>
  <c r="D42" i="7" s="1"/>
  <c r="D22" i="7" a="1"/>
  <c r="D22" i="7" s="1"/>
  <c r="D21" i="7" a="1"/>
  <c r="D21" i="7" s="1"/>
  <c r="D8" i="7" a="1"/>
  <c r="D8" i="7" s="1"/>
  <c r="D7" i="7" a="1"/>
  <c r="D7" i="7" s="1"/>
  <c r="D11" i="7" a="1"/>
  <c r="D11" i="7" s="1"/>
  <c r="D10" i="7" a="1"/>
  <c r="D10" i="7" s="1"/>
  <c r="D39" i="7" a="1"/>
  <c r="D39" i="7" s="1"/>
  <c r="D37" i="7" a="1"/>
  <c r="D37" i="7" s="1"/>
  <c r="D19" i="7" a="1"/>
  <c r="D19" i="7" s="1"/>
  <c r="D50" i="7" a="1"/>
  <c r="D50" i="7" s="1"/>
  <c r="D38" i="7" a="1"/>
  <c r="D38" i="7" s="1"/>
  <c r="D36" i="7" a="1"/>
  <c r="D36" i="7" s="1"/>
  <c r="D18" i="7" a="1"/>
  <c r="D18" i="7" s="1"/>
  <c r="D17" i="7" a="1"/>
  <c r="D17" i="7" s="1"/>
  <c r="D6" i="7" a="1"/>
  <c r="D6" i="7" s="1"/>
  <c r="D33" i="7" a="1"/>
  <c r="D33" i="7" s="1"/>
  <c r="D4" i="7" a="1"/>
  <c r="D4" i="7" s="1"/>
  <c r="D52" i="7" a="1"/>
  <c r="D52" i="7" s="1"/>
  <c r="D34" i="7" a="1"/>
  <c r="D34" i="7" s="1"/>
  <c r="D29" i="7" a="1"/>
  <c r="D29" i="7" s="1"/>
  <c r="D5" i="7" a="1"/>
  <c r="D5" i="7" s="1"/>
  <c r="D3" i="7" a="1"/>
  <c r="D3" i="7" s="1"/>
  <c r="D35" i="7" a="1"/>
  <c r="D35" i="7" s="1"/>
  <c r="D15" i="7" a="1"/>
  <c r="D15" i="7" s="1"/>
  <c r="D28" i="7" a="1"/>
  <c r="D28" i="7" s="1"/>
  <c r="D77" i="7" a="1"/>
  <c r="D77" i="7" s="1"/>
  <c r="D68" i="7" a="1"/>
  <c r="D68" i="7" s="1"/>
  <c r="D32" i="7" a="1"/>
  <c r="D32" i="7" s="1"/>
  <c r="D46" i="7" a="1"/>
  <c r="D46" i="7" s="1"/>
  <c r="D12" i="7" a="1"/>
  <c r="D12" i="7" s="1"/>
  <c r="D49" i="7" a="1"/>
  <c r="D49" i="7" s="1"/>
  <c r="D27" i="7" a="1"/>
  <c r="D27" i="7" s="1"/>
  <c r="D31" i="7" a="1"/>
  <c r="D31" i="7" s="1"/>
  <c r="D16" i="7" a="1"/>
  <c r="D16" i="7" s="1"/>
  <c r="D26" i="7" a="1"/>
  <c r="D26" i="7" s="1"/>
  <c r="R40" i="4"/>
  <c r="L198" i="7" a="1"/>
  <c r="L198" i="7" s="1"/>
  <c r="L197" i="7" a="1"/>
  <c r="L197" i="7" s="1"/>
  <c r="L196" i="7" a="1"/>
  <c r="L196" i="7" s="1"/>
  <c r="L195" i="7" a="1"/>
  <c r="L195" i="7" s="1"/>
  <c r="L199" i="7" a="1"/>
  <c r="L199" i="7" s="1"/>
  <c r="L192" i="7" a="1"/>
  <c r="L192" i="7" s="1"/>
  <c r="L191" i="7" a="1"/>
  <c r="L191" i="7" s="1"/>
  <c r="L190" i="7" a="1"/>
  <c r="L190" i="7" s="1"/>
  <c r="L193" i="7" a="1"/>
  <c r="L193" i="7" s="1"/>
  <c r="L189" i="7" a="1"/>
  <c r="L189" i="7" s="1"/>
  <c r="L188" i="7" a="1"/>
  <c r="L188" i="7" s="1"/>
  <c r="L200" i="7" a="1"/>
  <c r="L200" i="7" s="1"/>
  <c r="L186" i="7" a="1"/>
  <c r="L186" i="7" s="1"/>
  <c r="L183" i="7" a="1"/>
  <c r="L183" i="7" s="1"/>
  <c r="L182" i="7" a="1"/>
  <c r="L182" i="7" s="1"/>
  <c r="L187" i="7" a="1"/>
  <c r="L187" i="7" s="1"/>
  <c r="L185" i="7" a="1"/>
  <c r="L185" i="7" s="1"/>
  <c r="L194" i="7" a="1"/>
  <c r="L194" i="7" s="1"/>
  <c r="L181" i="7" a="1"/>
  <c r="L181" i="7" s="1"/>
  <c r="L179" i="7" a="1"/>
  <c r="L179" i="7" s="1"/>
  <c r="L178" i="7" a="1"/>
  <c r="L178" i="7" s="1"/>
  <c r="L177" i="7" a="1"/>
  <c r="L177" i="7" s="1"/>
  <c r="L176" i="7" a="1"/>
  <c r="L176" i="7" s="1"/>
  <c r="L173" i="7" a="1"/>
  <c r="L173" i="7" s="1"/>
  <c r="L172" i="7" a="1"/>
  <c r="L172" i="7" s="1"/>
  <c r="L171" i="7" a="1"/>
  <c r="L171" i="7" s="1"/>
  <c r="L164" i="7" a="1"/>
  <c r="L164" i="7" s="1"/>
  <c r="L163" i="7" a="1"/>
  <c r="L163" i="7" s="1"/>
  <c r="L180" i="7" a="1"/>
  <c r="L180" i="7" s="1"/>
  <c r="L174" i="7" a="1"/>
  <c r="L174" i="7" s="1"/>
  <c r="L170" i="7" a="1"/>
  <c r="L170" i="7" s="1"/>
  <c r="L169" i="7" a="1"/>
  <c r="L169" i="7" s="1"/>
  <c r="L184" i="7" a="1"/>
  <c r="L184" i="7" s="1"/>
  <c r="L167" i="7" a="1"/>
  <c r="L167" i="7" s="1"/>
  <c r="L162" i="7" a="1"/>
  <c r="L162" i="7" s="1"/>
  <c r="L157" i="7" a="1"/>
  <c r="L157" i="7" s="1"/>
  <c r="L156" i="7" a="1"/>
  <c r="L156" i="7" s="1"/>
  <c r="L175" i="7" a="1"/>
  <c r="L175" i="7" s="1"/>
  <c r="L165" i="7" a="1"/>
  <c r="L165" i="7" s="1"/>
  <c r="L161" i="7" a="1"/>
  <c r="L161" i="7" s="1"/>
  <c r="L155" i="7" a="1"/>
  <c r="L155" i="7" s="1"/>
  <c r="L154" i="7" a="1"/>
  <c r="L154" i="7" s="1"/>
  <c r="L168" i="7" a="1"/>
  <c r="L168" i="7" s="1"/>
  <c r="L153" i="7" a="1"/>
  <c r="L153" i="7" s="1"/>
  <c r="L152" i="7" a="1"/>
  <c r="L152" i="7" s="1"/>
  <c r="L145" i="7" a="1"/>
  <c r="L145" i="7" s="1"/>
  <c r="L144" i="7" a="1"/>
  <c r="L144" i="7" s="1"/>
  <c r="L160" i="7" a="1"/>
  <c r="L160" i="7" s="1"/>
  <c r="L149" i="7" a="1"/>
  <c r="L149" i="7" s="1"/>
  <c r="L146" i="7" a="1"/>
  <c r="L146" i="7" s="1"/>
  <c r="L141" i="7" a="1"/>
  <c r="L141" i="7" s="1"/>
  <c r="L140" i="7" a="1"/>
  <c r="L140" i="7" s="1"/>
  <c r="L134" i="7" a="1"/>
  <c r="L134" i="7" s="1"/>
  <c r="L132" i="7" a="1"/>
  <c r="L132" i="7" s="1"/>
  <c r="L158" i="7" a="1"/>
  <c r="L158" i="7" s="1"/>
  <c r="L150" i="7" a="1"/>
  <c r="L150" i="7" s="1"/>
  <c r="L137" i="7" a="1"/>
  <c r="L137" i="7" s="1"/>
  <c r="L136" i="7" a="1"/>
  <c r="L136" i="7" s="1"/>
  <c r="L133" i="7" a="1"/>
  <c r="L133" i="7" s="1"/>
  <c r="L131" i="7" a="1"/>
  <c r="L131" i="7" s="1"/>
  <c r="L129" i="7" a="1"/>
  <c r="L129" i="7" s="1"/>
  <c r="L166" i="7" a="1"/>
  <c r="L166" i="7" s="1"/>
  <c r="L159" i="7" a="1"/>
  <c r="L159" i="7" s="1"/>
  <c r="L151" i="7" a="1"/>
  <c r="L151" i="7" s="1"/>
  <c r="L147" i="7" a="1"/>
  <c r="L147" i="7" s="1"/>
  <c r="L143" i="7" a="1"/>
  <c r="L143" i="7" s="1"/>
  <c r="L142" i="7" a="1"/>
  <c r="L142" i="7" s="1"/>
  <c r="L135" i="7" a="1"/>
  <c r="L135" i="7" s="1"/>
  <c r="L148" i="7" a="1"/>
  <c r="L148" i="7" s="1"/>
  <c r="L138" i="7" a="1"/>
  <c r="L138" i="7" s="1"/>
  <c r="L139" i="7" a="1"/>
  <c r="L139" i="7" s="1"/>
  <c r="L130" i="7" a="1"/>
  <c r="L130" i="7" s="1"/>
  <c r="L126" i="7" a="1"/>
  <c r="L126" i="7" s="1"/>
  <c r="L122" i="7" a="1"/>
  <c r="L122" i="7" s="1"/>
  <c r="L118" i="7" a="1"/>
  <c r="L118" i="7" s="1"/>
  <c r="L114" i="7" a="1"/>
  <c r="L114" i="7" s="1"/>
  <c r="L113" i="7" a="1"/>
  <c r="L113" i="7" s="1"/>
  <c r="L106" i="7" a="1"/>
  <c r="L106" i="7" s="1"/>
  <c r="L105" i="7" a="1"/>
  <c r="L105" i="7" s="1"/>
  <c r="L127" i="7" a="1"/>
  <c r="L127" i="7" s="1"/>
  <c r="L123" i="7" a="1"/>
  <c r="L123" i="7" s="1"/>
  <c r="L119" i="7" a="1"/>
  <c r="L119" i="7" s="1"/>
  <c r="L112" i="7" a="1"/>
  <c r="L112" i="7" s="1"/>
  <c r="L111" i="7" a="1"/>
  <c r="L111" i="7" s="1"/>
  <c r="L104" i="7" a="1"/>
  <c r="L104" i="7" s="1"/>
  <c r="L103" i="7" a="1"/>
  <c r="L103" i="7" s="1"/>
  <c r="L125" i="7" a="1"/>
  <c r="L125" i="7" s="1"/>
  <c r="L121" i="7" a="1"/>
  <c r="L121" i="7" s="1"/>
  <c r="L117" i="7" a="1"/>
  <c r="L117" i="7" s="1"/>
  <c r="L116" i="7" a="1"/>
  <c r="L116" i="7" s="1"/>
  <c r="L115" i="7" a="1"/>
  <c r="L115" i="7" s="1"/>
  <c r="L108" i="7" a="1"/>
  <c r="L108" i="7" s="1"/>
  <c r="L107" i="7" a="1"/>
  <c r="L107" i="7" s="1"/>
  <c r="L110" i="7" a="1"/>
  <c r="L110" i="7" s="1"/>
  <c r="L101" i="7" a="1"/>
  <c r="L101" i="7" s="1"/>
  <c r="L97" i="7" a="1"/>
  <c r="L97" i="7" s="1"/>
  <c r="L96" i="7" a="1"/>
  <c r="L96" i="7" s="1"/>
  <c r="L89" i="7" a="1"/>
  <c r="L89" i="7" s="1"/>
  <c r="L88" i="7" a="1"/>
  <c r="L88" i="7" s="1"/>
  <c r="L81" i="7" a="1"/>
  <c r="L81" i="7" s="1"/>
  <c r="L80" i="7" a="1"/>
  <c r="L80" i="7" s="1"/>
  <c r="L73" i="7" a="1"/>
  <c r="L73" i="7" s="1"/>
  <c r="L72" i="7" a="1"/>
  <c r="L72" i="7" s="1"/>
  <c r="L65" i="7" a="1"/>
  <c r="L65" i="7" s="1"/>
  <c r="L64" i="7" a="1"/>
  <c r="L64" i="7" s="1"/>
  <c r="L54" i="7" a="1"/>
  <c r="L54" i="7" s="1"/>
  <c r="L53" i="7" a="1"/>
  <c r="L53" i="7" s="1"/>
  <c r="L120" i="7" a="1"/>
  <c r="L120" i="7" s="1"/>
  <c r="L102" i="7" a="1"/>
  <c r="L102" i="7" s="1"/>
  <c r="L95" i="7" a="1"/>
  <c r="L95" i="7" s="1"/>
  <c r="L94" i="7" a="1"/>
  <c r="L94" i="7" s="1"/>
  <c r="L87" i="7" a="1"/>
  <c r="L87" i="7" s="1"/>
  <c r="L86" i="7" a="1"/>
  <c r="L86" i="7" s="1"/>
  <c r="L79" i="7" a="1"/>
  <c r="L79" i="7" s="1"/>
  <c r="L78" i="7" a="1"/>
  <c r="L78" i="7" s="1"/>
  <c r="L71" i="7" a="1"/>
  <c r="L71" i="7" s="1"/>
  <c r="L70" i="7" a="1"/>
  <c r="L70" i="7" s="1"/>
  <c r="L63" i="7" a="1"/>
  <c r="L63" i="7" s="1"/>
  <c r="L62" i="7" a="1"/>
  <c r="L62" i="7" s="1"/>
  <c r="L128" i="7" a="1"/>
  <c r="L128" i="7" s="1"/>
  <c r="L109" i="7" a="1"/>
  <c r="L109" i="7" s="1"/>
  <c r="L99" i="7" a="1"/>
  <c r="L99" i="7" s="1"/>
  <c r="L98" i="7" a="1"/>
  <c r="L98" i="7" s="1"/>
  <c r="L91" i="7" a="1"/>
  <c r="L91" i="7" s="1"/>
  <c r="L90" i="7" a="1"/>
  <c r="L90" i="7" s="1"/>
  <c r="L83" i="7" a="1"/>
  <c r="L83" i="7" s="1"/>
  <c r="L82" i="7" a="1"/>
  <c r="L82" i="7" s="1"/>
  <c r="L75" i="7" a="1"/>
  <c r="L75" i="7" s="1"/>
  <c r="L74" i="7" a="1"/>
  <c r="L74" i="7" s="1"/>
  <c r="L67" i="7" a="1"/>
  <c r="L67" i="7" s="1"/>
  <c r="L66" i="7" a="1"/>
  <c r="L66" i="7" s="1"/>
  <c r="L92" i="7" a="1"/>
  <c r="L92" i="7" s="1"/>
  <c r="L69" i="7" a="1"/>
  <c r="L69" i="7" s="1"/>
  <c r="L60" i="7" a="1"/>
  <c r="L60" i="7" s="1"/>
  <c r="L57" i="7" a="1"/>
  <c r="L57" i="7" s="1"/>
  <c r="L56" i="7" a="1"/>
  <c r="L56" i="7" s="1"/>
  <c r="L100" i="7" a="1"/>
  <c r="L100" i="7" s="1"/>
  <c r="L93" i="7" a="1"/>
  <c r="L93" i="7" s="1"/>
  <c r="L84" i="7" a="1"/>
  <c r="L84" i="7" s="1"/>
  <c r="L61" i="7" a="1"/>
  <c r="L61" i="7" s="1"/>
  <c r="L55" i="7" a="1"/>
  <c r="L55" i="7" s="1"/>
  <c r="L51" i="7" a="1"/>
  <c r="L51" i="7" s="1"/>
  <c r="L77" i="7" a="1"/>
  <c r="L77" i="7" s="1"/>
  <c r="L68" i="7" a="1"/>
  <c r="L68" i="7" s="1"/>
  <c r="L58" i="7" a="1"/>
  <c r="L58" i="7" s="1"/>
  <c r="L47" i="7" a="1"/>
  <c r="L47" i="7" s="1"/>
  <c r="L45" i="7" a="1"/>
  <c r="L45" i="7" s="1"/>
  <c r="L85" i="7" a="1"/>
  <c r="L85" i="7" s="1"/>
  <c r="L76" i="7" a="1"/>
  <c r="L76" i="7" s="1"/>
  <c r="L59" i="7" a="1"/>
  <c r="L59" i="7" s="1"/>
  <c r="L44" i="7" a="1"/>
  <c r="L44" i="7" s="1"/>
  <c r="L30" i="7" a="1"/>
  <c r="L30" i="7" s="1"/>
  <c r="L24" i="7" a="1"/>
  <c r="L24" i="7" s="1"/>
  <c r="L14" i="7" a="1"/>
  <c r="L14" i="7" s="1"/>
  <c r="L9" i="7" a="1"/>
  <c r="L9" i="7" s="1"/>
  <c r="L20" i="7" a="1"/>
  <c r="L20" i="7" s="1"/>
  <c r="L13" i="7" a="1"/>
  <c r="L13" i="7" s="1"/>
  <c r="L41" i="7" a="1"/>
  <c r="L41" i="7" s="1"/>
  <c r="L40" i="7" a="1"/>
  <c r="L40" i="7" s="1"/>
  <c r="L25" i="7" a="1"/>
  <c r="L25" i="7" s="1"/>
  <c r="L23" i="7" a="1"/>
  <c r="L23" i="7" s="1"/>
  <c r="L43" i="7" a="1"/>
  <c r="L43" i="7" s="1"/>
  <c r="L42" i="7" a="1"/>
  <c r="L42" i="7" s="1"/>
  <c r="L22" i="7" a="1"/>
  <c r="L22" i="7" s="1"/>
  <c r="L21" i="7" a="1"/>
  <c r="L21" i="7" s="1"/>
  <c r="L8" i="7" a="1"/>
  <c r="L8" i="7" s="1"/>
  <c r="L7" i="7" a="1"/>
  <c r="L7" i="7" s="1"/>
  <c r="L11" i="7" a="1"/>
  <c r="L11" i="7" s="1"/>
  <c r="L10" i="7" a="1"/>
  <c r="L10" i="7" s="1"/>
  <c r="L39" i="7" a="1"/>
  <c r="L39" i="7" s="1"/>
  <c r="L37" i="7" a="1"/>
  <c r="L37" i="7" s="1"/>
  <c r="L19" i="7" a="1"/>
  <c r="L19" i="7" s="1"/>
  <c r="L48" i="7" a="1"/>
  <c r="L48" i="7" s="1"/>
  <c r="L38" i="7" a="1"/>
  <c r="L38" i="7" s="1"/>
  <c r="L36" i="7" a="1"/>
  <c r="L36" i="7" s="1"/>
  <c r="L18" i="7" a="1"/>
  <c r="L18" i="7" s="1"/>
  <c r="L17" i="7" a="1"/>
  <c r="L17" i="7" s="1"/>
  <c r="L6" i="7" a="1"/>
  <c r="L6" i="7" s="1"/>
  <c r="L33" i="7" a="1"/>
  <c r="L33" i="7" s="1"/>
  <c r="L4" i="7" a="1"/>
  <c r="L4" i="7" s="1"/>
  <c r="L52" i="7" a="1"/>
  <c r="L52" i="7" s="1"/>
  <c r="L34" i="7" a="1"/>
  <c r="L34" i="7" s="1"/>
  <c r="L29" i="7" a="1"/>
  <c r="L29" i="7" s="1"/>
  <c r="L5" i="7" a="1"/>
  <c r="L5" i="7" s="1"/>
  <c r="L3" i="7" a="1"/>
  <c r="L3" i="7" s="1"/>
  <c r="L31" i="7" a="1"/>
  <c r="L31" i="7" s="1"/>
  <c r="L49" i="7" a="1"/>
  <c r="L49" i="7" s="1"/>
  <c r="L27" i="7" a="1"/>
  <c r="L27" i="7" s="1"/>
  <c r="L16" i="7" a="1"/>
  <c r="L16" i="7" s="1"/>
  <c r="L26" i="7" a="1"/>
  <c r="L26" i="7" s="1"/>
  <c r="L46" i="7" a="1"/>
  <c r="L46" i="7" s="1"/>
  <c r="L50" i="7" a="1"/>
  <c r="L50" i="7" s="1"/>
  <c r="L32" i="7" a="1"/>
  <c r="L32" i="7" s="1"/>
  <c r="L124" i="7" a="1"/>
  <c r="L124" i="7" s="1"/>
  <c r="L35" i="7" a="1"/>
  <c r="L35" i="7" s="1"/>
  <c r="L15" i="7" a="1"/>
  <c r="L15" i="7" s="1"/>
  <c r="L12" i="7" a="1"/>
  <c r="L12" i="7" s="1"/>
  <c r="L28" i="7" a="1"/>
  <c r="L28" i="7" s="1"/>
  <c r="G197" i="7" a="1"/>
  <c r="G197" i="7" s="1"/>
  <c r="G196" i="7" a="1"/>
  <c r="G196" i="7" s="1"/>
  <c r="G195" i="7" a="1"/>
  <c r="G195" i="7" s="1"/>
  <c r="G194" i="7" a="1"/>
  <c r="G194" i="7" s="1"/>
  <c r="G199" i="7" a="1"/>
  <c r="G199" i="7" s="1"/>
  <c r="G190" i="7" a="1"/>
  <c r="G190" i="7" s="1"/>
  <c r="G189" i="7" a="1"/>
  <c r="G189" i="7" s="1"/>
  <c r="G200" i="7" a="1"/>
  <c r="G200" i="7" s="1"/>
  <c r="G193" i="7" a="1"/>
  <c r="G193" i="7" s="1"/>
  <c r="G188" i="7" a="1"/>
  <c r="G188" i="7" s="1"/>
  <c r="G187" i="7" a="1"/>
  <c r="G187" i="7" s="1"/>
  <c r="G198" i="7" a="1"/>
  <c r="G198" i="7" s="1"/>
  <c r="G186" i="7" a="1"/>
  <c r="G186" i="7" s="1"/>
  <c r="G182" i="7" a="1"/>
  <c r="G182" i="7" s="1"/>
  <c r="G181" i="7" a="1"/>
  <c r="G181" i="7" s="1"/>
  <c r="G185" i="7" a="1"/>
  <c r="G185" i="7" s="1"/>
  <c r="G184" i="7" a="1"/>
  <c r="G184" i="7" s="1"/>
  <c r="G183" i="7" a="1"/>
  <c r="G183" i="7" s="1"/>
  <c r="G192" i="7" a="1"/>
  <c r="G192" i="7" s="1"/>
  <c r="G180" i="7" a="1"/>
  <c r="G180" i="7" s="1"/>
  <c r="G191" i="7" a="1"/>
  <c r="G191" i="7" s="1"/>
  <c r="G179" i="7" a="1"/>
  <c r="G179" i="7" s="1"/>
  <c r="G178" i="7" a="1"/>
  <c r="G178" i="7" s="1"/>
  <c r="G177" i="7" a="1"/>
  <c r="G177" i="7" s="1"/>
  <c r="G176" i="7" a="1"/>
  <c r="G176" i="7" s="1"/>
  <c r="G175" i="7" a="1"/>
  <c r="G175" i="7" s="1"/>
  <c r="G171" i="7" a="1"/>
  <c r="G171" i="7" s="1"/>
  <c r="G170" i="7" a="1"/>
  <c r="G170" i="7" s="1"/>
  <c r="G163" i="7" a="1"/>
  <c r="G163" i="7" s="1"/>
  <c r="G162" i="7" a="1"/>
  <c r="G162" i="7" s="1"/>
  <c r="G173" i="7" a="1"/>
  <c r="G173" i="7" s="1"/>
  <c r="G169" i="7" a="1"/>
  <c r="G169" i="7" s="1"/>
  <c r="G168" i="7" a="1"/>
  <c r="G168" i="7" s="1"/>
  <c r="G174" i="7" a="1"/>
  <c r="G174" i="7" s="1"/>
  <c r="G167" i="7" a="1"/>
  <c r="G167" i="7" s="1"/>
  <c r="G156" i="7" a="1"/>
  <c r="G156" i="7" s="1"/>
  <c r="G155" i="7" a="1"/>
  <c r="G155" i="7" s="1"/>
  <c r="G172" i="7" a="1"/>
  <c r="G172" i="7" s="1"/>
  <c r="G165" i="7" a="1"/>
  <c r="G165" i="7" s="1"/>
  <c r="G154" i="7" a="1"/>
  <c r="G154" i="7" s="1"/>
  <c r="G153" i="7" a="1"/>
  <c r="G153" i="7" s="1"/>
  <c r="G166" i="7" a="1"/>
  <c r="G166" i="7" s="1"/>
  <c r="G160" i="7" a="1"/>
  <c r="G160" i="7" s="1"/>
  <c r="G159" i="7" a="1"/>
  <c r="G159" i="7" s="1"/>
  <c r="G152" i="7" a="1"/>
  <c r="G152" i="7" s="1"/>
  <c r="G151" i="7" a="1"/>
  <c r="G151" i="7" s="1"/>
  <c r="G164" i="7" a="1"/>
  <c r="G164" i="7" s="1"/>
  <c r="G161" i="7" a="1"/>
  <c r="G161" i="7" s="1"/>
  <c r="G158" i="7" a="1"/>
  <c r="G158" i="7" s="1"/>
  <c r="G150" i="7" a="1"/>
  <c r="G150" i="7" s="1"/>
  <c r="G147" i="7" a="1"/>
  <c r="G147" i="7" s="1"/>
  <c r="G140" i="7" a="1"/>
  <c r="G140" i="7" s="1"/>
  <c r="G139" i="7" a="1"/>
  <c r="G139" i="7" s="1"/>
  <c r="G135" i="7" a="1"/>
  <c r="G135" i="7" s="1"/>
  <c r="G133" i="7" a="1"/>
  <c r="G133" i="7" s="1"/>
  <c r="G131" i="7" a="1"/>
  <c r="G131" i="7" s="1"/>
  <c r="G146" i="7" a="1"/>
  <c r="G146" i="7" s="1"/>
  <c r="G144" i="7" a="1"/>
  <c r="G144" i="7" s="1"/>
  <c r="G143" i="7" a="1"/>
  <c r="G143" i="7" s="1"/>
  <c r="G136" i="7" a="1"/>
  <c r="G136" i="7" s="1"/>
  <c r="G134" i="7" a="1"/>
  <c r="G134" i="7" s="1"/>
  <c r="G132" i="7" a="1"/>
  <c r="G132" i="7" s="1"/>
  <c r="G130" i="7" a="1"/>
  <c r="G130" i="7" s="1"/>
  <c r="G157" i="7" a="1"/>
  <c r="G157" i="7" s="1"/>
  <c r="G148" i="7" a="1"/>
  <c r="G148" i="7" s="1"/>
  <c r="G145" i="7" a="1"/>
  <c r="G145" i="7" s="1"/>
  <c r="G142" i="7" a="1"/>
  <c r="G142" i="7" s="1"/>
  <c r="G141" i="7" a="1"/>
  <c r="G141" i="7" s="1"/>
  <c r="G149" i="7" a="1"/>
  <c r="G149" i="7" s="1"/>
  <c r="G137" i="7" a="1"/>
  <c r="G137" i="7" s="1"/>
  <c r="G129" i="7" a="1"/>
  <c r="G129" i="7" s="1"/>
  <c r="G125" i="7" a="1"/>
  <c r="G125" i="7" s="1"/>
  <c r="G121" i="7" a="1"/>
  <c r="G121" i="7" s="1"/>
  <c r="G117" i="7" a="1"/>
  <c r="G117" i="7" s="1"/>
  <c r="G113" i="7" a="1"/>
  <c r="G113" i="7" s="1"/>
  <c r="G112" i="7" a="1"/>
  <c r="G112" i="7" s="1"/>
  <c r="G105" i="7" a="1"/>
  <c r="G105" i="7" s="1"/>
  <c r="G104" i="7" a="1"/>
  <c r="G104" i="7" s="1"/>
  <c r="G138" i="7" a="1"/>
  <c r="G138" i="7" s="1"/>
  <c r="G126" i="7" a="1"/>
  <c r="G126" i="7" s="1"/>
  <c r="G122" i="7" a="1"/>
  <c r="G122" i="7" s="1"/>
  <c r="G118" i="7" a="1"/>
  <c r="G118" i="7" s="1"/>
  <c r="G111" i="7" a="1"/>
  <c r="G111" i="7" s="1"/>
  <c r="G110" i="7" a="1"/>
  <c r="G110" i="7" s="1"/>
  <c r="G103" i="7" a="1"/>
  <c r="G103" i="7" s="1"/>
  <c r="G102" i="7" a="1"/>
  <c r="G102" i="7" s="1"/>
  <c r="G128" i="7" a="1"/>
  <c r="G128" i="7" s="1"/>
  <c r="G124" i="7" a="1"/>
  <c r="G124" i="7" s="1"/>
  <c r="G120" i="7" a="1"/>
  <c r="G120" i="7" s="1"/>
  <c r="G115" i="7" a="1"/>
  <c r="G115" i="7" s="1"/>
  <c r="G114" i="7" a="1"/>
  <c r="G114" i="7" s="1"/>
  <c r="G107" i="7" a="1"/>
  <c r="G107" i="7" s="1"/>
  <c r="G106" i="7" a="1"/>
  <c r="G106" i="7" s="1"/>
  <c r="G123" i="7" a="1"/>
  <c r="G123" i="7" s="1"/>
  <c r="G108" i="7" a="1"/>
  <c r="G108" i="7" s="1"/>
  <c r="G96" i="7" a="1"/>
  <c r="G96" i="7" s="1"/>
  <c r="G95" i="7" a="1"/>
  <c r="G95" i="7" s="1"/>
  <c r="G88" i="7" a="1"/>
  <c r="G88" i="7" s="1"/>
  <c r="G87" i="7" a="1"/>
  <c r="G87" i="7" s="1"/>
  <c r="G80" i="7" a="1"/>
  <c r="G80" i="7" s="1"/>
  <c r="G79" i="7" a="1"/>
  <c r="G79" i="7" s="1"/>
  <c r="G72" i="7" a="1"/>
  <c r="G72" i="7" s="1"/>
  <c r="G71" i="7" a="1"/>
  <c r="G71" i="7" s="1"/>
  <c r="G64" i="7" a="1"/>
  <c r="G64" i="7" s="1"/>
  <c r="G63" i="7" a="1"/>
  <c r="G63" i="7" s="1"/>
  <c r="G53" i="7" a="1"/>
  <c r="G53" i="7" s="1"/>
  <c r="G127" i="7" a="1"/>
  <c r="G127" i="7" s="1"/>
  <c r="G109" i="7" a="1"/>
  <c r="G109" i="7" s="1"/>
  <c r="G94" i="7" a="1"/>
  <c r="G94" i="7" s="1"/>
  <c r="G93" i="7" a="1"/>
  <c r="G93" i="7" s="1"/>
  <c r="G86" i="7" a="1"/>
  <c r="G86" i="7" s="1"/>
  <c r="G85" i="7" a="1"/>
  <c r="G85" i="7" s="1"/>
  <c r="G78" i="7" a="1"/>
  <c r="G78" i="7" s="1"/>
  <c r="G77" i="7" a="1"/>
  <c r="G77" i="7" s="1"/>
  <c r="G70" i="7" a="1"/>
  <c r="G70" i="7" s="1"/>
  <c r="G69" i="7" a="1"/>
  <c r="G69" i="7" s="1"/>
  <c r="G62" i="7" a="1"/>
  <c r="G62" i="7" s="1"/>
  <c r="G61" i="7" a="1"/>
  <c r="G61" i="7" s="1"/>
  <c r="G119" i="7" a="1"/>
  <c r="G119" i="7" s="1"/>
  <c r="G116" i="7" a="1"/>
  <c r="G116" i="7" s="1"/>
  <c r="G100" i="7" a="1"/>
  <c r="G100" i="7" s="1"/>
  <c r="G98" i="7" a="1"/>
  <c r="G98" i="7" s="1"/>
  <c r="G97" i="7" a="1"/>
  <c r="G97" i="7" s="1"/>
  <c r="G90" i="7" a="1"/>
  <c r="G90" i="7" s="1"/>
  <c r="G89" i="7" a="1"/>
  <c r="G89" i="7" s="1"/>
  <c r="G82" i="7" a="1"/>
  <c r="G82" i="7" s="1"/>
  <c r="G81" i="7" a="1"/>
  <c r="G81" i="7" s="1"/>
  <c r="G74" i="7" a="1"/>
  <c r="G74" i="7" s="1"/>
  <c r="G73" i="7" a="1"/>
  <c r="G73" i="7" s="1"/>
  <c r="G66" i="7" a="1"/>
  <c r="G66" i="7" s="1"/>
  <c r="G65" i="7" a="1"/>
  <c r="G65" i="7" s="1"/>
  <c r="G99" i="7" a="1"/>
  <c r="G99" i="7" s="1"/>
  <c r="G76" i="7" a="1"/>
  <c r="G76" i="7" s="1"/>
  <c r="G67" i="7" a="1"/>
  <c r="G67" i="7" s="1"/>
  <c r="G56" i="7" a="1"/>
  <c r="G56" i="7" s="1"/>
  <c r="G55" i="7" a="1"/>
  <c r="G55" i="7" s="1"/>
  <c r="G101" i="7" a="1"/>
  <c r="G101" i="7" s="1"/>
  <c r="G91" i="7" a="1"/>
  <c r="G91" i="7" s="1"/>
  <c r="G68" i="7" a="1"/>
  <c r="G68" i="7" s="1"/>
  <c r="G58" i="7" a="1"/>
  <c r="G58" i="7" s="1"/>
  <c r="G51" i="7" a="1"/>
  <c r="G51" i="7" s="1"/>
  <c r="G50" i="7" a="1"/>
  <c r="G50" i="7" s="1"/>
  <c r="G45" i="7" a="1"/>
  <c r="G45" i="7" s="1"/>
  <c r="G84" i="7" a="1"/>
  <c r="G84" i="7" s="1"/>
  <c r="G75" i="7" a="1"/>
  <c r="G75" i="7" s="1"/>
  <c r="G59" i="7" a="1"/>
  <c r="G59" i="7" s="1"/>
  <c r="G57" i="7" a="1"/>
  <c r="G57" i="7" s="1"/>
  <c r="G92" i="7" a="1"/>
  <c r="G92" i="7" s="1"/>
  <c r="G83" i="7" a="1"/>
  <c r="G83" i="7" s="1"/>
  <c r="G54" i="7" a="1"/>
  <c r="G54" i="7" s="1"/>
  <c r="G48" i="7" a="1"/>
  <c r="G48" i="7" s="1"/>
  <c r="G44" i="7" a="1"/>
  <c r="G44" i="7" s="1"/>
  <c r="G43" i="7" a="1"/>
  <c r="G43" i="7" s="1"/>
  <c r="G24" i="7" a="1"/>
  <c r="G24" i="7" s="1"/>
  <c r="G22" i="7" a="1"/>
  <c r="G22" i="7" s="1"/>
  <c r="G9" i="7" a="1"/>
  <c r="G9" i="7" s="1"/>
  <c r="G8" i="7" a="1"/>
  <c r="G8" i="7" s="1"/>
  <c r="G13" i="7" a="1"/>
  <c r="G13" i="7" s="1"/>
  <c r="G11" i="7" a="1"/>
  <c r="G11" i="7" s="1"/>
  <c r="G40" i="7" a="1"/>
  <c r="G40" i="7" s="1"/>
  <c r="G39" i="7" a="1"/>
  <c r="G39" i="7" s="1"/>
  <c r="G23" i="7" a="1"/>
  <c r="G23" i="7" s="1"/>
  <c r="G60" i="7" a="1"/>
  <c r="G60" i="7" s="1"/>
  <c r="G42" i="7" a="1"/>
  <c r="G42" i="7" s="1"/>
  <c r="G38" i="7" a="1"/>
  <c r="G38" i="7" s="1"/>
  <c r="G21" i="7" a="1"/>
  <c r="G21" i="7" s="1"/>
  <c r="G18" i="7" a="1"/>
  <c r="G18" i="7" s="1"/>
  <c r="G7" i="7" a="1"/>
  <c r="G7" i="7" s="1"/>
  <c r="G6" i="7" a="1"/>
  <c r="G6" i="7" s="1"/>
  <c r="G10" i="7" a="1"/>
  <c r="G10" i="7" s="1"/>
  <c r="G4" i="7" a="1"/>
  <c r="G4" i="7" s="1"/>
  <c r="G37" i="7" a="1"/>
  <c r="G37" i="7" s="1"/>
  <c r="G34" i="7" a="1"/>
  <c r="G34" i="7" s="1"/>
  <c r="G36" i="7" a="1"/>
  <c r="G36" i="7" s="1"/>
  <c r="G35" i="7" a="1"/>
  <c r="G35" i="7" s="1"/>
  <c r="G17" i="7" a="1"/>
  <c r="G17" i="7" s="1"/>
  <c r="G16" i="7" a="1"/>
  <c r="G16" i="7" s="1"/>
  <c r="G33" i="7" a="1"/>
  <c r="G33" i="7" s="1"/>
  <c r="G32" i="7" a="1"/>
  <c r="G32" i="7" s="1"/>
  <c r="G52" i="7" a="1"/>
  <c r="G52" i="7" s="1"/>
  <c r="G49" i="7" a="1"/>
  <c r="G49" i="7" s="1"/>
  <c r="G29" i="7" a="1"/>
  <c r="G29" i="7" s="1"/>
  <c r="G28" i="7" a="1"/>
  <c r="G28" i="7" s="1"/>
  <c r="G3" i="7" a="1"/>
  <c r="G3" i="7" s="1"/>
  <c r="G26" i="7" a="1"/>
  <c r="G26" i="7" s="1"/>
  <c r="G41" i="7" a="1"/>
  <c r="G41" i="7" s="1"/>
  <c r="G19" i="7" a="1"/>
  <c r="G19" i="7" s="1"/>
  <c r="G5" i="7" a="1"/>
  <c r="G5" i="7" s="1"/>
  <c r="G31" i="7" a="1"/>
  <c r="G31" i="7" s="1"/>
  <c r="G14" i="7" a="1"/>
  <c r="G14" i="7" s="1"/>
  <c r="G27" i="7" a="1"/>
  <c r="G27" i="7" s="1"/>
  <c r="G20" i="7" a="1"/>
  <c r="G20" i="7" s="1"/>
  <c r="G12" i="7" a="1"/>
  <c r="G12" i="7" s="1"/>
  <c r="G47" i="7" a="1"/>
  <c r="G47" i="7" s="1"/>
  <c r="G15" i="7" a="1"/>
  <c r="G15" i="7" s="1"/>
  <c r="G30" i="7" a="1"/>
  <c r="G30" i="7" s="1"/>
  <c r="G46" i="7" a="1"/>
  <c r="G46" i="7" s="1"/>
  <c r="G25" i="7" a="1"/>
  <c r="G25" i="7" s="1"/>
  <c r="R44" i="4"/>
  <c r="R28" i="4"/>
  <c r="R54" i="4"/>
  <c r="A199" i="7" a="1"/>
  <c r="A199" i="7" s="1"/>
  <c r="A198" i="7" a="1"/>
  <c r="A198" i="7" s="1"/>
  <c r="A192" i="7" a="1"/>
  <c r="A192" i="7" s="1"/>
  <c r="A197" i="7" a="1"/>
  <c r="A197" i="7" s="1"/>
  <c r="A196" i="7" a="1"/>
  <c r="A196" i="7" s="1"/>
  <c r="A191" i="7" a="1"/>
  <c r="A191" i="7" s="1"/>
  <c r="A195" i="7" a="1"/>
  <c r="A195" i="7" s="1"/>
  <c r="A190" i="7" a="1"/>
  <c r="A190" i="7" s="1"/>
  <c r="A189" i="7" a="1"/>
  <c r="A189" i="7" s="1"/>
  <c r="A200" i="7" a="1"/>
  <c r="A200" i="7" s="1"/>
  <c r="A193" i="7" a="1"/>
  <c r="A193" i="7" s="1"/>
  <c r="A188" i="7" a="1"/>
  <c r="A188" i="7" s="1"/>
  <c r="A184" i="7" a="1"/>
  <c r="A184" i="7" s="1"/>
  <c r="A183" i="7" a="1"/>
  <c r="A183" i="7" s="1"/>
  <c r="A187" i="7" a="1"/>
  <c r="A187" i="7" s="1"/>
  <c r="A185" i="7" a="1"/>
  <c r="A185" i="7" s="1"/>
  <c r="A181" i="7" a="1"/>
  <c r="A181" i="7" s="1"/>
  <c r="A194" i="7" a="1"/>
  <c r="A194" i="7" s="1"/>
  <c r="A182" i="7" a="1"/>
  <c r="A182" i="7" s="1"/>
  <c r="A186" i="7" a="1"/>
  <c r="A186" i="7" s="1"/>
  <c r="A180" i="7" a="1"/>
  <c r="A180" i="7" s="1"/>
  <c r="A179" i="7" a="1"/>
  <c r="A179" i="7" s="1"/>
  <c r="A178" i="7" a="1"/>
  <c r="A178" i="7" s="1"/>
  <c r="A177" i="7" a="1"/>
  <c r="A177" i="7" s="1"/>
  <c r="A174" i="7" a="1"/>
  <c r="A174" i="7" s="1"/>
  <c r="A173" i="7" a="1"/>
  <c r="A173" i="7" s="1"/>
  <c r="A172" i="7" a="1"/>
  <c r="A172" i="7" s="1"/>
  <c r="A165" i="7" a="1"/>
  <c r="A165" i="7" s="1"/>
  <c r="A164" i="7" a="1"/>
  <c r="A164" i="7" s="1"/>
  <c r="A171" i="7" a="1"/>
  <c r="A171" i="7" s="1"/>
  <c r="A170" i="7" a="1"/>
  <c r="A170" i="7" s="1"/>
  <c r="A176" i="7" a="1"/>
  <c r="A176" i="7" s="1"/>
  <c r="A169" i="7" a="1"/>
  <c r="A169" i="7" s="1"/>
  <c r="A162" i="7" a="1"/>
  <c r="A162" i="7" s="1"/>
  <c r="A158" i="7" a="1"/>
  <c r="A158" i="7" s="1"/>
  <c r="A157" i="7" a="1"/>
  <c r="A157" i="7" s="1"/>
  <c r="A167" i="7" a="1"/>
  <c r="A167" i="7" s="1"/>
  <c r="A156" i="7" a="1"/>
  <c r="A156" i="7" s="1"/>
  <c r="A155" i="7" a="1"/>
  <c r="A155" i="7" s="1"/>
  <c r="A175" i="7" a="1"/>
  <c r="A175" i="7" s="1"/>
  <c r="A168" i="7" a="1"/>
  <c r="A168" i="7" s="1"/>
  <c r="A161" i="7" a="1"/>
  <c r="A161" i="7" s="1"/>
  <c r="A154" i="7" a="1"/>
  <c r="A154" i="7" s="1"/>
  <c r="A153" i="7" a="1"/>
  <c r="A153" i="7" s="1"/>
  <c r="A146" i="7" a="1"/>
  <c r="A146" i="7" s="1"/>
  <c r="A145" i="7" a="1"/>
  <c r="A145" i="7" s="1"/>
  <c r="A160" i="7" a="1"/>
  <c r="A160" i="7" s="1"/>
  <c r="A149" i="7" a="1"/>
  <c r="A149" i="7" s="1"/>
  <c r="A142" i="7" a="1"/>
  <c r="A142" i="7" s="1"/>
  <c r="A141" i="7" a="1"/>
  <c r="A141" i="7" s="1"/>
  <c r="A135" i="7" a="1"/>
  <c r="A135" i="7" s="1"/>
  <c r="A133" i="7" a="1"/>
  <c r="A133" i="7" s="1"/>
  <c r="A148" i="7" a="1"/>
  <c r="A148" i="7" s="1"/>
  <c r="A138" i="7" a="1"/>
  <c r="A138" i="7" s="1"/>
  <c r="A137" i="7" a="1"/>
  <c r="A137" i="7" s="1"/>
  <c r="A134" i="7" a="1"/>
  <c r="A134" i="7" s="1"/>
  <c r="A132" i="7" a="1"/>
  <c r="A132" i="7" s="1"/>
  <c r="A130" i="7" a="1"/>
  <c r="A130" i="7" s="1"/>
  <c r="A163" i="7" a="1"/>
  <c r="A163" i="7" s="1"/>
  <c r="A159" i="7" a="1"/>
  <c r="A159" i="7" s="1"/>
  <c r="A150" i="7" a="1"/>
  <c r="A150" i="7" s="1"/>
  <c r="A147" i="7" a="1"/>
  <c r="A147" i="7" s="1"/>
  <c r="A144" i="7" a="1"/>
  <c r="A144" i="7" s="1"/>
  <c r="A143" i="7" a="1"/>
  <c r="A143" i="7" s="1"/>
  <c r="A136" i="7" a="1"/>
  <c r="A136" i="7" s="1"/>
  <c r="A166" i="7" a="1"/>
  <c r="A166" i="7" s="1"/>
  <c r="A152" i="7" a="1"/>
  <c r="A152" i="7" s="1"/>
  <c r="A151" i="7" a="1"/>
  <c r="A151" i="7" s="1"/>
  <c r="A139" i="7" a="1"/>
  <c r="A139" i="7" s="1"/>
  <c r="A131" i="7" a="1"/>
  <c r="A131" i="7" s="1"/>
  <c r="A127" i="7" a="1"/>
  <c r="A127" i="7" s="1"/>
  <c r="A123" i="7" a="1"/>
  <c r="A123" i="7" s="1"/>
  <c r="A119" i="7" a="1"/>
  <c r="A119" i="7" s="1"/>
  <c r="A115" i="7" a="1"/>
  <c r="A115" i="7" s="1"/>
  <c r="A114" i="7" a="1"/>
  <c r="A114" i="7" s="1"/>
  <c r="A107" i="7" a="1"/>
  <c r="A107" i="7" s="1"/>
  <c r="A106" i="7" a="1"/>
  <c r="A106" i="7" s="1"/>
  <c r="A128" i="7" a="1"/>
  <c r="A128" i="7" s="1"/>
  <c r="A124" i="7" a="1"/>
  <c r="A124" i="7" s="1"/>
  <c r="A120" i="7" a="1"/>
  <c r="A120" i="7" s="1"/>
  <c r="A113" i="7" a="1"/>
  <c r="A113" i="7" s="1"/>
  <c r="A112" i="7" a="1"/>
  <c r="A112" i="7" s="1"/>
  <c r="A105" i="7" a="1"/>
  <c r="A105" i="7" s="1"/>
  <c r="A104" i="7" a="1"/>
  <c r="A104" i="7" s="1"/>
  <c r="A126" i="7" a="1"/>
  <c r="A126" i="7" s="1"/>
  <c r="A122" i="7" a="1"/>
  <c r="A122" i="7" s="1"/>
  <c r="A118" i="7" a="1"/>
  <c r="A118" i="7" s="1"/>
  <c r="A117" i="7" a="1"/>
  <c r="A117" i="7" s="1"/>
  <c r="A116" i="7" a="1"/>
  <c r="A116" i="7" s="1"/>
  <c r="A109" i="7" a="1"/>
  <c r="A109" i="7" s="1"/>
  <c r="A108" i="7" a="1"/>
  <c r="A108" i="7" s="1"/>
  <c r="A125" i="7" a="1"/>
  <c r="A125" i="7" s="1"/>
  <c r="A110" i="7" a="1"/>
  <c r="A110" i="7" s="1"/>
  <c r="A98" i="7" a="1"/>
  <c r="A98" i="7" s="1"/>
  <c r="A97" i="7" a="1"/>
  <c r="A97" i="7" s="1"/>
  <c r="A90" i="7" a="1"/>
  <c r="A90" i="7" s="1"/>
  <c r="A89" i="7" a="1"/>
  <c r="A89" i="7" s="1"/>
  <c r="A82" i="7" a="1"/>
  <c r="A82" i="7" s="1"/>
  <c r="A81" i="7" a="1"/>
  <c r="A81" i="7" s="1"/>
  <c r="A74" i="7" a="1"/>
  <c r="A74" i="7" s="1"/>
  <c r="A73" i="7" a="1"/>
  <c r="A73" i="7" s="1"/>
  <c r="A66" i="7" a="1"/>
  <c r="A66" i="7" s="1"/>
  <c r="A65" i="7" a="1"/>
  <c r="A65" i="7" s="1"/>
  <c r="A58" i="7" a="1"/>
  <c r="A58" i="7" s="1"/>
  <c r="A54" i="7" a="1"/>
  <c r="A54" i="7" s="1"/>
  <c r="A129" i="7" a="1"/>
  <c r="A129" i="7" s="1"/>
  <c r="A111" i="7" a="1"/>
  <c r="A111" i="7" s="1"/>
  <c r="A102" i="7" a="1"/>
  <c r="A102" i="7" s="1"/>
  <c r="A101" i="7" a="1"/>
  <c r="A101" i="7" s="1"/>
  <c r="A96" i="7" a="1"/>
  <c r="A96" i="7" s="1"/>
  <c r="A95" i="7" a="1"/>
  <c r="A95" i="7" s="1"/>
  <c r="A88" i="7" a="1"/>
  <c r="A88" i="7" s="1"/>
  <c r="A87" i="7" a="1"/>
  <c r="A87" i="7" s="1"/>
  <c r="A80" i="7" a="1"/>
  <c r="A80" i="7" s="1"/>
  <c r="A79" i="7" a="1"/>
  <c r="A79" i="7" s="1"/>
  <c r="A72" i="7" a="1"/>
  <c r="A72" i="7" s="1"/>
  <c r="A71" i="7" a="1"/>
  <c r="A71" i="7" s="1"/>
  <c r="A64" i="7" a="1"/>
  <c r="A64" i="7" s="1"/>
  <c r="A63" i="7" a="1"/>
  <c r="A63" i="7" s="1"/>
  <c r="A140" i="7" a="1"/>
  <c r="A140" i="7" s="1"/>
  <c r="A121" i="7" a="1"/>
  <c r="A121" i="7" s="1"/>
  <c r="A99" i="7" a="1"/>
  <c r="A99" i="7" s="1"/>
  <c r="A92" i="7" a="1"/>
  <c r="A92" i="7" s="1"/>
  <c r="A91" i="7" a="1"/>
  <c r="A91" i="7" s="1"/>
  <c r="A84" i="7" a="1"/>
  <c r="A84" i="7" s="1"/>
  <c r="A83" i="7" a="1"/>
  <c r="A83" i="7" s="1"/>
  <c r="A76" i="7" a="1"/>
  <c r="A76" i="7" s="1"/>
  <c r="A75" i="7" a="1"/>
  <c r="A75" i="7" s="1"/>
  <c r="A68" i="7" a="1"/>
  <c r="A68" i="7" s="1"/>
  <c r="A67" i="7" a="1"/>
  <c r="A67" i="7" s="1"/>
  <c r="A103" i="7" a="1"/>
  <c r="A103" i="7" s="1"/>
  <c r="A100" i="7" a="1"/>
  <c r="A100" i="7" s="1"/>
  <c r="A78" i="7" a="1"/>
  <c r="A78" i="7" s="1"/>
  <c r="A69" i="7" a="1"/>
  <c r="A69" i="7" s="1"/>
  <c r="A53" i="7" a="1"/>
  <c r="A53" i="7" s="1"/>
  <c r="A57" i="7" a="1"/>
  <c r="A57" i="7" s="1"/>
  <c r="A93" i="7" a="1"/>
  <c r="A93" i="7" s="1"/>
  <c r="A70" i="7" a="1"/>
  <c r="A70" i="7" s="1"/>
  <c r="A61" i="7" a="1"/>
  <c r="A61" i="7" s="1"/>
  <c r="A56" i="7" a="1"/>
  <c r="A56" i="7" s="1"/>
  <c r="A55" i="7" a="1"/>
  <c r="A55" i="7" s="1"/>
  <c r="A86" i="7" a="1"/>
  <c r="A86" i="7" s="1"/>
  <c r="A77" i="7" a="1"/>
  <c r="A77" i="7" s="1"/>
  <c r="A48" i="7" a="1"/>
  <c r="A48" i="7" s="1"/>
  <c r="A47" i="7" a="1"/>
  <c r="A47" i="7" s="1"/>
  <c r="A51" i="7" a="1"/>
  <c r="A51" i="7" s="1"/>
  <c r="A45" i="7" a="1"/>
  <c r="A45" i="7" s="1"/>
  <c r="A31" i="7" a="1"/>
  <c r="A31" i="7" s="1"/>
  <c r="A30" i="7" a="1"/>
  <c r="A30" i="7" s="1"/>
  <c r="A15" i="7" a="1"/>
  <c r="A15" i="7" s="1"/>
  <c r="A14" i="7" a="1"/>
  <c r="A14" i="7" s="1"/>
  <c r="A26" i="7" a="1"/>
  <c r="A26" i="7" s="1"/>
  <c r="A20" i="7" a="1"/>
  <c r="A20" i="7" s="1"/>
  <c r="A46" i="7" a="1"/>
  <c r="A46" i="7" s="1"/>
  <c r="A41" i="7" a="1"/>
  <c r="A41" i="7" s="1"/>
  <c r="A27" i="7" a="1"/>
  <c r="A27" i="7" s="1"/>
  <c r="A94" i="7" a="1"/>
  <c r="A94" i="7" s="1"/>
  <c r="A85" i="7" a="1"/>
  <c r="A85" i="7" s="1"/>
  <c r="A44" i="7" a="1"/>
  <c r="A44" i="7" s="1"/>
  <c r="A43" i="7" a="1"/>
  <c r="A43" i="7" s="1"/>
  <c r="A24" i="7" a="1"/>
  <c r="A24" i="7" s="1"/>
  <c r="A22" i="7" a="1"/>
  <c r="A22" i="7" s="1"/>
  <c r="A9" i="7" a="1"/>
  <c r="A9" i="7" s="1"/>
  <c r="A8" i="7" a="1"/>
  <c r="A8" i="7" s="1"/>
  <c r="A13" i="7" a="1"/>
  <c r="A13" i="7" s="1"/>
  <c r="A11" i="7" a="1"/>
  <c r="A11" i="7" s="1"/>
  <c r="A40" i="7" a="1"/>
  <c r="A40" i="7" s="1"/>
  <c r="A39" i="7" a="1"/>
  <c r="A39" i="7" s="1"/>
  <c r="A23" i="7" a="1"/>
  <c r="A23" i="7" s="1"/>
  <c r="A19" i="7" a="1"/>
  <c r="A19" i="7" s="1"/>
  <c r="A62" i="7" a="1"/>
  <c r="A62" i="7" s="1"/>
  <c r="A60" i="7" a="1"/>
  <c r="A60" i="7" s="1"/>
  <c r="A42" i="7" a="1"/>
  <c r="A42" i="7" s="1"/>
  <c r="A38" i="7" a="1"/>
  <c r="A38" i="7" s="1"/>
  <c r="A21" i="7" a="1"/>
  <c r="A21" i="7" s="1"/>
  <c r="A18" i="7" a="1"/>
  <c r="A18" i="7" s="1"/>
  <c r="A7" i="7" a="1"/>
  <c r="A7" i="7" s="1"/>
  <c r="A6" i="7" a="1"/>
  <c r="A6" i="7" s="1"/>
  <c r="A10" i="7" a="1"/>
  <c r="A10" i="7" s="1"/>
  <c r="A4" i="7" a="1"/>
  <c r="A4" i="7" s="1"/>
  <c r="A37" i="7" a="1"/>
  <c r="A37" i="7" s="1"/>
  <c r="A34" i="7" a="1"/>
  <c r="A34" i="7" s="1"/>
  <c r="A5" i="7" a="1"/>
  <c r="A5" i="7" s="1"/>
  <c r="A50" i="7" a="1"/>
  <c r="A50" i="7" s="1"/>
  <c r="A33" i="7" a="1"/>
  <c r="A33" i="7" s="1"/>
  <c r="A49" i="7" a="1"/>
  <c r="A49" i="7" s="1"/>
  <c r="A36" i="7" a="1"/>
  <c r="A36" i="7" s="1"/>
  <c r="A16" i="7" a="1"/>
  <c r="A16" i="7" s="1"/>
  <c r="A29" i="7" a="1"/>
  <c r="A29" i="7" s="1"/>
  <c r="A59" i="7" a="1"/>
  <c r="A59" i="7" s="1"/>
  <c r="A17" i="7" a="1"/>
  <c r="A17" i="7" s="1"/>
  <c r="A32" i="7" a="1"/>
  <c r="A32" i="7" s="1"/>
  <c r="A35" i="7" a="1"/>
  <c r="A35" i="7" s="1"/>
  <c r="A52" i="7" a="1"/>
  <c r="A52" i="7" s="1"/>
  <c r="A28" i="7" a="1"/>
  <c r="A28" i="7" s="1"/>
  <c r="C200" i="7" a="1"/>
  <c r="C200" i="7" s="1"/>
  <c r="C193" i="7" a="1"/>
  <c r="C193" i="7" s="1"/>
  <c r="C192" i="7" a="1"/>
  <c r="C192" i="7" s="1"/>
  <c r="C199" i="7" a="1"/>
  <c r="C199" i="7" s="1"/>
  <c r="C198" i="7" a="1"/>
  <c r="C198" i="7" s="1"/>
  <c r="C195" i="7" a="1"/>
  <c r="C195" i="7" s="1"/>
  <c r="C186" i="7" a="1"/>
  <c r="C186" i="7" s="1"/>
  <c r="C185" i="7" a="1"/>
  <c r="C185" i="7" s="1"/>
  <c r="C196" i="7" a="1"/>
  <c r="C196" i="7" s="1"/>
  <c r="C191" i="7" a="1"/>
  <c r="C191" i="7" s="1"/>
  <c r="C194" i="7" a="1"/>
  <c r="C194" i="7" s="1"/>
  <c r="C189" i="7" a="1"/>
  <c r="C189" i="7" s="1"/>
  <c r="C197" i="7" a="1"/>
  <c r="C197" i="7" s="1"/>
  <c r="C190" i="7" a="1"/>
  <c r="C190" i="7" s="1"/>
  <c r="C182" i="7" a="1"/>
  <c r="C182" i="7" s="1"/>
  <c r="C181" i="7" a="1"/>
  <c r="C181" i="7" s="1"/>
  <c r="C188" i="7" a="1"/>
  <c r="C188" i="7" s="1"/>
  <c r="C183" i="7" a="1"/>
  <c r="C183" i="7" s="1"/>
  <c r="C187" i="7" a="1"/>
  <c r="C187" i="7" s="1"/>
  <c r="C184" i="7" a="1"/>
  <c r="C184" i="7" s="1"/>
  <c r="C179" i="7" a="1"/>
  <c r="C179" i="7" s="1"/>
  <c r="C174" i="7" a="1"/>
  <c r="C174" i="7" s="1"/>
  <c r="C173" i="7" a="1"/>
  <c r="C173" i="7" s="1"/>
  <c r="C180" i="7" a="1"/>
  <c r="C180" i="7" s="1"/>
  <c r="C176" i="7" a="1"/>
  <c r="C176" i="7" s="1"/>
  <c r="C175" i="7" a="1"/>
  <c r="C175" i="7" s="1"/>
  <c r="C178" i="7" a="1"/>
  <c r="C178" i="7" s="1"/>
  <c r="C167" i="7" a="1"/>
  <c r="C167" i="7" s="1"/>
  <c r="C166" i="7" a="1"/>
  <c r="C166" i="7" s="1"/>
  <c r="C172" i="7" a="1"/>
  <c r="C172" i="7" s="1"/>
  <c r="C165" i="7" a="1"/>
  <c r="C165" i="7" s="1"/>
  <c r="C177" i="7" a="1"/>
  <c r="C177" i="7" s="1"/>
  <c r="C170" i="7" a="1"/>
  <c r="C170" i="7" s="1"/>
  <c r="C161" i="7" a="1"/>
  <c r="C161" i="7" s="1"/>
  <c r="C160" i="7" a="1"/>
  <c r="C160" i="7" s="1"/>
  <c r="C159" i="7" a="1"/>
  <c r="C159" i="7" s="1"/>
  <c r="C168" i="7" a="1"/>
  <c r="C168" i="7" s="1"/>
  <c r="C163" i="7" a="1"/>
  <c r="C163" i="7" s="1"/>
  <c r="C158" i="7" a="1"/>
  <c r="C158" i="7" s="1"/>
  <c r="C157" i="7" a="1"/>
  <c r="C157" i="7" s="1"/>
  <c r="C171" i="7" a="1"/>
  <c r="C171" i="7" s="1"/>
  <c r="C162" i="7" a="1"/>
  <c r="C162" i="7" s="1"/>
  <c r="C156" i="7" a="1"/>
  <c r="C156" i="7" s="1"/>
  <c r="C155" i="7" a="1"/>
  <c r="C155" i="7" s="1"/>
  <c r="C148" i="7" a="1"/>
  <c r="C148" i="7" s="1"/>
  <c r="C147" i="7" a="1"/>
  <c r="C147" i="7" s="1"/>
  <c r="C152" i="7" a="1"/>
  <c r="C152" i="7" s="1"/>
  <c r="C144" i="7" a="1"/>
  <c r="C144" i="7" s="1"/>
  <c r="C143" i="7" a="1"/>
  <c r="C143" i="7" s="1"/>
  <c r="C136" i="7" a="1"/>
  <c r="C136" i="7" s="1"/>
  <c r="C135" i="7" a="1"/>
  <c r="C135" i="7" s="1"/>
  <c r="C133" i="7" a="1"/>
  <c r="C133" i="7" s="1"/>
  <c r="C169" i="7" a="1"/>
  <c r="C169" i="7" s="1"/>
  <c r="C154" i="7" a="1"/>
  <c r="C154" i="7" s="1"/>
  <c r="C149" i="7" a="1"/>
  <c r="C149" i="7" s="1"/>
  <c r="C146" i="7" a="1"/>
  <c r="C146" i="7" s="1"/>
  <c r="C140" i="7" a="1"/>
  <c r="C140" i="7" s="1"/>
  <c r="C139" i="7" a="1"/>
  <c r="C139" i="7" s="1"/>
  <c r="C134" i="7" a="1"/>
  <c r="C134" i="7" s="1"/>
  <c r="C132" i="7" a="1"/>
  <c r="C132" i="7" s="1"/>
  <c r="C130" i="7" a="1"/>
  <c r="C130" i="7" s="1"/>
  <c r="C151" i="7" a="1"/>
  <c r="C151" i="7" s="1"/>
  <c r="C145" i="7" a="1"/>
  <c r="C145" i="7" s="1"/>
  <c r="C138" i="7" a="1"/>
  <c r="C138" i="7" s="1"/>
  <c r="C137" i="7" a="1"/>
  <c r="C137" i="7" s="1"/>
  <c r="C153" i="7" a="1"/>
  <c r="C153" i="7" s="1"/>
  <c r="C142" i="7" a="1"/>
  <c r="C142" i="7" s="1"/>
  <c r="C150" i="7" a="1"/>
  <c r="C150" i="7" s="1"/>
  <c r="C164" i="7" a="1"/>
  <c r="C164" i="7" s="1"/>
  <c r="C141" i="7" a="1"/>
  <c r="C141" i="7" s="1"/>
  <c r="C129" i="7" a="1"/>
  <c r="C129" i="7" s="1"/>
  <c r="C125" i="7" a="1"/>
  <c r="C125" i="7" s="1"/>
  <c r="C121" i="7" a="1"/>
  <c r="C121" i="7" s="1"/>
  <c r="C117" i="7" a="1"/>
  <c r="C117" i="7" s="1"/>
  <c r="C116" i="7" a="1"/>
  <c r="C116" i="7" s="1"/>
  <c r="C109" i="7" a="1"/>
  <c r="C109" i="7" s="1"/>
  <c r="C108" i="7" a="1"/>
  <c r="C108" i="7" s="1"/>
  <c r="C101" i="7" a="1"/>
  <c r="C101" i="7" s="1"/>
  <c r="C100" i="7" a="1"/>
  <c r="C100" i="7" s="1"/>
  <c r="C126" i="7" a="1"/>
  <c r="C126" i="7" s="1"/>
  <c r="C122" i="7" a="1"/>
  <c r="C122" i="7" s="1"/>
  <c r="C118" i="7" a="1"/>
  <c r="C118" i="7" s="1"/>
  <c r="C115" i="7" a="1"/>
  <c r="C115" i="7" s="1"/>
  <c r="C114" i="7" a="1"/>
  <c r="C114" i="7" s="1"/>
  <c r="C107" i="7" a="1"/>
  <c r="C107" i="7" s="1"/>
  <c r="C106" i="7" a="1"/>
  <c r="C106" i="7" s="1"/>
  <c r="C128" i="7" a="1"/>
  <c r="C128" i="7" s="1"/>
  <c r="C124" i="7" a="1"/>
  <c r="C124" i="7" s="1"/>
  <c r="C120" i="7" a="1"/>
  <c r="C120" i="7" s="1"/>
  <c r="C111" i="7" a="1"/>
  <c r="C111" i="7" s="1"/>
  <c r="C110" i="7" a="1"/>
  <c r="C110" i="7" s="1"/>
  <c r="C103" i="7" a="1"/>
  <c r="C103" i="7" s="1"/>
  <c r="C102" i="7" a="1"/>
  <c r="C102" i="7" s="1"/>
  <c r="C131" i="7" a="1"/>
  <c r="C131" i="7" s="1"/>
  <c r="C119" i="7" a="1"/>
  <c r="C119" i="7" s="1"/>
  <c r="C99" i="7" a="1"/>
  <c r="C99" i="7" s="1"/>
  <c r="C92" i="7" a="1"/>
  <c r="C92" i="7" s="1"/>
  <c r="C91" i="7" a="1"/>
  <c r="C91" i="7" s="1"/>
  <c r="C84" i="7" a="1"/>
  <c r="C84" i="7" s="1"/>
  <c r="C83" i="7" a="1"/>
  <c r="C83" i="7" s="1"/>
  <c r="C76" i="7" a="1"/>
  <c r="C76" i="7" s="1"/>
  <c r="C75" i="7" a="1"/>
  <c r="C75" i="7" s="1"/>
  <c r="C68" i="7" a="1"/>
  <c r="C68" i="7" s="1"/>
  <c r="C67" i="7" a="1"/>
  <c r="C67" i="7" s="1"/>
  <c r="C60" i="7" a="1"/>
  <c r="C60" i="7" s="1"/>
  <c r="C59" i="7" a="1"/>
  <c r="C59" i="7" s="1"/>
  <c r="C123" i="7" a="1"/>
  <c r="C123" i="7" s="1"/>
  <c r="C112" i="7" a="1"/>
  <c r="C112" i="7" s="1"/>
  <c r="C98" i="7" a="1"/>
  <c r="C98" i="7" s="1"/>
  <c r="C97" i="7" a="1"/>
  <c r="C97" i="7" s="1"/>
  <c r="C90" i="7" a="1"/>
  <c r="C90" i="7" s="1"/>
  <c r="C89" i="7" a="1"/>
  <c r="C89" i="7" s="1"/>
  <c r="C82" i="7" a="1"/>
  <c r="C82" i="7" s="1"/>
  <c r="C81" i="7" a="1"/>
  <c r="C81" i="7" s="1"/>
  <c r="C74" i="7" a="1"/>
  <c r="C74" i="7" s="1"/>
  <c r="C73" i="7" a="1"/>
  <c r="C73" i="7" s="1"/>
  <c r="C66" i="7" a="1"/>
  <c r="C66" i="7" s="1"/>
  <c r="C65" i="7" a="1"/>
  <c r="C65" i="7" s="1"/>
  <c r="C105" i="7" a="1"/>
  <c r="C105" i="7" s="1"/>
  <c r="C94" i="7" a="1"/>
  <c r="C94" i="7" s="1"/>
  <c r="C93" i="7" a="1"/>
  <c r="C93" i="7" s="1"/>
  <c r="C86" i="7" a="1"/>
  <c r="C86" i="7" s="1"/>
  <c r="C85" i="7" a="1"/>
  <c r="C85" i="7" s="1"/>
  <c r="C78" i="7" a="1"/>
  <c r="C78" i="7" s="1"/>
  <c r="C77" i="7" a="1"/>
  <c r="C77" i="7" s="1"/>
  <c r="C70" i="7" a="1"/>
  <c r="C70" i="7" s="1"/>
  <c r="C69" i="7" a="1"/>
  <c r="C69" i="7" s="1"/>
  <c r="C62" i="7" a="1"/>
  <c r="C62" i="7" s="1"/>
  <c r="C61" i="7" a="1"/>
  <c r="C61" i="7" s="1"/>
  <c r="C88" i="7" a="1"/>
  <c r="C88" i="7" s="1"/>
  <c r="C79" i="7" a="1"/>
  <c r="C79" i="7" s="1"/>
  <c r="C48" i="7" a="1"/>
  <c r="C48" i="7" s="1"/>
  <c r="C47" i="7" a="1"/>
  <c r="C47" i="7" s="1"/>
  <c r="C80" i="7" a="1"/>
  <c r="C80" i="7" s="1"/>
  <c r="C71" i="7" a="1"/>
  <c r="C71" i="7" s="1"/>
  <c r="C58" i="7" a="1"/>
  <c r="C58" i="7" s="1"/>
  <c r="C53" i="7" a="1"/>
  <c r="C53" i="7" s="1"/>
  <c r="C57" i="7" a="1"/>
  <c r="C57" i="7" s="1"/>
  <c r="C127" i="7" a="1"/>
  <c r="C127" i="7" s="1"/>
  <c r="C96" i="7" a="1"/>
  <c r="C96" i="7" s="1"/>
  <c r="C87" i="7" a="1"/>
  <c r="C87" i="7" s="1"/>
  <c r="C64" i="7" a="1"/>
  <c r="C64" i="7" s="1"/>
  <c r="C51" i="7" a="1"/>
  <c r="C51" i="7" s="1"/>
  <c r="C50" i="7" a="1"/>
  <c r="C50" i="7" s="1"/>
  <c r="C72" i="7" a="1"/>
  <c r="C72" i="7" s="1"/>
  <c r="C63" i="7" a="1"/>
  <c r="C63" i="7" s="1"/>
  <c r="C55" i="7" a="1"/>
  <c r="C55" i="7" s="1"/>
  <c r="C36" i="7" a="1"/>
  <c r="C36" i="7" s="1"/>
  <c r="C35" i="7" a="1"/>
  <c r="C35" i="7" s="1"/>
  <c r="C17" i="7" a="1"/>
  <c r="C17" i="7" s="1"/>
  <c r="C16" i="7" a="1"/>
  <c r="C16" i="7" s="1"/>
  <c r="C33" i="7" a="1"/>
  <c r="C33" i="7" s="1"/>
  <c r="C32" i="7" a="1"/>
  <c r="C32" i="7" s="1"/>
  <c r="C52" i="7" a="1"/>
  <c r="C52" i="7" s="1"/>
  <c r="C49" i="7" a="1"/>
  <c r="C49" i="7" s="1"/>
  <c r="C29" i="7" a="1"/>
  <c r="C29" i="7" s="1"/>
  <c r="C28" i="7" a="1"/>
  <c r="C28" i="7" s="1"/>
  <c r="C54" i="7" a="1"/>
  <c r="C54" i="7" s="1"/>
  <c r="C56" i="7" a="1"/>
  <c r="C56" i="7" s="1"/>
  <c r="C31" i="7" a="1"/>
  <c r="C31" i="7" s="1"/>
  <c r="C30" i="7" a="1"/>
  <c r="C30" i="7" s="1"/>
  <c r="C15" i="7" a="1"/>
  <c r="C15" i="7" s="1"/>
  <c r="C14" i="7" a="1"/>
  <c r="C14" i="7" s="1"/>
  <c r="C26" i="7" a="1"/>
  <c r="C26" i="7" s="1"/>
  <c r="C20" i="7" a="1"/>
  <c r="C20" i="7" s="1"/>
  <c r="C46" i="7" a="1"/>
  <c r="C46" i="7" s="1"/>
  <c r="C41" i="7" a="1"/>
  <c r="C41" i="7" s="1"/>
  <c r="C27" i="7" a="1"/>
  <c r="C27" i="7" s="1"/>
  <c r="C25" i="7" a="1"/>
  <c r="C25" i="7" s="1"/>
  <c r="C45" i="7" a="1"/>
  <c r="C45" i="7" s="1"/>
  <c r="C44" i="7" a="1"/>
  <c r="C44" i="7" s="1"/>
  <c r="C43" i="7" a="1"/>
  <c r="C43" i="7" s="1"/>
  <c r="C24" i="7" a="1"/>
  <c r="C24" i="7" s="1"/>
  <c r="C22" i="7" a="1"/>
  <c r="C22" i="7" s="1"/>
  <c r="C9" i="7" a="1"/>
  <c r="C9" i="7" s="1"/>
  <c r="C8" i="7" a="1"/>
  <c r="C8" i="7" s="1"/>
  <c r="C13" i="7" a="1"/>
  <c r="C13" i="7" s="1"/>
  <c r="C11" i="7" a="1"/>
  <c r="C11" i="7" s="1"/>
  <c r="C40" i="7" a="1"/>
  <c r="C40" i="7" s="1"/>
  <c r="C39" i="7" a="1"/>
  <c r="C39" i="7" s="1"/>
  <c r="C23" i="7" a="1"/>
  <c r="C23" i="7" s="1"/>
  <c r="C19" i="7" a="1"/>
  <c r="C19" i="7" s="1"/>
  <c r="C21" i="7" a="1"/>
  <c r="C21" i="7" s="1"/>
  <c r="C6" i="7" a="1"/>
  <c r="C6" i="7" s="1"/>
  <c r="C5" i="7" a="1"/>
  <c r="C5" i="7" s="1"/>
  <c r="C113" i="7" a="1"/>
  <c r="C113" i="7" s="1"/>
  <c r="C95" i="7" a="1"/>
  <c r="C95" i="7" s="1"/>
  <c r="C38" i="7" a="1"/>
  <c r="C38" i="7" s="1"/>
  <c r="C10" i="7" a="1"/>
  <c r="C10" i="7" s="1"/>
  <c r="C34" i="7" a="1"/>
  <c r="C34" i="7" s="1"/>
  <c r="C3" i="7" a="1"/>
  <c r="C3" i="7" s="1"/>
  <c r="C37" i="7" a="1"/>
  <c r="C37" i="7" s="1"/>
  <c r="C12" i="7" a="1"/>
  <c r="C12" i="7" s="1"/>
  <c r="C104" i="7" a="1"/>
  <c r="C104" i="7" s="1"/>
  <c r="C42" i="7" a="1"/>
  <c r="C42" i="7" s="1"/>
  <c r="C18" i="7" a="1"/>
  <c r="C18" i="7" s="1"/>
  <c r="C7" i="7" a="1"/>
  <c r="C7" i="7" s="1"/>
  <c r="C4" i="7" a="1"/>
  <c r="C4" i="7" s="1"/>
  <c r="R46" i="4"/>
  <c r="R30" i="4"/>
  <c r="R14" i="4"/>
  <c r="R20" i="4"/>
  <c r="R38" i="4"/>
  <c r="R6" i="4"/>
  <c r="AA162" i="4" l="1"/>
  <c r="AA36" i="4"/>
  <c r="AA73" i="4"/>
  <c r="AA119" i="4"/>
  <c r="P184" i="4"/>
  <c r="P187" i="4"/>
  <c r="P185" i="4"/>
  <c r="P189" i="4"/>
  <c r="P193" i="4"/>
  <c r="P181" i="4"/>
  <c r="P197" i="4"/>
  <c r="P199" i="4"/>
  <c r="S199" i="4"/>
  <c r="P186" i="4"/>
  <c r="P191" i="4"/>
  <c r="P188" i="4"/>
  <c r="P194" i="4"/>
  <c r="P200" i="4"/>
  <c r="P192" i="4"/>
  <c r="S192" i="4"/>
  <c r="P180" i="4"/>
  <c r="P196" i="4"/>
  <c r="P183" i="4"/>
  <c r="P198" i="4"/>
  <c r="P195" i="4"/>
  <c r="P182" i="4"/>
  <c r="P190" i="4"/>
  <c r="AA45" i="4"/>
  <c r="AA134" i="4"/>
  <c r="AA34" i="4"/>
  <c r="AA4" i="4"/>
  <c r="AA107" i="4"/>
  <c r="AA51" i="4"/>
  <c r="AA132" i="4"/>
  <c r="AA41" i="4"/>
  <c r="AA14" i="4"/>
  <c r="AA64" i="4"/>
  <c r="AA139" i="4"/>
  <c r="AA112" i="4"/>
  <c r="AA131" i="4"/>
  <c r="AA82" i="4"/>
  <c r="AA20" i="4"/>
  <c r="AA9" i="4"/>
  <c r="AA97" i="4"/>
  <c r="AA138" i="4"/>
  <c r="AA26" i="4"/>
  <c r="AA22" i="4"/>
  <c r="AA46" i="4"/>
  <c r="AA96" i="4"/>
  <c r="AA163" i="4"/>
  <c r="AA38" i="4"/>
  <c r="AA127" i="4"/>
  <c r="AA72" i="4"/>
  <c r="AA175" i="4"/>
  <c r="AA43" i="4"/>
  <c r="AA108" i="4"/>
  <c r="AA104" i="4"/>
  <c r="P156" i="4"/>
  <c r="P141" i="4"/>
  <c r="S141" i="4"/>
  <c r="P166" i="4"/>
  <c r="P171" i="4"/>
  <c r="AA129" i="4"/>
  <c r="AA143" i="4"/>
  <c r="P133" i="4"/>
  <c r="P144" i="4"/>
  <c r="P175" i="4"/>
  <c r="S175" i="4"/>
  <c r="P136" i="4"/>
  <c r="P130" i="4"/>
  <c r="S130" i="4"/>
  <c r="P158" i="4"/>
  <c r="P145" i="4"/>
  <c r="S145" i="4"/>
  <c r="P143" i="4"/>
  <c r="S143" i="4"/>
  <c r="P139" i="4"/>
  <c r="S139" i="4"/>
  <c r="P151" i="4"/>
  <c r="P165" i="4"/>
  <c r="S165" i="4"/>
  <c r="P178" i="4"/>
  <c r="P174" i="4"/>
  <c r="P131" i="4"/>
  <c r="P146" i="4"/>
  <c r="S146" i="4"/>
  <c r="P132" i="4"/>
  <c r="S132" i="4"/>
  <c r="P127" i="4"/>
  <c r="P172" i="4"/>
  <c r="P147" i="4"/>
  <c r="S147" i="4"/>
  <c r="P134" i="4"/>
  <c r="P123" i="4"/>
  <c r="P135" i="4"/>
  <c r="S135" i="4"/>
  <c r="AA56" i="4"/>
  <c r="P149" i="4"/>
  <c r="AA130" i="4"/>
  <c r="P179" i="4"/>
  <c r="P153" i="4"/>
  <c r="P122" i="4"/>
  <c r="S122" i="4"/>
  <c r="P168" i="4"/>
  <c r="AA19" i="4"/>
  <c r="P167" i="4"/>
  <c r="P161" i="4"/>
  <c r="P137" i="4"/>
  <c r="S137" i="4"/>
  <c r="AA118" i="4"/>
  <c r="P126" i="4"/>
  <c r="P152" i="4"/>
  <c r="AA174" i="4"/>
  <c r="P170" i="4"/>
  <c r="AA144" i="4"/>
  <c r="P176" i="4"/>
  <c r="P138" i="4"/>
  <c r="P169" i="4"/>
  <c r="P154" i="4"/>
  <c r="AA135" i="4"/>
  <c r="AA17" i="4"/>
  <c r="P164" i="4"/>
  <c r="S164" i="4"/>
  <c r="P148" i="4"/>
  <c r="P160" i="4"/>
  <c r="AA148" i="4"/>
  <c r="P157" i="4"/>
  <c r="S157" i="4"/>
  <c r="P128" i="4"/>
  <c r="S128" i="4"/>
  <c r="P125" i="4"/>
  <c r="P124" i="4"/>
  <c r="P140" i="4"/>
  <c r="S140" i="4"/>
  <c r="AA40" i="4"/>
  <c r="P173" i="4"/>
  <c r="P155" i="4"/>
  <c r="P150" i="4"/>
  <c r="AA179" i="4"/>
  <c r="P142" i="4"/>
  <c r="S142" i="4"/>
  <c r="P163" i="4"/>
  <c r="P177" i="4"/>
  <c r="P159" i="4"/>
  <c r="P129" i="4"/>
  <c r="S129" i="4"/>
  <c r="P162" i="4"/>
  <c r="AA53" i="4"/>
  <c r="AA8" i="4"/>
  <c r="AA49" i="4"/>
  <c r="AA79" i="4"/>
  <c r="AA71" i="4"/>
  <c r="AA76" i="4"/>
  <c r="AA105" i="4"/>
  <c r="AA33" i="4"/>
  <c r="AA47" i="4"/>
  <c r="P121" i="4"/>
  <c r="AA60" i="4"/>
  <c r="BC2" i="13"/>
  <c r="AA3" i="4" s="1"/>
  <c r="AA59" i="4"/>
  <c r="P9" i="4"/>
  <c r="S9" i="4"/>
  <c r="P30" i="4"/>
  <c r="P62" i="4"/>
  <c r="P31" i="4"/>
  <c r="P52" i="4"/>
  <c r="P103" i="4"/>
  <c r="P92" i="4"/>
  <c r="P16" i="4"/>
  <c r="S16" i="4"/>
  <c r="P81" i="4"/>
  <c r="P15" i="4"/>
  <c r="P14" i="4"/>
  <c r="S14" i="4"/>
  <c r="P45" i="4"/>
  <c r="P58" i="4"/>
  <c r="P33" i="4"/>
  <c r="P87" i="4"/>
  <c r="AA68" i="4"/>
  <c r="P76" i="4"/>
  <c r="P107" i="4"/>
  <c r="P111" i="4"/>
  <c r="P113" i="4"/>
  <c r="P85" i="4"/>
  <c r="P22" i="4"/>
  <c r="P46" i="4"/>
  <c r="P89" i="4"/>
  <c r="P79" i="4"/>
  <c r="P29" i="4"/>
  <c r="P80" i="4"/>
  <c r="P36" i="4"/>
  <c r="AA24" i="4"/>
  <c r="P99" i="4"/>
  <c r="P64" i="4"/>
  <c r="AA117" i="4"/>
  <c r="P112" i="4"/>
  <c r="P38" i="4"/>
  <c r="P72" i="4"/>
  <c r="P56" i="4"/>
  <c r="P71" i="4"/>
  <c r="P57" i="4"/>
  <c r="S57" i="4"/>
  <c r="P86" i="4"/>
  <c r="P39" i="4"/>
  <c r="AA75" i="4"/>
  <c r="P12" i="4"/>
  <c r="P24" i="4"/>
  <c r="P114" i="4"/>
  <c r="P110" i="4"/>
  <c r="P20" i="4"/>
  <c r="P11" i="4"/>
  <c r="S11" i="4"/>
  <c r="AA55" i="4"/>
  <c r="P54" i="4"/>
  <c r="P4" i="4"/>
  <c r="S4" i="4"/>
  <c r="P47" i="4"/>
  <c r="S47" i="4"/>
  <c r="P51" i="4"/>
  <c r="S51" i="4"/>
  <c r="P78" i="4"/>
  <c r="AA86" i="4"/>
  <c r="P88" i="4"/>
  <c r="P53" i="4"/>
  <c r="P23" i="4"/>
  <c r="S23" i="4"/>
  <c r="AA50" i="4"/>
  <c r="P25" i="4"/>
  <c r="S25" i="4"/>
  <c r="P83" i="4"/>
  <c r="P6" i="4"/>
  <c r="P34" i="4"/>
  <c r="S34" i="4"/>
  <c r="P91" i="4"/>
  <c r="P105" i="4"/>
  <c r="P98" i="4"/>
  <c r="P90" i="4"/>
  <c r="P84" i="4"/>
  <c r="P18" i="4"/>
  <c r="P59" i="4"/>
  <c r="P68" i="4"/>
  <c r="P42" i="4"/>
  <c r="P101" i="4"/>
  <c r="S101" i="4"/>
  <c r="AA109" i="4"/>
  <c r="P108" i="4"/>
  <c r="P97" i="4"/>
  <c r="P118" i="4"/>
  <c r="P116" i="4"/>
  <c r="P82" i="4"/>
  <c r="P60" i="4"/>
  <c r="P65" i="4"/>
  <c r="AA80" i="4"/>
  <c r="P26" i="4"/>
  <c r="AA13" i="4"/>
  <c r="P10" i="4"/>
  <c r="P61" i="4"/>
  <c r="AA32" i="4"/>
  <c r="P104" i="4"/>
  <c r="P102" i="4"/>
  <c r="P100" i="4"/>
  <c r="P27" i="4"/>
  <c r="P28" i="4"/>
  <c r="S28" i="4"/>
  <c r="P66" i="4"/>
  <c r="P70" i="4"/>
  <c r="S70" i="4"/>
  <c r="P13" i="4"/>
  <c r="AA18" i="4"/>
  <c r="AA21" i="4"/>
  <c r="P21" i="4"/>
  <c r="P74" i="4"/>
  <c r="AA15" i="4"/>
  <c r="AA70" i="4"/>
  <c r="P94" i="4"/>
  <c r="S94" i="4"/>
  <c r="P106" i="4"/>
  <c r="P93" i="4"/>
  <c r="P95" i="4"/>
  <c r="S95" i="4"/>
  <c r="P96" i="4"/>
  <c r="P117" i="4"/>
  <c r="P115" i="4"/>
  <c r="P48" i="4"/>
  <c r="S48" i="4"/>
  <c r="AA120" i="4"/>
  <c r="P119" i="4"/>
  <c r="P120" i="4"/>
  <c r="AA183" i="4"/>
  <c r="AA141" i="4"/>
  <c r="S7" i="4"/>
  <c r="P7" i="4"/>
  <c r="S75" i="4"/>
  <c r="P75" i="4"/>
  <c r="S55" i="4"/>
  <c r="P55" i="4"/>
  <c r="S67" i="4"/>
  <c r="P67" i="4"/>
  <c r="P3" i="4"/>
  <c r="S19" i="4"/>
  <c r="P19" i="4"/>
  <c r="S17" i="4"/>
  <c r="P17" i="4"/>
  <c r="S50" i="4"/>
  <c r="P50" i="4"/>
  <c r="S43" i="4"/>
  <c r="P43" i="4"/>
  <c r="S8" i="4"/>
  <c r="P8" i="4"/>
  <c r="S63" i="4"/>
  <c r="P63" i="4"/>
  <c r="S109" i="4"/>
  <c r="P109" i="4"/>
  <c r="S44" i="4"/>
  <c r="P44" i="4"/>
  <c r="S32" i="4"/>
  <c r="P32" i="4"/>
  <c r="S5" i="4"/>
  <c r="P5" i="4"/>
  <c r="S73" i="4"/>
  <c r="P73" i="4"/>
  <c r="S37" i="4"/>
  <c r="P37" i="4"/>
  <c r="S77" i="4"/>
  <c r="P77" i="4"/>
  <c r="S40" i="4"/>
  <c r="P40" i="4"/>
  <c r="S35" i="4"/>
  <c r="P35" i="4"/>
  <c r="S69" i="4"/>
  <c r="P69" i="4"/>
  <c r="S49" i="4"/>
  <c r="P49" i="4"/>
  <c r="S41" i="4"/>
  <c r="P41" i="4"/>
  <c r="R3" i="4"/>
  <c r="R40" i="7" s="1" a="1"/>
  <c r="R40" i="7" s="1"/>
  <c r="AA194" i="4"/>
  <c r="AA191" i="4"/>
  <c r="AA113" i="4"/>
  <c r="AA126" i="4"/>
  <c r="AA196" i="4"/>
  <c r="AA128" i="4"/>
  <c r="AA147" i="4"/>
  <c r="AA189" i="4"/>
  <c r="AA152" i="4"/>
  <c r="AA172" i="4"/>
  <c r="AA133" i="4"/>
  <c r="AA158" i="4"/>
  <c r="AA165" i="4"/>
  <c r="AA182" i="4"/>
  <c r="AA192" i="4"/>
  <c r="AA170" i="4"/>
  <c r="AA195" i="4"/>
  <c r="AA142" i="4"/>
  <c r="AA114" i="4"/>
  <c r="AA166" i="4"/>
  <c r="AA167" i="4"/>
  <c r="AA188" i="4"/>
  <c r="AA137" i="4"/>
  <c r="AA140" i="4"/>
  <c r="AA122" i="4"/>
  <c r="AA121" i="4"/>
  <c r="AA116" i="4"/>
  <c r="AA125" i="4"/>
  <c r="AA164" i="4"/>
  <c r="AA169" i="4"/>
  <c r="AA173" i="4"/>
  <c r="AA181" i="4"/>
  <c r="AA197" i="4"/>
  <c r="AA151" i="4"/>
  <c r="AA155" i="4"/>
  <c r="AA156" i="4"/>
  <c r="AA171" i="4"/>
  <c r="AA177" i="4"/>
  <c r="AA136" i="4"/>
  <c r="AA199" i="4"/>
  <c r="AA149" i="4"/>
  <c r="AA198" i="4"/>
  <c r="AA110" i="4"/>
  <c r="AA150" i="4"/>
  <c r="AA146" i="4"/>
  <c r="AA157" i="4"/>
  <c r="AA184" i="4"/>
  <c r="AA154" i="4"/>
  <c r="AA185" i="4"/>
  <c r="AA160" i="4"/>
  <c r="AA123" i="4"/>
  <c r="AA187" i="4"/>
  <c r="AA168" i="4"/>
  <c r="AA124" i="4"/>
  <c r="AA111" i="4"/>
  <c r="AA176" i="4"/>
  <c r="AA161" i="4"/>
  <c r="AA186" i="4"/>
  <c r="AA115" i="4"/>
  <c r="AA153" i="4"/>
  <c r="AA190" i="4"/>
  <c r="AA145" i="4"/>
  <c r="AA178" i="4"/>
  <c r="AA200" i="4"/>
  <c r="AA193" i="4"/>
  <c r="AA159" i="4"/>
  <c r="AA180" i="4"/>
  <c r="AA92" i="4"/>
  <c r="AA91" i="4"/>
  <c r="AA95" i="4"/>
  <c r="AA90" i="4"/>
  <c r="AA101" i="4"/>
  <c r="AA100" i="4"/>
  <c r="AA94" i="4"/>
  <c r="AA106" i="4"/>
  <c r="AA93" i="4"/>
  <c r="AA103" i="4"/>
  <c r="AA99" i="4"/>
  <c r="AA98" i="4"/>
  <c r="AA102" i="4"/>
  <c r="AA7" i="4"/>
  <c r="AA30" i="4"/>
  <c r="AA39" i="4"/>
  <c r="AA35" i="4"/>
  <c r="AA87" i="4"/>
  <c r="AA10" i="4"/>
  <c r="AA83" i="4"/>
  <c r="AA88" i="4"/>
  <c r="AA61" i="4"/>
  <c r="AA89" i="4"/>
  <c r="AA25" i="4"/>
  <c r="AA78" i="4"/>
  <c r="AA77" i="4"/>
  <c r="AA16" i="4"/>
  <c r="AA37" i="4"/>
  <c r="AA29" i="4"/>
  <c r="AB34" i="7" a="1"/>
  <c r="AB34" i="7" s="1"/>
  <c r="AB6" i="7" a="1"/>
  <c r="AB6" i="7" s="1"/>
  <c r="AB38" i="7" a="1"/>
  <c r="AB38" i="7" s="1"/>
  <c r="AB60" i="7" a="1"/>
  <c r="AB60" i="7" s="1"/>
  <c r="AB76" i="7" a="1"/>
  <c r="AB76" i="7" s="1"/>
  <c r="AB92" i="7" a="1"/>
  <c r="AB92" i="7" s="1"/>
  <c r="AB108" i="7" a="1"/>
  <c r="AB108" i="7" s="1"/>
  <c r="AB124" i="7" a="1"/>
  <c r="AB124" i="7" s="1"/>
  <c r="AB140" i="7" a="1"/>
  <c r="AB140" i="7" s="1"/>
  <c r="AB156" i="7" a="1"/>
  <c r="AB156" i="7" s="1"/>
  <c r="AB172" i="7" a="1"/>
  <c r="AB172" i="7" s="1"/>
  <c r="AB181" i="7" a="1"/>
  <c r="AB181" i="7" s="1"/>
  <c r="AB12" i="7" a="1"/>
  <c r="AB12" i="7" s="1"/>
  <c r="AB10" i="7" a="1"/>
  <c r="AB10" i="7" s="1"/>
  <c r="AB21" i="7" a="1"/>
  <c r="AB21" i="7" s="1"/>
  <c r="AB55" i="7" a="1"/>
  <c r="AB55" i="7" s="1"/>
  <c r="AB69" i="7" a="1"/>
  <c r="AB69" i="7" s="1"/>
  <c r="AB85" i="7" a="1"/>
  <c r="AB85" i="7" s="1"/>
  <c r="AB101" i="7" a="1"/>
  <c r="AB101" i="7" s="1"/>
  <c r="AB117" i="7" a="1"/>
  <c r="AB117" i="7" s="1"/>
  <c r="AB133" i="7" a="1"/>
  <c r="AB133" i="7" s="1"/>
  <c r="AB149" i="7" a="1"/>
  <c r="AB149" i="7" s="1"/>
  <c r="AB165" i="7" a="1"/>
  <c r="AB165" i="7" s="1"/>
  <c r="AB171" i="7" a="1"/>
  <c r="AB171" i="7" s="1"/>
  <c r="AB123" i="7" a="1"/>
  <c r="AB123" i="7" s="1"/>
  <c r="AB67" i="7" a="1"/>
  <c r="AB67" i="7" s="1"/>
  <c r="AB29" i="7" a="1"/>
  <c r="AB29" i="7" s="1"/>
  <c r="AB188" i="7" a="1"/>
  <c r="AB188" i="7" s="1"/>
  <c r="AB170" i="7" a="1"/>
  <c r="AB170" i="7" s="1"/>
  <c r="AB138" i="7" a="1"/>
  <c r="AB138" i="7" s="1"/>
  <c r="AB106" i="7" a="1"/>
  <c r="AB106" i="7" s="1"/>
  <c r="AB74" i="7" a="1"/>
  <c r="AB74" i="7" s="1"/>
  <c r="AB35" i="7" a="1"/>
  <c r="AB35" i="7" s="1"/>
  <c r="AB28" i="7" a="1"/>
  <c r="AB28" i="7" s="1"/>
  <c r="AB139" i="7" a="1"/>
  <c r="AB139" i="7" s="1"/>
  <c r="AB59" i="7" a="1"/>
  <c r="AB59" i="7" s="1"/>
  <c r="AB195" i="7" a="1"/>
  <c r="AB195" i="7" s="1"/>
  <c r="AB151" i="7" a="1"/>
  <c r="AB151" i="7" s="1"/>
  <c r="AB119" i="7" a="1"/>
  <c r="AB119" i="7" s="1"/>
  <c r="AB87" i="7" a="1"/>
  <c r="AB87" i="7" s="1"/>
  <c r="AB57" i="7" a="1"/>
  <c r="AB57" i="7" s="1"/>
  <c r="AB13" i="7" a="1"/>
  <c r="AB13" i="7" s="1"/>
  <c r="AB197" i="7" a="1"/>
  <c r="AB197" i="7" s="1"/>
  <c r="AB182" i="7" a="1"/>
  <c r="AB182" i="7" s="1"/>
  <c r="AB158" i="7" a="1"/>
  <c r="AB158" i="7" s="1"/>
  <c r="AB126" i="7" a="1"/>
  <c r="AB126" i="7" s="1"/>
  <c r="AB94" i="7" a="1"/>
  <c r="AB94" i="7" s="1"/>
  <c r="AB62" i="7" a="1"/>
  <c r="AB62" i="7" s="1"/>
  <c r="AB8" i="7" a="1"/>
  <c r="AB8" i="7" s="1"/>
  <c r="AB18" i="7" a="1"/>
  <c r="AB18" i="7" s="1"/>
  <c r="AB68" i="7" a="1"/>
  <c r="AB68" i="7" s="1"/>
  <c r="AB84" i="7" a="1"/>
  <c r="AB84" i="7" s="1"/>
  <c r="AB100" i="7" a="1"/>
  <c r="AB100" i="7" s="1"/>
  <c r="AB116" i="7" a="1"/>
  <c r="AB116" i="7" s="1"/>
  <c r="AB132" i="7" a="1"/>
  <c r="AB132" i="7" s="1"/>
  <c r="AB148" i="7" a="1"/>
  <c r="AB148" i="7" s="1"/>
  <c r="AB164" i="7" a="1"/>
  <c r="AB164" i="7" s="1"/>
  <c r="AB185" i="7" a="1"/>
  <c r="AB185" i="7" s="1"/>
  <c r="AB37" i="7" a="1"/>
  <c r="AB37" i="7" s="1"/>
  <c r="AB42" i="7" a="1"/>
  <c r="AB42" i="7" s="1"/>
  <c r="AB77" i="7" a="1"/>
  <c r="AB77" i="7" s="1"/>
  <c r="AB109" i="7" a="1"/>
  <c r="AB109" i="7" s="1"/>
  <c r="AB141" i="7" a="1"/>
  <c r="AB141" i="7" s="1"/>
  <c r="AB173" i="7" a="1"/>
  <c r="AB173" i="7" s="1"/>
  <c r="AB91" i="7" a="1"/>
  <c r="AB91" i="7" s="1"/>
  <c r="AB196" i="7" a="1"/>
  <c r="AB196" i="7" s="1"/>
  <c r="AB154" i="7" a="1"/>
  <c r="AB154" i="7" s="1"/>
  <c r="AB90" i="7" a="1"/>
  <c r="AB90" i="7" s="1"/>
  <c r="AB32" i="7" a="1"/>
  <c r="AB32" i="7" s="1"/>
  <c r="AB99" i="7" a="1"/>
  <c r="AB99" i="7" s="1"/>
  <c r="AB167" i="7" a="1"/>
  <c r="AB167" i="7" s="1"/>
  <c r="AB103" i="7" a="1"/>
  <c r="AB103" i="7" s="1"/>
  <c r="AB24" i="7" a="1"/>
  <c r="AB24" i="7" s="1"/>
  <c r="AB189" i="7" a="1"/>
  <c r="AB189" i="7" s="1"/>
  <c r="AB142" i="7" a="1"/>
  <c r="AB142" i="7" s="1"/>
  <c r="AB78" i="7" a="1"/>
  <c r="AB78" i="7" s="1"/>
  <c r="AB39" i="7" a="1"/>
  <c r="AB39" i="7" s="1"/>
  <c r="AB20" i="7" a="1"/>
  <c r="AB20" i="7" s="1"/>
  <c r="AB30" i="7" a="1"/>
  <c r="AB30" i="7" s="1"/>
  <c r="AB72" i="7" a="1"/>
  <c r="AB72" i="7" s="1"/>
  <c r="AB104" i="7" a="1"/>
  <c r="AB104" i="7" s="1"/>
  <c r="AB136" i="7" a="1"/>
  <c r="AB136" i="7" s="1"/>
  <c r="AB168" i="7" a="1"/>
  <c r="AB168" i="7" s="1"/>
  <c r="AB187" i="7" a="1"/>
  <c r="AB187" i="7" s="1"/>
  <c r="AB15" i="7" a="1"/>
  <c r="AB15" i="7" s="1"/>
  <c r="AB65" i="7" a="1"/>
  <c r="AB65" i="7" s="1"/>
  <c r="AB97" i="7" a="1"/>
  <c r="AB97" i="7" s="1"/>
  <c r="AB129" i="7" a="1"/>
  <c r="AB129" i="7" s="1"/>
  <c r="AB161" i="7" a="1"/>
  <c r="AB161" i="7" s="1"/>
  <c r="AB131" i="7" a="1"/>
  <c r="AB131" i="7" s="1"/>
  <c r="AB33" i="7" a="1"/>
  <c r="AB33" i="7" s="1"/>
  <c r="AB176" i="7" a="1"/>
  <c r="AB176" i="7" s="1"/>
  <c r="AB114" i="7" a="1"/>
  <c r="AB114" i="7" s="1"/>
  <c r="AB48" i="7" a="1"/>
  <c r="AB48" i="7" s="1"/>
  <c r="AB155" i="7" a="1"/>
  <c r="AB155" i="7" s="1"/>
  <c r="AB198" i="7" a="1"/>
  <c r="AB198" i="7" s="1"/>
  <c r="AB127" i="7" a="1"/>
  <c r="AB127" i="7" s="1"/>
  <c r="AB63" i="7" a="1"/>
  <c r="AB63" i="7" s="1"/>
  <c r="AB200" i="7" a="1"/>
  <c r="AB200" i="7" s="1"/>
  <c r="AB166" i="7" a="1"/>
  <c r="AB166" i="7" s="1"/>
  <c r="AB102" i="7" a="1"/>
  <c r="AB102" i="7" s="1"/>
  <c r="AB22" i="7" a="1"/>
  <c r="AB22" i="7" s="1"/>
  <c r="AB19" i="7" a="1"/>
  <c r="AB19" i="7" s="1"/>
  <c r="AB41" i="7" a="1"/>
  <c r="AB41" i="7" s="1"/>
  <c r="AB14" i="7" a="1"/>
  <c r="AB14" i="7" s="1"/>
  <c r="AB45" i="7" a="1"/>
  <c r="AB45" i="7" s="1"/>
  <c r="AB64" i="7" a="1"/>
  <c r="AB64" i="7" s="1"/>
  <c r="AB80" i="7" a="1"/>
  <c r="AB80" i="7" s="1"/>
  <c r="AB96" i="7" a="1"/>
  <c r="AB96" i="7" s="1"/>
  <c r="AB112" i="7" a="1"/>
  <c r="AB112" i="7" s="1"/>
  <c r="AB128" i="7" a="1"/>
  <c r="AB128" i="7" s="1"/>
  <c r="AB144" i="7" a="1"/>
  <c r="AB144" i="7" s="1"/>
  <c r="AB160" i="7" a="1"/>
  <c r="AB160" i="7" s="1"/>
  <c r="AB175" i="7" a="1"/>
  <c r="AB175" i="7" s="1"/>
  <c r="AB183" i="7" a="1"/>
  <c r="AB183" i="7" s="1"/>
  <c r="AB27" i="7" a="1"/>
  <c r="AB27" i="7" s="1"/>
  <c r="AB26" i="7" a="1"/>
  <c r="AB26" i="7" s="1"/>
  <c r="AB31" i="7" a="1"/>
  <c r="AB31" i="7" s="1"/>
  <c r="AB54" i="7" a="1"/>
  <c r="AB54" i="7" s="1"/>
  <c r="AB73" i="7" a="1"/>
  <c r="AB73" i="7" s="1"/>
  <c r="AB89" i="7" a="1"/>
  <c r="AB89" i="7" s="1"/>
  <c r="AB105" i="7" a="1"/>
  <c r="AB105" i="7" s="1"/>
  <c r="AB121" i="7" a="1"/>
  <c r="AB121" i="7" s="1"/>
  <c r="AB137" i="7" a="1"/>
  <c r="AB137" i="7" s="1"/>
  <c r="AB153" i="7" a="1"/>
  <c r="AB153" i="7" s="1"/>
  <c r="AB169" i="7" a="1"/>
  <c r="AB169" i="7" s="1"/>
  <c r="AB163" i="7" a="1"/>
  <c r="AB163" i="7" s="1"/>
  <c r="AB107" i="7" a="1"/>
  <c r="AB107" i="7" s="1"/>
  <c r="AB50" i="7" a="1"/>
  <c r="AB50" i="7" s="1"/>
  <c r="AB3" i="7" a="1"/>
  <c r="AB3" i="7" s="1"/>
  <c r="AB184" i="7" a="1"/>
  <c r="AB184" i="7" s="1"/>
  <c r="AB162" i="7" a="1"/>
  <c r="AB162" i="7" s="1"/>
  <c r="AB130" i="7" a="1"/>
  <c r="AB130" i="7" s="1"/>
  <c r="AB98" i="7" a="1"/>
  <c r="AB98" i="7" s="1"/>
  <c r="AB66" i="7" a="1"/>
  <c r="AB66" i="7" s="1"/>
  <c r="AB16" i="7" a="1"/>
  <c r="AB16" i="7" s="1"/>
  <c r="AB199" i="7" a="1"/>
  <c r="AB199" i="7" s="1"/>
  <c r="AB115" i="7" a="1"/>
  <c r="AB115" i="7" s="1"/>
  <c r="AB17" i="7" a="1"/>
  <c r="AB17" i="7" s="1"/>
  <c r="AB190" i="7" a="1"/>
  <c r="AB190" i="7" s="1"/>
  <c r="AB143" i="7" a="1"/>
  <c r="AB143" i="7" s="1"/>
  <c r="AB111" i="7" a="1"/>
  <c r="AB111" i="7" s="1"/>
  <c r="AB79" i="7" a="1"/>
  <c r="AB79" i="7" s="1"/>
  <c r="AB44" i="7" a="1"/>
  <c r="AB44" i="7" s="1"/>
  <c r="AB40" i="7" a="1"/>
  <c r="AB40" i="7" s="1"/>
  <c r="AB192" i="7" a="1"/>
  <c r="AB192" i="7" s="1"/>
  <c r="AB178" i="7" a="1"/>
  <c r="AB178" i="7" s="1"/>
  <c r="AB150" i="7" a="1"/>
  <c r="AB150" i="7" s="1"/>
  <c r="AB118" i="7" a="1"/>
  <c r="AB118" i="7" s="1"/>
  <c r="AB86" i="7" a="1"/>
  <c r="AB86" i="7" s="1"/>
  <c r="AB56" i="7" a="1"/>
  <c r="AB56" i="7" s="1"/>
  <c r="AB11" i="7" a="1"/>
  <c r="AB11" i="7" s="1"/>
  <c r="AB5" i="7" a="1"/>
  <c r="AB5" i="7" s="1"/>
  <c r="AB4" i="7" a="1"/>
  <c r="AB4" i="7" s="1"/>
  <c r="AB51" i="7" a="1"/>
  <c r="AB51" i="7" s="1"/>
  <c r="AB177" i="7" a="1"/>
  <c r="AB177" i="7" s="1"/>
  <c r="AB7" i="7" a="1"/>
  <c r="AB7" i="7" s="1"/>
  <c r="AB61" i="7" a="1"/>
  <c r="AB61" i="7" s="1"/>
  <c r="AB93" i="7" a="1"/>
  <c r="AB93" i="7" s="1"/>
  <c r="AB125" i="7" a="1"/>
  <c r="AB125" i="7" s="1"/>
  <c r="AB157" i="7" a="1"/>
  <c r="AB157" i="7" s="1"/>
  <c r="AB147" i="7" a="1"/>
  <c r="AB147" i="7" s="1"/>
  <c r="AB36" i="7" a="1"/>
  <c r="AB36" i="7" s="1"/>
  <c r="AB180" i="7" a="1"/>
  <c r="AB180" i="7" s="1"/>
  <c r="AB122" i="7" a="1"/>
  <c r="AB122" i="7" s="1"/>
  <c r="AB58" i="7" a="1"/>
  <c r="AB58" i="7" s="1"/>
  <c r="AB191" i="7" a="1"/>
  <c r="AB191" i="7" s="1"/>
  <c r="AB52" i="7" a="1"/>
  <c r="AB52" i="7" s="1"/>
  <c r="AB135" i="7" a="1"/>
  <c r="AB135" i="7" s="1"/>
  <c r="AB71" i="7" a="1"/>
  <c r="AB71" i="7" s="1"/>
  <c r="AB23" i="7" a="1"/>
  <c r="AB23" i="7" s="1"/>
  <c r="AB174" i="7" a="1"/>
  <c r="AB174" i="7" s="1"/>
  <c r="AB110" i="7" a="1"/>
  <c r="AB110" i="7" s="1"/>
  <c r="AB43" i="7" a="1"/>
  <c r="AB43" i="7" s="1"/>
  <c r="AB25" i="7" a="1"/>
  <c r="AB25" i="7" s="1"/>
  <c r="AB53" i="7" a="1"/>
  <c r="AB53" i="7" s="1"/>
  <c r="AB88" i="7" a="1"/>
  <c r="AB88" i="7" s="1"/>
  <c r="AB120" i="7" a="1"/>
  <c r="AB120" i="7" s="1"/>
  <c r="AB152" i="7" a="1"/>
  <c r="AB152" i="7" s="1"/>
  <c r="AB179" i="7" a="1"/>
  <c r="AB179" i="7" s="1"/>
  <c r="AB46" i="7" a="1"/>
  <c r="AB46" i="7" s="1"/>
  <c r="AB47" i="7" a="1"/>
  <c r="AB47" i="7" s="1"/>
  <c r="AB81" i="7" a="1"/>
  <c r="AB81" i="7" s="1"/>
  <c r="AB113" i="7" a="1"/>
  <c r="AB113" i="7" s="1"/>
  <c r="AB145" i="7" a="1"/>
  <c r="AB145" i="7" s="1"/>
  <c r="AB194" i="7" a="1"/>
  <c r="AB194" i="7" s="1"/>
  <c r="AB83" i="7" a="1"/>
  <c r="AB83" i="7" s="1"/>
  <c r="AB193" i="7" a="1"/>
  <c r="AB193" i="7" s="1"/>
  <c r="AB146" i="7" a="1"/>
  <c r="AB146" i="7" s="1"/>
  <c r="AB82" i="7" a="1"/>
  <c r="AB82" i="7" s="1"/>
  <c r="AB49" i="7" a="1"/>
  <c r="AB49" i="7" s="1"/>
  <c r="AB75" i="7" a="1"/>
  <c r="AB75" i="7" s="1"/>
  <c r="AB159" i="7" a="1"/>
  <c r="AB159" i="7" s="1"/>
  <c r="AB95" i="7" a="1"/>
  <c r="AB95" i="7" s="1"/>
  <c r="AB9" i="7" a="1"/>
  <c r="AB9" i="7" s="1"/>
  <c r="AB186" i="7" a="1"/>
  <c r="AB186" i="7" s="1"/>
  <c r="AB134" i="7" a="1"/>
  <c r="AB134" i="7" s="1"/>
  <c r="AB70" i="7" a="1"/>
  <c r="AB70" i="7" s="1"/>
  <c r="AA67" i="4"/>
  <c r="AA62" i="4"/>
  <c r="AA74" i="4"/>
  <c r="AA63" i="4"/>
  <c r="AA42" i="4"/>
  <c r="AA44" i="4"/>
  <c r="AA85" i="4"/>
  <c r="AA5" i="4"/>
  <c r="AA66" i="4"/>
  <c r="AA27" i="4"/>
  <c r="AA23" i="4"/>
  <c r="AA6" i="4"/>
  <c r="AA69" i="4"/>
  <c r="AA48" i="4"/>
  <c r="AA57" i="4"/>
  <c r="AA54" i="4"/>
  <c r="AA31" i="4"/>
  <c r="AA28" i="4"/>
  <c r="AA81" i="4"/>
  <c r="AA11" i="4"/>
  <c r="AA58" i="4"/>
  <c r="AA65" i="4"/>
  <c r="AA84" i="4"/>
  <c r="AA12" i="4"/>
  <c r="AA52" i="4"/>
  <c r="T143" i="4"/>
  <c r="T142" i="4"/>
  <c r="T192" i="4"/>
  <c r="T199" i="4"/>
  <c r="T139" i="4"/>
  <c r="T11" i="4"/>
  <c r="T34" i="4"/>
  <c r="T129" i="4"/>
  <c r="T67" i="4"/>
  <c r="T69" i="4"/>
  <c r="T101" i="4"/>
  <c r="T5" i="4"/>
  <c r="T47" i="4"/>
  <c r="T55" i="4"/>
  <c r="T16" i="4"/>
  <c r="T49" i="4"/>
  <c r="T37" i="4"/>
  <c r="T28" i="4"/>
  <c r="T25" i="4"/>
  <c r="T94" i="4"/>
  <c r="T95" i="4"/>
  <c r="T43" i="4"/>
  <c r="T40" i="4"/>
  <c r="T41" i="4"/>
  <c r="T50" i="4"/>
  <c r="T9" i="4"/>
  <c r="T73" i="4"/>
  <c r="T35" i="4"/>
  <c r="T19" i="4"/>
  <c r="T32" i="4"/>
  <c r="T14" i="4"/>
  <c r="T63" i="4"/>
  <c r="T44" i="4"/>
  <c r="T17" i="4"/>
  <c r="T109" i="4"/>
  <c r="T48" i="4"/>
  <c r="T8" i="4"/>
  <c r="T51" i="4"/>
  <c r="T7" i="4"/>
  <c r="T75" i="4"/>
  <c r="T70" i="4"/>
  <c r="T23" i="4"/>
  <c r="T57" i="4"/>
  <c r="T77" i="4"/>
  <c r="T130" i="4"/>
  <c r="AE26" i="7"/>
  <c r="AE29" i="7" s="1"/>
  <c r="G2" i="26" s="1"/>
  <c r="S186" i="4"/>
  <c r="S154" i="4"/>
  <c r="S179" i="4"/>
  <c r="S182" i="4"/>
  <c r="S148" i="4"/>
  <c r="S170" i="4"/>
  <c r="S191" i="4"/>
  <c r="S153" i="4"/>
  <c r="S187" i="4"/>
  <c r="S166" i="4"/>
  <c r="S198" i="4"/>
  <c r="S173" i="4"/>
  <c r="S188" i="4"/>
  <c r="S172" i="4"/>
  <c r="S152" i="4"/>
  <c r="S174" i="4"/>
  <c r="S180" i="4"/>
  <c r="S177" i="4"/>
  <c r="S171" i="4"/>
  <c r="S160" i="4"/>
  <c r="S189" i="4"/>
  <c r="S185" i="4"/>
  <c r="S178" i="4"/>
  <c r="S193" i="4"/>
  <c r="S167" i="4"/>
  <c r="S190" i="4"/>
  <c r="S168" i="4"/>
  <c r="S176" i="4"/>
  <c r="S144" i="4"/>
  <c r="S194" i="4"/>
  <c r="S181" i="4"/>
  <c r="S161" i="4"/>
  <c r="S159" i="4"/>
  <c r="S196" i="4"/>
  <c r="S155" i="4"/>
  <c r="S149" i="4"/>
  <c r="S169" i="4"/>
  <c r="S197" i="4"/>
  <c r="S184" i="4"/>
  <c r="S158" i="4"/>
  <c r="S183" i="4"/>
  <c r="S163" i="4"/>
  <c r="S200" i="4"/>
  <c r="S162" i="4"/>
  <c r="S195" i="4"/>
  <c r="S156" i="4"/>
  <c r="S150" i="4"/>
  <c r="S151" i="4"/>
  <c r="S86" i="4"/>
  <c r="S138" i="4"/>
  <c r="S136" i="4"/>
  <c r="S131" i="4"/>
  <c r="S83" i="4"/>
  <c r="S103" i="4"/>
  <c r="Q121" i="7" a="1"/>
  <c r="Q121" i="7" s="1"/>
  <c r="S13" i="4"/>
  <c r="S64" i="4"/>
  <c r="S111" i="4"/>
  <c r="S96" i="4"/>
  <c r="S117" i="4"/>
  <c r="Q138" i="7" a="1"/>
  <c r="Q138" i="7" s="1"/>
  <c r="Q37" i="7" a="1"/>
  <c r="Q37" i="7" s="1"/>
  <c r="S78" i="4"/>
  <c r="S133" i="4"/>
  <c r="S134" i="4"/>
  <c r="Q195" i="7" a="1"/>
  <c r="Q195" i="7" s="1"/>
  <c r="Q8" i="7" a="1"/>
  <c r="Q8" i="7" s="1"/>
  <c r="Q74" i="7" a="1"/>
  <c r="Q74" i="7" s="1"/>
  <c r="Q160" i="7" a="1"/>
  <c r="Q160" i="7" s="1"/>
  <c r="S12" i="4"/>
  <c r="S18" i="4"/>
  <c r="S39" i="4"/>
  <c r="Q30" i="7" a="1"/>
  <c r="Q30" i="7" s="1"/>
  <c r="Q126" i="7" a="1"/>
  <c r="Q126" i="7" s="1"/>
  <c r="Q174" i="7" a="1"/>
  <c r="Q174" i="7" s="1"/>
  <c r="S30" i="4"/>
  <c r="S82" i="4"/>
  <c r="S100" i="4"/>
  <c r="Q53" i="7" a="1"/>
  <c r="Q53" i="7" s="1"/>
  <c r="Q127" i="7" a="1"/>
  <c r="Q127" i="7" s="1"/>
  <c r="S54" i="4"/>
  <c r="Q188" i="7" a="1"/>
  <c r="Q188" i="7" s="1"/>
  <c r="S113" i="4"/>
  <c r="Q191" i="7" a="1"/>
  <c r="Q191" i="7" s="1"/>
  <c r="Q35" i="7" a="1"/>
  <c r="Q35" i="7" s="1"/>
  <c r="Q7" i="7" a="1"/>
  <c r="Q7" i="7" s="1"/>
  <c r="Q43" i="7" a="1"/>
  <c r="Q43" i="7" s="1"/>
  <c r="Q110" i="7" a="1"/>
  <c r="Q110" i="7" s="1"/>
  <c r="Q94" i="7" a="1"/>
  <c r="Q94" i="7" s="1"/>
  <c r="Q72" i="7" a="1"/>
  <c r="Q72" i="7" s="1"/>
  <c r="Q90" i="7" a="1"/>
  <c r="Q90" i="7" s="1"/>
  <c r="Q112" i="7" a="1"/>
  <c r="Q112" i="7" s="1"/>
  <c r="Q150" i="7" a="1"/>
  <c r="Q150" i="7" s="1"/>
  <c r="Q133" i="7" a="1"/>
  <c r="Q133" i="7" s="1"/>
  <c r="Q158" i="7" a="1"/>
  <c r="Q158" i="7" s="1"/>
  <c r="Q179" i="7" a="1"/>
  <c r="Q179" i="7" s="1"/>
  <c r="Q196" i="7" a="1"/>
  <c r="Q196" i="7" s="1"/>
  <c r="Q123" i="7" a="1"/>
  <c r="Q123" i="7" s="1"/>
  <c r="S80" i="4"/>
  <c r="Q49" i="7" a="1"/>
  <c r="Q49" i="7" s="1"/>
  <c r="Q42" i="7" a="1"/>
  <c r="Q42" i="7" s="1"/>
  <c r="Q25" i="7" a="1"/>
  <c r="Q25" i="7" s="1"/>
  <c r="Q70" i="7" a="1"/>
  <c r="Q70" i="7" s="1"/>
  <c r="Q75" i="7" a="1"/>
  <c r="Q75" i="7" s="1"/>
  <c r="Q88" i="7" a="1"/>
  <c r="Q88" i="7" s="1"/>
  <c r="Q103" i="7" a="1"/>
  <c r="Q103" i="7" s="1"/>
  <c r="Q128" i="7" a="1"/>
  <c r="Q128" i="7" s="1"/>
  <c r="Q135" i="7" a="1"/>
  <c r="Q135" i="7" s="1"/>
  <c r="Q145" i="7" a="1"/>
  <c r="Q145" i="7" s="1"/>
  <c r="Q170" i="7" a="1"/>
  <c r="Q170" i="7" s="1"/>
  <c r="Q180" i="7" a="1"/>
  <c r="Q180" i="7" s="1"/>
  <c r="S89" i="4"/>
  <c r="S93" i="4"/>
  <c r="Q36" i="7" a="1"/>
  <c r="Q36" i="7" s="1"/>
  <c r="Q39" i="7" a="1"/>
  <c r="Q39" i="7" s="1"/>
  <c r="Q20" i="7" a="1"/>
  <c r="Q20" i="7" s="1"/>
  <c r="Q77" i="7" a="1"/>
  <c r="Q77" i="7" s="1"/>
  <c r="Q91" i="7" a="1"/>
  <c r="Q91" i="7" s="1"/>
  <c r="Q58" i="7" a="1"/>
  <c r="Q58" i="7" s="1"/>
  <c r="Q109" i="7" a="1"/>
  <c r="Q109" i="7" s="1"/>
  <c r="Q114" i="7" a="1"/>
  <c r="Q114" i="7" s="1"/>
  <c r="Q130" i="7" a="1"/>
  <c r="Q130" i="7" s="1"/>
  <c r="Q162" i="7" a="1"/>
  <c r="Q162" i="7" s="1"/>
  <c r="Q165" i="7" a="1"/>
  <c r="Q165" i="7" s="1"/>
  <c r="S56" i="4"/>
  <c r="S26" i="4"/>
  <c r="S45" i="4"/>
  <c r="S110" i="4"/>
  <c r="S126" i="4"/>
  <c r="S99" i="4"/>
  <c r="S79" i="4"/>
  <c r="S85" i="4"/>
  <c r="S84" i="4"/>
  <c r="S115" i="4"/>
  <c r="S121" i="4"/>
  <c r="Q52" i="7" a="1"/>
  <c r="Q52" i="7" s="1"/>
  <c r="Q12" i="7" a="1"/>
  <c r="Q12" i="7" s="1"/>
  <c r="Q21" i="7" a="1"/>
  <c r="Q21" i="7" s="1"/>
  <c r="Q11" i="7" a="1"/>
  <c r="Q11" i="7" s="1"/>
  <c r="Q50" i="7" a="1"/>
  <c r="Q50" i="7" s="1"/>
  <c r="Q14" i="7" a="1"/>
  <c r="Q14" i="7" s="1"/>
  <c r="Q48" i="7" a="1"/>
  <c r="Q48" i="7" s="1"/>
  <c r="Q45" i="7" a="1"/>
  <c r="Q45" i="7" s="1"/>
  <c r="Q67" i="7" a="1"/>
  <c r="Q67" i="7" s="1"/>
  <c r="Q102" i="7" a="1"/>
  <c r="Q102" i="7" s="1"/>
  <c r="Q80" i="7" a="1"/>
  <c r="Q80" i="7" s="1"/>
  <c r="Q66" i="7" a="1"/>
  <c r="Q66" i="7" s="1"/>
  <c r="Q98" i="7" a="1"/>
  <c r="Q98" i="7" s="1"/>
  <c r="Q118" i="7" a="1"/>
  <c r="Q118" i="7" s="1"/>
  <c r="Q120" i="7" a="1"/>
  <c r="Q120" i="7" s="1"/>
  <c r="Q119" i="7" a="1"/>
  <c r="Q119" i="7" s="1"/>
  <c r="Q139" i="7" a="1"/>
  <c r="Q139" i="7" s="1"/>
  <c r="Q134" i="7" a="1"/>
  <c r="Q134" i="7" s="1"/>
  <c r="Q142" i="7" a="1"/>
  <c r="Q142" i="7" s="1"/>
  <c r="Q155" i="7" a="1"/>
  <c r="Q155" i="7" s="1"/>
  <c r="Q169" i="7" a="1"/>
  <c r="Q169" i="7" s="1"/>
  <c r="Q175" i="7" a="1"/>
  <c r="Q175" i="7" s="1"/>
  <c r="Q185" i="7" a="1"/>
  <c r="Q185" i="7" s="1"/>
  <c r="Q189" i="7" a="1"/>
  <c r="Q189" i="7" s="1"/>
  <c r="Q198" i="7" a="1"/>
  <c r="Q198" i="7" s="1"/>
  <c r="S98" i="4"/>
  <c r="S38" i="4"/>
  <c r="S114" i="4"/>
  <c r="S92" i="4"/>
  <c r="S105" i="4"/>
  <c r="S88" i="4"/>
  <c r="S118" i="4"/>
  <c r="I191" i="7" a="1"/>
  <c r="I191" i="7" s="1"/>
  <c r="S106" i="4"/>
  <c r="S112" i="4"/>
  <c r="S123" i="4"/>
  <c r="S116" i="4"/>
  <c r="S97" i="4"/>
  <c r="S124" i="4"/>
  <c r="S90" i="4"/>
  <c r="S91" i="4"/>
  <c r="S81" i="4"/>
  <c r="Q32" i="7" a="1"/>
  <c r="Q32" i="7" s="1"/>
  <c r="Q29" i="7" a="1"/>
  <c r="Q29" i="7" s="1"/>
  <c r="Q10" i="7" a="1"/>
  <c r="Q10" i="7" s="1"/>
  <c r="Q19" i="7" a="1"/>
  <c r="Q19" i="7" s="1"/>
  <c r="Q22" i="7" a="1"/>
  <c r="Q22" i="7" s="1"/>
  <c r="Q41" i="7" a="1"/>
  <c r="Q41" i="7" s="1"/>
  <c r="Q69" i="7" a="1"/>
  <c r="Q69" i="7" s="1"/>
  <c r="Q55" i="7" a="1"/>
  <c r="Q55" i="7" s="1"/>
  <c r="Q62" i="7" a="1"/>
  <c r="Q62" i="7" s="1"/>
  <c r="Q83" i="7" a="1"/>
  <c r="Q83" i="7" s="1"/>
  <c r="Q64" i="7" a="1"/>
  <c r="Q64" i="7" s="1"/>
  <c r="Q96" i="7" a="1"/>
  <c r="Q96" i="7" s="1"/>
  <c r="Q82" i="7" a="1"/>
  <c r="Q82" i="7" s="1"/>
  <c r="Q101" i="7" a="1"/>
  <c r="Q101" i="7" s="1"/>
  <c r="Q104" i="7" a="1"/>
  <c r="Q104" i="7" s="1"/>
  <c r="Q106" i="7" a="1"/>
  <c r="Q106" i="7" s="1"/>
  <c r="Q144" i="7" a="1"/>
  <c r="Q144" i="7" s="1"/>
  <c r="Q143" i="7" a="1"/>
  <c r="Q143" i="7" s="1"/>
  <c r="Q166" i="7" a="1"/>
  <c r="Q166" i="7" s="1"/>
  <c r="Q153" i="7" a="1"/>
  <c r="Q153" i="7" s="1"/>
  <c r="Q167" i="7" a="1"/>
  <c r="Q167" i="7" s="1"/>
  <c r="Q176" i="7" a="1"/>
  <c r="Q176" i="7" s="1"/>
  <c r="Q182" i="7" a="1"/>
  <c r="Q182" i="7" s="1"/>
  <c r="Q193" i="7" a="1"/>
  <c r="Q193" i="7" s="1"/>
  <c r="S24" i="4"/>
  <c r="S102" i="4"/>
  <c r="S104" i="4"/>
  <c r="S108" i="4"/>
  <c r="Q199" i="7" a="1"/>
  <c r="Q199" i="7" s="1"/>
  <c r="S125" i="4"/>
  <c r="S107" i="4"/>
  <c r="S127" i="4"/>
  <c r="S120" i="4"/>
  <c r="S119" i="4"/>
  <c r="S87" i="4"/>
  <c r="S21" i="4"/>
  <c r="S59" i="4"/>
  <c r="S52" i="4"/>
  <c r="Q28" i="7" a="1"/>
  <c r="Q28" i="7" s="1"/>
  <c r="Q33" i="7" a="1"/>
  <c r="Q33" i="7" s="1"/>
  <c r="Q5" i="7" a="1"/>
  <c r="Q5" i="7" s="1"/>
  <c r="Q4" i="7" a="1"/>
  <c r="Q4" i="7" s="1"/>
  <c r="Q18" i="7" a="1"/>
  <c r="Q18" i="7" s="1"/>
  <c r="Q51" i="7" a="1"/>
  <c r="Q51" i="7" s="1"/>
  <c r="Q40" i="7" a="1"/>
  <c r="Q40" i="7" s="1"/>
  <c r="Q9" i="7" a="1"/>
  <c r="Q9" i="7" s="1"/>
  <c r="Q44" i="7" a="1"/>
  <c r="Q44" i="7" s="1"/>
  <c r="Q27" i="7" a="1"/>
  <c r="Q27" i="7" s="1"/>
  <c r="Q26" i="7" a="1"/>
  <c r="Q26" i="7" s="1"/>
  <c r="Q31" i="7" a="1"/>
  <c r="Q31" i="7" s="1"/>
  <c r="Q47" i="7" a="1"/>
  <c r="Q47" i="7" s="1"/>
  <c r="Q93" i="7" a="1"/>
  <c r="Q93" i="7" s="1"/>
  <c r="Q86" i="7" a="1"/>
  <c r="Q86" i="7" s="1"/>
  <c r="Q59" i="7" a="1"/>
  <c r="Q59" i="7" s="1"/>
  <c r="Q60" i="7" a="1"/>
  <c r="Q60" i="7" s="1"/>
  <c r="Q76" i="7" a="1"/>
  <c r="Q76" i="7" s="1"/>
  <c r="Q92" i="7" a="1"/>
  <c r="Q92" i="7" s="1"/>
  <c r="Q63" i="7" a="1"/>
  <c r="Q63" i="7" s="1"/>
  <c r="Q79" i="7" a="1"/>
  <c r="Q79" i="7" s="1"/>
  <c r="Q95" i="7" a="1"/>
  <c r="Q95" i="7" s="1"/>
  <c r="Q65" i="7" a="1"/>
  <c r="Q65" i="7" s="1"/>
  <c r="Q81" i="7" a="1"/>
  <c r="Q81" i="7" s="1"/>
  <c r="Q97" i="7" a="1"/>
  <c r="Q97" i="7" s="1"/>
  <c r="Q125" i="7" a="1"/>
  <c r="Q125" i="7" s="1"/>
  <c r="Q116" i="7" a="1"/>
  <c r="Q116" i="7" s="1"/>
  <c r="Q129" i="7" a="1"/>
  <c r="Q129" i="7" s="1"/>
  <c r="Q113" i="7" a="1"/>
  <c r="Q113" i="7" s="1"/>
  <c r="Q99" i="7" a="1"/>
  <c r="Q99" i="7" s="1"/>
  <c r="Q115" i="7" a="1"/>
  <c r="Q115" i="7" s="1"/>
  <c r="Q140" i="7" a="1"/>
  <c r="Q140" i="7" s="1"/>
  <c r="Q152" i="7" a="1"/>
  <c r="Q152" i="7" s="1"/>
  <c r="Q136" i="7" a="1"/>
  <c r="Q136" i="7" s="1"/>
  <c r="Q132" i="7" a="1"/>
  <c r="Q132" i="7" s="1"/>
  <c r="Q149" i="7" a="1"/>
  <c r="Q149" i="7" s="1"/>
  <c r="Q141" i="7" a="1"/>
  <c r="Q141" i="7" s="1"/>
  <c r="Q146" i="7" a="1"/>
  <c r="Q146" i="7" s="1"/>
  <c r="Q168" i="7" a="1"/>
  <c r="Q168" i="7" s="1"/>
  <c r="Q163" i="7" a="1"/>
  <c r="Q163" i="7" s="1"/>
  <c r="Q161" i="7" a="1"/>
  <c r="Q161" i="7" s="1"/>
  <c r="Q171" i="7" a="1"/>
  <c r="Q171" i="7" s="1"/>
  <c r="Q172" i="7" a="1"/>
  <c r="Q172" i="7" s="1"/>
  <c r="Q177" i="7" a="1"/>
  <c r="Q177" i="7" s="1"/>
  <c r="Q181" i="7" a="1"/>
  <c r="Q181" i="7" s="1"/>
  <c r="Q187" i="7" a="1"/>
  <c r="Q187" i="7" s="1"/>
  <c r="Q200" i="7" a="1"/>
  <c r="Q200" i="7" s="1"/>
  <c r="Q184" i="7" a="1"/>
  <c r="Q184" i="7" s="1"/>
  <c r="Q197" i="7" a="1"/>
  <c r="Q197" i="7" s="1"/>
  <c r="S71" i="4"/>
  <c r="S27" i="4"/>
  <c r="S65" i="4"/>
  <c r="S15" i="4"/>
  <c r="Q17" i="7" a="1"/>
  <c r="Q17" i="7" s="1"/>
  <c r="Q3" i="7" a="1"/>
  <c r="Q3" i="7" s="1"/>
  <c r="Q16" i="7" a="1"/>
  <c r="Q16" i="7" s="1"/>
  <c r="Q34" i="7" a="1"/>
  <c r="Q34" i="7" s="1"/>
  <c r="Q6" i="7" a="1"/>
  <c r="Q6" i="7" s="1"/>
  <c r="Q38" i="7" a="1"/>
  <c r="Q38" i="7" s="1"/>
  <c r="Q23" i="7" a="1"/>
  <c r="Q23" i="7" s="1"/>
  <c r="Q13" i="7" a="1"/>
  <c r="Q13" i="7" s="1"/>
  <c r="Q24" i="7" a="1"/>
  <c r="Q24" i="7" s="1"/>
  <c r="Q117" i="7" a="1"/>
  <c r="Q117" i="7" s="1"/>
  <c r="Q46" i="7" a="1"/>
  <c r="Q46" i="7" s="1"/>
  <c r="Q15" i="7" a="1"/>
  <c r="Q15" i="7" s="1"/>
  <c r="Q78" i="7" a="1"/>
  <c r="Q78" i="7" s="1"/>
  <c r="Q61" i="7" a="1"/>
  <c r="Q61" i="7" s="1"/>
  <c r="Q56" i="7" a="1"/>
  <c r="Q56" i="7" s="1"/>
  <c r="Q57" i="7" a="1"/>
  <c r="Q57" i="7" s="1"/>
  <c r="Q85" i="7" a="1"/>
  <c r="Q85" i="7" s="1"/>
  <c r="Q68" i="7" a="1"/>
  <c r="Q68" i="7" s="1"/>
  <c r="Q84" i="7" a="1"/>
  <c r="Q84" i="7" s="1"/>
  <c r="Q111" i="7" a="1"/>
  <c r="Q111" i="7" s="1"/>
  <c r="Q71" i="7" a="1"/>
  <c r="Q71" i="7" s="1"/>
  <c r="Q87" i="7" a="1"/>
  <c r="Q87" i="7" s="1"/>
  <c r="Q54" i="7" a="1"/>
  <c r="Q54" i="7" s="1"/>
  <c r="Q73" i="7" a="1"/>
  <c r="Q73" i="7" s="1"/>
  <c r="Q89" i="7" a="1"/>
  <c r="Q89" i="7" s="1"/>
  <c r="Q100" i="7" a="1"/>
  <c r="Q100" i="7" s="1"/>
  <c r="Q108" i="7" a="1"/>
  <c r="Q108" i="7" s="1"/>
  <c r="Q122" i="7" a="1"/>
  <c r="Q122" i="7" s="1"/>
  <c r="Q105" i="7" a="1"/>
  <c r="Q105" i="7" s="1"/>
  <c r="Q124" i="7" a="1"/>
  <c r="Q124" i="7" s="1"/>
  <c r="Q107" i="7" a="1"/>
  <c r="Q107" i="7" s="1"/>
  <c r="Q147" i="7" a="1"/>
  <c r="Q147" i="7" s="1"/>
  <c r="Q159" i="7" a="1"/>
  <c r="Q159" i="7" s="1"/>
  <c r="Q151" i="7" a="1"/>
  <c r="Q151" i="7" s="1"/>
  <c r="Q137" i="7" a="1"/>
  <c r="Q137" i="7" s="1"/>
  <c r="Q131" i="7" a="1"/>
  <c r="Q131" i="7" s="1"/>
  <c r="Q148" i="7" a="1"/>
  <c r="Q148" i="7" s="1"/>
  <c r="Q154" i="7" a="1"/>
  <c r="Q154" i="7" s="1"/>
  <c r="Q156" i="7" a="1"/>
  <c r="Q156" i="7" s="1"/>
  <c r="Q157" i="7" a="1"/>
  <c r="Q157" i="7" s="1"/>
  <c r="Q178" i="7" a="1"/>
  <c r="Q178" i="7" s="1"/>
  <c r="Q164" i="7" a="1"/>
  <c r="Q164" i="7" s="1"/>
  <c r="Q173" i="7" a="1"/>
  <c r="Q173" i="7" s="1"/>
  <c r="Q186" i="7" a="1"/>
  <c r="Q186" i="7" s="1"/>
  <c r="Q194" i="7" a="1"/>
  <c r="Q194" i="7" s="1"/>
  <c r="Q183" i="7" a="1"/>
  <c r="Q183" i="7" s="1"/>
  <c r="Q190" i="7" a="1"/>
  <c r="Q190" i="7" s="1"/>
  <c r="Q192" i="7" a="1"/>
  <c r="Q192" i="7" s="1"/>
  <c r="S31" i="4"/>
  <c r="S61" i="4"/>
  <c r="J189" i="7" a="1"/>
  <c r="J189" i="7" s="1"/>
  <c r="S53" i="4"/>
  <c r="S29" i="4"/>
  <c r="S36" i="4"/>
  <c r="S33" i="4"/>
  <c r="J193" i="7" a="1"/>
  <c r="J193" i="7" s="1"/>
  <c r="S68" i="4"/>
  <c r="S20" i="4"/>
  <c r="I199" i="7" a="1"/>
  <c r="I199" i="7" s="1"/>
  <c r="E40" i="7" a="1"/>
  <c r="E40" i="7" s="1"/>
  <c r="E28" i="7" a="1"/>
  <c r="E28" i="7" s="1"/>
  <c r="E37" i="7" a="1"/>
  <c r="E37" i="7" s="1"/>
  <c r="E97" i="7" a="1"/>
  <c r="E97" i="7" s="1"/>
  <c r="E72" i="7" a="1"/>
  <c r="E72" i="7" s="1"/>
  <c r="E84" i="7" a="1"/>
  <c r="E84" i="7" s="1"/>
  <c r="E85" i="7" a="1"/>
  <c r="E85" i="7" s="1"/>
  <c r="E116" i="7" a="1"/>
  <c r="E116" i="7" s="1"/>
  <c r="E143" i="7" a="1"/>
  <c r="E143" i="7" s="1"/>
  <c r="E137" i="7" a="1"/>
  <c r="E137" i="7" s="1"/>
  <c r="E164" i="7" a="1"/>
  <c r="E164" i="7" s="1"/>
  <c r="E175" i="7" a="1"/>
  <c r="E175" i="7" s="1"/>
  <c r="E196" i="7" a="1"/>
  <c r="E196" i="7" s="1"/>
  <c r="S6" i="4"/>
  <c r="E12" i="7" a="1"/>
  <c r="E12" i="7" s="1"/>
  <c r="E24" i="7" a="1"/>
  <c r="E24" i="7" s="1"/>
  <c r="E13" i="7" a="1"/>
  <c r="E13" i="7" s="1"/>
  <c r="E3" i="7" a="1"/>
  <c r="E3" i="7" s="1"/>
  <c r="E25" i="7" a="1"/>
  <c r="E25" i="7" s="1"/>
  <c r="E20" i="7" a="1"/>
  <c r="E20" i="7" s="1"/>
  <c r="E30" i="7" a="1"/>
  <c r="E30" i="7" s="1"/>
  <c r="E82" i="7" a="1"/>
  <c r="E82" i="7" s="1"/>
  <c r="E52" i="7" a="1"/>
  <c r="E52" i="7" s="1"/>
  <c r="E17" i="7" a="1"/>
  <c r="E17" i="7" s="1"/>
  <c r="E34" i="7" a="1"/>
  <c r="E34" i="7" s="1"/>
  <c r="E6" i="7" a="1"/>
  <c r="E6" i="7" s="1"/>
  <c r="E38" i="7" a="1"/>
  <c r="E38" i="7" s="1"/>
  <c r="E55" i="7" a="1"/>
  <c r="E55" i="7" s="1"/>
  <c r="E74" i="7" a="1"/>
  <c r="E74" i="7" s="1"/>
  <c r="E59" i="7" a="1"/>
  <c r="E59" i="7" s="1"/>
  <c r="E51" i="7" a="1"/>
  <c r="E51" i="7" s="1"/>
  <c r="E98" i="7" a="1"/>
  <c r="E98" i="7" s="1"/>
  <c r="E71" i="7" a="1"/>
  <c r="E71" i="7" s="1"/>
  <c r="E87" i="7" a="1"/>
  <c r="E87" i="7" s="1"/>
  <c r="E106" i="7" a="1"/>
  <c r="E106" i="7" s="1"/>
  <c r="E67" i="7" a="1"/>
  <c r="E67" i="7" s="1"/>
  <c r="E83" i="7" a="1"/>
  <c r="E83" i="7" s="1"/>
  <c r="E99" i="7" a="1"/>
  <c r="E99" i="7" s="1"/>
  <c r="E62" i="7" a="1"/>
  <c r="E62" i="7" s="1"/>
  <c r="E78" i="7" a="1"/>
  <c r="E78" i="7" s="1"/>
  <c r="E94" i="7" a="1"/>
  <c r="E94" i="7" s="1"/>
  <c r="E104" i="7" a="1"/>
  <c r="E104" i="7" s="1"/>
  <c r="E118" i="7" a="1"/>
  <c r="E118" i="7" s="1"/>
  <c r="E109" i="7" a="1"/>
  <c r="E109" i="7" s="1"/>
  <c r="E128" i="7" a="1"/>
  <c r="E128" i="7" s="1"/>
  <c r="E102" i="7" a="1"/>
  <c r="E102" i="7" s="1"/>
  <c r="E119" i="7" a="1"/>
  <c r="E119" i="7" s="1"/>
  <c r="E144" i="7" a="1"/>
  <c r="E144" i="7" s="1"/>
  <c r="E156" i="7" a="1"/>
  <c r="E156" i="7" s="1"/>
  <c r="E141" i="7" a="1"/>
  <c r="E141" i="7" s="1"/>
  <c r="E163" i="7" a="1"/>
  <c r="E163" i="7" s="1"/>
  <c r="E135" i="7" a="1"/>
  <c r="E135" i="7" s="1"/>
  <c r="E149" i="7" a="1"/>
  <c r="E149" i="7" s="1"/>
  <c r="E165" i="7" a="1"/>
  <c r="E165" i="7" s="1"/>
  <c r="E160" i="7" a="1"/>
  <c r="E160" i="7" s="1"/>
  <c r="E154" i="7" a="1"/>
  <c r="E154" i="7" s="1"/>
  <c r="E167" i="7" a="1"/>
  <c r="E167" i="7" s="1"/>
  <c r="E169" i="7" a="1"/>
  <c r="E169" i="7" s="1"/>
  <c r="E190" i="7" a="1"/>
  <c r="E190" i="7" s="1"/>
  <c r="E181" i="7" a="1"/>
  <c r="E181" i="7" s="1"/>
  <c r="E184" i="7" a="1"/>
  <c r="E184" i="7" s="1"/>
  <c r="E185" i="7" a="1"/>
  <c r="E185" i="7" s="1"/>
  <c r="E188" i="7" a="1"/>
  <c r="E188" i="7" s="1"/>
  <c r="E200" i="7" a="1"/>
  <c r="E200" i="7" s="1"/>
  <c r="S72" i="4"/>
  <c r="S22" i="4"/>
  <c r="S76" i="4"/>
  <c r="J24" i="7" a="1"/>
  <c r="J24" i="7" s="1"/>
  <c r="J3" i="7" a="1"/>
  <c r="J3" i="7" s="1"/>
  <c r="J25" i="7" a="1"/>
  <c r="J25" i="7" s="1"/>
  <c r="J28" i="7" a="1"/>
  <c r="J28" i="7" s="1"/>
  <c r="J32" i="7" a="1"/>
  <c r="J32" i="7" s="1"/>
  <c r="J35" i="7" a="1"/>
  <c r="J35" i="7" s="1"/>
  <c r="J29" i="7" a="1"/>
  <c r="J29" i="7" s="1"/>
  <c r="J33" i="7" a="1"/>
  <c r="J33" i="7" s="1"/>
  <c r="J36" i="7" a="1"/>
  <c r="J36" i="7" s="1"/>
  <c r="J37" i="7" a="1"/>
  <c r="J37" i="7" s="1"/>
  <c r="J7" i="7" a="1"/>
  <c r="J7" i="7" s="1"/>
  <c r="J42" i="7" a="1"/>
  <c r="J42" i="7" s="1"/>
  <c r="J57" i="7" a="1"/>
  <c r="J57" i="7" s="1"/>
  <c r="J99" i="7" a="1"/>
  <c r="J99" i="7" s="1"/>
  <c r="J74" i="7" a="1"/>
  <c r="J74" i="7" s="1"/>
  <c r="J53" i="7" a="1"/>
  <c r="J53" i="7" s="1"/>
  <c r="J101" i="7" a="1"/>
  <c r="J101" i="7" s="1"/>
  <c r="J65" i="7" a="1"/>
  <c r="J65" i="7" s="1"/>
  <c r="J81" i="7" a="1"/>
  <c r="J81" i="7" s="1"/>
  <c r="J97" i="7" a="1"/>
  <c r="J97" i="7" s="1"/>
  <c r="J61" i="7" a="1"/>
  <c r="J61" i="7" s="1"/>
  <c r="J77" i="7" a="1"/>
  <c r="J77" i="7" s="1"/>
  <c r="J93" i="7" a="1"/>
  <c r="J93" i="7" s="1"/>
  <c r="J62" i="7" a="1"/>
  <c r="J62" i="7" s="1"/>
  <c r="J78" i="7" a="1"/>
  <c r="J78" i="7" s="1"/>
  <c r="J94" i="7" a="1"/>
  <c r="J94" i="7" s="1"/>
  <c r="J147" i="7" a="1"/>
  <c r="J147" i="7" s="1"/>
  <c r="J114" i="7" a="1"/>
  <c r="J114" i="7" s="1"/>
  <c r="J102" i="7" a="1"/>
  <c r="J102" i="7" s="1"/>
  <c r="J121" i="7" a="1"/>
  <c r="J121" i="7" s="1"/>
  <c r="J111" i="7" a="1"/>
  <c r="J111" i="7" s="1"/>
  <c r="J128" i="7" a="1"/>
  <c r="J128" i="7" s="1"/>
  <c r="J136" i="7" a="1"/>
  <c r="J136" i="7" s="1"/>
  <c r="J129" i="7" a="1"/>
  <c r="J129" i="7" s="1"/>
  <c r="J142" i="7" a="1"/>
  <c r="J142" i="7" s="1"/>
  <c r="J157" i="7" a="1"/>
  <c r="J157" i="7" s="1"/>
  <c r="J138" i="7" a="1"/>
  <c r="J138" i="7" s="1"/>
  <c r="J151" i="7" a="1"/>
  <c r="J151" i="7" s="1"/>
  <c r="J152" i="7" a="1"/>
  <c r="J152" i="7" s="1"/>
  <c r="J171" i="7" a="1"/>
  <c r="J171" i="7" s="1"/>
  <c r="J164" i="7" a="1"/>
  <c r="J164" i="7" s="1"/>
  <c r="J161" i="7" a="1"/>
  <c r="J161" i="7" s="1"/>
  <c r="J179" i="7" a="1"/>
  <c r="J179" i="7" s="1"/>
  <c r="J176" i="7" a="1"/>
  <c r="J176" i="7" s="1"/>
  <c r="J182" i="7" a="1"/>
  <c r="J182" i="7" s="1"/>
  <c r="J200" i="7" a="1"/>
  <c r="J200" i="7" s="1"/>
  <c r="J186" i="7" a="1"/>
  <c r="J186" i="7" s="1"/>
  <c r="J188" i="7" a="1"/>
  <c r="J188" i="7" s="1"/>
  <c r="J194" i="7" a="1"/>
  <c r="J194" i="7" s="1"/>
  <c r="S74" i="4"/>
  <c r="I49" i="7" a="1"/>
  <c r="I49" i="7" s="1"/>
  <c r="I3" i="7" a="1"/>
  <c r="I3" i="7" s="1"/>
  <c r="I35" i="7" a="1"/>
  <c r="I35" i="7" s="1"/>
  <c r="I12" i="7" a="1"/>
  <c r="I12" i="7" s="1"/>
  <c r="I10" i="7" a="1"/>
  <c r="I10" i="7" s="1"/>
  <c r="I21" i="7" a="1"/>
  <c r="I21" i="7" s="1"/>
  <c r="I19" i="7" a="1"/>
  <c r="I19" i="7" s="1"/>
  <c r="I11" i="7" a="1"/>
  <c r="I11" i="7" s="1"/>
  <c r="I22" i="7" a="1"/>
  <c r="I22" i="7" s="1"/>
  <c r="I51" i="7" a="1"/>
  <c r="I51" i="7" s="1"/>
  <c r="I46" i="7" a="1"/>
  <c r="I46" i="7" s="1"/>
  <c r="I15" i="7" a="1"/>
  <c r="I15" i="7" s="1"/>
  <c r="I47" i="7" a="1"/>
  <c r="I47" i="7" s="1"/>
  <c r="I94" i="7" a="1"/>
  <c r="I94" i="7" s="1"/>
  <c r="I53" i="7" a="1"/>
  <c r="I53" i="7" s="1"/>
  <c r="I102" i="7" a="1"/>
  <c r="I102" i="7" s="1"/>
  <c r="I77" i="7" a="1"/>
  <c r="I77" i="7" s="1"/>
  <c r="I68" i="7" a="1"/>
  <c r="I68" i="7" s="1"/>
  <c r="I84" i="7" a="1"/>
  <c r="I84" i="7" s="1"/>
  <c r="I103" i="7" a="1"/>
  <c r="I103" i="7" s="1"/>
  <c r="I72" i="7" a="1"/>
  <c r="I72" i="7" s="1"/>
  <c r="I88" i="7" a="1"/>
  <c r="I88" i="7" s="1"/>
  <c r="I110" i="7" a="1"/>
  <c r="I110" i="7" s="1"/>
  <c r="I65" i="7" a="1"/>
  <c r="I65" i="7" s="1"/>
  <c r="I81" i="7" a="1"/>
  <c r="I81" i="7" s="1"/>
  <c r="I97" i="7" a="1"/>
  <c r="I97" i="7" s="1"/>
  <c r="I108" i="7" a="1"/>
  <c r="I108" i="7" s="1"/>
  <c r="I122" i="7" a="1"/>
  <c r="I122" i="7" s="1"/>
  <c r="I104" i="7" a="1"/>
  <c r="I104" i="7" s="1"/>
  <c r="I120" i="7" a="1"/>
  <c r="I120" i="7" s="1"/>
  <c r="I107" i="7" a="1"/>
  <c r="I107" i="7" s="1"/>
  <c r="I123" i="7" a="1"/>
  <c r="I123" i="7" s="1"/>
  <c r="I151" i="7" a="1"/>
  <c r="I151" i="7" s="1"/>
  <c r="I144" i="7" a="1"/>
  <c r="I144" i="7" s="1"/>
  <c r="I132" i="7" a="1"/>
  <c r="I132" i="7" s="1"/>
  <c r="I147" i="7" a="1"/>
  <c r="I147" i="7" s="1"/>
  <c r="I133" i="7" a="1"/>
  <c r="I133" i="7" s="1"/>
  <c r="I159" i="7" a="1"/>
  <c r="I159" i="7" s="1"/>
  <c r="I153" i="7" a="1"/>
  <c r="I153" i="7" s="1"/>
  <c r="I155" i="7" a="1"/>
  <c r="I155" i="7" s="1"/>
  <c r="I157" i="7" a="1"/>
  <c r="I157" i="7" s="1"/>
  <c r="I175" i="7" a="1"/>
  <c r="I175" i="7" s="1"/>
  <c r="I165" i="7" a="1"/>
  <c r="I165" i="7" s="1"/>
  <c r="I177" i="7" a="1"/>
  <c r="I177" i="7" s="1"/>
  <c r="I181" i="7" a="1"/>
  <c r="I181" i="7" s="1"/>
  <c r="I180" i="7" a="1"/>
  <c r="I180" i="7" s="1"/>
  <c r="I187" i="7" a="1"/>
  <c r="I187" i="7" s="1"/>
  <c r="I194" i="7" a="1"/>
  <c r="I194" i="7" s="1"/>
  <c r="I196" i="7" a="1"/>
  <c r="I196" i="7" s="1"/>
  <c r="E23" i="7" a="1"/>
  <c r="E23" i="7" s="1"/>
  <c r="E27" i="7" a="1"/>
  <c r="E27" i="7" s="1"/>
  <c r="E32" i="7" a="1"/>
  <c r="E32" i="7" s="1"/>
  <c r="E42" i="7" a="1"/>
  <c r="E42" i="7" s="1"/>
  <c r="E54" i="7" a="1"/>
  <c r="E54" i="7" s="1"/>
  <c r="E115" i="7" a="1"/>
  <c r="E115" i="7" s="1"/>
  <c r="E100" i="7" a="1"/>
  <c r="E100" i="7" s="1"/>
  <c r="E105" i="7" a="1"/>
  <c r="E105" i="7" s="1"/>
  <c r="E103" i="7" a="1"/>
  <c r="E103" i="7" s="1"/>
  <c r="E142" i="7" a="1"/>
  <c r="E142" i="7" s="1"/>
  <c r="E150" i="7" a="1"/>
  <c r="E150" i="7" s="1"/>
  <c r="E179" i="7" a="1"/>
  <c r="E179" i="7" s="1"/>
  <c r="E191" i="7" a="1"/>
  <c r="E191" i="7" s="1"/>
  <c r="J14" i="7" a="1"/>
  <c r="J14" i="7" s="1"/>
  <c r="J40" i="7" a="1"/>
  <c r="J40" i="7" s="1"/>
  <c r="J15" i="7" a="1"/>
  <c r="J15" i="7" s="1"/>
  <c r="J6" i="7" a="1"/>
  <c r="J6" i="7" s="1"/>
  <c r="J8" i="7" a="1"/>
  <c r="J8" i="7" s="1"/>
  <c r="J54" i="7" a="1"/>
  <c r="J54" i="7" s="1"/>
  <c r="J59" i="7" a="1"/>
  <c r="J59" i="7" s="1"/>
  <c r="J88" i="7" a="1"/>
  <c r="J88" i="7" s="1"/>
  <c r="J84" i="7" a="1"/>
  <c r="J84" i="7" s="1"/>
  <c r="J79" i="7" a="1"/>
  <c r="J79" i="7" s="1"/>
  <c r="J105" i="7" a="1"/>
  <c r="J105" i="7" s="1"/>
  <c r="J125" i="7" a="1"/>
  <c r="J125" i="7" s="1"/>
  <c r="J140" i="7" a="1"/>
  <c r="J140" i="7" s="1"/>
  <c r="J172" i="7" a="1"/>
  <c r="J172" i="7" s="1"/>
  <c r="J158" i="7" a="1"/>
  <c r="J158" i="7" s="1"/>
  <c r="J166" i="7" a="1"/>
  <c r="J166" i="7" s="1"/>
  <c r="J177" i="7" a="1"/>
  <c r="J177" i="7" s="1"/>
  <c r="J187" i="7" a="1"/>
  <c r="J187" i="7" s="1"/>
  <c r="J195" i="7" a="1"/>
  <c r="J195" i="7" s="1"/>
  <c r="I33" i="7" a="1"/>
  <c r="I33" i="7" s="1"/>
  <c r="I34" i="7" a="1"/>
  <c r="I34" i="7" s="1"/>
  <c r="I23" i="7" a="1"/>
  <c r="I23" i="7" s="1"/>
  <c r="I25" i="7" a="1"/>
  <c r="I25" i="7" s="1"/>
  <c r="I30" i="7" a="1"/>
  <c r="I30" i="7" s="1"/>
  <c r="I59" i="7" a="1"/>
  <c r="I59" i="7" s="1"/>
  <c r="I75" i="7" a="1"/>
  <c r="I75" i="7" s="1"/>
  <c r="I79" i="7" a="1"/>
  <c r="I79" i="7" s="1"/>
  <c r="I66" i="7" a="1"/>
  <c r="I66" i="7" s="1"/>
  <c r="I98" i="7" a="1"/>
  <c r="I98" i="7" s="1"/>
  <c r="I105" i="7" a="1"/>
  <c r="I105" i="7" s="1"/>
  <c r="I127" i="7" a="1"/>
  <c r="I127" i="7" s="1"/>
  <c r="I134" i="7" a="1"/>
  <c r="I134" i="7" s="1"/>
  <c r="I135" i="7" a="1"/>
  <c r="I135" i="7" s="1"/>
  <c r="I156" i="7" a="1"/>
  <c r="I156" i="7" s="1"/>
  <c r="I172" i="7" a="1"/>
  <c r="I172" i="7" s="1"/>
  <c r="I188" i="7" a="1"/>
  <c r="I188" i="7" s="1"/>
  <c r="I197" i="7" a="1"/>
  <c r="I197" i="7" s="1"/>
  <c r="H194" i="7" a="1"/>
  <c r="H194" i="7" s="1"/>
  <c r="H193" i="7" a="1"/>
  <c r="H193" i="7" s="1"/>
  <c r="H200" i="7" a="1"/>
  <c r="H200" i="7" s="1"/>
  <c r="H199" i="7" a="1"/>
  <c r="H199" i="7" s="1"/>
  <c r="H192" i="7" a="1"/>
  <c r="H192" i="7" s="1"/>
  <c r="H195" i="7" a="1"/>
  <c r="H195" i="7" s="1"/>
  <c r="H187" i="7" a="1"/>
  <c r="H187" i="7" s="1"/>
  <c r="H186" i="7" a="1"/>
  <c r="H186" i="7" s="1"/>
  <c r="H198" i="7" a="1"/>
  <c r="H198" i="7" s="1"/>
  <c r="H185" i="7" a="1"/>
  <c r="H185" i="7" s="1"/>
  <c r="H196" i="7" a="1"/>
  <c r="H196" i="7" s="1"/>
  <c r="H191" i="7" a="1"/>
  <c r="H191" i="7" s="1"/>
  <c r="H190" i="7" a="1"/>
  <c r="H190" i="7" s="1"/>
  <c r="H183" i="7" a="1"/>
  <c r="H183" i="7" s="1"/>
  <c r="H182" i="7" a="1"/>
  <c r="H182" i="7" s="1"/>
  <c r="H188" i="7" a="1"/>
  <c r="H188" i="7" s="1"/>
  <c r="H181" i="7" a="1"/>
  <c r="H181" i="7" s="1"/>
  <c r="H197" i="7" a="1"/>
  <c r="H197" i="7" s="1"/>
  <c r="H184" i="7" a="1"/>
  <c r="H184" i="7" s="1"/>
  <c r="H179" i="7" a="1"/>
  <c r="H179" i="7" s="1"/>
  <c r="H189" i="7" a="1"/>
  <c r="H189" i="7" s="1"/>
  <c r="H175" i="7" a="1"/>
  <c r="H175" i="7" s="1"/>
  <c r="H174" i="7" a="1"/>
  <c r="H174" i="7" s="1"/>
  <c r="H180" i="7" a="1"/>
  <c r="H180" i="7" s="1"/>
  <c r="H177" i="7" a="1"/>
  <c r="H177" i="7" s="1"/>
  <c r="H176" i="7" a="1"/>
  <c r="H176" i="7" s="1"/>
  <c r="H173" i="7" a="1"/>
  <c r="H173" i="7" s="1"/>
  <c r="H168" i="7" a="1"/>
  <c r="H168" i="7" s="1"/>
  <c r="H167" i="7" a="1"/>
  <c r="H167" i="7" s="1"/>
  <c r="H166" i="7" a="1"/>
  <c r="H166" i="7" s="1"/>
  <c r="H165" i="7" a="1"/>
  <c r="H165" i="7" s="1"/>
  <c r="H178" i="7" a="1"/>
  <c r="H178" i="7" s="1"/>
  <c r="H172" i="7" a="1"/>
  <c r="H172" i="7" s="1"/>
  <c r="H160" i="7" a="1"/>
  <c r="H160" i="7" s="1"/>
  <c r="H153" i="7" a="1"/>
  <c r="H153" i="7" s="1"/>
  <c r="H170" i="7" a="1"/>
  <c r="H170" i="7" s="1"/>
  <c r="H162" i="7" a="1"/>
  <c r="H162" i="7" s="1"/>
  <c r="H159" i="7" a="1"/>
  <c r="H159" i="7" s="1"/>
  <c r="H158" i="7" a="1"/>
  <c r="H158" i="7" s="1"/>
  <c r="H151" i="7" a="1"/>
  <c r="H151" i="7" s="1"/>
  <c r="H171" i="7" a="1"/>
  <c r="H171" i="7" s="1"/>
  <c r="H164" i="7" a="1"/>
  <c r="H164" i="7" s="1"/>
  <c r="H161" i="7" a="1"/>
  <c r="H161" i="7" s="1"/>
  <c r="H157" i="7" a="1"/>
  <c r="H157" i="7" s="1"/>
  <c r="H156" i="7" a="1"/>
  <c r="H156" i="7" s="1"/>
  <c r="H149" i="7" a="1"/>
  <c r="H149" i="7" s="1"/>
  <c r="H148" i="7" a="1"/>
  <c r="H148" i="7" s="1"/>
  <c r="H154" i="7" a="1"/>
  <c r="H154" i="7" s="1"/>
  <c r="H152" i="7" a="1"/>
  <c r="H152" i="7" s="1"/>
  <c r="H146" i="7" a="1"/>
  <c r="H146" i="7" s="1"/>
  <c r="H144" i="7" a="1"/>
  <c r="H144" i="7" s="1"/>
  <c r="H137" i="7" a="1"/>
  <c r="H137" i="7" s="1"/>
  <c r="H136" i="7" a="1"/>
  <c r="H136" i="7" s="1"/>
  <c r="H134" i="7" a="1"/>
  <c r="H134" i="7" s="1"/>
  <c r="H132" i="7" a="1"/>
  <c r="H132" i="7" s="1"/>
  <c r="H145" i="7" a="1"/>
  <c r="H145" i="7" s="1"/>
  <c r="H141" i="7" a="1"/>
  <c r="H141" i="7" s="1"/>
  <c r="H140" i="7" a="1"/>
  <c r="H140" i="7" s="1"/>
  <c r="H135" i="7" a="1"/>
  <c r="H135" i="7" s="1"/>
  <c r="H133" i="7" a="1"/>
  <c r="H133" i="7" s="1"/>
  <c r="H131" i="7" a="1"/>
  <c r="H131" i="7" s="1"/>
  <c r="H129" i="7" a="1"/>
  <c r="H129" i="7" s="1"/>
  <c r="H150" i="7" a="1"/>
  <c r="H150" i="7" s="1"/>
  <c r="H147" i="7" a="1"/>
  <c r="H147" i="7" s="1"/>
  <c r="H139" i="7" a="1"/>
  <c r="H139" i="7" s="1"/>
  <c r="H138" i="7" a="1"/>
  <c r="H138" i="7" s="1"/>
  <c r="H155" i="7" a="1"/>
  <c r="H155" i="7" s="1"/>
  <c r="H130" i="7" a="1"/>
  <c r="H130" i="7" s="1"/>
  <c r="H169" i="7" a="1"/>
  <c r="H169" i="7" s="1"/>
  <c r="H142" i="7" a="1"/>
  <c r="H142" i="7" s="1"/>
  <c r="H143" i="7" a="1"/>
  <c r="H143" i="7" s="1"/>
  <c r="H126" i="7" a="1"/>
  <c r="H126" i="7" s="1"/>
  <c r="H122" i="7" a="1"/>
  <c r="H122" i="7" s="1"/>
  <c r="H118" i="7" a="1"/>
  <c r="H118" i="7" s="1"/>
  <c r="H110" i="7" a="1"/>
  <c r="H110" i="7" s="1"/>
  <c r="H109" i="7" a="1"/>
  <c r="H109" i="7" s="1"/>
  <c r="H102" i="7" a="1"/>
  <c r="H102" i="7" s="1"/>
  <c r="H101" i="7" a="1"/>
  <c r="H101" i="7" s="1"/>
  <c r="H127" i="7" a="1"/>
  <c r="H127" i="7" s="1"/>
  <c r="H123" i="7" a="1"/>
  <c r="H123" i="7" s="1"/>
  <c r="H119" i="7" a="1"/>
  <c r="H119" i="7" s="1"/>
  <c r="H116" i="7" a="1"/>
  <c r="H116" i="7" s="1"/>
  <c r="H115" i="7" a="1"/>
  <c r="H115" i="7" s="1"/>
  <c r="H108" i="7" a="1"/>
  <c r="H108" i="7" s="1"/>
  <c r="H107" i="7" a="1"/>
  <c r="H107" i="7" s="1"/>
  <c r="H163" i="7" a="1"/>
  <c r="H163" i="7" s="1"/>
  <c r="H125" i="7" a="1"/>
  <c r="H125" i="7" s="1"/>
  <c r="H121" i="7" a="1"/>
  <c r="H121" i="7" s="1"/>
  <c r="H117" i="7" a="1"/>
  <c r="H117" i="7" s="1"/>
  <c r="H112" i="7" a="1"/>
  <c r="H112" i="7" s="1"/>
  <c r="H111" i="7" a="1"/>
  <c r="H111" i="7" s="1"/>
  <c r="H104" i="7" a="1"/>
  <c r="H104" i="7" s="1"/>
  <c r="H103" i="7" a="1"/>
  <c r="H103" i="7" s="1"/>
  <c r="H128" i="7" a="1"/>
  <c r="H128" i="7" s="1"/>
  <c r="H113" i="7" a="1"/>
  <c r="H113" i="7" s="1"/>
  <c r="H93" i="7" a="1"/>
  <c r="H93" i="7" s="1"/>
  <c r="H92" i="7" a="1"/>
  <c r="H92" i="7" s="1"/>
  <c r="H85" i="7" a="1"/>
  <c r="H85" i="7" s="1"/>
  <c r="H84" i="7" a="1"/>
  <c r="H84" i="7" s="1"/>
  <c r="H77" i="7" a="1"/>
  <c r="H77" i="7" s="1"/>
  <c r="H76" i="7" a="1"/>
  <c r="H76" i="7" s="1"/>
  <c r="H69" i="7" a="1"/>
  <c r="H69" i="7" s="1"/>
  <c r="H68" i="7" a="1"/>
  <c r="H68" i="7" s="1"/>
  <c r="H61" i="7" a="1"/>
  <c r="H61" i="7" s="1"/>
  <c r="H60" i="7" a="1"/>
  <c r="H60" i="7" s="1"/>
  <c r="H114" i="7" a="1"/>
  <c r="H114" i="7" s="1"/>
  <c r="H105" i="7" a="1"/>
  <c r="H105" i="7" s="1"/>
  <c r="H99" i="7" a="1"/>
  <c r="H99" i="7" s="1"/>
  <c r="H98" i="7" a="1"/>
  <c r="H98" i="7" s="1"/>
  <c r="H91" i="7" a="1"/>
  <c r="H91" i="7" s="1"/>
  <c r="H90" i="7" a="1"/>
  <c r="H90" i="7" s="1"/>
  <c r="H83" i="7" a="1"/>
  <c r="H83" i="7" s="1"/>
  <c r="H82" i="7" a="1"/>
  <c r="H82" i="7" s="1"/>
  <c r="H75" i="7" a="1"/>
  <c r="H75" i="7" s="1"/>
  <c r="H74" i="7" a="1"/>
  <c r="H74" i="7" s="1"/>
  <c r="H67" i="7" a="1"/>
  <c r="H67" i="7" s="1"/>
  <c r="H66" i="7" a="1"/>
  <c r="H66" i="7" s="1"/>
  <c r="H124" i="7" a="1"/>
  <c r="H124" i="7" s="1"/>
  <c r="H95" i="7" a="1"/>
  <c r="H95" i="7" s="1"/>
  <c r="H94" i="7" a="1"/>
  <c r="H94" i="7" s="1"/>
  <c r="H87" i="7" a="1"/>
  <c r="H87" i="7" s="1"/>
  <c r="H86" i="7" a="1"/>
  <c r="H86" i="7" s="1"/>
  <c r="H79" i="7" a="1"/>
  <c r="H79" i="7" s="1"/>
  <c r="H78" i="7" a="1"/>
  <c r="H78" i="7" s="1"/>
  <c r="H71" i="7" a="1"/>
  <c r="H71" i="7" s="1"/>
  <c r="H70" i="7" a="1"/>
  <c r="H70" i="7" s="1"/>
  <c r="H63" i="7" a="1"/>
  <c r="H63" i="7" s="1"/>
  <c r="H62" i="7" a="1"/>
  <c r="H62" i="7" s="1"/>
  <c r="H81" i="7" a="1"/>
  <c r="H81" i="7" s="1"/>
  <c r="H72" i="7" a="1"/>
  <c r="H72" i="7" s="1"/>
  <c r="H50" i="7" a="1"/>
  <c r="H50" i="7" s="1"/>
  <c r="H48" i="7" a="1"/>
  <c r="H48" i="7" s="1"/>
  <c r="H96" i="7" a="1"/>
  <c r="H96" i="7" s="1"/>
  <c r="H73" i="7" a="1"/>
  <c r="H73" i="7" s="1"/>
  <c r="H64" i="7" a="1"/>
  <c r="H64" i="7" s="1"/>
  <c r="H54" i="7" a="1"/>
  <c r="H54" i="7" s="1"/>
  <c r="H47" i="7" a="1"/>
  <c r="H47" i="7" s="1"/>
  <c r="H120" i="7" a="1"/>
  <c r="H120" i="7" s="1"/>
  <c r="H89" i="7" a="1"/>
  <c r="H89" i="7" s="1"/>
  <c r="H80" i="7" a="1"/>
  <c r="H80" i="7" s="1"/>
  <c r="H58" i="7" a="1"/>
  <c r="H58" i="7" s="1"/>
  <c r="H55" i="7" a="1"/>
  <c r="H55" i="7" s="1"/>
  <c r="H51" i="7" a="1"/>
  <c r="H51" i="7" s="1"/>
  <c r="H45" i="7" a="1"/>
  <c r="H45" i="7" s="1"/>
  <c r="H65" i="7" a="1"/>
  <c r="H65" i="7" s="1"/>
  <c r="H57" i="7" a="1"/>
  <c r="H57" i="7" s="1"/>
  <c r="H38" i="7" a="1"/>
  <c r="H38" i="7" s="1"/>
  <c r="H36" i="7" a="1"/>
  <c r="H36" i="7" s="1"/>
  <c r="H18" i="7" a="1"/>
  <c r="H18" i="7" s="1"/>
  <c r="H17" i="7" a="1"/>
  <c r="H17" i="7" s="1"/>
  <c r="H6" i="7" a="1"/>
  <c r="H6" i="7" s="1"/>
  <c r="H33" i="7" a="1"/>
  <c r="H33" i="7" s="1"/>
  <c r="H4" i="7" a="1"/>
  <c r="H4" i="7" s="1"/>
  <c r="H52" i="7" a="1"/>
  <c r="H52" i="7" s="1"/>
  <c r="H34" i="7" a="1"/>
  <c r="H34" i="7" s="1"/>
  <c r="H29" i="7" a="1"/>
  <c r="H29" i="7" s="1"/>
  <c r="H59" i="7" a="1"/>
  <c r="H59" i="7" s="1"/>
  <c r="H53" i="7" a="1"/>
  <c r="H53" i="7" s="1"/>
  <c r="H35" i="7" a="1"/>
  <c r="H35" i="7" s="1"/>
  <c r="H31" i="7" a="1"/>
  <c r="H31" i="7" s="1"/>
  <c r="H16" i="7" a="1"/>
  <c r="H16" i="7" s="1"/>
  <c r="H15" i="7" a="1"/>
  <c r="H15" i="7" s="1"/>
  <c r="H32" i="7" a="1"/>
  <c r="H32" i="7" s="1"/>
  <c r="H26" i="7" a="1"/>
  <c r="H26" i="7" s="1"/>
  <c r="H49" i="7" a="1"/>
  <c r="H49" i="7" s="1"/>
  <c r="H46" i="7" a="1"/>
  <c r="H46" i="7" s="1"/>
  <c r="H28" i="7" a="1"/>
  <c r="H28" i="7" s="1"/>
  <c r="H27" i="7" a="1"/>
  <c r="H27" i="7" s="1"/>
  <c r="H106" i="7" a="1"/>
  <c r="H106" i="7" s="1"/>
  <c r="H100" i="7" a="1"/>
  <c r="H100" i="7" s="1"/>
  <c r="H44" i="7" a="1"/>
  <c r="H44" i="7" s="1"/>
  <c r="H30" i="7" a="1"/>
  <c r="H30" i="7" s="1"/>
  <c r="H24" i="7" a="1"/>
  <c r="H24" i="7" s="1"/>
  <c r="H14" i="7" a="1"/>
  <c r="H14" i="7" s="1"/>
  <c r="H9" i="7" a="1"/>
  <c r="H9" i="7" s="1"/>
  <c r="H20" i="7" a="1"/>
  <c r="H20" i="7" s="1"/>
  <c r="H13" i="7" a="1"/>
  <c r="H13" i="7" s="1"/>
  <c r="H41" i="7" a="1"/>
  <c r="H41" i="7" s="1"/>
  <c r="H40" i="7" a="1"/>
  <c r="H40" i="7" s="1"/>
  <c r="H25" i="7" a="1"/>
  <c r="H25" i="7" s="1"/>
  <c r="H23" i="7" a="1"/>
  <c r="H23" i="7" s="1"/>
  <c r="H8" i="7" a="1"/>
  <c r="H8" i="7" s="1"/>
  <c r="H10" i="7" a="1"/>
  <c r="H10" i="7" s="1"/>
  <c r="H3" i="7" a="1"/>
  <c r="H3" i="7" s="1"/>
  <c r="H56" i="7" a="1"/>
  <c r="H56" i="7" s="1"/>
  <c r="H43" i="7" a="1"/>
  <c r="H43" i="7" s="1"/>
  <c r="H21" i="7" a="1"/>
  <c r="H21" i="7" s="1"/>
  <c r="H39" i="7" a="1"/>
  <c r="H39" i="7" s="1"/>
  <c r="H19" i="7" a="1"/>
  <c r="H19" i="7" s="1"/>
  <c r="H22" i="7" a="1"/>
  <c r="H22" i="7" s="1"/>
  <c r="H7" i="7" a="1"/>
  <c r="H7" i="7" s="1"/>
  <c r="H5" i="7" a="1"/>
  <c r="H5" i="7" s="1"/>
  <c r="H42" i="7" a="1"/>
  <c r="H42" i="7" s="1"/>
  <c r="H11" i="7" a="1"/>
  <c r="H11" i="7" s="1"/>
  <c r="H37" i="7" a="1"/>
  <c r="H37" i="7" s="1"/>
  <c r="H97" i="7" a="1"/>
  <c r="H97" i="7" s="1"/>
  <c r="H12" i="7" a="1"/>
  <c r="H12" i="7" s="1"/>
  <c r="H88" i="7" a="1"/>
  <c r="H88" i="7" s="1"/>
  <c r="E19" i="7" a="1"/>
  <c r="E19" i="7" s="1"/>
  <c r="E22" i="7" a="1"/>
  <c r="E22" i="7" s="1"/>
  <c r="E53" i="7" a="1"/>
  <c r="E53" i="7" s="1"/>
  <c r="E33" i="7" a="1"/>
  <c r="E33" i="7" s="1"/>
  <c r="E18" i="7" a="1"/>
  <c r="E18" i="7" s="1"/>
  <c r="E47" i="7" a="1"/>
  <c r="E47" i="7" s="1"/>
  <c r="E63" i="7" a="1"/>
  <c r="E63" i="7" s="1"/>
  <c r="E125" i="7" a="1"/>
  <c r="E125" i="7" s="1"/>
  <c r="E91" i="7" a="1"/>
  <c r="E91" i="7" s="1"/>
  <c r="E86" i="7" a="1"/>
  <c r="E86" i="7" s="1"/>
  <c r="E126" i="7" a="1"/>
  <c r="E126" i="7" s="1"/>
  <c r="E110" i="7" a="1"/>
  <c r="E110" i="7" s="1"/>
  <c r="E139" i="7" a="1"/>
  <c r="E139" i="7" s="1"/>
  <c r="E131" i="7" a="1"/>
  <c r="E131" i="7" s="1"/>
  <c r="E152" i="7" a="1"/>
  <c r="E152" i="7" s="1"/>
  <c r="E161" i="7" a="1"/>
  <c r="E161" i="7" s="1"/>
  <c r="E189" i="7" a="1"/>
  <c r="E189" i="7" s="1"/>
  <c r="E199" i="7" a="1"/>
  <c r="E199" i="7" s="1"/>
  <c r="J5" i="7" a="1"/>
  <c r="J5" i="7" s="1"/>
  <c r="J23" i="7" a="1"/>
  <c r="J23" i="7" s="1"/>
  <c r="J20" i="7" a="1"/>
  <c r="J20" i="7" s="1"/>
  <c r="J30" i="7" a="1"/>
  <c r="J30" i="7" s="1"/>
  <c r="J49" i="7" a="1"/>
  <c r="J49" i="7" s="1"/>
  <c r="J16" i="7" a="1"/>
  <c r="J16" i="7" s="1"/>
  <c r="J66" i="7" a="1"/>
  <c r="J66" i="7" s="1"/>
  <c r="J52" i="7" a="1"/>
  <c r="J52" i="7" s="1"/>
  <c r="J17" i="7" a="1"/>
  <c r="J17" i="7" s="1"/>
  <c r="J98" i="7" a="1"/>
  <c r="J98" i="7" s="1"/>
  <c r="J10" i="7" a="1"/>
  <c r="J10" i="7" s="1"/>
  <c r="J21" i="7" a="1"/>
  <c r="J21" i="7" s="1"/>
  <c r="J45" i="7" a="1"/>
  <c r="J45" i="7" s="1"/>
  <c r="J67" i="7" a="1"/>
  <c r="J67" i="7" s="1"/>
  <c r="J50" i="7" a="1"/>
  <c r="J50" i="7" s="1"/>
  <c r="J51" i="7" a="1"/>
  <c r="J51" i="7" s="1"/>
  <c r="J82" i="7" a="1"/>
  <c r="J82" i="7" s="1"/>
  <c r="J116" i="7" a="1"/>
  <c r="J116" i="7" s="1"/>
  <c r="J73" i="7" a="1"/>
  <c r="J73" i="7" s="1"/>
  <c r="J89" i="7" a="1"/>
  <c r="J89" i="7" s="1"/>
  <c r="J118" i="7" a="1"/>
  <c r="J118" i="7" s="1"/>
  <c r="J69" i="7" a="1"/>
  <c r="J69" i="7" s="1"/>
  <c r="J85" i="7" a="1"/>
  <c r="J85" i="7" s="1"/>
  <c r="J126" i="7" a="1"/>
  <c r="J126" i="7" s="1"/>
  <c r="J70" i="7" a="1"/>
  <c r="J70" i="7" s="1"/>
  <c r="J86" i="7" a="1"/>
  <c r="J86" i="7" s="1"/>
  <c r="J100" i="7" a="1"/>
  <c r="J100" i="7" s="1"/>
  <c r="J106" i="7" a="1"/>
  <c r="J106" i="7" s="1"/>
  <c r="J123" i="7" a="1"/>
  <c r="J123" i="7" s="1"/>
  <c r="J110" i="7" a="1"/>
  <c r="J110" i="7" s="1"/>
  <c r="J103" i="7" a="1"/>
  <c r="J103" i="7" s="1"/>
  <c r="J120" i="7" a="1"/>
  <c r="J120" i="7" s="1"/>
  <c r="J130" i="7" a="1"/>
  <c r="J130" i="7" s="1"/>
  <c r="J141" i="7" a="1"/>
  <c r="J141" i="7" s="1"/>
  <c r="J133" i="7" a="1"/>
  <c r="J133" i="7" s="1"/>
  <c r="J146" i="7" a="1"/>
  <c r="J146" i="7" s="1"/>
  <c r="J132" i="7" a="1"/>
  <c r="J132" i="7" s="1"/>
  <c r="J145" i="7" a="1"/>
  <c r="J145" i="7" s="1"/>
  <c r="J159" i="7" a="1"/>
  <c r="J159" i="7" s="1"/>
  <c r="J160" i="7" a="1"/>
  <c r="J160" i="7" s="1"/>
  <c r="J154" i="7" a="1"/>
  <c r="J154" i="7" s="1"/>
  <c r="J167" i="7" a="1"/>
  <c r="J167" i="7" s="1"/>
  <c r="J169" i="7" a="1"/>
  <c r="J169" i="7" s="1"/>
  <c r="J174" i="7" a="1"/>
  <c r="J174" i="7" s="1"/>
  <c r="J190" i="7" a="1"/>
  <c r="J190" i="7" s="1"/>
  <c r="J191" i="7" a="1"/>
  <c r="J191" i="7" s="1"/>
  <c r="J185" i="7" a="1"/>
  <c r="J185" i="7" s="1"/>
  <c r="J192" i="7" a="1"/>
  <c r="J192" i="7" s="1"/>
  <c r="J198" i="7" a="1"/>
  <c r="J198" i="7" s="1"/>
  <c r="J196" i="7" a="1"/>
  <c r="J196" i="7" s="1"/>
  <c r="I61" i="7" a="1"/>
  <c r="I61" i="7" s="1"/>
  <c r="I16" i="7" a="1"/>
  <c r="I16" i="7" s="1"/>
  <c r="I28" i="7" a="1"/>
  <c r="I28" i="7" s="1"/>
  <c r="I17" i="7" a="1"/>
  <c r="I17" i="7" s="1"/>
  <c r="I37" i="7" a="1"/>
  <c r="I37" i="7" s="1"/>
  <c r="I7" i="7" a="1"/>
  <c r="I7" i="7" s="1"/>
  <c r="I42" i="7" a="1"/>
  <c r="I42" i="7" s="1"/>
  <c r="I39" i="7" a="1"/>
  <c r="I39" i="7" s="1"/>
  <c r="I8" i="7" a="1"/>
  <c r="I8" i="7" s="1"/>
  <c r="I43" i="7" a="1"/>
  <c r="I43" i="7" s="1"/>
  <c r="I27" i="7" a="1"/>
  <c r="I27" i="7" s="1"/>
  <c r="I26" i="7" a="1"/>
  <c r="I26" i="7" s="1"/>
  <c r="I31" i="7" a="1"/>
  <c r="I31" i="7" s="1"/>
  <c r="I62" i="7" a="1"/>
  <c r="I62" i="7" s="1"/>
  <c r="I55" i="7" a="1"/>
  <c r="I55" i="7" s="1"/>
  <c r="I69" i="7" a="1"/>
  <c r="I69" i="7" s="1"/>
  <c r="I125" i="7" a="1"/>
  <c r="I125" i="7" s="1"/>
  <c r="I60" i="7" a="1"/>
  <c r="I60" i="7" s="1"/>
  <c r="I76" i="7" a="1"/>
  <c r="I76" i="7" s="1"/>
  <c r="I92" i="7" a="1"/>
  <c r="I92" i="7" s="1"/>
  <c r="I64" i="7" a="1"/>
  <c r="I64" i="7" s="1"/>
  <c r="I80" i="7" a="1"/>
  <c r="I80" i="7" s="1"/>
  <c r="I96" i="7" a="1"/>
  <c r="I96" i="7" s="1"/>
  <c r="I54" i="7" a="1"/>
  <c r="I54" i="7" s="1"/>
  <c r="I73" i="7" a="1"/>
  <c r="I73" i="7" s="1"/>
  <c r="I89" i="7" a="1"/>
  <c r="I89" i="7" s="1"/>
  <c r="I101" i="7" a="1"/>
  <c r="I101" i="7" s="1"/>
  <c r="I116" i="7" a="1"/>
  <c r="I116" i="7" s="1"/>
  <c r="I129" i="7" a="1"/>
  <c r="I129" i="7" s="1"/>
  <c r="I112" i="7" a="1"/>
  <c r="I112" i="7" s="1"/>
  <c r="I128" i="7" a="1"/>
  <c r="I128" i="7" s="1"/>
  <c r="I115" i="7" a="1"/>
  <c r="I115" i="7" s="1"/>
  <c r="I160" i="7" a="1"/>
  <c r="I160" i="7" s="1"/>
  <c r="I136" i="7" a="1"/>
  <c r="I136" i="7" s="1"/>
  <c r="I152" i="7" a="1"/>
  <c r="I152" i="7" s="1"/>
  <c r="I137" i="7" a="1"/>
  <c r="I137" i="7" s="1"/>
  <c r="I162" i="7" a="1"/>
  <c r="I162" i="7" s="1"/>
  <c r="I141" i="7" a="1"/>
  <c r="I141" i="7" s="1"/>
  <c r="I145" i="7" a="1"/>
  <c r="I145" i="7" s="1"/>
  <c r="I163" i="7" a="1"/>
  <c r="I163" i="7" s="1"/>
  <c r="I161" i="7" a="1"/>
  <c r="I161" i="7" s="1"/>
  <c r="I168" i="7" a="1"/>
  <c r="I168" i="7" s="1"/>
  <c r="I171" i="7" a="1"/>
  <c r="I171" i="7" s="1"/>
  <c r="I176" i="7" a="1"/>
  <c r="I176" i="7" s="1"/>
  <c r="I179" i="7" a="1"/>
  <c r="I179" i="7" s="1"/>
  <c r="I186" i="7" a="1"/>
  <c r="I186" i="7" s="1"/>
  <c r="I183" i="7" a="1"/>
  <c r="I183" i="7" s="1"/>
  <c r="I189" i="7" a="1"/>
  <c r="I189" i="7" s="1"/>
  <c r="I193" i="7" a="1"/>
  <c r="I193" i="7" s="1"/>
  <c r="I198" i="7" a="1"/>
  <c r="I198" i="7" s="1"/>
  <c r="E8" i="7" a="1"/>
  <c r="E8" i="7" s="1"/>
  <c r="E5" i="7" a="1"/>
  <c r="E5" i="7" s="1"/>
  <c r="E26" i="7" a="1"/>
  <c r="E26" i="7" s="1"/>
  <c r="E31" i="7" a="1"/>
  <c r="E31" i="7" s="1"/>
  <c r="E35" i="7" a="1"/>
  <c r="E35" i="7" s="1"/>
  <c r="E7" i="7" a="1"/>
  <c r="E7" i="7" s="1"/>
  <c r="E56" i="7" a="1"/>
  <c r="E56" i="7" s="1"/>
  <c r="E81" i="7" a="1"/>
  <c r="E81" i="7" s="1"/>
  <c r="E114" i="7" a="1"/>
  <c r="E114" i="7" s="1"/>
  <c r="E88" i="7" a="1"/>
  <c r="E88" i="7" s="1"/>
  <c r="E68" i="7" a="1"/>
  <c r="E68" i="7" s="1"/>
  <c r="E69" i="7" a="1"/>
  <c r="E69" i="7" s="1"/>
  <c r="E101" i="7" a="1"/>
  <c r="E101" i="7" s="1"/>
  <c r="E122" i="7" a="1"/>
  <c r="E122" i="7" s="1"/>
  <c r="E145" i="7" a="1"/>
  <c r="E145" i="7" s="1"/>
  <c r="E123" i="7" a="1"/>
  <c r="E123" i="7" s="1"/>
  <c r="E130" i="7" a="1"/>
  <c r="E130" i="7" s="1"/>
  <c r="E170" i="7" a="1"/>
  <c r="E170" i="7" s="1"/>
  <c r="E172" i="7" a="1"/>
  <c r="E172" i="7" s="1"/>
  <c r="E162" i="7" a="1"/>
  <c r="E162" i="7" s="1"/>
  <c r="E177" i="7" a="1"/>
  <c r="E177" i="7" s="1"/>
  <c r="E182" i="7" a="1"/>
  <c r="E182" i="7" s="1"/>
  <c r="E186" i="7" a="1"/>
  <c r="E186" i="7" s="1"/>
  <c r="E194" i="7" a="1"/>
  <c r="E194" i="7" s="1"/>
  <c r="S46" i="4"/>
  <c r="S10" i="4"/>
  <c r="J12" i="7" a="1"/>
  <c r="J12" i="7" s="1"/>
  <c r="J9" i="7" a="1"/>
  <c r="J9" i="7" s="1"/>
  <c r="J46" i="7" a="1"/>
  <c r="J46" i="7" s="1"/>
  <c r="J47" i="7" a="1"/>
  <c r="J47" i="7" s="1"/>
  <c r="J34" i="7" a="1"/>
  <c r="J34" i="7" s="1"/>
  <c r="J38" i="7" a="1"/>
  <c r="J38" i="7" s="1"/>
  <c r="J39" i="7" a="1"/>
  <c r="J39" i="7" s="1"/>
  <c r="J43" i="7" a="1"/>
  <c r="J43" i="7" s="1"/>
  <c r="J48" i="7" a="1"/>
  <c r="J48" i="7" s="1"/>
  <c r="J83" i="7" a="1"/>
  <c r="J83" i="7" s="1"/>
  <c r="J107" i="7" a="1"/>
  <c r="J107" i="7" s="1"/>
  <c r="J72" i="7" a="1"/>
  <c r="J72" i="7" s="1"/>
  <c r="J108" i="7" a="1"/>
  <c r="J108" i="7" s="1"/>
  <c r="J68" i="7" a="1"/>
  <c r="J68" i="7" s="1"/>
  <c r="J115" i="7" a="1"/>
  <c r="J115" i="7" s="1"/>
  <c r="J63" i="7" a="1"/>
  <c r="J63" i="7" s="1"/>
  <c r="J95" i="7" a="1"/>
  <c r="J95" i="7" s="1"/>
  <c r="J119" i="7" a="1"/>
  <c r="J119" i="7" s="1"/>
  <c r="J109" i="7" a="1"/>
  <c r="J109" i="7" s="1"/>
  <c r="J112" i="7" a="1"/>
  <c r="J112" i="7" s="1"/>
  <c r="J156" i="7" a="1"/>
  <c r="J156" i="7" s="1"/>
  <c r="J131" i="7" a="1"/>
  <c r="J131" i="7" s="1"/>
  <c r="J143" i="7" a="1"/>
  <c r="J143" i="7" s="1"/>
  <c r="J139" i="7" a="1"/>
  <c r="J139" i="7" s="1"/>
  <c r="J153" i="7" a="1"/>
  <c r="J153" i="7" s="1"/>
  <c r="J173" i="7" a="1"/>
  <c r="J173" i="7" s="1"/>
  <c r="J162" i="7" a="1"/>
  <c r="J162" i="7" s="1"/>
  <c r="J178" i="7" a="1"/>
  <c r="J178" i="7" s="1"/>
  <c r="J183" i="7" a="1"/>
  <c r="J183" i="7" s="1"/>
  <c r="J181" i="7" a="1"/>
  <c r="J181" i="7" s="1"/>
  <c r="I29" i="7" a="1"/>
  <c r="I29" i="7" s="1"/>
  <c r="I32" i="7" a="1"/>
  <c r="I32" i="7" s="1"/>
  <c r="I6" i="7" a="1"/>
  <c r="I6" i="7" s="1"/>
  <c r="I38" i="7" a="1"/>
  <c r="I38" i="7" s="1"/>
  <c r="I13" i="7" a="1"/>
  <c r="I13" i="7" s="1"/>
  <c r="I24" i="7" a="1"/>
  <c r="I24" i="7" s="1"/>
  <c r="I20" i="7" a="1"/>
  <c r="I20" i="7" s="1"/>
  <c r="I48" i="7" a="1"/>
  <c r="I48" i="7" s="1"/>
  <c r="I45" i="7" a="1"/>
  <c r="I45" i="7" s="1"/>
  <c r="I111" i="7" a="1"/>
  <c r="I111" i="7" s="1"/>
  <c r="I86" i="7" a="1"/>
  <c r="I86" i="7" s="1"/>
  <c r="I91" i="7" a="1"/>
  <c r="I91" i="7" s="1"/>
  <c r="I63" i="7" a="1"/>
  <c r="I63" i="7" s="1"/>
  <c r="I95" i="7" a="1"/>
  <c r="I95" i="7" s="1"/>
  <c r="I121" i="7" a="1"/>
  <c r="I121" i="7" s="1"/>
  <c r="I82" i="7" a="1"/>
  <c r="I82" i="7" s="1"/>
  <c r="I109" i="7" a="1"/>
  <c r="I109" i="7" s="1"/>
  <c r="I126" i="7" a="1"/>
  <c r="I126" i="7" s="1"/>
  <c r="I124" i="7" a="1"/>
  <c r="I124" i="7" s="1"/>
  <c r="I114" i="7" a="1"/>
  <c r="I114" i="7" s="1"/>
  <c r="I140" i="7" a="1"/>
  <c r="I140" i="7" s="1"/>
  <c r="I149" i="7" a="1"/>
  <c r="I149" i="7" s="1"/>
  <c r="I150" i="7" a="1"/>
  <c r="I150" i="7" s="1"/>
  <c r="I167" i="7" a="1"/>
  <c r="I167" i="7" s="1"/>
  <c r="I154" i="7" a="1"/>
  <c r="I154" i="7" s="1"/>
  <c r="I158" i="7" a="1"/>
  <c r="I158" i="7" s="1"/>
  <c r="I170" i="7" a="1"/>
  <c r="I170" i="7" s="1"/>
  <c r="I178" i="7" a="1"/>
  <c r="I178" i="7" s="1"/>
  <c r="I185" i="7" a="1"/>
  <c r="I185" i="7" s="1"/>
  <c r="I192" i="7" a="1"/>
  <c r="I192" i="7" s="1"/>
  <c r="E43" i="7" a="1"/>
  <c r="E43" i="7" s="1"/>
  <c r="E11" i="7" a="1"/>
  <c r="E11" i="7" s="1"/>
  <c r="E41" i="7" a="1"/>
  <c r="E41" i="7" s="1"/>
  <c r="E14" i="7" a="1"/>
  <c r="E14" i="7" s="1"/>
  <c r="E29" i="7" a="1"/>
  <c r="E29" i="7" s="1"/>
  <c r="E36" i="7" a="1"/>
  <c r="E36" i="7" s="1"/>
  <c r="E4" i="7" a="1"/>
  <c r="E4" i="7" s="1"/>
  <c r="E45" i="7" a="1"/>
  <c r="E45" i="7" s="1"/>
  <c r="E58" i="7" a="1"/>
  <c r="E58" i="7" s="1"/>
  <c r="E90" i="7" a="1"/>
  <c r="E90" i="7" s="1"/>
  <c r="E66" i="7" a="1"/>
  <c r="E66" i="7" s="1"/>
  <c r="E79" i="7" a="1"/>
  <c r="E79" i="7" s="1"/>
  <c r="E95" i="7" a="1"/>
  <c r="E95" i="7" s="1"/>
  <c r="E75" i="7" a="1"/>
  <c r="E75" i="7" s="1"/>
  <c r="E117" i="7" a="1"/>
  <c r="E117" i="7" s="1"/>
  <c r="E70" i="7" a="1"/>
  <c r="E70" i="7" s="1"/>
  <c r="E107" i="7" a="1"/>
  <c r="E107" i="7" s="1"/>
  <c r="E112" i="7" a="1"/>
  <c r="E112" i="7" s="1"/>
  <c r="E120" i="7" a="1"/>
  <c r="E120" i="7" s="1"/>
  <c r="E148" i="7" a="1"/>
  <c r="E148" i="7" s="1"/>
  <c r="E127" i="7" a="1"/>
  <c r="E127" i="7" s="1"/>
  <c r="E132" i="7" a="1"/>
  <c r="E132" i="7" s="1"/>
  <c r="E147" i="7" a="1"/>
  <c r="E147" i="7" s="1"/>
  <c r="E138" i="7" a="1"/>
  <c r="E138" i="7" s="1"/>
  <c r="E157" i="7" a="1"/>
  <c r="E157" i="7" s="1"/>
  <c r="E171" i="7" a="1"/>
  <c r="E171" i="7" s="1"/>
  <c r="E173" i="7" a="1"/>
  <c r="E173" i="7" s="1"/>
  <c r="E178" i="7" a="1"/>
  <c r="E178" i="7" s="1"/>
  <c r="E176" i="7" a="1"/>
  <c r="E176" i="7" s="1"/>
  <c r="E198" i="7" a="1"/>
  <c r="E198" i="7" s="1"/>
  <c r="E192" i="7" a="1"/>
  <c r="E192" i="7" s="1"/>
  <c r="E195" i="7" a="1"/>
  <c r="E195" i="7" s="1"/>
  <c r="S62" i="4"/>
  <c r="S66" i="4"/>
  <c r="S60" i="4"/>
  <c r="F200" i="7" a="1"/>
  <c r="F200" i="7" s="1"/>
  <c r="F199" i="7" a="1"/>
  <c r="F199" i="7" s="1"/>
  <c r="F192" i="7" a="1"/>
  <c r="F192" i="7" s="1"/>
  <c r="F198" i="7" a="1"/>
  <c r="F198" i="7" s="1"/>
  <c r="F197" i="7" a="1"/>
  <c r="F197" i="7" s="1"/>
  <c r="F194" i="7" a="1"/>
  <c r="F194" i="7" s="1"/>
  <c r="F185" i="7" a="1"/>
  <c r="F185" i="7" s="1"/>
  <c r="F195" i="7" a="1"/>
  <c r="F195" i="7" s="1"/>
  <c r="F191" i="7" a="1"/>
  <c r="F191" i="7" s="1"/>
  <c r="F190" i="7" a="1"/>
  <c r="F190" i="7" s="1"/>
  <c r="F188" i="7" a="1"/>
  <c r="F188" i="7" s="1"/>
  <c r="F184" i="7" a="1"/>
  <c r="F184" i="7" s="1"/>
  <c r="F193" i="7" a="1"/>
  <c r="F193" i="7" s="1"/>
  <c r="F189" i="7" a="1"/>
  <c r="F189" i="7" s="1"/>
  <c r="F181" i="7" a="1"/>
  <c r="F181" i="7" s="1"/>
  <c r="F187" i="7" a="1"/>
  <c r="F187" i="7" s="1"/>
  <c r="F183" i="7" a="1"/>
  <c r="F183" i="7" s="1"/>
  <c r="F196" i="7" a="1"/>
  <c r="F196" i="7" s="1"/>
  <c r="F186" i="7" a="1"/>
  <c r="F186" i="7" s="1"/>
  <c r="F180" i="7" a="1"/>
  <c r="F180" i="7" s="1"/>
  <c r="F173" i="7" a="1"/>
  <c r="F173" i="7" s="1"/>
  <c r="F179" i="7" a="1"/>
  <c r="F179" i="7" s="1"/>
  <c r="F178" i="7" a="1"/>
  <c r="F178" i="7" s="1"/>
  <c r="F175" i="7" a="1"/>
  <c r="F175" i="7" s="1"/>
  <c r="F174" i="7" a="1"/>
  <c r="F174" i="7" s="1"/>
  <c r="F182" i="7" a="1"/>
  <c r="F182" i="7" s="1"/>
  <c r="F166" i="7" a="1"/>
  <c r="F166" i="7" s="1"/>
  <c r="F165" i="7" a="1"/>
  <c r="F165" i="7" s="1"/>
  <c r="F176" i="7" a="1"/>
  <c r="F176" i="7" s="1"/>
  <c r="F172" i="7" a="1"/>
  <c r="F172" i="7" s="1"/>
  <c r="F171" i="7" a="1"/>
  <c r="F171" i="7" s="1"/>
  <c r="F169" i="7" a="1"/>
  <c r="F169" i="7" s="1"/>
  <c r="F164" i="7" a="1"/>
  <c r="F164" i="7" s="1"/>
  <c r="F161" i="7" a="1"/>
  <c r="F161" i="7" s="1"/>
  <c r="F159" i="7" a="1"/>
  <c r="F159" i="7" s="1"/>
  <c r="F158" i="7" a="1"/>
  <c r="F158" i="7" s="1"/>
  <c r="F167" i="7" a="1"/>
  <c r="F167" i="7" s="1"/>
  <c r="F163" i="7" a="1"/>
  <c r="F163" i="7" s="1"/>
  <c r="F157" i="7" a="1"/>
  <c r="F157" i="7" s="1"/>
  <c r="F156" i="7" a="1"/>
  <c r="F156" i="7" s="1"/>
  <c r="F177" i="7" a="1"/>
  <c r="F177" i="7" s="1"/>
  <c r="F170" i="7" a="1"/>
  <c r="F170" i="7" s="1"/>
  <c r="F155" i="7" a="1"/>
  <c r="F155" i="7" s="1"/>
  <c r="F154" i="7" a="1"/>
  <c r="F154" i="7" s="1"/>
  <c r="F147" i="7" a="1"/>
  <c r="F147" i="7" s="1"/>
  <c r="F146" i="7" a="1"/>
  <c r="F146" i="7" s="1"/>
  <c r="F153" i="7" a="1"/>
  <c r="F153" i="7" s="1"/>
  <c r="F151" i="7" a="1"/>
  <c r="F151" i="7" s="1"/>
  <c r="F148" i="7" a="1"/>
  <c r="F148" i="7" s="1"/>
  <c r="F145" i="7" a="1"/>
  <c r="F145" i="7" s="1"/>
  <c r="F143" i="7" a="1"/>
  <c r="F143" i="7" s="1"/>
  <c r="F142" i="7" a="1"/>
  <c r="F142" i="7" s="1"/>
  <c r="F134" i="7" a="1"/>
  <c r="F134" i="7" s="1"/>
  <c r="F132" i="7" a="1"/>
  <c r="F132" i="7" s="1"/>
  <c r="F160" i="7" a="1"/>
  <c r="F160" i="7" s="1"/>
  <c r="F139" i="7" a="1"/>
  <c r="F139" i="7" s="1"/>
  <c r="F138" i="7" a="1"/>
  <c r="F138" i="7" s="1"/>
  <c r="F135" i="7" a="1"/>
  <c r="F135" i="7" s="1"/>
  <c r="F133" i="7" a="1"/>
  <c r="F133" i="7" s="1"/>
  <c r="F131" i="7" a="1"/>
  <c r="F131" i="7" s="1"/>
  <c r="F129" i="7" a="1"/>
  <c r="F129" i="7" s="1"/>
  <c r="F162" i="7" a="1"/>
  <c r="F162" i="7" s="1"/>
  <c r="F149" i="7" a="1"/>
  <c r="F149" i="7" s="1"/>
  <c r="F144" i="7" a="1"/>
  <c r="F144" i="7" s="1"/>
  <c r="F137" i="7" a="1"/>
  <c r="F137" i="7" s="1"/>
  <c r="F136" i="7" a="1"/>
  <c r="F136" i="7" s="1"/>
  <c r="F150" i="7" a="1"/>
  <c r="F150" i="7" s="1"/>
  <c r="F140" i="7" a="1"/>
  <c r="F140" i="7" s="1"/>
  <c r="F168" i="7" a="1"/>
  <c r="F168" i="7" s="1"/>
  <c r="F141" i="7" a="1"/>
  <c r="F141" i="7" s="1"/>
  <c r="F152" i="7" a="1"/>
  <c r="F152" i="7" s="1"/>
  <c r="F130" i="7" a="1"/>
  <c r="F130" i="7" s="1"/>
  <c r="F128" i="7" a="1"/>
  <c r="F128" i="7" s="1"/>
  <c r="F124" i="7" a="1"/>
  <c r="F124" i="7" s="1"/>
  <c r="F120" i="7" a="1"/>
  <c r="F120" i="7" s="1"/>
  <c r="F116" i="7" a="1"/>
  <c r="F116" i="7" s="1"/>
  <c r="F115" i="7" a="1"/>
  <c r="F115" i="7" s="1"/>
  <c r="F108" i="7" a="1"/>
  <c r="F108" i="7" s="1"/>
  <c r="F107" i="7" a="1"/>
  <c r="F107" i="7" s="1"/>
  <c r="F100" i="7" a="1"/>
  <c r="F100" i="7" s="1"/>
  <c r="F125" i="7" a="1"/>
  <c r="F125" i="7" s="1"/>
  <c r="F121" i="7" a="1"/>
  <c r="F121" i="7" s="1"/>
  <c r="F117" i="7" a="1"/>
  <c r="F117" i="7" s="1"/>
  <c r="F114" i="7" a="1"/>
  <c r="F114" i="7" s="1"/>
  <c r="F113" i="7" a="1"/>
  <c r="F113" i="7" s="1"/>
  <c r="F106" i="7" a="1"/>
  <c r="F106" i="7" s="1"/>
  <c r="F105" i="7" a="1"/>
  <c r="F105" i="7" s="1"/>
  <c r="F127" i="7" a="1"/>
  <c r="F127" i="7" s="1"/>
  <c r="F123" i="7" a="1"/>
  <c r="F123" i="7" s="1"/>
  <c r="F119" i="7" a="1"/>
  <c r="F119" i="7" s="1"/>
  <c r="F110" i="7" a="1"/>
  <c r="F110" i="7" s="1"/>
  <c r="F109" i="7" a="1"/>
  <c r="F109" i="7" s="1"/>
  <c r="F102" i="7" a="1"/>
  <c r="F102" i="7" s="1"/>
  <c r="F118" i="7" a="1"/>
  <c r="F118" i="7" s="1"/>
  <c r="F112" i="7" a="1"/>
  <c r="F112" i="7" s="1"/>
  <c r="F103" i="7" a="1"/>
  <c r="F103" i="7" s="1"/>
  <c r="F99" i="7" a="1"/>
  <c r="F99" i="7" s="1"/>
  <c r="F98" i="7" a="1"/>
  <c r="F98" i="7" s="1"/>
  <c r="F91" i="7" a="1"/>
  <c r="F91" i="7" s="1"/>
  <c r="F90" i="7" a="1"/>
  <c r="F90" i="7" s="1"/>
  <c r="F83" i="7" a="1"/>
  <c r="F83" i="7" s="1"/>
  <c r="F82" i="7" a="1"/>
  <c r="F82" i="7" s="1"/>
  <c r="F75" i="7" a="1"/>
  <c r="F75" i="7" s="1"/>
  <c r="F74" i="7" a="1"/>
  <c r="F74" i="7" s="1"/>
  <c r="F67" i="7" a="1"/>
  <c r="F67" i="7" s="1"/>
  <c r="F66" i="7" a="1"/>
  <c r="F66" i="7" s="1"/>
  <c r="F59" i="7" a="1"/>
  <c r="F59" i="7" s="1"/>
  <c r="F58" i="7" a="1"/>
  <c r="F58" i="7" s="1"/>
  <c r="F122" i="7" a="1"/>
  <c r="F122" i="7" s="1"/>
  <c r="F104" i="7" a="1"/>
  <c r="F104" i="7" s="1"/>
  <c r="F97" i="7" a="1"/>
  <c r="F97" i="7" s="1"/>
  <c r="F96" i="7" a="1"/>
  <c r="F96" i="7" s="1"/>
  <c r="F89" i="7" a="1"/>
  <c r="F89" i="7" s="1"/>
  <c r="F88" i="7" a="1"/>
  <c r="F88" i="7" s="1"/>
  <c r="F81" i="7" a="1"/>
  <c r="F81" i="7" s="1"/>
  <c r="F80" i="7" a="1"/>
  <c r="F80" i="7" s="1"/>
  <c r="F73" i="7" a="1"/>
  <c r="F73" i="7" s="1"/>
  <c r="F72" i="7" a="1"/>
  <c r="F72" i="7" s="1"/>
  <c r="F65" i="7" a="1"/>
  <c r="F65" i="7" s="1"/>
  <c r="F64" i="7" a="1"/>
  <c r="F64" i="7" s="1"/>
  <c r="F111" i="7" a="1"/>
  <c r="F111" i="7" s="1"/>
  <c r="F101" i="7" a="1"/>
  <c r="F101" i="7" s="1"/>
  <c r="F93" i="7" a="1"/>
  <c r="F93" i="7" s="1"/>
  <c r="F92" i="7" a="1"/>
  <c r="F92" i="7" s="1"/>
  <c r="F85" i="7" a="1"/>
  <c r="F85" i="7" s="1"/>
  <c r="F84" i="7" a="1"/>
  <c r="F84" i="7" s="1"/>
  <c r="F77" i="7" a="1"/>
  <c r="F77" i="7" s="1"/>
  <c r="F76" i="7" a="1"/>
  <c r="F76" i="7" s="1"/>
  <c r="F69" i="7" a="1"/>
  <c r="F69" i="7" s="1"/>
  <c r="F68" i="7" a="1"/>
  <c r="F68" i="7" s="1"/>
  <c r="F61" i="7" a="1"/>
  <c r="F61" i="7" s="1"/>
  <c r="F60" i="7" a="1"/>
  <c r="F60" i="7" s="1"/>
  <c r="F126" i="7" a="1"/>
  <c r="F126" i="7" s="1"/>
  <c r="F94" i="7" a="1"/>
  <c r="F94" i="7" s="1"/>
  <c r="F71" i="7" a="1"/>
  <c r="F71" i="7" s="1"/>
  <c r="F62" i="7" a="1"/>
  <c r="F62" i="7" s="1"/>
  <c r="F53" i="7" a="1"/>
  <c r="F53" i="7" s="1"/>
  <c r="F47" i="7" a="1"/>
  <c r="F47" i="7" s="1"/>
  <c r="F95" i="7" a="1"/>
  <c r="F95" i="7" s="1"/>
  <c r="F86" i="7" a="1"/>
  <c r="F86" i="7" s="1"/>
  <c r="F63" i="7" a="1"/>
  <c r="F63" i="7" s="1"/>
  <c r="F57" i="7" a="1"/>
  <c r="F57" i="7" s="1"/>
  <c r="F56" i="7" a="1"/>
  <c r="F56" i="7" s="1"/>
  <c r="F79" i="7" a="1"/>
  <c r="F79" i="7" s="1"/>
  <c r="F70" i="7" a="1"/>
  <c r="F70" i="7" s="1"/>
  <c r="F54" i="7" a="1"/>
  <c r="F54" i="7" s="1"/>
  <c r="F50" i="7" a="1"/>
  <c r="F50" i="7" s="1"/>
  <c r="F48" i="7" a="1"/>
  <c r="F48" i="7" s="1"/>
  <c r="F45" i="7" a="1"/>
  <c r="F45" i="7" s="1"/>
  <c r="F35" i="7" a="1"/>
  <c r="F35" i="7" s="1"/>
  <c r="F31" i="7" a="1"/>
  <c r="F31" i="7" s="1"/>
  <c r="F16" i="7" a="1"/>
  <c r="F16" i="7" s="1"/>
  <c r="F15" i="7" a="1"/>
  <c r="F15" i="7" s="1"/>
  <c r="F32" i="7" a="1"/>
  <c r="F32" i="7" s="1"/>
  <c r="F26" i="7" a="1"/>
  <c r="F26" i="7" s="1"/>
  <c r="F49" i="7" a="1"/>
  <c r="F49" i="7" s="1"/>
  <c r="F46" i="7" a="1"/>
  <c r="F46" i="7" s="1"/>
  <c r="F28" i="7" a="1"/>
  <c r="F28" i="7" s="1"/>
  <c r="F27" i="7" a="1"/>
  <c r="F27" i="7" s="1"/>
  <c r="F87" i="7" a="1"/>
  <c r="F87" i="7" s="1"/>
  <c r="F78" i="7" a="1"/>
  <c r="F78" i="7" s="1"/>
  <c r="F44" i="7" a="1"/>
  <c r="F44" i="7" s="1"/>
  <c r="F30" i="7" a="1"/>
  <c r="F30" i="7" s="1"/>
  <c r="F24" i="7" a="1"/>
  <c r="F24" i="7" s="1"/>
  <c r="F14" i="7" a="1"/>
  <c r="F14" i="7" s="1"/>
  <c r="F9" i="7" a="1"/>
  <c r="F9" i="7" s="1"/>
  <c r="F20" i="7" a="1"/>
  <c r="F20" i="7" s="1"/>
  <c r="F13" i="7" a="1"/>
  <c r="F13" i="7" s="1"/>
  <c r="F41" i="7" a="1"/>
  <c r="F41" i="7" s="1"/>
  <c r="F40" i="7" a="1"/>
  <c r="F40" i="7" s="1"/>
  <c r="F25" i="7" a="1"/>
  <c r="F25" i="7" s="1"/>
  <c r="F23" i="7" a="1"/>
  <c r="F23" i="7" s="1"/>
  <c r="F51" i="7" a="1"/>
  <c r="F51" i="7" s="1"/>
  <c r="F43" i="7" a="1"/>
  <c r="F43" i="7" s="1"/>
  <c r="F42" i="7" a="1"/>
  <c r="F42" i="7" s="1"/>
  <c r="F22" i="7" a="1"/>
  <c r="F22" i="7" s="1"/>
  <c r="F21" i="7" a="1"/>
  <c r="F21" i="7" s="1"/>
  <c r="F8" i="7" a="1"/>
  <c r="F8" i="7" s="1"/>
  <c r="F7" i="7" a="1"/>
  <c r="F7" i="7" s="1"/>
  <c r="F11" i="7" a="1"/>
  <c r="F11" i="7" s="1"/>
  <c r="F10" i="7" a="1"/>
  <c r="F10" i="7" s="1"/>
  <c r="F39" i="7" a="1"/>
  <c r="F39" i="7" s="1"/>
  <c r="F37" i="7" a="1"/>
  <c r="F37" i="7" s="1"/>
  <c r="F19" i="7" a="1"/>
  <c r="F19" i="7" s="1"/>
  <c r="F12" i="7" a="1"/>
  <c r="F12" i="7" s="1"/>
  <c r="F55" i="7" a="1"/>
  <c r="F55" i="7" s="1"/>
  <c r="F36" i="7" a="1"/>
  <c r="F36" i="7" s="1"/>
  <c r="F4" i="7" a="1"/>
  <c r="F4" i="7" s="1"/>
  <c r="F29" i="7" a="1"/>
  <c r="F29" i="7" s="1"/>
  <c r="F18" i="7" a="1"/>
  <c r="F18" i="7" s="1"/>
  <c r="F33" i="7" a="1"/>
  <c r="F33" i="7" s="1"/>
  <c r="F3" i="7" a="1"/>
  <c r="F3" i="7" s="1"/>
  <c r="F52" i="7" a="1"/>
  <c r="F52" i="7" s="1"/>
  <c r="F6" i="7" a="1"/>
  <c r="F6" i="7" s="1"/>
  <c r="F5" i="7" a="1"/>
  <c r="F5" i="7" s="1"/>
  <c r="F34" i="7" a="1"/>
  <c r="F34" i="7" s="1"/>
  <c r="F38" i="7" a="1"/>
  <c r="F38" i="7" s="1"/>
  <c r="F17" i="7" a="1"/>
  <c r="F17" i="7" s="1"/>
  <c r="E39" i="7" a="1"/>
  <c r="E39" i="7" s="1"/>
  <c r="E9" i="7" a="1"/>
  <c r="E9" i="7" s="1"/>
  <c r="E44" i="7" a="1"/>
  <c r="E44" i="7" s="1"/>
  <c r="E46" i="7" a="1"/>
  <c r="E46" i="7" s="1"/>
  <c r="E15" i="7" a="1"/>
  <c r="E15" i="7" s="1"/>
  <c r="E73" i="7" a="1"/>
  <c r="E73" i="7" s="1"/>
  <c r="E49" i="7" a="1"/>
  <c r="E49" i="7" s="1"/>
  <c r="E16" i="7" a="1"/>
  <c r="E16" i="7" s="1"/>
  <c r="E57" i="7" a="1"/>
  <c r="E57" i="7" s="1"/>
  <c r="E10" i="7" a="1"/>
  <c r="E10" i="7" s="1"/>
  <c r="E21" i="7" a="1"/>
  <c r="E21" i="7" s="1"/>
  <c r="E121" i="7" a="1"/>
  <c r="E121" i="7" s="1"/>
  <c r="E65" i="7" a="1"/>
  <c r="E65" i="7" s="1"/>
  <c r="E48" i="7" a="1"/>
  <c r="E48" i="7" s="1"/>
  <c r="E50" i="7" a="1"/>
  <c r="E50" i="7" s="1"/>
  <c r="E89" i="7" a="1"/>
  <c r="E89" i="7" s="1"/>
  <c r="E64" i="7" a="1"/>
  <c r="E64" i="7" s="1"/>
  <c r="E80" i="7" a="1"/>
  <c r="E80" i="7" s="1"/>
  <c r="E96" i="7" a="1"/>
  <c r="E96" i="7" s="1"/>
  <c r="E60" i="7" a="1"/>
  <c r="E60" i="7" s="1"/>
  <c r="E76" i="7" a="1"/>
  <c r="E76" i="7" s="1"/>
  <c r="E92" i="7" a="1"/>
  <c r="E92" i="7" s="1"/>
  <c r="E61" i="7" a="1"/>
  <c r="E61" i="7" s="1"/>
  <c r="E77" i="7" a="1"/>
  <c r="E77" i="7" s="1"/>
  <c r="E93" i="7" a="1"/>
  <c r="E93" i="7" s="1"/>
  <c r="E129" i="7" a="1"/>
  <c r="E129" i="7" s="1"/>
  <c r="E113" i="7" a="1"/>
  <c r="E113" i="7" s="1"/>
  <c r="E108" i="7" a="1"/>
  <c r="E108" i="7" s="1"/>
  <c r="E124" i="7" a="1"/>
  <c r="E124" i="7" s="1"/>
  <c r="E151" i="7" a="1"/>
  <c r="E151" i="7" s="1"/>
  <c r="E111" i="7" a="1"/>
  <c r="E111" i="7" s="1"/>
  <c r="E136" i="7" a="1"/>
  <c r="E136" i="7" s="1"/>
  <c r="E140" i="7" a="1"/>
  <c r="E140" i="7" s="1"/>
  <c r="E134" i="7" a="1"/>
  <c r="E134" i="7" s="1"/>
  <c r="E155" i="7" a="1"/>
  <c r="E155" i="7" s="1"/>
  <c r="E133" i="7" a="1"/>
  <c r="E133" i="7" s="1"/>
  <c r="E146" i="7" a="1"/>
  <c r="E146" i="7" s="1"/>
  <c r="E158" i="7" a="1"/>
  <c r="E158" i="7" s="1"/>
  <c r="E159" i="7" a="1"/>
  <c r="E159" i="7" s="1"/>
  <c r="E153" i="7" a="1"/>
  <c r="E153" i="7" s="1"/>
  <c r="E166" i="7" a="1"/>
  <c r="E166" i="7" s="1"/>
  <c r="E168" i="7" a="1"/>
  <c r="E168" i="7" s="1"/>
  <c r="E174" i="7" a="1"/>
  <c r="E174" i="7" s="1"/>
  <c r="E180" i="7" a="1"/>
  <c r="E180" i="7" s="1"/>
  <c r="E183" i="7" a="1"/>
  <c r="E183" i="7" s="1"/>
  <c r="E197" i="7" a="1"/>
  <c r="E197" i="7" s="1"/>
  <c r="E187" i="7" a="1"/>
  <c r="E187" i="7" s="1"/>
  <c r="E193" i="7" a="1"/>
  <c r="E193" i="7" s="1"/>
  <c r="S58" i="4"/>
  <c r="S42" i="4"/>
  <c r="J13" i="7" a="1"/>
  <c r="J13" i="7" s="1"/>
  <c r="J41" i="7" a="1"/>
  <c r="J41" i="7" s="1"/>
  <c r="J44" i="7" a="1"/>
  <c r="J44" i="7" s="1"/>
  <c r="J27" i="7" a="1"/>
  <c r="J27" i="7" s="1"/>
  <c r="J26" i="7" a="1"/>
  <c r="J26" i="7" s="1"/>
  <c r="J31" i="7" a="1"/>
  <c r="J31" i="7" s="1"/>
  <c r="J75" i="7" a="1"/>
  <c r="J75" i="7" s="1"/>
  <c r="J4" i="7" a="1"/>
  <c r="J4" i="7" s="1"/>
  <c r="J18" i="7" a="1"/>
  <c r="J18" i="7" s="1"/>
  <c r="J19" i="7" a="1"/>
  <c r="J19" i="7" s="1"/>
  <c r="J11" i="7" a="1"/>
  <c r="J11" i="7" s="1"/>
  <c r="J22" i="7" a="1"/>
  <c r="J22" i="7" s="1"/>
  <c r="J56" i="7" a="1"/>
  <c r="J56" i="7" s="1"/>
  <c r="J90" i="7" a="1"/>
  <c r="J90" i="7" s="1"/>
  <c r="J58" i="7" a="1"/>
  <c r="J58" i="7" s="1"/>
  <c r="J55" i="7" a="1"/>
  <c r="J55" i="7" s="1"/>
  <c r="J91" i="7" a="1"/>
  <c r="J91" i="7" s="1"/>
  <c r="J64" i="7" a="1"/>
  <c r="J64" i="7" s="1"/>
  <c r="J80" i="7" a="1"/>
  <c r="J80" i="7" s="1"/>
  <c r="J96" i="7" a="1"/>
  <c r="J96" i="7" s="1"/>
  <c r="J60" i="7" a="1"/>
  <c r="J60" i="7" s="1"/>
  <c r="J76" i="7" a="1"/>
  <c r="J76" i="7" s="1"/>
  <c r="J92" i="7" a="1"/>
  <c r="J92" i="7" s="1"/>
  <c r="J144" i="7" a="1"/>
  <c r="J144" i="7" s="1"/>
  <c r="J71" i="7" a="1"/>
  <c r="J71" i="7" s="1"/>
  <c r="J87" i="7" a="1"/>
  <c r="J87" i="7" s="1"/>
  <c r="J122" i="7" a="1"/>
  <c r="J122" i="7" s="1"/>
  <c r="J113" i="7" a="1"/>
  <c r="J113" i="7" s="1"/>
  <c r="J127" i="7" a="1"/>
  <c r="J127" i="7" s="1"/>
  <c r="J117" i="7" a="1"/>
  <c r="J117" i="7" s="1"/>
  <c r="J104" i="7" a="1"/>
  <c r="J104" i="7" s="1"/>
  <c r="J124" i="7" a="1"/>
  <c r="J124" i="7" s="1"/>
  <c r="J137" i="7" a="1"/>
  <c r="J137" i="7" s="1"/>
  <c r="J148" i="7" a="1"/>
  <c r="J148" i="7" s="1"/>
  <c r="J135" i="7" a="1"/>
  <c r="J135" i="7" s="1"/>
  <c r="J149" i="7" a="1"/>
  <c r="J149" i="7" s="1"/>
  <c r="J134" i="7" a="1"/>
  <c r="J134" i="7" s="1"/>
  <c r="J150" i="7" a="1"/>
  <c r="J150" i="7" s="1"/>
  <c r="J165" i="7" a="1"/>
  <c r="J165" i="7" s="1"/>
  <c r="J163" i="7" a="1"/>
  <c r="J163" i="7" s="1"/>
  <c r="J155" i="7" a="1"/>
  <c r="J155" i="7" s="1"/>
  <c r="J168" i="7" a="1"/>
  <c r="J168" i="7" s="1"/>
  <c r="J170" i="7" a="1"/>
  <c r="J170" i="7" s="1"/>
  <c r="J175" i="7" a="1"/>
  <c r="J175" i="7" s="1"/>
  <c r="J180" i="7" a="1"/>
  <c r="J180" i="7" s="1"/>
  <c r="J184" i="7" a="1"/>
  <c r="J184" i="7" s="1"/>
  <c r="J197" i="7" a="1"/>
  <c r="J197" i="7" s="1"/>
  <c r="J199" i="7" a="1"/>
  <c r="J199" i="7" s="1"/>
  <c r="I70" i="7" a="1"/>
  <c r="I70" i="7" s="1"/>
  <c r="I36" i="7" a="1"/>
  <c r="I36" i="7" s="1"/>
  <c r="I52" i="7" a="1"/>
  <c r="I52" i="7" s="1"/>
  <c r="I5" i="7" a="1"/>
  <c r="I5" i="7" s="1"/>
  <c r="I4" i="7" a="1"/>
  <c r="I4" i="7" s="1"/>
  <c r="I18" i="7" a="1"/>
  <c r="I18" i="7" s="1"/>
  <c r="I93" i="7" a="1"/>
  <c r="I93" i="7" s="1"/>
  <c r="I40" i="7" a="1"/>
  <c r="I40" i="7" s="1"/>
  <c r="I9" i="7" a="1"/>
  <c r="I9" i="7" s="1"/>
  <c r="I44" i="7" a="1"/>
  <c r="I44" i="7" s="1"/>
  <c r="I41" i="7" a="1"/>
  <c r="I41" i="7" s="1"/>
  <c r="I14" i="7" a="1"/>
  <c r="I14" i="7" s="1"/>
  <c r="I50" i="7" a="1"/>
  <c r="I50" i="7" s="1"/>
  <c r="I85" i="7" a="1"/>
  <c r="I85" i="7" s="1"/>
  <c r="I56" i="7" a="1"/>
  <c r="I56" i="7" s="1"/>
  <c r="I78" i="7" a="1"/>
  <c r="I78" i="7" s="1"/>
  <c r="I57" i="7" a="1"/>
  <c r="I57" i="7" s="1"/>
  <c r="I67" i="7" a="1"/>
  <c r="I67" i="7" s="1"/>
  <c r="I83" i="7" a="1"/>
  <c r="I83" i="7" s="1"/>
  <c r="I99" i="7" a="1"/>
  <c r="I99" i="7" s="1"/>
  <c r="I71" i="7" a="1"/>
  <c r="I71" i="7" s="1"/>
  <c r="I87" i="7" a="1"/>
  <c r="I87" i="7" s="1"/>
  <c r="I100" i="7" a="1"/>
  <c r="I100" i="7" s="1"/>
  <c r="I58" i="7" a="1"/>
  <c r="I58" i="7" s="1"/>
  <c r="I74" i="7" a="1"/>
  <c r="I74" i="7" s="1"/>
  <c r="I90" i="7" a="1"/>
  <c r="I90" i="7" s="1"/>
  <c r="I117" i="7" a="1"/>
  <c r="I117" i="7" s="1"/>
  <c r="I118" i="7" a="1"/>
  <c r="I118" i="7" s="1"/>
  <c r="I139" i="7" a="1"/>
  <c r="I139" i="7" s="1"/>
  <c r="I113" i="7" a="1"/>
  <c r="I113" i="7" s="1"/>
  <c r="I106" i="7" a="1"/>
  <c r="I106" i="7" s="1"/>
  <c r="I119" i="7" a="1"/>
  <c r="I119" i="7" s="1"/>
  <c r="I148" i="7" a="1"/>
  <c r="I148" i="7" s="1"/>
  <c r="I143" i="7" a="1"/>
  <c r="I143" i="7" s="1"/>
  <c r="I130" i="7" a="1"/>
  <c r="I130" i="7" s="1"/>
  <c r="I138" i="7" a="1"/>
  <c r="I138" i="7" s="1"/>
  <c r="I131" i="7" a="1"/>
  <c r="I131" i="7" s="1"/>
  <c r="I142" i="7" a="1"/>
  <c r="I142" i="7" s="1"/>
  <c r="I146" i="7" a="1"/>
  <c r="I146" i="7" s="1"/>
  <c r="I169" i="7" a="1"/>
  <c r="I169" i="7" s="1"/>
  <c r="I166" i="7" a="1"/>
  <c r="I166" i="7" s="1"/>
  <c r="I173" i="7" a="1"/>
  <c r="I173" i="7" s="1"/>
  <c r="I164" i="7" a="1"/>
  <c r="I164" i="7" s="1"/>
  <c r="I174" i="7" a="1"/>
  <c r="I174" i="7" s="1"/>
  <c r="I182" i="7" a="1"/>
  <c r="I182" i="7" s="1"/>
  <c r="I195" i="7" a="1"/>
  <c r="I195" i="7" s="1"/>
  <c r="I184" i="7" a="1"/>
  <c r="I184" i="7" s="1"/>
  <c r="I190" i="7" a="1"/>
  <c r="I190" i="7" s="1"/>
  <c r="I200" i="7" a="1"/>
  <c r="I200" i="7" s="1"/>
  <c r="R30" i="7" l="1" a="1"/>
  <c r="R30" i="7" s="1"/>
  <c r="R198" i="7" a="1"/>
  <c r="R198" i="7" s="1"/>
  <c r="R185" i="7" a="1"/>
  <c r="R185" i="7" s="1"/>
  <c r="R135" i="7" a="1"/>
  <c r="R135" i="7" s="1"/>
  <c r="R59" i="7" a="1"/>
  <c r="R59" i="7" s="1"/>
  <c r="R139" i="7" a="1"/>
  <c r="R139" i="7" s="1"/>
  <c r="R157" i="7" a="1"/>
  <c r="R157" i="7" s="1"/>
  <c r="R21" i="7" a="1"/>
  <c r="R21" i="7" s="1"/>
  <c r="R141" i="7" a="1"/>
  <c r="R141" i="7" s="1"/>
  <c r="R11" i="7" a="1"/>
  <c r="R11" i="7" s="1"/>
  <c r="R19" i="7" a="1"/>
  <c r="R19" i="7" s="1"/>
  <c r="R92" i="7" a="1"/>
  <c r="R92" i="7" s="1"/>
  <c r="R76" i="7" a="1"/>
  <c r="R76" i="7" s="1"/>
  <c r="R146" i="7" a="1"/>
  <c r="R146" i="7" s="1"/>
  <c r="R79" i="7" a="1"/>
  <c r="R79" i="7" s="1"/>
  <c r="R54" i="7" a="1"/>
  <c r="R54" i="7" s="1"/>
  <c r="R100" i="7" a="1"/>
  <c r="R100" i="7" s="1"/>
  <c r="R56" i="7" a="1"/>
  <c r="R56" i="7" s="1"/>
  <c r="R78" i="7" a="1"/>
  <c r="R78" i="7" s="1"/>
  <c r="R176" i="7" a="1"/>
  <c r="R176" i="7" s="1"/>
  <c r="R4" i="7" a="1"/>
  <c r="R4" i="7" s="1"/>
  <c r="R189" i="7" a="1"/>
  <c r="R189" i="7" s="1"/>
  <c r="R156" i="7" a="1"/>
  <c r="R156" i="7" s="1"/>
  <c r="R63" i="7" a="1"/>
  <c r="R63" i="7" s="1"/>
  <c r="R22" i="7" a="1"/>
  <c r="R22" i="7" s="1"/>
  <c r="R85" i="7" a="1"/>
  <c r="R85" i="7" s="1"/>
  <c r="R191" i="7" a="1"/>
  <c r="R191" i="7" s="1"/>
  <c r="R164" i="7" a="1"/>
  <c r="R164" i="7" s="1"/>
  <c r="R60" i="7" a="1"/>
  <c r="R60" i="7" s="1"/>
  <c r="R18" i="7" a="1"/>
  <c r="R18" i="7" s="1"/>
  <c r="R9" i="7" a="1"/>
  <c r="R9" i="7" s="1"/>
  <c r="R184" i="7" a="1"/>
  <c r="R184" i="7" s="1"/>
  <c r="R64" i="7" a="1"/>
  <c r="R64" i="7" s="1"/>
  <c r="R192" i="7" a="1"/>
  <c r="R192" i="7" s="1"/>
  <c r="R120" i="7" a="1"/>
  <c r="R120" i="7" s="1"/>
  <c r="R88" i="7" a="1"/>
  <c r="R88" i="7" s="1"/>
  <c r="R45" i="7" a="1"/>
  <c r="R45" i="7" s="1"/>
  <c r="R68" i="7" a="1"/>
  <c r="R68" i="7" s="1"/>
  <c r="R161" i="7" a="1"/>
  <c r="R161" i="7" s="1"/>
  <c r="R103" i="7" a="1"/>
  <c r="R103" i="7" s="1"/>
  <c r="R72" i="7" a="1"/>
  <c r="R72" i="7" s="1"/>
  <c r="R15" i="7" a="1"/>
  <c r="R15" i="7" s="1"/>
  <c r="R38" i="7" a="1"/>
  <c r="R38" i="7" s="1"/>
  <c r="R165" i="7" a="1"/>
  <c r="R165" i="7" s="1"/>
  <c r="R110" i="7" a="1"/>
  <c r="R110" i="7" s="1"/>
  <c r="R90" i="7" a="1"/>
  <c r="R90" i="7" s="1"/>
  <c r="R46" i="7" a="1"/>
  <c r="R46" i="7" s="1"/>
  <c r="R159" i="7" a="1"/>
  <c r="R159" i="7" s="1"/>
  <c r="R154" i="7" a="1"/>
  <c r="R154" i="7" s="1"/>
  <c r="R123" i="7" a="1"/>
  <c r="R123" i="7" s="1"/>
  <c r="R51" i="7" a="1"/>
  <c r="R51" i="7" s="1"/>
  <c r="R41" i="7" a="1"/>
  <c r="R41" i="7" s="1"/>
  <c r="R138" i="7" a="1"/>
  <c r="R138" i="7" s="1"/>
  <c r="R166" i="7" a="1"/>
  <c r="R166" i="7" s="1"/>
  <c r="R106" i="7" a="1"/>
  <c r="R106" i="7" s="1"/>
  <c r="R50" i="7" a="1"/>
  <c r="R50" i="7" s="1"/>
  <c r="R14" i="7" a="1"/>
  <c r="R14" i="7" s="1"/>
  <c r="R148" i="7" a="1"/>
  <c r="R148" i="7" s="1"/>
  <c r="R150" i="7" a="1"/>
  <c r="R150" i="7" s="1"/>
  <c r="R95" i="7" a="1"/>
  <c r="R95" i="7" s="1"/>
  <c r="R66" i="7" a="1"/>
  <c r="R66" i="7" s="1"/>
  <c r="R83" i="7" a="1"/>
  <c r="R83" i="7" s="1"/>
  <c r="R94" i="7" a="1"/>
  <c r="R94" i="7" s="1"/>
  <c r="R117" i="7" a="1"/>
  <c r="R117" i="7" s="1"/>
  <c r="T135" i="4"/>
  <c r="T141" i="4"/>
  <c r="R10" i="7" a="1"/>
  <c r="R10" i="7" s="1"/>
  <c r="R179" i="7" a="1"/>
  <c r="R179" i="7" s="1"/>
  <c r="R130" i="7" a="1"/>
  <c r="R130" i="7" s="1"/>
  <c r="R96" i="7" a="1"/>
  <c r="R96" i="7" s="1"/>
  <c r="R34" i="7" a="1"/>
  <c r="R34" i="7" s="1"/>
  <c r="R31" i="7" a="1"/>
  <c r="R31" i="7" s="1"/>
  <c r="R86" i="7" a="1"/>
  <c r="R86" i="7" s="1"/>
  <c r="R145" i="7" a="1"/>
  <c r="R145" i="7" s="1"/>
  <c r="R126" i="7" a="1"/>
  <c r="R126" i="7" s="1"/>
  <c r="R17" i="7" a="1"/>
  <c r="R17" i="7" s="1"/>
  <c r="R175" i="7" a="1"/>
  <c r="R175" i="7" s="1"/>
  <c r="R111" i="7" a="1"/>
  <c r="R111" i="7" s="1"/>
  <c r="R80" i="7" a="1"/>
  <c r="R80" i="7" s="1"/>
  <c r="R26" i="7" a="1"/>
  <c r="R26" i="7" s="1"/>
  <c r="R61" i="7" a="1"/>
  <c r="R61" i="7" s="1"/>
  <c r="R137" i="7" a="1"/>
  <c r="R137" i="7" s="1"/>
  <c r="R97" i="7" a="1"/>
  <c r="R97" i="7" s="1"/>
  <c r="R35" i="7" a="1"/>
  <c r="R35" i="7" s="1"/>
  <c r="R167" i="7" a="1"/>
  <c r="R167" i="7" s="1"/>
  <c r="R121" i="7" a="1"/>
  <c r="R121" i="7" s="1"/>
  <c r="R58" i="7" a="1"/>
  <c r="R58" i="7" s="1"/>
  <c r="R27" i="7" a="1"/>
  <c r="R27" i="7" s="1"/>
  <c r="R196" i="7" a="1"/>
  <c r="R196" i="7" s="1"/>
  <c r="R122" i="7" a="1"/>
  <c r="R122" i="7" s="1"/>
  <c r="R112" i="7" a="1"/>
  <c r="R112" i="7" s="1"/>
  <c r="R65" i="7" a="1"/>
  <c r="R65" i="7" s="1"/>
  <c r="R32" i="7" a="1"/>
  <c r="R32" i="7" s="1"/>
  <c r="R160" i="7" a="1"/>
  <c r="R160" i="7" s="1"/>
  <c r="R114" i="7" a="1"/>
  <c r="R114" i="7" s="1"/>
  <c r="R91" i="7" a="1"/>
  <c r="R91" i="7" s="1"/>
  <c r="R12" i="7" a="1"/>
  <c r="R12" i="7" s="1"/>
  <c r="R199" i="7" a="1"/>
  <c r="R199" i="7" s="1"/>
  <c r="R182" i="7" a="1"/>
  <c r="R182" i="7" s="1"/>
  <c r="R57" i="7" a="1"/>
  <c r="R57" i="7" s="1"/>
  <c r="R168" i="7" a="1"/>
  <c r="R168" i="7" s="1"/>
  <c r="R109" i="7" a="1"/>
  <c r="R109" i="7" s="1"/>
  <c r="R67" i="7" a="1"/>
  <c r="R67" i="7" s="1"/>
  <c r="R23" i="7" a="1"/>
  <c r="R23" i="7" s="1"/>
  <c r="R158" i="7" a="1"/>
  <c r="R158" i="7" s="1"/>
  <c r="R108" i="7" a="1"/>
  <c r="R108" i="7" s="1"/>
  <c r="R53" i="7" a="1"/>
  <c r="R53" i="7" s="1"/>
  <c r="R44" i="7" a="1"/>
  <c r="R44" i="7" s="1"/>
  <c r="R170" i="7" a="1"/>
  <c r="R170" i="7" s="1"/>
  <c r="R173" i="7" a="1"/>
  <c r="R173" i="7" s="1"/>
  <c r="R36" i="7" a="1"/>
  <c r="R36" i="7" s="1"/>
  <c r="R172" i="7" a="1"/>
  <c r="R172" i="7" s="1"/>
  <c r="R119" i="7" a="1"/>
  <c r="R119" i="7" s="1"/>
  <c r="R48" i="7" a="1"/>
  <c r="R48" i="7" s="1"/>
  <c r="R13" i="7" a="1"/>
  <c r="R13" i="7" s="1"/>
  <c r="R147" i="7" a="1"/>
  <c r="R147" i="7" s="1"/>
  <c r="R71" i="7" a="1"/>
  <c r="R71" i="7" s="1"/>
  <c r="R43" i="7" a="1"/>
  <c r="R43" i="7" s="1"/>
  <c r="R136" i="7" a="1"/>
  <c r="R136" i="7" s="1"/>
  <c r="R153" i="7" a="1"/>
  <c r="R153" i="7" s="1"/>
  <c r="R144" i="7" a="1"/>
  <c r="R144" i="7" s="1"/>
  <c r="R49" i="7" a="1"/>
  <c r="R49" i="7" s="1"/>
  <c r="R200" i="7" a="1"/>
  <c r="R200" i="7" s="1"/>
  <c r="R187" i="7" a="1"/>
  <c r="R187" i="7" s="1"/>
  <c r="R143" i="7" a="1"/>
  <c r="R143" i="7" s="1"/>
  <c r="R118" i="7" a="1"/>
  <c r="R118" i="7" s="1"/>
  <c r="R39" i="7" a="1"/>
  <c r="R39" i="7" s="1"/>
  <c r="R69" i="7" a="1"/>
  <c r="R69" i="7" s="1"/>
  <c r="R102" i="7" a="1"/>
  <c r="R102" i="7" s="1"/>
  <c r="R140" i="7" a="1"/>
  <c r="R140" i="7" s="1"/>
  <c r="R20" i="7" a="1"/>
  <c r="R20" i="7" s="1"/>
  <c r="T4" i="4"/>
  <c r="AE48" i="7"/>
  <c r="AE49" i="7"/>
  <c r="R190" i="7" a="1"/>
  <c r="R190" i="7" s="1"/>
  <c r="R163" i="7" a="1"/>
  <c r="R163" i="7" s="1"/>
  <c r="R125" i="7" a="1"/>
  <c r="R125" i="7" s="1"/>
  <c r="R81" i="7" a="1"/>
  <c r="R81" i="7" s="1"/>
  <c r="R52" i="7" a="1"/>
  <c r="R52" i="7" s="1"/>
  <c r="R193" i="7" a="1"/>
  <c r="R193" i="7" s="1"/>
  <c r="R134" i="7" a="1"/>
  <c r="R134" i="7" s="1"/>
  <c r="R87" i="7" a="1"/>
  <c r="R87" i="7" s="1"/>
  <c r="R98" i="7" a="1"/>
  <c r="R98" i="7" s="1"/>
  <c r="R5" i="7" a="1"/>
  <c r="R5" i="7" s="1"/>
  <c r="R197" i="7" a="1"/>
  <c r="R197" i="7" s="1"/>
  <c r="R177" i="7" a="1"/>
  <c r="R177" i="7" s="1"/>
  <c r="R155" i="7" a="1"/>
  <c r="R155" i="7" s="1"/>
  <c r="R132" i="7" a="1"/>
  <c r="R132" i="7" s="1"/>
  <c r="R149" i="7" a="1"/>
  <c r="R149" i="7" s="1"/>
  <c r="R127" i="7" a="1"/>
  <c r="R127" i="7" s="1"/>
  <c r="R70" i="7" a="1"/>
  <c r="R70" i="7" s="1"/>
  <c r="R107" i="7" a="1"/>
  <c r="R107" i="7" s="1"/>
  <c r="R55" i="7" a="1"/>
  <c r="R55" i="7" s="1"/>
  <c r="R42" i="7" a="1"/>
  <c r="R42" i="7" s="1"/>
  <c r="R33" i="7" a="1"/>
  <c r="R33" i="7" s="1"/>
  <c r="R24" i="7" a="1"/>
  <c r="R24" i="7" s="1"/>
  <c r="R3" i="7" a="1"/>
  <c r="R3" i="7" s="1"/>
  <c r="R194" i="7" a="1"/>
  <c r="R194" i="7" s="1"/>
  <c r="R180" i="7" a="1"/>
  <c r="R180" i="7" s="1"/>
  <c r="R171" i="7" a="1"/>
  <c r="R171" i="7" s="1"/>
  <c r="R105" i="7" a="1"/>
  <c r="R105" i="7" s="1"/>
  <c r="R115" i="7" a="1"/>
  <c r="R115" i="7" s="1"/>
  <c r="R28" i="7" a="1"/>
  <c r="R28" i="7" s="1"/>
  <c r="R183" i="7" a="1"/>
  <c r="R183" i="7" s="1"/>
  <c r="R131" i="7" a="1"/>
  <c r="R131" i="7" s="1"/>
  <c r="R84" i="7" a="1"/>
  <c r="R84" i="7" s="1"/>
  <c r="R8" i="7" a="1"/>
  <c r="R8" i="7" s="1"/>
  <c r="R25" i="7" a="1"/>
  <c r="R25" i="7" s="1"/>
  <c r="R186" i="7" a="1"/>
  <c r="R186" i="7" s="1"/>
  <c r="R174" i="7" a="1"/>
  <c r="R174" i="7" s="1"/>
  <c r="R152" i="7" a="1"/>
  <c r="R152" i="7" s="1"/>
  <c r="R142" i="7" a="1"/>
  <c r="R142" i="7" s="1"/>
  <c r="R124" i="7" a="1"/>
  <c r="R124" i="7" s="1"/>
  <c r="R113" i="7" a="1"/>
  <c r="R113" i="7" s="1"/>
  <c r="R93" i="7" a="1"/>
  <c r="R93" i="7" s="1"/>
  <c r="R89" i="7" a="1"/>
  <c r="R89" i="7" s="1"/>
  <c r="R82" i="7" a="1"/>
  <c r="R82" i="7" s="1"/>
  <c r="R7" i="7" a="1"/>
  <c r="R7" i="7" s="1"/>
  <c r="R29" i="7" a="1"/>
  <c r="R29" i="7" s="1"/>
  <c r="R47" i="7" a="1"/>
  <c r="R47" i="7" s="1"/>
  <c r="R195" i="7" a="1"/>
  <c r="R195" i="7" s="1"/>
  <c r="R188" i="7" a="1"/>
  <c r="R188" i="7" s="1"/>
  <c r="R178" i="7" a="1"/>
  <c r="R178" i="7" s="1"/>
  <c r="R133" i="7" a="1"/>
  <c r="R133" i="7" s="1"/>
  <c r="R62" i="7" a="1"/>
  <c r="R62" i="7" s="1"/>
  <c r="R101" i="7" a="1"/>
  <c r="R101" i="7" s="1"/>
  <c r="R74" i="7" a="1"/>
  <c r="R74" i="7" s="1"/>
  <c r="R169" i="7" a="1"/>
  <c r="R169" i="7" s="1"/>
  <c r="R128" i="7" a="1"/>
  <c r="R128" i="7" s="1"/>
  <c r="R116" i="7" a="1"/>
  <c r="R116" i="7" s="1"/>
  <c r="R6" i="7" a="1"/>
  <c r="R6" i="7" s="1"/>
  <c r="R181" i="7" a="1"/>
  <c r="R181" i="7" s="1"/>
  <c r="R162" i="7" a="1"/>
  <c r="R162" i="7" s="1"/>
  <c r="R151" i="7" a="1"/>
  <c r="R151" i="7" s="1"/>
  <c r="R129" i="7" a="1"/>
  <c r="R129" i="7" s="1"/>
  <c r="R104" i="7" a="1"/>
  <c r="R104" i="7" s="1"/>
  <c r="R99" i="7" a="1"/>
  <c r="R99" i="7" s="1"/>
  <c r="R77" i="7" a="1"/>
  <c r="R77" i="7" s="1"/>
  <c r="R73" i="7" a="1"/>
  <c r="R73" i="7" s="1"/>
  <c r="R75" i="7" a="1"/>
  <c r="R75" i="7" s="1"/>
  <c r="R37" i="7" a="1"/>
  <c r="R37" i="7" s="1"/>
  <c r="R16" i="7" a="1"/>
  <c r="R16" i="7" s="1"/>
  <c r="AZ2" i="13"/>
  <c r="T3" i="4" s="1"/>
  <c r="S3" i="4"/>
  <c r="S148" i="7" s="1" a="1"/>
  <c r="S148" i="7" s="1"/>
  <c r="H2" i="26"/>
  <c r="AA12" i="7" a="1"/>
  <c r="AA12" i="7" s="1"/>
  <c r="AA25" i="7" a="1"/>
  <c r="AA25" i="7" s="1"/>
  <c r="AA34" i="7" a="1"/>
  <c r="AA34" i="7" s="1"/>
  <c r="AA49" i="7" a="1"/>
  <c r="AA49" i="7" s="1"/>
  <c r="AA10" i="7" a="1"/>
  <c r="AA10" i="7" s="1"/>
  <c r="AA20" i="7" a="1"/>
  <c r="AA20" i="7" s="1"/>
  <c r="AA6" i="7" a="1"/>
  <c r="AA6" i="7" s="1"/>
  <c r="AA16" i="7" a="1"/>
  <c r="AA16" i="7" s="1"/>
  <c r="AA21" i="7" a="1"/>
  <c r="AA21" i="7" s="1"/>
  <c r="AA31" i="7" a="1"/>
  <c r="AA31" i="7" s="1"/>
  <c r="AA45" i="7" a="1"/>
  <c r="AA45" i="7" s="1"/>
  <c r="AA51" i="7" a="1"/>
  <c r="AA51" i="7" s="1"/>
  <c r="AA57" i="7" a="1"/>
  <c r="AA57" i="7" s="1"/>
  <c r="AA59" i="7" a="1"/>
  <c r="AA59" i="7" s="1"/>
  <c r="AA62" i="7" a="1"/>
  <c r="AA62" i="7" s="1"/>
  <c r="AA66" i="7" a="1"/>
  <c r="AA66" i="7" s="1"/>
  <c r="AA69" i="7" a="1"/>
  <c r="AA69" i="7" s="1"/>
  <c r="AA73" i="7" a="1"/>
  <c r="AA73" i="7" s="1"/>
  <c r="AA5" i="7" a="1"/>
  <c r="AA5" i="7" s="1"/>
  <c r="AA23" i="7" a="1"/>
  <c r="AA23" i="7" s="1"/>
  <c r="AA41" i="7" a="1"/>
  <c r="AA41" i="7" s="1"/>
  <c r="AA26" i="7" a="1"/>
  <c r="AA26" i="7" s="1"/>
  <c r="AA7" i="7" a="1"/>
  <c r="AA7" i="7" s="1"/>
  <c r="AA15" i="7" a="1"/>
  <c r="AA15" i="7" s="1"/>
  <c r="AA22" i="7" a="1"/>
  <c r="AA22" i="7" s="1"/>
  <c r="AA36" i="7" a="1"/>
  <c r="AA36" i="7" s="1"/>
  <c r="AA44" i="7" a="1"/>
  <c r="AA44" i="7" s="1"/>
  <c r="AA54" i="7" a="1"/>
  <c r="AA54" i="7" s="1"/>
  <c r="AA61" i="7" a="1"/>
  <c r="AA61" i="7" s="1"/>
  <c r="AA67" i="7" a="1"/>
  <c r="AA67" i="7" s="1"/>
  <c r="AA71" i="7" a="1"/>
  <c r="AA71" i="7" s="1"/>
  <c r="AA76" i="7" a="1"/>
  <c r="AA76" i="7" s="1"/>
  <c r="AA80" i="7" a="1"/>
  <c r="AA80" i="7" s="1"/>
  <c r="AA84" i="7" a="1"/>
  <c r="AA84" i="7" s="1"/>
  <c r="AA87" i="7" a="1"/>
  <c r="AA87" i="7" s="1"/>
  <c r="AA91" i="7" a="1"/>
  <c r="AA91" i="7" s="1"/>
  <c r="AA94" i="7" a="1"/>
  <c r="AA94" i="7" s="1"/>
  <c r="AA98" i="7" a="1"/>
  <c r="AA98" i="7" s="1"/>
  <c r="AA101" i="7" a="1"/>
  <c r="AA101" i="7" s="1"/>
  <c r="AA105" i="7" a="1"/>
  <c r="AA105" i="7" s="1"/>
  <c r="AA112" i="7" a="1"/>
  <c r="AA112" i="7" s="1"/>
  <c r="AA116" i="7" a="1"/>
  <c r="AA116" i="7" s="1"/>
  <c r="AA119" i="7" a="1"/>
  <c r="AA119" i="7" s="1"/>
  <c r="AA123" i="7" a="1"/>
  <c r="AA123" i="7" s="1"/>
  <c r="AA126" i="7" a="1"/>
  <c r="AA126" i="7" s="1"/>
  <c r="AA130" i="7" a="1"/>
  <c r="AA130" i="7" s="1"/>
  <c r="AA133" i="7" a="1"/>
  <c r="AA133" i="7" s="1"/>
  <c r="AA136" i="7" a="1"/>
  <c r="AA136" i="7" s="1"/>
  <c r="AA141" i="7" a="1"/>
  <c r="AA141" i="7" s="1"/>
  <c r="AA144" i="7" a="1"/>
  <c r="AA144" i="7" s="1"/>
  <c r="AA149" i="7" a="1"/>
  <c r="AA149" i="7" s="1"/>
  <c r="AA152" i="7" a="1"/>
  <c r="AA152" i="7" s="1"/>
  <c r="AA157" i="7" a="1"/>
  <c r="AA157" i="7" s="1"/>
  <c r="AA160" i="7" a="1"/>
  <c r="AA160" i="7" s="1"/>
  <c r="AA165" i="7" a="1"/>
  <c r="AA165" i="7" s="1"/>
  <c r="AA168" i="7" a="1"/>
  <c r="AA168" i="7" s="1"/>
  <c r="AA173" i="7" a="1"/>
  <c r="AA173" i="7" s="1"/>
  <c r="AA176" i="7" a="1"/>
  <c r="AA176" i="7" s="1"/>
  <c r="AA181" i="7" a="1"/>
  <c r="AA181" i="7" s="1"/>
  <c r="AA184" i="7" a="1"/>
  <c r="AA184" i="7" s="1"/>
  <c r="AA29" i="7" a="1"/>
  <c r="AA29" i="7" s="1"/>
  <c r="AA40" i="7" a="1"/>
  <c r="AA40" i="7" s="1"/>
  <c r="AA4" i="7" a="1"/>
  <c r="AA4" i="7" s="1"/>
  <c r="AA13" i="7" a="1"/>
  <c r="AA13" i="7" s="1"/>
  <c r="AA14" i="7" a="1"/>
  <c r="AA14" i="7" s="1"/>
  <c r="AA35" i="7" a="1"/>
  <c r="AA35" i="7" s="1"/>
  <c r="AA43" i="7" a="1"/>
  <c r="AA43" i="7" s="1"/>
  <c r="AA50" i="7" a="1"/>
  <c r="AA50" i="7" s="1"/>
  <c r="AA53" i="7" a="1"/>
  <c r="AA53" i="7" s="1"/>
  <c r="AA65" i="7" a="1"/>
  <c r="AA65" i="7" s="1"/>
  <c r="AA70" i="7" a="1"/>
  <c r="AA70" i="7" s="1"/>
  <c r="AA75" i="7" a="1"/>
  <c r="AA75" i="7" s="1"/>
  <c r="AA79" i="7" a="1"/>
  <c r="AA79" i="7" s="1"/>
  <c r="AA83" i="7" a="1"/>
  <c r="AA83" i="7" s="1"/>
  <c r="AA86" i="7" a="1"/>
  <c r="AA86" i="7" s="1"/>
  <c r="AA90" i="7" a="1"/>
  <c r="AA90" i="7" s="1"/>
  <c r="AA93" i="7" a="1"/>
  <c r="AA93" i="7" s="1"/>
  <c r="AA97" i="7" a="1"/>
  <c r="AA97" i="7" s="1"/>
  <c r="AA104" i="7" a="1"/>
  <c r="AA104" i="7" s="1"/>
  <c r="AA108" i="7" a="1"/>
  <c r="AA108" i="7" s="1"/>
  <c r="AA111" i="7" a="1"/>
  <c r="AA111" i="7" s="1"/>
  <c r="AA115" i="7" a="1"/>
  <c r="AA115" i="7" s="1"/>
  <c r="AA118" i="7" a="1"/>
  <c r="AA118" i="7" s="1"/>
  <c r="AA122" i="7" a="1"/>
  <c r="AA122" i="7" s="1"/>
  <c r="AA125" i="7" a="1"/>
  <c r="AA125" i="7" s="1"/>
  <c r="AA129" i="7" a="1"/>
  <c r="AA129" i="7" s="1"/>
  <c r="AA135" i="7" a="1"/>
  <c r="AA135" i="7" s="1"/>
  <c r="AA138" i="7" a="1"/>
  <c r="AA138" i="7" s="1"/>
  <c r="AA143" i="7" a="1"/>
  <c r="AA143" i="7" s="1"/>
  <c r="AA146" i="7" a="1"/>
  <c r="AA146" i="7" s="1"/>
  <c r="AA151" i="7" a="1"/>
  <c r="AA151" i="7" s="1"/>
  <c r="AA154" i="7" a="1"/>
  <c r="AA154" i="7" s="1"/>
  <c r="AA159" i="7" a="1"/>
  <c r="AA159" i="7" s="1"/>
  <c r="AA162" i="7" a="1"/>
  <c r="AA162" i="7" s="1"/>
  <c r="AA167" i="7" a="1"/>
  <c r="AA167" i="7" s="1"/>
  <c r="AA170" i="7" a="1"/>
  <c r="AA170" i="7" s="1"/>
  <c r="AA175" i="7" a="1"/>
  <c r="AA175" i="7" s="1"/>
  <c r="AA178" i="7" a="1"/>
  <c r="AA178" i="7" s="1"/>
  <c r="AA183" i="7" a="1"/>
  <c r="AA183" i="7" s="1"/>
  <c r="AA186" i="7" a="1"/>
  <c r="AA186" i="7" s="1"/>
  <c r="AA191" i="7" a="1"/>
  <c r="AA191" i="7" s="1"/>
  <c r="AA27" i="7" a="1"/>
  <c r="AA27" i="7" s="1"/>
  <c r="AA46" i="7" a="1"/>
  <c r="AA46" i="7" s="1"/>
  <c r="AA32" i="7" a="1"/>
  <c r="AA32" i="7" s="1"/>
  <c r="AA17" i="7" a="1"/>
  <c r="AA17" i="7" s="1"/>
  <c r="AA38" i="7" a="1"/>
  <c r="AA38" i="7" s="1"/>
  <c r="AA55" i="7" a="1"/>
  <c r="AA55" i="7" s="1"/>
  <c r="AA63" i="7" a="1"/>
  <c r="AA63" i="7" s="1"/>
  <c r="AA72" i="7" a="1"/>
  <c r="AA72" i="7" s="1"/>
  <c r="AA81" i="7" a="1"/>
  <c r="AA81" i="7" s="1"/>
  <c r="AA88" i="7" a="1"/>
  <c r="AA88" i="7" s="1"/>
  <c r="AA95" i="7" a="1"/>
  <c r="AA95" i="7" s="1"/>
  <c r="AA102" i="7" a="1"/>
  <c r="AA102" i="7" s="1"/>
  <c r="AA109" i="7" a="1"/>
  <c r="AA109" i="7" s="1"/>
  <c r="AA124" i="7" a="1"/>
  <c r="AA124" i="7" s="1"/>
  <c r="AA131" i="7" a="1"/>
  <c r="AA131" i="7" s="1"/>
  <c r="AA142" i="7" a="1"/>
  <c r="AA142" i="7" s="1"/>
  <c r="AA147" i="7" a="1"/>
  <c r="AA147" i="7" s="1"/>
  <c r="AA158" i="7" a="1"/>
  <c r="AA158" i="7" s="1"/>
  <c r="AA163" i="7" a="1"/>
  <c r="AA163" i="7" s="1"/>
  <c r="AA174" i="7" a="1"/>
  <c r="AA174" i="7" s="1"/>
  <c r="AA179" i="7" a="1"/>
  <c r="AA179" i="7" s="1"/>
  <c r="AA188" i="7" a="1"/>
  <c r="AA188" i="7" s="1"/>
  <c r="AA192" i="7" a="1"/>
  <c r="AA192" i="7" s="1"/>
  <c r="AA197" i="7" a="1"/>
  <c r="AA197" i="7" s="1"/>
  <c r="AA200" i="7" a="1"/>
  <c r="AA200" i="7" s="1"/>
  <c r="AA19" i="7" a="1"/>
  <c r="AA19" i="7" s="1"/>
  <c r="AA39" i="7" a="1"/>
  <c r="AA39" i="7" s="1"/>
  <c r="AA9" i="7" a="1"/>
  <c r="AA9" i="7" s="1"/>
  <c r="AA30" i="7" a="1"/>
  <c r="AA30" i="7" s="1"/>
  <c r="AA48" i="7" a="1"/>
  <c r="AA48" i="7" s="1"/>
  <c r="AA60" i="7" a="1"/>
  <c r="AA60" i="7" s="1"/>
  <c r="AA78" i="7" a="1"/>
  <c r="AA78" i="7" s="1"/>
  <c r="AA85" i="7" a="1"/>
  <c r="AA85" i="7" s="1"/>
  <c r="AA100" i="7" a="1"/>
  <c r="AA100" i="7" s="1"/>
  <c r="AA107" i="7" a="1"/>
  <c r="AA107" i="7" s="1"/>
  <c r="AA114" i="7" a="1"/>
  <c r="AA114" i="7" s="1"/>
  <c r="AA121" i="7" a="1"/>
  <c r="AA121" i="7" s="1"/>
  <c r="AA128" i="7" a="1"/>
  <c r="AA128" i="7" s="1"/>
  <c r="AA140" i="7" a="1"/>
  <c r="AA140" i="7" s="1"/>
  <c r="AA145" i="7" a="1"/>
  <c r="AA145" i="7" s="1"/>
  <c r="AA156" i="7" a="1"/>
  <c r="AA156" i="7" s="1"/>
  <c r="AA161" i="7" a="1"/>
  <c r="AA161" i="7" s="1"/>
  <c r="AA172" i="7" a="1"/>
  <c r="AA172" i="7" s="1"/>
  <c r="AA177" i="7" a="1"/>
  <c r="AA177" i="7" s="1"/>
  <c r="AA187" i="7" a="1"/>
  <c r="AA187" i="7" s="1"/>
  <c r="AA194" i="7" a="1"/>
  <c r="AA194" i="7" s="1"/>
  <c r="AA199" i="7" a="1"/>
  <c r="AA199" i="7" s="1"/>
  <c r="AA28" i="7" a="1"/>
  <c r="AA28" i="7" s="1"/>
  <c r="AA33" i="7" a="1"/>
  <c r="AA33" i="7" s="1"/>
  <c r="AA42" i="7" a="1"/>
  <c r="AA42" i="7" s="1"/>
  <c r="AA64" i="7" a="1"/>
  <c r="AA64" i="7" s="1"/>
  <c r="AA82" i="7" a="1"/>
  <c r="AA82" i="7" s="1"/>
  <c r="AA96" i="7" a="1"/>
  <c r="AA96" i="7" s="1"/>
  <c r="AA110" i="7" a="1"/>
  <c r="AA110" i="7" s="1"/>
  <c r="AA137" i="7" a="1"/>
  <c r="AA137" i="7" s="1"/>
  <c r="AA148" i="7" a="1"/>
  <c r="AA148" i="7" s="1"/>
  <c r="AA169" i="7" a="1"/>
  <c r="AA169" i="7" s="1"/>
  <c r="AA180" i="7" a="1"/>
  <c r="AA180" i="7" s="1"/>
  <c r="AA189" i="7" a="1"/>
  <c r="AA189" i="7" s="1"/>
  <c r="AA195" i="7" a="1"/>
  <c r="AA195" i="7" s="1"/>
  <c r="AA8" i="7" a="1"/>
  <c r="AA8" i="7" s="1"/>
  <c r="AA11" i="7" a="1"/>
  <c r="AA11" i="7" s="1"/>
  <c r="AA24" i="7" a="1"/>
  <c r="AA24" i="7" s="1"/>
  <c r="AA58" i="7" a="1"/>
  <c r="AA58" i="7" s="1"/>
  <c r="AA77" i="7" a="1"/>
  <c r="AA77" i="7" s="1"/>
  <c r="AA92" i="7" a="1"/>
  <c r="AA92" i="7" s="1"/>
  <c r="AA106" i="7" a="1"/>
  <c r="AA106" i="7" s="1"/>
  <c r="AA120" i="7" a="1"/>
  <c r="AA120" i="7" s="1"/>
  <c r="AA134" i="7" a="1"/>
  <c r="AA134" i="7" s="1"/>
  <c r="AA155" i="7" a="1"/>
  <c r="AA155" i="7" s="1"/>
  <c r="AA166" i="7" a="1"/>
  <c r="AA166" i="7" s="1"/>
  <c r="AA193" i="7" a="1"/>
  <c r="AA193" i="7" s="1"/>
  <c r="AA37" i="7" a="1"/>
  <c r="AA37" i="7" s="1"/>
  <c r="AA52" i="7" a="1"/>
  <c r="AA52" i="7" s="1"/>
  <c r="AA68" i="7" a="1"/>
  <c r="AA68" i="7" s="1"/>
  <c r="AA99" i="7" a="1"/>
  <c r="AA99" i="7" s="1"/>
  <c r="AA127" i="7" a="1"/>
  <c r="AA127" i="7" s="1"/>
  <c r="AA150" i="7" a="1"/>
  <c r="AA150" i="7" s="1"/>
  <c r="AA171" i="7" a="1"/>
  <c r="AA171" i="7" s="1"/>
  <c r="AA190" i="7" a="1"/>
  <c r="AA190" i="7" s="1"/>
  <c r="AA3" i="7" a="1"/>
  <c r="AA3" i="7" s="1"/>
  <c r="AA18" i="7" a="1"/>
  <c r="AA18" i="7" s="1"/>
  <c r="AA74" i="7" a="1"/>
  <c r="AA74" i="7" s="1"/>
  <c r="AA103" i="7" a="1"/>
  <c r="AA103" i="7" s="1"/>
  <c r="AA132" i="7" a="1"/>
  <c r="AA132" i="7" s="1"/>
  <c r="AA153" i="7" a="1"/>
  <c r="AA153" i="7" s="1"/>
  <c r="AA47" i="7" a="1"/>
  <c r="AA47" i="7" s="1"/>
  <c r="AA113" i="7" a="1"/>
  <c r="AA113" i="7" s="1"/>
  <c r="AA139" i="7" a="1"/>
  <c r="AA139" i="7" s="1"/>
  <c r="AA182" i="7" a="1"/>
  <c r="AA182" i="7" s="1"/>
  <c r="AA196" i="7" a="1"/>
  <c r="AA196" i="7" s="1"/>
  <c r="AA117" i="7" a="1"/>
  <c r="AA117" i="7" s="1"/>
  <c r="AA198" i="7" a="1"/>
  <c r="AA198" i="7" s="1"/>
  <c r="AA89" i="7" a="1"/>
  <c r="AA89" i="7" s="1"/>
  <c r="AA56" i="7" a="1"/>
  <c r="AA56" i="7" s="1"/>
  <c r="AA164" i="7" a="1"/>
  <c r="AA164" i="7" s="1"/>
  <c r="AA185" i="7" a="1"/>
  <c r="AA185" i="7" s="1"/>
  <c r="T173" i="4"/>
  <c r="T153" i="4"/>
  <c r="T170" i="4"/>
  <c r="T182" i="4"/>
  <c r="T154" i="4"/>
  <c r="T140" i="4"/>
  <c r="T151" i="4"/>
  <c r="T195" i="4"/>
  <c r="T200" i="4"/>
  <c r="T163" i="4"/>
  <c r="T158" i="4"/>
  <c r="T197" i="4"/>
  <c r="T149" i="4"/>
  <c r="T147" i="4"/>
  <c r="T196" i="4"/>
  <c r="T161" i="4"/>
  <c r="T194" i="4"/>
  <c r="T176" i="4"/>
  <c r="T190" i="4"/>
  <c r="T193" i="4"/>
  <c r="T185" i="4"/>
  <c r="T160" i="4"/>
  <c r="T177" i="4"/>
  <c r="T180" i="4"/>
  <c r="T174" i="4"/>
  <c r="T172" i="4"/>
  <c r="T186" i="4"/>
  <c r="T198" i="4"/>
  <c r="T187" i="4"/>
  <c r="T191" i="4"/>
  <c r="T148" i="4"/>
  <c r="T179" i="4"/>
  <c r="T145" i="4"/>
  <c r="T150" i="4"/>
  <c r="T156" i="4"/>
  <c r="T162" i="4"/>
  <c r="T164" i="4"/>
  <c r="T183" i="4"/>
  <c r="T184" i="4"/>
  <c r="T169" i="4"/>
  <c r="T165" i="4"/>
  <c r="T155" i="4"/>
  <c r="T159" i="4"/>
  <c r="T181" i="4"/>
  <c r="T144" i="4"/>
  <c r="T168" i="4"/>
  <c r="T167" i="4"/>
  <c r="T178" i="4"/>
  <c r="T189" i="4"/>
  <c r="T171" i="4"/>
  <c r="T157" i="4"/>
  <c r="T146" i="4"/>
  <c r="T152" i="4"/>
  <c r="T188" i="4"/>
  <c r="T166" i="4"/>
  <c r="T175" i="4"/>
  <c r="T42" i="4"/>
  <c r="T46" i="4"/>
  <c r="T76" i="4"/>
  <c r="T22" i="4"/>
  <c r="T29" i="4"/>
  <c r="T52" i="4"/>
  <c r="T21" i="4"/>
  <c r="T119" i="4"/>
  <c r="T127" i="4"/>
  <c r="T125" i="4"/>
  <c r="T24" i="4"/>
  <c r="T88" i="4"/>
  <c r="T122" i="4"/>
  <c r="T114" i="4"/>
  <c r="T45" i="4"/>
  <c r="T80" i="4"/>
  <c r="T54" i="4"/>
  <c r="T82" i="4"/>
  <c r="T12" i="4"/>
  <c r="T133" i="4"/>
  <c r="T117" i="4"/>
  <c r="T103" i="4"/>
  <c r="T136" i="4"/>
  <c r="T86" i="4"/>
  <c r="T60" i="4"/>
  <c r="T62" i="4"/>
  <c r="T74" i="4"/>
  <c r="T20" i="4"/>
  <c r="T36" i="4"/>
  <c r="T61" i="4"/>
  <c r="T65" i="4"/>
  <c r="T71" i="4"/>
  <c r="T104" i="4"/>
  <c r="T91" i="4"/>
  <c r="T124" i="4"/>
  <c r="T116" i="4"/>
  <c r="T112" i="4"/>
  <c r="T38" i="4"/>
  <c r="T121" i="4"/>
  <c r="T84" i="4"/>
  <c r="T79" i="4"/>
  <c r="T126" i="4"/>
  <c r="T26" i="4"/>
  <c r="T89" i="4"/>
  <c r="T113" i="4"/>
  <c r="T132" i="4"/>
  <c r="T30" i="4"/>
  <c r="T39" i="4"/>
  <c r="T134" i="4"/>
  <c r="T128" i="4"/>
  <c r="T13" i="4"/>
  <c r="T58" i="4"/>
  <c r="T10" i="4"/>
  <c r="T72" i="4"/>
  <c r="T6" i="4"/>
  <c r="T53" i="4"/>
  <c r="T59" i="4"/>
  <c r="T87" i="4"/>
  <c r="T120" i="4"/>
  <c r="T107" i="4"/>
  <c r="T118" i="4"/>
  <c r="T105" i="4"/>
  <c r="T92" i="4"/>
  <c r="T56" i="4"/>
  <c r="T96" i="4"/>
  <c r="T64" i="4"/>
  <c r="T83" i="4"/>
  <c r="T131" i="4"/>
  <c r="T66" i="4"/>
  <c r="T68" i="4"/>
  <c r="T33" i="4"/>
  <c r="T31" i="4"/>
  <c r="T15" i="4"/>
  <c r="T27" i="4"/>
  <c r="T108" i="4"/>
  <c r="T102" i="4"/>
  <c r="T81" i="4"/>
  <c r="T90" i="4"/>
  <c r="T97" i="4"/>
  <c r="T123" i="4"/>
  <c r="T106" i="4"/>
  <c r="T98" i="4"/>
  <c r="T115" i="4"/>
  <c r="T85" i="4"/>
  <c r="T99" i="4"/>
  <c r="T110" i="4"/>
  <c r="T93" i="4"/>
  <c r="T100" i="4"/>
  <c r="T18" i="4"/>
  <c r="T78" i="4"/>
  <c r="T111" i="4"/>
  <c r="T138" i="4"/>
  <c r="T137" i="4"/>
  <c r="P200" i="7" a="1"/>
  <c r="P200" i="7" s="1"/>
  <c r="P199" i="7" a="1"/>
  <c r="P199" i="7" s="1"/>
  <c r="P43" i="7" a="1"/>
  <c r="P43" i="7" s="1"/>
  <c r="P25" i="7" a="1"/>
  <c r="P25" i="7" s="1"/>
  <c r="P46" i="7" a="1"/>
  <c r="P46" i="7" s="1"/>
  <c r="P57" i="7" a="1"/>
  <c r="P57" i="7" s="1"/>
  <c r="P38" i="7" a="1"/>
  <c r="P38" i="7" s="1"/>
  <c r="P47" i="7" a="1"/>
  <c r="P47" i="7" s="1"/>
  <c r="P50" i="7" a="1"/>
  <c r="P50" i="7" s="1"/>
  <c r="P94" i="7" a="1"/>
  <c r="P94" i="7" s="1"/>
  <c r="P100" i="7" a="1"/>
  <c r="P100" i="7" s="1"/>
  <c r="P93" i="7" a="1"/>
  <c r="P93" i="7" s="1"/>
  <c r="P116" i="7" a="1"/>
  <c r="P116" i="7" s="1"/>
  <c r="P110" i="7" a="1"/>
  <c r="P110" i="7" s="1"/>
  <c r="P129" i="7" a="1"/>
  <c r="P129" i="7" s="1"/>
  <c r="P136" i="7" a="1"/>
  <c r="P136" i="7" s="1"/>
  <c r="P161" i="7" a="1"/>
  <c r="P161" i="7" s="1"/>
  <c r="P160" i="7" a="1"/>
  <c r="P160" i="7" s="1"/>
  <c r="P181" i="7" a="1"/>
  <c r="P181" i="7" s="1"/>
  <c r="P187" i="7" a="1"/>
  <c r="P187" i="7" s="1"/>
  <c r="P3" i="7" a="1"/>
  <c r="P3" i="7" s="1"/>
  <c r="P40" i="7" a="1"/>
  <c r="P40" i="7" s="1"/>
  <c r="P49" i="7" a="1"/>
  <c r="P49" i="7" s="1"/>
  <c r="P52" i="7" a="1"/>
  <c r="P52" i="7" s="1"/>
  <c r="P56" i="7" a="1"/>
  <c r="P56" i="7" s="1"/>
  <c r="P53" i="7" a="1"/>
  <c r="P53" i="7" s="1"/>
  <c r="P63" i="7" a="1"/>
  <c r="P63" i="7" s="1"/>
  <c r="P95" i="7" a="1"/>
  <c r="P95" i="7" s="1"/>
  <c r="P113" i="7" a="1"/>
  <c r="P113" i="7" s="1"/>
  <c r="P120" i="7" a="1"/>
  <c r="P120" i="7" s="1"/>
  <c r="P119" i="7" a="1"/>
  <c r="P119" i="7" s="1"/>
  <c r="P118" i="7" a="1"/>
  <c r="P118" i="7" s="1"/>
  <c r="P138" i="7" a="1"/>
  <c r="P138" i="7" s="1"/>
  <c r="P131" i="7" a="1"/>
  <c r="P131" i="7" s="1"/>
  <c r="P144" i="7" a="1"/>
  <c r="P144" i="7" s="1"/>
  <c r="P155" i="7" a="1"/>
  <c r="P155" i="7" s="1"/>
  <c r="P137" i="7" a="1"/>
  <c r="P137" i="7" s="1"/>
  <c r="P156" i="7" a="1"/>
  <c r="P156" i="7" s="1"/>
  <c r="P151" i="7" a="1"/>
  <c r="P151" i="7" s="1"/>
  <c r="P164" i="7" a="1"/>
  <c r="P164" i="7" s="1"/>
  <c r="P171" i="7" a="1"/>
  <c r="P171" i="7" s="1"/>
  <c r="P167" i="7" a="1"/>
  <c r="P167" i="7" s="1"/>
  <c r="P178" i="7" a="1"/>
  <c r="P178" i="7" s="1"/>
  <c r="P175" i="7" a="1"/>
  <c r="P175" i="7" s="1"/>
  <c r="P189" i="7" a="1"/>
  <c r="P189" i="7" s="1"/>
  <c r="P190" i="7" a="1"/>
  <c r="P190" i="7" s="1"/>
  <c r="P185" i="7" a="1"/>
  <c r="P185" i="7" s="1"/>
  <c r="P196" i="7" a="1"/>
  <c r="P196" i="7" s="1"/>
  <c r="P193" i="7" a="1"/>
  <c r="P193" i="7" s="1"/>
  <c r="P37" i="7" a="1"/>
  <c r="P37" i="7" s="1"/>
  <c r="P19" i="7" a="1"/>
  <c r="P19" i="7" s="1"/>
  <c r="P20" i="7" a="1"/>
  <c r="P20" i="7" s="1"/>
  <c r="P30" i="7" a="1"/>
  <c r="P30" i="7" s="1"/>
  <c r="P15" i="7" a="1"/>
  <c r="P15" i="7" s="1"/>
  <c r="P34" i="7" a="1"/>
  <c r="P34" i="7" s="1"/>
  <c r="P6" i="7" a="1"/>
  <c r="P6" i="7" s="1"/>
  <c r="P51" i="7" a="1"/>
  <c r="P51" i="7" s="1"/>
  <c r="P97" i="7" a="1"/>
  <c r="P97" i="7" s="1"/>
  <c r="P81" i="7" a="1"/>
  <c r="P81" i="7" s="1"/>
  <c r="P62" i="7" a="1"/>
  <c r="P62" i="7" s="1"/>
  <c r="P78" i="7" a="1"/>
  <c r="P78" i="7" s="1"/>
  <c r="P67" i="7" a="1"/>
  <c r="P67" i="7" s="1"/>
  <c r="P83" i="7" a="1"/>
  <c r="P83" i="7" s="1"/>
  <c r="P61" i="7" a="1"/>
  <c r="P61" i="7" s="1"/>
  <c r="P77" i="7" a="1"/>
  <c r="P77" i="7" s="1"/>
  <c r="P111" i="7" a="1"/>
  <c r="P111" i="7" s="1"/>
  <c r="P125" i="7" a="1"/>
  <c r="P125" i="7" s="1"/>
  <c r="P142" i="7" a="1"/>
  <c r="P142" i="7" s="1"/>
  <c r="P135" i="7" a="1"/>
  <c r="P135" i="7" s="1"/>
  <c r="P145" i="7" a="1"/>
  <c r="P145" i="7" s="1"/>
  <c r="P141" i="7" a="1"/>
  <c r="P141" i="7" s="1"/>
  <c r="P152" i="7" a="1"/>
  <c r="P152" i="7" s="1"/>
  <c r="P149" i="7" a="1"/>
  <c r="P149" i="7" s="1"/>
  <c r="P172" i="7" a="1"/>
  <c r="P172" i="7" s="1"/>
  <c r="P162" i="7" a="1"/>
  <c r="P162" i="7" s="1"/>
  <c r="P177" i="7" a="1"/>
  <c r="P177" i="7" s="1"/>
  <c r="P174" i="7" a="1"/>
  <c r="P174" i="7" s="1"/>
  <c r="P191" i="7" a="1"/>
  <c r="P191" i="7" s="1"/>
  <c r="P184" i="7" a="1"/>
  <c r="P184" i="7" s="1"/>
  <c r="P10" i="7" a="1"/>
  <c r="P10" i="7" s="1"/>
  <c r="P11" i="7" a="1"/>
  <c r="P11" i="7" s="1"/>
  <c r="P7" i="7" a="1"/>
  <c r="P7" i="7" s="1"/>
  <c r="P9" i="7" a="1"/>
  <c r="P9" i="7" s="1"/>
  <c r="P44" i="7" a="1"/>
  <c r="P44" i="7" s="1"/>
  <c r="P16" i="7" a="1"/>
  <c r="P16" i="7" s="1"/>
  <c r="P64" i="7" a="1"/>
  <c r="P64" i="7" s="1"/>
  <c r="P17" i="7" a="1"/>
  <c r="P17" i="7" s="1"/>
  <c r="P55" i="7" a="1"/>
  <c r="P55" i="7" s="1"/>
  <c r="P105" i="7" a="1"/>
  <c r="P105" i="7" s="1"/>
  <c r="P99" i="7" a="1"/>
  <c r="P99" i="7" s="1"/>
  <c r="P54" i="7" a="1"/>
  <c r="P54" i="7" s="1"/>
  <c r="P79" i="7" a="1"/>
  <c r="P79" i="7" s="1"/>
  <c r="P74" i="7" a="1"/>
  <c r="P74" i="7" s="1"/>
  <c r="P90" i="7" a="1"/>
  <c r="P90" i="7" s="1"/>
  <c r="P68" i="7" a="1"/>
  <c r="P68" i="7" s="1"/>
  <c r="P84" i="7" a="1"/>
  <c r="P84" i="7" s="1"/>
  <c r="P112" i="7" a="1"/>
  <c r="P112" i="7" s="1"/>
  <c r="P107" i="7" a="1"/>
  <c r="P107" i="7" s="1"/>
  <c r="P101" i="7" a="1"/>
  <c r="P101" i="7" s="1"/>
  <c r="P154" i="7" a="1"/>
  <c r="P154" i="7" s="1"/>
  <c r="P8" i="7" a="1"/>
  <c r="P8" i="7" s="1"/>
  <c r="P39" i="7" a="1"/>
  <c r="P39" i="7" s="1"/>
  <c r="P42" i="7" a="1"/>
  <c r="P42" i="7" s="1"/>
  <c r="P22" i="7" a="1"/>
  <c r="P22" i="7" s="1"/>
  <c r="P41" i="7" a="1"/>
  <c r="P41" i="7" s="1"/>
  <c r="P14" i="7" a="1"/>
  <c r="P14" i="7" s="1"/>
  <c r="P27" i="7" a="1"/>
  <c r="P27" i="7" s="1"/>
  <c r="P26" i="7" a="1"/>
  <c r="P26" i="7" s="1"/>
  <c r="P31" i="7" a="1"/>
  <c r="P31" i="7" s="1"/>
  <c r="P73" i="7" a="1"/>
  <c r="P73" i="7" s="1"/>
  <c r="P4" i="7" a="1"/>
  <c r="P4" i="7" s="1"/>
  <c r="P18" i="7" a="1"/>
  <c r="P18" i="7" s="1"/>
  <c r="P58" i="7" a="1"/>
  <c r="P58" i="7" s="1"/>
  <c r="P65" i="7" a="1"/>
  <c r="P65" i="7" s="1"/>
  <c r="P114" i="7" a="1"/>
  <c r="P114" i="7" s="1"/>
  <c r="P59" i="7" a="1"/>
  <c r="P59" i="7" s="1"/>
  <c r="P128" i="7" a="1"/>
  <c r="P128" i="7" s="1"/>
  <c r="P80" i="7" a="1"/>
  <c r="P80" i="7" s="1"/>
  <c r="P70" i="7" a="1"/>
  <c r="P70" i="7" s="1"/>
  <c r="P86" i="7" a="1"/>
  <c r="P86" i="7" s="1"/>
  <c r="P106" i="7" a="1"/>
  <c r="P106" i="7" s="1"/>
  <c r="P75" i="7" a="1"/>
  <c r="P75" i="7" s="1"/>
  <c r="P91" i="7" a="1"/>
  <c r="P91" i="7" s="1"/>
  <c r="P124" i="7" a="1"/>
  <c r="P124" i="7" s="1"/>
  <c r="P69" i="7" a="1"/>
  <c r="P69" i="7" s="1"/>
  <c r="P85" i="7" a="1"/>
  <c r="P85" i="7" s="1"/>
  <c r="P103" i="7" a="1"/>
  <c r="P103" i="7" s="1"/>
  <c r="P117" i="7" a="1"/>
  <c r="P117" i="7" s="1"/>
  <c r="P108" i="7" a="1"/>
  <c r="P108" i="7" s="1"/>
  <c r="P123" i="7" a="1"/>
  <c r="P123" i="7" s="1"/>
  <c r="P102" i="7" a="1"/>
  <c r="P102" i="7" s="1"/>
  <c r="P122" i="7" a="1"/>
  <c r="P122" i="7" s="1"/>
  <c r="P130" i="7" a="1"/>
  <c r="P130" i="7" s="1"/>
  <c r="P139" i="7" a="1"/>
  <c r="P139" i="7" s="1"/>
  <c r="P133" i="7" a="1"/>
  <c r="P133" i="7" s="1"/>
  <c r="P147" i="7" a="1"/>
  <c r="P147" i="7" s="1"/>
  <c r="P132" i="7" a="1"/>
  <c r="P132" i="7" s="1"/>
  <c r="P170" i="7" a="1"/>
  <c r="P170" i="7" s="1"/>
  <c r="P157" i="7" a="1"/>
  <c r="P157" i="7" s="1"/>
  <c r="P158" i="7" a="1"/>
  <c r="P158" i="7" s="1"/>
  <c r="P169" i="7" a="1"/>
  <c r="P169" i="7" s="1"/>
  <c r="P165" i="7" a="1"/>
  <c r="P165" i="7" s="1"/>
  <c r="P168" i="7" a="1"/>
  <c r="P168" i="7" s="1"/>
  <c r="P173" i="7" a="1"/>
  <c r="P173" i="7" s="1"/>
  <c r="P179" i="7" a="1"/>
  <c r="P179" i="7" s="1"/>
  <c r="P182" i="7" a="1"/>
  <c r="P182" i="7" s="1"/>
  <c r="P195" i="7" a="1"/>
  <c r="P195" i="7" s="1"/>
  <c r="P197" i="7" a="1"/>
  <c r="P197" i="7" s="1"/>
  <c r="P192" i="7" a="1"/>
  <c r="P192" i="7" s="1"/>
  <c r="P194" i="7" a="1"/>
  <c r="P194" i="7" s="1"/>
  <c r="P21" i="7" a="1"/>
  <c r="P21" i="7" s="1"/>
  <c r="P5" i="7" a="1"/>
  <c r="P5" i="7" s="1"/>
  <c r="P12" i="7" a="1"/>
  <c r="P12" i="7" s="1"/>
  <c r="P23" i="7" a="1"/>
  <c r="P23" i="7" s="1"/>
  <c r="P13" i="7" a="1"/>
  <c r="P13" i="7" s="1"/>
  <c r="P24" i="7" a="1"/>
  <c r="P24" i="7" s="1"/>
  <c r="P28" i="7" a="1"/>
  <c r="P28" i="7" s="1"/>
  <c r="P32" i="7" a="1"/>
  <c r="P32" i="7" s="1"/>
  <c r="P35" i="7" a="1"/>
  <c r="P35" i="7" s="1"/>
  <c r="P29" i="7" a="1"/>
  <c r="P29" i="7" s="1"/>
  <c r="P33" i="7" a="1"/>
  <c r="P33" i="7" s="1"/>
  <c r="P36" i="7" a="1"/>
  <c r="P36" i="7" s="1"/>
  <c r="P96" i="7" a="1"/>
  <c r="P96" i="7" s="1"/>
  <c r="P88" i="7" a="1"/>
  <c r="P88" i="7" s="1"/>
  <c r="P45" i="7" a="1"/>
  <c r="P45" i="7" s="1"/>
  <c r="P72" i="7" a="1"/>
  <c r="P72" i="7" s="1"/>
  <c r="P48" i="7" a="1"/>
  <c r="P48" i="7" s="1"/>
  <c r="P89" i="7" a="1"/>
  <c r="P89" i="7" s="1"/>
  <c r="P71" i="7" a="1"/>
  <c r="P71" i="7" s="1"/>
  <c r="P87" i="7" a="1"/>
  <c r="P87" i="7" s="1"/>
  <c r="P66" i="7" a="1"/>
  <c r="P66" i="7" s="1"/>
  <c r="P82" i="7" a="1"/>
  <c r="P82" i="7" s="1"/>
  <c r="P98" i="7" a="1"/>
  <c r="P98" i="7" s="1"/>
  <c r="P60" i="7" a="1"/>
  <c r="P60" i="7" s="1"/>
  <c r="P76" i="7" a="1"/>
  <c r="P76" i="7" s="1"/>
  <c r="P92" i="7" a="1"/>
  <c r="P92" i="7" s="1"/>
  <c r="P104" i="7" a="1"/>
  <c r="P104" i="7" s="1"/>
  <c r="P121" i="7" a="1"/>
  <c r="P121" i="7" s="1"/>
  <c r="P115" i="7" a="1"/>
  <c r="P115" i="7" s="1"/>
  <c r="P127" i="7" a="1"/>
  <c r="P127" i="7" s="1"/>
  <c r="P109" i="7" a="1"/>
  <c r="P109" i="7" s="1"/>
  <c r="P126" i="7" a="1"/>
  <c r="P126" i="7" s="1"/>
  <c r="P143" i="7" a="1"/>
  <c r="P143" i="7" s="1"/>
  <c r="P146" i="7" a="1"/>
  <c r="P146" i="7" s="1"/>
  <c r="P140" i="7" a="1"/>
  <c r="P140" i="7" s="1"/>
  <c r="P150" i="7" a="1"/>
  <c r="P150" i="7" s="1"/>
  <c r="P134" i="7" a="1"/>
  <c r="P134" i="7" s="1"/>
  <c r="P148" i="7" a="1"/>
  <c r="P148" i="7" s="1"/>
  <c r="P163" i="7" a="1"/>
  <c r="P163" i="7" s="1"/>
  <c r="P159" i="7" a="1"/>
  <c r="P159" i="7" s="1"/>
  <c r="P153" i="7" a="1"/>
  <c r="P153" i="7" s="1"/>
  <c r="P166" i="7" a="1"/>
  <c r="P166" i="7" s="1"/>
  <c r="P176" i="7" a="1"/>
  <c r="P176" i="7" s="1"/>
  <c r="P180" i="7" a="1"/>
  <c r="P180" i="7" s="1"/>
  <c r="P188" i="7" a="1"/>
  <c r="P188" i="7" s="1"/>
  <c r="P183" i="7" a="1"/>
  <c r="P183" i="7" s="1"/>
  <c r="P198" i="7" a="1"/>
  <c r="P198" i="7" s="1"/>
  <c r="P186" i="7" a="1"/>
  <c r="P186" i="7" s="1"/>
  <c r="S55" i="7" l="1" a="1"/>
  <c r="S55" i="7" s="1"/>
  <c r="S169" i="7" a="1"/>
  <c r="S169" i="7" s="1"/>
  <c r="S140" i="7" a="1"/>
  <c r="S140" i="7" s="1"/>
  <c r="S39" i="7" a="1"/>
  <c r="S39" i="7" s="1"/>
  <c r="S131" i="7" a="1"/>
  <c r="S131" i="7" s="1"/>
  <c r="S149" i="7" a="1"/>
  <c r="S149" i="7" s="1"/>
  <c r="S89" i="7" a="1"/>
  <c r="S89" i="7" s="1"/>
  <c r="S22" i="7" a="1"/>
  <c r="S22" i="7" s="1"/>
  <c r="S10" i="7" a="1"/>
  <c r="S10" i="7" s="1"/>
  <c r="S111" i="7" a="1"/>
  <c r="S111" i="7" s="1"/>
  <c r="S80" i="7" a="1"/>
  <c r="S80" i="7" s="1"/>
  <c r="S69" i="7" a="1"/>
  <c r="S69" i="7" s="1"/>
  <c r="S90" i="7" a="1"/>
  <c r="S90" i="7" s="1"/>
  <c r="S94" i="7" a="1"/>
  <c r="S94" i="7" s="1"/>
  <c r="S5" i="7" a="1"/>
  <c r="S5" i="7" s="1"/>
  <c r="S123" i="7" a="1"/>
  <c r="S123" i="7" s="1"/>
  <c r="S54" i="7" a="1"/>
  <c r="S54" i="7" s="1"/>
  <c r="S66" i="7" a="1"/>
  <c r="S66" i="7" s="1"/>
  <c r="S23" i="7" a="1"/>
  <c r="S23" i="7" s="1"/>
  <c r="S193" i="7" a="1"/>
  <c r="S193" i="7" s="1"/>
  <c r="S100" i="7" a="1"/>
  <c r="S100" i="7" s="1"/>
  <c r="S52" i="7" a="1"/>
  <c r="S52" i="7" s="1"/>
  <c r="S87" i="7" a="1"/>
  <c r="S87" i="7" s="1"/>
  <c r="S150" i="7" a="1"/>
  <c r="S150" i="7" s="1"/>
  <c r="S71" i="7" a="1"/>
  <c r="S71" i="7" s="1"/>
  <c r="S181" i="7" a="1"/>
  <c r="S181" i="7" s="1"/>
  <c r="S163" i="7" a="1"/>
  <c r="S163" i="7" s="1"/>
  <c r="S120" i="7" a="1"/>
  <c r="S120" i="7" s="1"/>
  <c r="S176" i="7" a="1"/>
  <c r="S176" i="7" s="1"/>
  <c r="S7" i="7" a="1"/>
  <c r="S7" i="7" s="1"/>
  <c r="S64" i="7" a="1"/>
  <c r="S64" i="7" s="1"/>
  <c r="S116" i="7" a="1"/>
  <c r="S116" i="7" s="1"/>
  <c r="S189" i="7" a="1"/>
  <c r="S189" i="7" s="1"/>
  <c r="S155" i="7" a="1"/>
  <c r="S155" i="7" s="1"/>
  <c r="S17" i="7" a="1"/>
  <c r="S17" i="7" s="1"/>
  <c r="S107" i="7" a="1"/>
  <c r="S107" i="7" s="1"/>
  <c r="S173" i="7" a="1"/>
  <c r="S173" i="7" s="1"/>
  <c r="S61" i="7" a="1"/>
  <c r="S61" i="7" s="1"/>
  <c r="S9" i="7" a="1"/>
  <c r="S9" i="7" s="1"/>
  <c r="S146" i="7" a="1"/>
  <c r="S146" i="7" s="1"/>
  <c r="S15" i="7" a="1"/>
  <c r="S15" i="7" s="1"/>
  <c r="S153" i="7" a="1"/>
  <c r="S153" i="7" s="1"/>
  <c r="S91" i="7" a="1"/>
  <c r="S91" i="7" s="1"/>
  <c r="S79" i="7" a="1"/>
  <c r="S79" i="7" s="1"/>
  <c r="S121" i="7" a="1"/>
  <c r="S121" i="7" s="1"/>
  <c r="S20" i="7" a="1"/>
  <c r="S20" i="7" s="1"/>
  <c r="S14" i="7" a="1"/>
  <c r="S14" i="7" s="1"/>
  <c r="S4" i="7" a="1"/>
  <c r="S4" i="7" s="1"/>
  <c r="S70" i="7" a="1"/>
  <c r="S70" i="7" s="1"/>
  <c r="S113" i="7" a="1"/>
  <c r="S113" i="7" s="1"/>
  <c r="S165" i="7" a="1"/>
  <c r="S165" i="7" s="1"/>
  <c r="S34" i="7" a="1"/>
  <c r="S34" i="7" s="1"/>
  <c r="S186" i="7" a="1"/>
  <c r="S186" i="7" s="1"/>
  <c r="S96" i="7" a="1"/>
  <c r="S96" i="7" s="1"/>
  <c r="S60" i="7" a="1"/>
  <c r="S60" i="7" s="1"/>
  <c r="S156" i="7" a="1"/>
  <c r="S156" i="7" s="1"/>
  <c r="S191" i="7" a="1"/>
  <c r="S191" i="7" s="1"/>
  <c r="S81" i="7" a="1"/>
  <c r="S81" i="7" s="1"/>
  <c r="S157" i="7" a="1"/>
  <c r="S157" i="7" s="1"/>
  <c r="S104" i="7" a="1"/>
  <c r="S104" i="7" s="1"/>
  <c r="S164" i="7" a="1"/>
  <c r="S164" i="7" s="1"/>
  <c r="S3" i="7" a="1"/>
  <c r="S3" i="7" s="1"/>
  <c r="S29" i="7" a="1"/>
  <c r="S29" i="7" s="1"/>
  <c r="S86" i="7" a="1"/>
  <c r="S86" i="7" s="1"/>
  <c r="S110" i="7" a="1"/>
  <c r="S110" i="7" s="1"/>
  <c r="S134" i="7" a="1"/>
  <c r="S134" i="7" s="1"/>
  <c r="S167" i="7" a="1"/>
  <c r="S167" i="7" s="1"/>
  <c r="S13" i="7" a="1"/>
  <c r="S13" i="7" s="1"/>
  <c r="S106" i="7" a="1"/>
  <c r="S106" i="7" s="1"/>
  <c r="S18" i="7" a="1"/>
  <c r="S18" i="7" s="1"/>
  <c r="S27" i="7" a="1"/>
  <c r="S27" i="7" s="1"/>
  <c r="S63" i="7" a="1"/>
  <c r="S63" i="7" s="1"/>
  <c r="S76" i="7" a="1"/>
  <c r="S76" i="7" s="1"/>
  <c r="S141" i="7" a="1"/>
  <c r="S141" i="7" s="1"/>
  <c r="S158" i="7" a="1"/>
  <c r="S158" i="7" s="1"/>
  <c r="S195" i="7" a="1"/>
  <c r="S195" i="7" s="1"/>
  <c r="S30" i="7" a="1"/>
  <c r="S30" i="7" s="1"/>
  <c r="S59" i="7" a="1"/>
  <c r="S59" i="7" s="1"/>
  <c r="S182" i="7" a="1"/>
  <c r="S182" i="7" s="1"/>
  <c r="S58" i="7" a="1"/>
  <c r="S58" i="7" s="1"/>
  <c r="S126" i="7" a="1"/>
  <c r="S126" i="7" s="1"/>
  <c r="S197" i="7" a="1"/>
  <c r="S197" i="7" s="1"/>
  <c r="S198" i="7" a="1"/>
  <c r="S198" i="7" s="1"/>
  <c r="S174" i="7" a="1"/>
  <c r="S174" i="7" s="1"/>
  <c r="S168" i="7" a="1"/>
  <c r="S168" i="7" s="1"/>
  <c r="S133" i="7" a="1"/>
  <c r="S133" i="7" s="1"/>
  <c r="S129" i="7" a="1"/>
  <c r="S129" i="7" s="1"/>
  <c r="S114" i="7" a="1"/>
  <c r="S114" i="7" s="1"/>
  <c r="S83" i="7" a="1"/>
  <c r="S83" i="7" s="1"/>
  <c r="S73" i="7" a="1"/>
  <c r="S73" i="7" s="1"/>
  <c r="S72" i="7" a="1"/>
  <c r="S72" i="7" s="1"/>
  <c r="S35" i="7" a="1"/>
  <c r="S35" i="7" s="1"/>
  <c r="S41" i="7" a="1"/>
  <c r="S41" i="7" s="1"/>
  <c r="S40" i="7" a="1"/>
  <c r="S40" i="7" s="1"/>
  <c r="S42" i="7" a="1"/>
  <c r="S42" i="7" s="1"/>
  <c r="S180" i="7" a="1"/>
  <c r="S180" i="7" s="1"/>
  <c r="S152" i="7" a="1"/>
  <c r="S152" i="7" s="1"/>
  <c r="S142" i="7" a="1"/>
  <c r="S142" i="7" s="1"/>
  <c r="S119" i="7" a="1"/>
  <c r="S119" i="7" s="1"/>
  <c r="S65" i="7" a="1"/>
  <c r="S65" i="7" s="1"/>
  <c r="S50" i="7" a="1"/>
  <c r="S50" i="7" s="1"/>
  <c r="S53" i="7" a="1"/>
  <c r="S53" i="7" s="1"/>
  <c r="S37" i="7" a="1"/>
  <c r="S37" i="7" s="1"/>
  <c r="S190" i="7" a="1"/>
  <c r="S190" i="7" s="1"/>
  <c r="S177" i="7" a="1"/>
  <c r="S177" i="7" s="1"/>
  <c r="S154" i="7" a="1"/>
  <c r="S154" i="7" s="1"/>
  <c r="S130" i="7" a="1"/>
  <c r="S130" i="7" s="1"/>
  <c r="S108" i="7" a="1"/>
  <c r="S108" i="7" s="1"/>
  <c r="S102" i="7" a="1"/>
  <c r="S102" i="7" s="1"/>
  <c r="S98" i="7" a="1"/>
  <c r="S98" i="7" s="1"/>
  <c r="S78" i="7" a="1"/>
  <c r="S78" i="7" s="1"/>
  <c r="S45" i="7" a="1"/>
  <c r="S45" i="7" s="1"/>
  <c r="S31" i="7" a="1"/>
  <c r="S31" i="7" s="1"/>
  <c r="S43" i="7" a="1"/>
  <c r="S43" i="7" s="1"/>
  <c r="S6" i="7" a="1"/>
  <c r="S6" i="7" s="1"/>
  <c r="S187" i="7" a="1"/>
  <c r="S187" i="7" s="1"/>
  <c r="S138" i="7" a="1"/>
  <c r="S138" i="7" s="1"/>
  <c r="S97" i="7" a="1"/>
  <c r="S97" i="7" s="1"/>
  <c r="S49" i="7" a="1"/>
  <c r="S49" i="7" s="1"/>
  <c r="S199" i="7" a="1"/>
  <c r="S199" i="7" s="1"/>
  <c r="S178" i="7" a="1"/>
  <c r="S178" i="7" s="1"/>
  <c r="S159" i="7" a="1"/>
  <c r="S159" i="7" s="1"/>
  <c r="S135" i="7" a="1"/>
  <c r="S135" i="7" s="1"/>
  <c r="S137" i="7" a="1"/>
  <c r="S137" i="7" s="1"/>
  <c r="S115" i="7" a="1"/>
  <c r="S115" i="7" s="1"/>
  <c r="S84" i="7" a="1"/>
  <c r="S84" i="7" s="1"/>
  <c r="S74" i="7" a="1"/>
  <c r="S74" i="7" s="1"/>
  <c r="S95" i="7" a="1"/>
  <c r="S95" i="7" s="1"/>
  <c r="S36" i="7" a="1"/>
  <c r="S36" i="7" s="1"/>
  <c r="S46" i="7" a="1"/>
  <c r="S46" i="7" s="1"/>
  <c r="S11" i="7" a="1"/>
  <c r="S11" i="7" s="1"/>
  <c r="S12" i="7" a="1"/>
  <c r="S12" i="7" s="1"/>
  <c r="S38" i="7" a="1"/>
  <c r="S38" i="7" s="1"/>
  <c r="S175" i="7" a="1"/>
  <c r="S175" i="7" s="1"/>
  <c r="S117" i="7" a="1"/>
  <c r="S117" i="7" s="1"/>
  <c r="S75" i="7" a="1"/>
  <c r="S75" i="7" s="1"/>
  <c r="S16" i="7" a="1"/>
  <c r="S16" i="7" s="1"/>
  <c r="S192" i="7" a="1"/>
  <c r="S192" i="7" s="1"/>
  <c r="S188" i="7" a="1"/>
  <c r="S188" i="7" s="1"/>
  <c r="S143" i="7" a="1"/>
  <c r="S143" i="7" s="1"/>
  <c r="S144" i="7" a="1"/>
  <c r="S144" i="7" s="1"/>
  <c r="S92" i="7" a="1"/>
  <c r="S92" i="7" s="1"/>
  <c r="S62" i="7" a="1"/>
  <c r="S62" i="7" s="1"/>
  <c r="S51" i="7" a="1"/>
  <c r="S51" i="7" s="1"/>
  <c r="S8" i="7" a="1"/>
  <c r="S8" i="7" s="1"/>
  <c r="S162" i="7" a="1"/>
  <c r="S162" i="7" s="1"/>
  <c r="S101" i="7" a="1"/>
  <c r="S101" i="7" s="1"/>
  <c r="S25" i="7" a="1"/>
  <c r="S25" i="7" s="1"/>
  <c r="S185" i="7" a="1"/>
  <c r="S185" i="7" s="1"/>
  <c r="S171" i="7" a="1"/>
  <c r="S171" i="7" s="1"/>
  <c r="S145" i="7" a="1"/>
  <c r="S145" i="7" s="1"/>
  <c r="S128" i="7" a="1"/>
  <c r="S128" i="7" s="1"/>
  <c r="S112" i="7" a="1"/>
  <c r="S112" i="7" s="1"/>
  <c r="S33" i="7" a="1"/>
  <c r="S33" i="7" s="1"/>
  <c r="S127" i="7" a="1"/>
  <c r="S127" i="7" s="1"/>
  <c r="S194" i="7" a="1"/>
  <c r="S194" i="7" s="1"/>
  <c r="S147" i="7" a="1"/>
  <c r="S147" i="7" s="1"/>
  <c r="S132" i="7" a="1"/>
  <c r="S132" i="7" s="1"/>
  <c r="S103" i="7" a="1"/>
  <c r="S103" i="7" s="1"/>
  <c r="S105" i="7" a="1"/>
  <c r="S105" i="7" s="1"/>
  <c r="S57" i="7" a="1"/>
  <c r="S57" i="7" s="1"/>
  <c r="S44" i="7" a="1"/>
  <c r="S44" i="7" s="1"/>
  <c r="S21" i="7" a="1"/>
  <c r="S21" i="7" s="1"/>
  <c r="S172" i="7" a="1"/>
  <c r="S172" i="7" s="1"/>
  <c r="S118" i="7" a="1"/>
  <c r="S118" i="7" s="1"/>
  <c r="S196" i="7" a="1"/>
  <c r="S196" i="7" s="1"/>
  <c r="S179" i="7" a="1"/>
  <c r="S179" i="7" s="1"/>
  <c r="S161" i="7" a="1"/>
  <c r="S161" i="7" s="1"/>
  <c r="S151" i="7" a="1"/>
  <c r="S151" i="7" s="1"/>
  <c r="S125" i="7" a="1"/>
  <c r="S125" i="7" s="1"/>
  <c r="S124" i="7" a="1"/>
  <c r="S124" i="7" s="1"/>
  <c r="S67" i="7" a="1"/>
  <c r="S67" i="7" s="1"/>
  <c r="S99" i="7" a="1"/>
  <c r="S99" i="7" s="1"/>
  <c r="S47" i="7" a="1"/>
  <c r="S47" i="7" s="1"/>
  <c r="S32" i="7" a="1"/>
  <c r="S32" i="7" s="1"/>
  <c r="S88" i="7" a="1"/>
  <c r="S88" i="7" s="1"/>
  <c r="S200" i="7" a="1"/>
  <c r="S200" i="7" s="1"/>
  <c r="S136" i="7" a="1"/>
  <c r="S136" i="7" s="1"/>
  <c r="S77" i="7" a="1"/>
  <c r="S77" i="7" s="1"/>
  <c r="S24" i="7" a="1"/>
  <c r="S24" i="7" s="1"/>
  <c r="S170" i="7" a="1"/>
  <c r="S170" i="7" s="1"/>
  <c r="S122" i="7" a="1"/>
  <c r="S122" i="7" s="1"/>
  <c r="S82" i="7" a="1"/>
  <c r="S82" i="7" s="1"/>
  <c r="S26" i="7" a="1"/>
  <c r="S26" i="7" s="1"/>
  <c r="S56" i="7" a="1"/>
  <c r="S56" i="7" s="1"/>
  <c r="S93" i="7" a="1"/>
  <c r="S93" i="7" s="1"/>
  <c r="S183" i="7" a="1"/>
  <c r="S183" i="7" s="1"/>
  <c r="S160" i="7" a="1"/>
  <c r="S160" i="7" s="1"/>
  <c r="S68" i="7" a="1"/>
  <c r="S68" i="7" s="1"/>
  <c r="S48" i="7" a="1"/>
  <c r="S48" i="7" s="1"/>
  <c r="S19" i="7" a="1"/>
  <c r="S19" i="7" s="1"/>
  <c r="S166" i="7" a="1"/>
  <c r="S166" i="7" s="1"/>
  <c r="S109" i="7" a="1"/>
  <c r="S109" i="7" s="1"/>
  <c r="S85" i="7" a="1"/>
  <c r="S85" i="7" s="1"/>
  <c r="S28" i="7" a="1"/>
  <c r="S28" i="7" s="1"/>
  <c r="S184" i="7" a="1"/>
  <c r="S184" i="7" s="1"/>
  <c r="S139" i="7" a="1"/>
  <c r="S139" i="7" s="1"/>
  <c r="T176" i="7" a="1"/>
  <c r="T176" i="7" s="1"/>
  <c r="T49" i="7" a="1"/>
  <c r="T49" i="7" s="1"/>
  <c r="T28" i="7" a="1"/>
  <c r="T28" i="7" s="1"/>
  <c r="T134" i="7" a="1"/>
  <c r="T134" i="7" s="1"/>
  <c r="T167" i="7" a="1"/>
  <c r="T167" i="7" s="1"/>
  <c r="T192" i="7" a="1"/>
  <c r="T192" i="7" s="1"/>
  <c r="T163" i="7" a="1"/>
  <c r="T163" i="7" s="1"/>
  <c r="T196" i="7" a="1"/>
  <c r="T196" i="7" s="1"/>
  <c r="T29" i="7" a="1"/>
  <c r="T29" i="7" s="1"/>
  <c r="T172" i="7" a="1"/>
  <c r="T172" i="7" s="1"/>
  <c r="T3" i="7" a="1"/>
  <c r="T3" i="7" s="1"/>
  <c r="T12" i="7" a="1"/>
  <c r="T12" i="7" s="1"/>
  <c r="T178" i="7" a="1"/>
  <c r="T178" i="7" s="1"/>
  <c r="T147" i="7" a="1"/>
  <c r="T147" i="7" s="1"/>
  <c r="T194" i="7" a="1"/>
  <c r="T194" i="7" s="1"/>
  <c r="T168" i="7" a="1"/>
  <c r="T168" i="7" s="1"/>
  <c r="T142" i="7" a="1"/>
  <c r="T142" i="7" s="1"/>
  <c r="T135" i="7" a="1"/>
  <c r="T135" i="7" s="1"/>
  <c r="T122" i="7" a="1"/>
  <c r="T122" i="7" s="1"/>
  <c r="T99" i="7" a="1"/>
  <c r="T99" i="7" s="1"/>
  <c r="T157" i="7" a="1"/>
  <c r="T157" i="7" s="1"/>
  <c r="T140" i="7" a="1"/>
  <c r="T140" i="7" s="1"/>
  <c r="T124" i="7" a="1"/>
  <c r="T124" i="7" s="1"/>
  <c r="T82" i="7" a="1"/>
  <c r="T82" i="7" s="1"/>
  <c r="T185" i="7" a="1"/>
  <c r="T185" i="7" s="1"/>
  <c r="T171" i="7" a="1"/>
  <c r="T171" i="7" s="1"/>
  <c r="T158" i="7" a="1"/>
  <c r="T158" i="7" s="1"/>
  <c r="T141" i="7" a="1"/>
  <c r="T141" i="7" s="1"/>
  <c r="T125" i="7" a="1"/>
  <c r="T125" i="7" s="1"/>
  <c r="T92" i="7" a="1"/>
  <c r="T92" i="7" s="1"/>
  <c r="T111" i="7" a="1"/>
  <c r="T111" i="7" s="1"/>
  <c r="T100" i="7" a="1"/>
  <c r="T100" i="7" s="1"/>
  <c r="T75" i="7" a="1"/>
  <c r="T75" i="7" s="1"/>
  <c r="T11" i="7" a="1"/>
  <c r="T11" i="7" s="1"/>
  <c r="T90" i="7" a="1"/>
  <c r="T90" i="7" s="1"/>
  <c r="T61" i="7" a="1"/>
  <c r="T61" i="7" s="1"/>
  <c r="T117" i="7" a="1"/>
  <c r="T117" i="7" s="1"/>
  <c r="T98" i="7" a="1"/>
  <c r="T98" i="7" s="1"/>
  <c r="T71" i="7" a="1"/>
  <c r="T71" i="7" s="1"/>
  <c r="T93" i="7" a="1"/>
  <c r="T93" i="7" s="1"/>
  <c r="T80" i="7" a="1"/>
  <c r="T80" i="7" s="1"/>
  <c r="T65" i="7" a="1"/>
  <c r="T65" i="7" s="1"/>
  <c r="T31" i="7" a="1"/>
  <c r="T31" i="7" s="1"/>
  <c r="T81" i="7" a="1"/>
  <c r="T81" i="7" s="1"/>
  <c r="T59" i="7" a="1"/>
  <c r="T59" i="7" s="1"/>
  <c r="T32" i="7" a="1"/>
  <c r="T32" i="7" s="1"/>
  <c r="T55" i="7" a="1"/>
  <c r="T55" i="7" s="1"/>
  <c r="T24" i="7" a="1"/>
  <c r="T24" i="7" s="1"/>
  <c r="T13" i="7" a="1"/>
  <c r="T13" i="7" s="1"/>
  <c r="T38" i="7" a="1"/>
  <c r="T38" i="7" s="1"/>
  <c r="T6" i="7" a="1"/>
  <c r="T6" i="7" s="1"/>
  <c r="T5" i="7" a="1"/>
  <c r="T5" i="7" s="1"/>
  <c r="T152" i="7" a="1"/>
  <c r="T152" i="7" s="1"/>
  <c r="T40" i="7" a="1"/>
  <c r="T40" i="7" s="1"/>
  <c r="T189" i="7" a="1"/>
  <c r="T189" i="7" s="1"/>
  <c r="T138" i="7" a="1"/>
  <c r="T138" i="7" s="1"/>
  <c r="T193" i="7" a="1"/>
  <c r="T193" i="7" s="1"/>
  <c r="T25" i="7" a="1"/>
  <c r="T25" i="7" s="1"/>
  <c r="T155" i="7" a="1"/>
  <c r="T155" i="7" s="1"/>
  <c r="T39" i="7" a="1"/>
  <c r="T39" i="7" s="1"/>
  <c r="T198" i="7" a="1"/>
  <c r="T198" i="7" s="1"/>
  <c r="T169" i="7" a="1"/>
  <c r="T169" i="7" s="1"/>
  <c r="T139" i="7" a="1"/>
  <c r="T139" i="7" s="1"/>
  <c r="T180" i="7" a="1"/>
  <c r="T180" i="7" s="1"/>
  <c r="T159" i="7" a="1"/>
  <c r="T159" i="7" s="1"/>
  <c r="T130" i="7" a="1"/>
  <c r="T130" i="7" s="1"/>
  <c r="T131" i="7" a="1"/>
  <c r="T131" i="7" s="1"/>
  <c r="T118" i="7" a="1"/>
  <c r="T118" i="7" s="1"/>
  <c r="T74" i="7" a="1"/>
  <c r="T74" i="7" s="1"/>
  <c r="T153" i="7" a="1"/>
  <c r="T153" i="7" s="1"/>
  <c r="T136" i="7" a="1"/>
  <c r="T136" i="7" s="1"/>
  <c r="T119" i="7" a="1"/>
  <c r="T119" i="7" s="1"/>
  <c r="T195" i="7" a="1"/>
  <c r="T195" i="7" s="1"/>
  <c r="T183" i="7" a="1"/>
  <c r="T183" i="7" s="1"/>
  <c r="T170" i="7" a="1"/>
  <c r="T170" i="7" s="1"/>
  <c r="T154" i="7" a="1"/>
  <c r="T154" i="7" s="1"/>
  <c r="T137" i="7" a="1"/>
  <c r="T137" i="7" s="1"/>
  <c r="T120" i="7" a="1"/>
  <c r="T120" i="7" s="1"/>
  <c r="T53" i="7" a="1"/>
  <c r="T53" i="7" s="1"/>
  <c r="T110" i="7" a="1"/>
  <c r="T110" i="7" s="1"/>
  <c r="T94" i="7" a="1"/>
  <c r="T94" i="7" s="1"/>
  <c r="T67" i="7" a="1"/>
  <c r="T67" i="7" s="1"/>
  <c r="T112" i="7" a="1"/>
  <c r="T112" i="7" s="1"/>
  <c r="T86" i="7" a="1"/>
  <c r="T86" i="7" s="1"/>
  <c r="T57" i="7" a="1"/>
  <c r="T57" i="7" s="1"/>
  <c r="T113" i="7" a="1"/>
  <c r="T113" i="7" s="1"/>
  <c r="T96" i="7" a="1"/>
  <c r="T96" i="7" s="1"/>
  <c r="T43" i="7" a="1"/>
  <c r="T43" i="7" s="1"/>
  <c r="T89" i="7" a="1"/>
  <c r="T89" i="7" s="1"/>
  <c r="T76" i="7" a="1"/>
  <c r="T76" i="7" s="1"/>
  <c r="T62" i="7" a="1"/>
  <c r="T62" i="7" s="1"/>
  <c r="T15" i="7" a="1"/>
  <c r="T15" i="7" s="1"/>
  <c r="T77" i="7" a="1"/>
  <c r="T77" i="7" s="1"/>
  <c r="T51" i="7" a="1"/>
  <c r="T51" i="7" s="1"/>
  <c r="T64" i="7" a="1"/>
  <c r="T64" i="7" s="1"/>
  <c r="T45" i="7" a="1"/>
  <c r="T45" i="7" s="1"/>
  <c r="T17" i="7" a="1"/>
  <c r="T17" i="7" s="1"/>
  <c r="T56" i="7" a="1"/>
  <c r="T56" i="7" s="1"/>
  <c r="T30" i="7" a="1"/>
  <c r="T30" i="7" s="1"/>
  <c r="T20" i="7" a="1"/>
  <c r="T20" i="7" s="1"/>
  <c r="T46" i="7" a="1"/>
  <c r="T46" i="7" s="1"/>
  <c r="T23" i="7" a="1"/>
  <c r="T23" i="7" s="1"/>
  <c r="T143" i="7" a="1"/>
  <c r="T143" i="7" s="1"/>
  <c r="T19" i="7" a="1"/>
  <c r="T19" i="7" s="1"/>
  <c r="T186" i="7" a="1"/>
  <c r="T186" i="7" s="1"/>
  <c r="T34" i="7" a="1"/>
  <c r="T34" i="7" s="1"/>
  <c r="T190" i="7" a="1"/>
  <c r="T190" i="7" s="1"/>
  <c r="T197" i="7" a="1"/>
  <c r="T197" i="7" s="1"/>
  <c r="T146" i="7" a="1"/>
  <c r="T146" i="7" s="1"/>
  <c r="T37" i="7" a="1"/>
  <c r="T37" i="7" s="1"/>
  <c r="T188" i="7" a="1"/>
  <c r="T188" i="7" s="1"/>
  <c r="T164" i="7" a="1"/>
  <c r="T164" i="7" s="1"/>
  <c r="T126" i="7" a="1"/>
  <c r="T126" i="7" s="1"/>
  <c r="T177" i="7" a="1"/>
  <c r="T177" i="7" s="1"/>
  <c r="T151" i="7" a="1"/>
  <c r="T151" i="7" s="1"/>
  <c r="T121" i="7" a="1"/>
  <c r="T121" i="7" s="1"/>
  <c r="T127" i="7" a="1"/>
  <c r="T127" i="7" s="1"/>
  <c r="T115" i="7" a="1"/>
  <c r="T115" i="7" s="1"/>
  <c r="T165" i="7" a="1"/>
  <c r="T165" i="7" s="1"/>
  <c r="T148" i="7" a="1"/>
  <c r="T148" i="7" s="1"/>
  <c r="T132" i="7" a="1"/>
  <c r="T132" i="7" s="1"/>
  <c r="T114" i="7" a="1"/>
  <c r="T114" i="7" s="1"/>
  <c r="T191" i="7" a="1"/>
  <c r="T191" i="7" s="1"/>
  <c r="T179" i="7" a="1"/>
  <c r="T179" i="7" s="1"/>
  <c r="T166" i="7" a="1"/>
  <c r="T166" i="7" s="1"/>
  <c r="T149" i="7" a="1"/>
  <c r="T149" i="7" s="1"/>
  <c r="T133" i="7" a="1"/>
  <c r="T133" i="7" s="1"/>
  <c r="T109" i="7" a="1"/>
  <c r="T109" i="7" s="1"/>
  <c r="T7" i="7" a="1"/>
  <c r="T7" i="7" s="1"/>
  <c r="T105" i="7" a="1"/>
  <c r="T105" i="7" s="1"/>
  <c r="T91" i="7" a="1"/>
  <c r="T91" i="7" s="1"/>
  <c r="T63" i="7" a="1"/>
  <c r="T63" i="7" s="1"/>
  <c r="T106" i="7" a="1"/>
  <c r="T106" i="7" s="1"/>
  <c r="T78" i="7" a="1"/>
  <c r="T78" i="7" s="1"/>
  <c r="T21" i="7" a="1"/>
  <c r="T21" i="7" s="1"/>
  <c r="T107" i="7" a="1"/>
  <c r="T107" i="7" s="1"/>
  <c r="T87" i="7" a="1"/>
  <c r="T87" i="7" s="1"/>
  <c r="T8" i="7" a="1"/>
  <c r="T8" i="7" s="1"/>
  <c r="T88" i="7" a="1"/>
  <c r="T88" i="7" s="1"/>
  <c r="T72" i="7" a="1"/>
  <c r="T72" i="7" s="1"/>
  <c r="T60" i="7" a="1"/>
  <c r="T60" i="7" s="1"/>
  <c r="T26" i="7" a="1"/>
  <c r="T26" i="7" s="1"/>
  <c r="T73" i="7" a="1"/>
  <c r="T73" i="7" s="1"/>
  <c r="T35" i="7" a="1"/>
  <c r="T35" i="7" s="1"/>
  <c r="T58" i="7" a="1"/>
  <c r="T58" i="7" s="1"/>
  <c r="T44" i="7" a="1"/>
  <c r="T44" i="7" s="1"/>
  <c r="T9" i="7" a="1"/>
  <c r="T9" i="7" s="1"/>
  <c r="T48" i="7" a="1"/>
  <c r="T48" i="7" s="1"/>
  <c r="T18" i="7" a="1"/>
  <c r="T18" i="7" s="1"/>
  <c r="T52" i="7" a="1"/>
  <c r="T52" i="7" s="1"/>
  <c r="T41" i="7" a="1"/>
  <c r="T41" i="7" s="1"/>
  <c r="T173" i="7" a="1"/>
  <c r="T173" i="7" s="1"/>
  <c r="T200" i="7" a="1"/>
  <c r="T200" i="7" s="1"/>
  <c r="T182" i="7" a="1"/>
  <c r="T182" i="7" s="1"/>
  <c r="T199" i="7" a="1"/>
  <c r="T199" i="7" s="1"/>
  <c r="T160" i="7" a="1"/>
  <c r="T160" i="7" s="1"/>
  <c r="T184" i="7" a="1"/>
  <c r="T184" i="7" s="1"/>
  <c r="T42" i="7" a="1"/>
  <c r="T42" i="7" s="1"/>
  <c r="T27" i="7" a="1"/>
  <c r="T27" i="7" s="1"/>
  <c r="T181" i="7" a="1"/>
  <c r="T181" i="7" s="1"/>
  <c r="T156" i="7" a="1"/>
  <c r="T156" i="7" s="1"/>
  <c r="T66" i="7" a="1"/>
  <c r="T66" i="7" s="1"/>
  <c r="T174" i="7" a="1"/>
  <c r="T174" i="7" s="1"/>
  <c r="T150" i="7" a="1"/>
  <c r="T150" i="7" s="1"/>
  <c r="T116" i="7" a="1"/>
  <c r="T116" i="7" s="1"/>
  <c r="T123" i="7" a="1"/>
  <c r="T123" i="7" s="1"/>
  <c r="T108" i="7" a="1"/>
  <c r="T108" i="7" s="1"/>
  <c r="T161" i="7" a="1"/>
  <c r="T161" i="7" s="1"/>
  <c r="T144" i="7" a="1"/>
  <c r="T144" i="7" s="1"/>
  <c r="T128" i="7" a="1"/>
  <c r="T128" i="7" s="1"/>
  <c r="T103" i="7" a="1"/>
  <c r="T103" i="7" s="1"/>
  <c r="T187" i="7" a="1"/>
  <c r="T187" i="7" s="1"/>
  <c r="T175" i="7" a="1"/>
  <c r="T175" i="7" s="1"/>
  <c r="T162" i="7" a="1"/>
  <c r="T162" i="7" s="1"/>
  <c r="T145" i="7" a="1"/>
  <c r="T145" i="7" s="1"/>
  <c r="T129" i="7" a="1"/>
  <c r="T129" i="7" s="1"/>
  <c r="T95" i="7" a="1"/>
  <c r="T95" i="7" s="1"/>
  <c r="T4" i="7" a="1"/>
  <c r="T4" i="7" s="1"/>
  <c r="T104" i="7" a="1"/>
  <c r="T104" i="7" s="1"/>
  <c r="T83" i="7" a="1"/>
  <c r="T83" i="7" s="1"/>
  <c r="T22" i="7" a="1"/>
  <c r="T22" i="7" s="1"/>
  <c r="T101" i="7" a="1"/>
  <c r="T101" i="7" s="1"/>
  <c r="T70" i="7" a="1"/>
  <c r="T70" i="7" s="1"/>
  <c r="T10" i="7" a="1"/>
  <c r="T10" i="7" s="1"/>
  <c r="T102" i="7" a="1"/>
  <c r="T102" i="7" s="1"/>
  <c r="T79" i="7" a="1"/>
  <c r="T79" i="7" s="1"/>
  <c r="T97" i="7" a="1"/>
  <c r="T97" i="7" s="1"/>
  <c r="T84" i="7" a="1"/>
  <c r="T84" i="7" s="1"/>
  <c r="T68" i="7" a="1"/>
  <c r="T68" i="7" s="1"/>
  <c r="T50" i="7" a="1"/>
  <c r="T50" i="7" s="1"/>
  <c r="T85" i="7" a="1"/>
  <c r="T85" i="7" s="1"/>
  <c r="T69" i="7" a="1"/>
  <c r="T69" i="7" s="1"/>
  <c r="T16" i="7" a="1"/>
  <c r="T16" i="7" s="1"/>
  <c r="T54" i="7" a="1"/>
  <c r="T54" i="7" s="1"/>
  <c r="T36" i="7" a="1"/>
  <c r="T36" i="7" s="1"/>
  <c r="T33" i="7" a="1"/>
  <c r="T33" i="7" s="1"/>
  <c r="T47" i="7" a="1"/>
  <c r="T47" i="7" s="1"/>
  <c r="T14" i="7" a="1"/>
  <c r="T14" i="7" s="1"/>
</calcChain>
</file>

<file path=xl/sharedStrings.xml><?xml version="1.0" encoding="utf-8"?>
<sst xmlns="http://schemas.openxmlformats.org/spreadsheetml/2006/main" count="621" uniqueCount="178">
  <si>
    <t>Fecha fin</t>
  </si>
  <si>
    <t>Consumo Activa</t>
  </si>
  <si>
    <t>Promedio Activa</t>
  </si>
  <si>
    <t>Consumo Reactiva</t>
  </si>
  <si>
    <t>Promedio Reactiva</t>
  </si>
  <si>
    <t>Valores</t>
  </si>
  <si>
    <t>Suma de Consumo Activa</t>
  </si>
  <si>
    <t>Suma de Consumo Reactiva</t>
  </si>
  <si>
    <t>Año</t>
  </si>
  <si>
    <t>Máx de Fecha fin</t>
  </si>
  <si>
    <t>Mín de Fecha inicio</t>
  </si>
  <si>
    <t>Suma de Promedio Activa</t>
  </si>
  <si>
    <t>Contrato</t>
  </si>
  <si>
    <t>Secuencial factura</t>
  </si>
  <si>
    <t>Fecha Inicio</t>
  </si>
  <si>
    <t>Activa</t>
  </si>
  <si>
    <t>Reactiva</t>
  </si>
  <si>
    <t>Cargo abono total</t>
  </si>
  <si>
    <t>Consumo perdidas totales</t>
  </si>
  <si>
    <t>Maxímetro</t>
  </si>
  <si>
    <t>Maximetro</t>
  </si>
  <si>
    <t>Pérdidas Total</t>
  </si>
  <si>
    <t>Lectura</t>
  </si>
  <si>
    <t>Fuente</t>
  </si>
  <si>
    <t>Máx de Maxímetro</t>
  </si>
  <si>
    <t>AÑO</t>
  </si>
  <si>
    <t>Días</t>
  </si>
  <si>
    <t>Periodos facturados</t>
  </si>
  <si>
    <t>Mes</t>
  </si>
  <si>
    <t>Maxímetro redondeo</t>
  </si>
  <si>
    <t>Total general</t>
  </si>
  <si>
    <t>Energía Total Reconstruida</t>
  </si>
  <si>
    <t>Consumo de E. Activa por meses y años</t>
  </si>
  <si>
    <t>E. Activa reconstruida tras refacturación</t>
  </si>
  <si>
    <t>DIAS CICLO</t>
  </si>
  <si>
    <t>Consumo promedio ciclo</t>
  </si>
  <si>
    <t>Suma de Días</t>
  </si>
  <si>
    <t>Observaciones:</t>
  </si>
  <si>
    <t>Promedio de E. Activa por meses y años</t>
  </si>
  <si>
    <t>(Todas)</t>
  </si>
  <si>
    <t>Suma de Maxímetro</t>
  </si>
  <si>
    <t>Promedio ER</t>
  </si>
  <si>
    <t>Etiquetas de fila</t>
  </si>
  <si>
    <t>Etiquetas de columna</t>
  </si>
  <si>
    <t>Suma de Promedio Reactiva</t>
  </si>
  <si>
    <t>enero</t>
  </si>
  <si>
    <t>Suma de Promedio consumo por día</t>
  </si>
  <si>
    <t xml:space="preserve">Dirección: </t>
  </si>
  <si>
    <t>Inicio</t>
  </si>
  <si>
    <t>Fin</t>
  </si>
  <si>
    <t>PC</t>
  </si>
  <si>
    <t>HU</t>
  </si>
  <si>
    <t>DIAS</t>
  </si>
  <si>
    <t>Enofa</t>
  </si>
  <si>
    <t>Periodo anomalía:</t>
  </si>
  <si>
    <t>Sec.</t>
  </si>
  <si>
    <t>Fecha de</t>
  </si>
  <si>
    <t>Fecha hasta</t>
  </si>
  <si>
    <t>Dias</t>
  </si>
  <si>
    <t>Seleccionar</t>
  </si>
  <si>
    <t>P1</t>
  </si>
  <si>
    <t>P2</t>
  </si>
  <si>
    <t>P3</t>
  </si>
  <si>
    <t>P4</t>
  </si>
  <si>
    <t>P5</t>
  </si>
  <si>
    <t>P6</t>
  </si>
  <si>
    <t>C/A P1</t>
  </si>
  <si>
    <t>C/A P2</t>
  </si>
  <si>
    <t>C/A P3</t>
  </si>
  <si>
    <t>C/A P4</t>
  </si>
  <si>
    <t>C/A P5</t>
  </si>
  <si>
    <t>C/A P6</t>
  </si>
  <si>
    <t>EF</t>
  </si>
  <si>
    <t>Tipo V</t>
  </si>
  <si>
    <t>Consumo</t>
  </si>
  <si>
    <t>Prom. Dia</t>
  </si>
  <si>
    <t>Días:</t>
  </si>
  <si>
    <t>Periodo de referencia:</t>
  </si>
  <si>
    <t>a</t>
  </si>
  <si>
    <t>kWh.</t>
  </si>
  <si>
    <t>CMD</t>
  </si>
  <si>
    <t>Consumo:</t>
  </si>
  <si>
    <t>FR</t>
  </si>
  <si>
    <t>Valoración por:</t>
  </si>
  <si>
    <t>Se valora por DA en funcion a la potencia contratada (PC) o debida de contratar por "X" horas de utilizacion y por "XXX" días, correspondientes al periodo de anomalia SIN restarle la energía facturada por ciclo.</t>
  </si>
  <si>
    <t>PC:</t>
  </si>
  <si>
    <t>E. Total (EF + Enofa)</t>
  </si>
  <si>
    <t>I.A:</t>
  </si>
  <si>
    <t>Días periodo:</t>
  </si>
  <si>
    <t>días</t>
  </si>
  <si>
    <t>Fecha Fin</t>
  </si>
  <si>
    <t>CTE.</t>
  </si>
  <si>
    <t>Se valora por FR en función a la potencia contratada (PC) o debida de contratar por "X" horas de utilizacion y por "XXX" días, correspondientes al periodo de anomalia, a cuya energía resultante se le resta la energía facturada por ciclo.</t>
  </si>
  <si>
    <t>Tipo</t>
  </si>
  <si>
    <t>TV DH</t>
  </si>
  <si>
    <t>Tipo IV</t>
  </si>
  <si>
    <t>Expte. Tipo</t>
  </si>
  <si>
    <t>A + B</t>
  </si>
  <si>
    <t>Prom. Act.</t>
  </si>
  <si>
    <t>Prom. A + B</t>
  </si>
  <si>
    <t>A + C</t>
  </si>
  <si>
    <t>Prom. A + C</t>
  </si>
  <si>
    <t>AB - A</t>
  </si>
  <si>
    <t>AC - A</t>
  </si>
  <si>
    <t>AB - C</t>
  </si>
  <si>
    <t>A + B + C</t>
  </si>
  <si>
    <t>Suma de A + B + C</t>
  </si>
  <si>
    <t>Suma de AB - A</t>
  </si>
  <si>
    <t>Suma de AB - C</t>
  </si>
  <si>
    <t>% Error:</t>
  </si>
  <si>
    <t>Número Fiscal de Factura</t>
  </si>
  <si>
    <t>Código de Empresa Distribuidora</t>
  </si>
  <si>
    <t>Código de contrato externo</t>
  </si>
  <si>
    <t>Secuencial de factura</t>
  </si>
  <si>
    <t>Tipo de factura</t>
  </si>
  <si>
    <t>Estado de la factura</t>
  </si>
  <si>
    <t>Fecha desde</t>
  </si>
  <si>
    <t>Importe Factura</t>
  </si>
  <si>
    <t>Fuente de la factura</t>
  </si>
  <si>
    <t>Tipo de Fuente</t>
  </si>
  <si>
    <t>Descripción Tipo de fuente</t>
  </si>
  <si>
    <t>Tipo de Fuente Anterior</t>
  </si>
  <si>
    <t>Descripción Tipo de fuente Anterior</t>
  </si>
  <si>
    <t>Tipo de punto de medida</t>
  </si>
  <si>
    <t>Consumo P1/punta</t>
  </si>
  <si>
    <t>Consumo P2/llano</t>
  </si>
  <si>
    <t>Consumo P3/valle</t>
  </si>
  <si>
    <t>Consumo P4/supervalle</t>
  </si>
  <si>
    <t>Consumo P5</t>
  </si>
  <si>
    <t>Consumo P6</t>
  </si>
  <si>
    <t>Consumo Reactiva1</t>
  </si>
  <si>
    <t>Consumo Reactiva2</t>
  </si>
  <si>
    <t>Consumo Reactiva3</t>
  </si>
  <si>
    <t>Consumo Reactiva4</t>
  </si>
  <si>
    <t>Consumo Reactiva5</t>
  </si>
  <si>
    <t>Consumo Reactiva6</t>
  </si>
  <si>
    <t>Consumo cargo-abono P1/punta</t>
  </si>
  <si>
    <t>Consumo cargo-abono P2/llano</t>
  </si>
  <si>
    <t>Consumo cargo-abono P3/valle</t>
  </si>
  <si>
    <t>Consumo cargo/abono P4</t>
  </si>
  <si>
    <t>Consumo cargo/abono P5</t>
  </si>
  <si>
    <t>Consumo cargo/abono P6</t>
  </si>
  <si>
    <t>Consumo pérdidas P1/punta</t>
  </si>
  <si>
    <t>Consumo pérdidas P2/llano</t>
  </si>
  <si>
    <t>Consumo pérdidas P3/valle</t>
  </si>
  <si>
    <t>Consumo pérdidas P4</t>
  </si>
  <si>
    <t>Consumo pérdidas P5</t>
  </si>
  <si>
    <t>Consumo pérdidas P6</t>
  </si>
  <si>
    <t>Maxímetro P1/Punta</t>
  </si>
  <si>
    <t>Maxímetro P2/Llano</t>
  </si>
  <si>
    <t>Maxímetro P3/Valle</t>
  </si>
  <si>
    <t>Maxímetro P4</t>
  </si>
  <si>
    <t>Maxímetro P5</t>
  </si>
  <si>
    <t>Maxímetro P6</t>
  </si>
  <si>
    <t xml:space="preserve">Aclaración: </t>
  </si>
  <si>
    <t>Se valora periodo anomalía por constante (CTE) resultante de la verificación y se le resta la energía facturada por ciclo.</t>
  </si>
  <si>
    <t>Se valora periodo anomalía por consumo medio diario (CMD) calculado sobre el periodo de referencia y al cual se le resta la energía facturada por ciclo.</t>
  </si>
  <si>
    <t>Consumo antes fraude</t>
  </si>
  <si>
    <t>Consumo fraudulento</t>
  </si>
  <si>
    <t>Consumo tras normalizar</t>
  </si>
  <si>
    <t xml:space="preserve">Cte. Historico: </t>
  </si>
  <si>
    <t xml:space="preserve">CUPS nº </t>
  </si>
  <si>
    <t>Se valora periodo anomalía por histórico de consumo tomando como referencia el mismo periodo del año anterior al cual se le resta la energía facturada por ciclo.</t>
  </si>
  <si>
    <t>Consumo TOTAL a recuperar:</t>
  </si>
  <si>
    <t>Origen</t>
  </si>
  <si>
    <t>(Varios elementos)</t>
  </si>
  <si>
    <t>febrero</t>
  </si>
  <si>
    <t>marzo</t>
  </si>
  <si>
    <t>abril</t>
  </si>
  <si>
    <t>mayo</t>
  </si>
  <si>
    <t>NA</t>
  </si>
  <si>
    <t>junio</t>
  </si>
  <si>
    <t>julio</t>
  </si>
  <si>
    <t>agosto</t>
  </si>
  <si>
    <t>septiembre</t>
  </si>
  <si>
    <t>octubre</t>
  </si>
  <si>
    <t>noviembre</t>
  </si>
  <si>
    <t>diciembre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</si>
</sst>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11"/>
      <color theme="0" tint="-0.14999847407452621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sz val="11"/>
      <color theme="1" tint="0.34998626667073579"/>
      <name val="Calibri"/>
      <family val="2"/>
      <scheme val="minor"/>
    </font>
    <font>
      <b/>
      <sz val="20"/>
      <color theme="1" tint="0.34998626667073579"/>
      <name val="Calibri"/>
      <family val="2"/>
      <scheme val="minor"/>
    </font>
    <font>
      <b/>
      <sz val="11"/>
      <color theme="1" tint="0.499984740745262"/>
      <name val="Calibri"/>
      <family val="2"/>
      <scheme val="minor"/>
    </font>
    <font>
      <sz val="12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rgb="FF000000"/>
      <name val="Calibri"/>
      <family val="2"/>
    </font>
    <font>
      <sz val="16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</fonts>
  <fills count="47">
    <fill>
      <patternFill patternType="none"/>
    </fill>
    <fill>
      <patternFill patternType="gray125"/>
    </fill>
    <fill>
      <patternFill patternType="solid">
        <fgColor theme="0" tint="-0.499984740745262"/>
        <bgColor theme="6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theme="6"/>
      </patternFill>
    </fill>
    <fill>
      <patternFill patternType="solid">
        <fgColor theme="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</fills>
  <borders count="31">
    <border>
      <left/>
      <right/>
      <top/>
      <bottom/>
      <diagonal/>
    </border>
    <border>
      <left style="thin">
        <color theme="6" tint="0.39997558519241921"/>
      </left>
      <right/>
      <top style="thin">
        <color theme="6" tint="0.39997558519241921"/>
      </top>
      <bottom/>
      <diagonal/>
    </border>
    <border>
      <left/>
      <right/>
      <top style="thin">
        <color theme="6" tint="0.39997558519241921"/>
      </top>
      <bottom/>
      <diagonal/>
    </border>
    <border>
      <left/>
      <right style="thin">
        <color theme="6" tint="0.39997558519241921"/>
      </right>
      <top style="thin">
        <color theme="6" tint="0.3999755851924192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6" tint="0.39997558519241921"/>
      </left>
      <right/>
      <top style="thin">
        <color theme="6" tint="0.39997558519241921"/>
      </top>
      <bottom style="thin">
        <color theme="6" tint="0.39997558519241921"/>
      </bottom>
      <diagonal/>
    </border>
    <border>
      <left/>
      <right/>
      <top style="thin">
        <color theme="6" tint="0.39997558519241921"/>
      </top>
      <bottom style="thin">
        <color theme="6" tint="0.3999755851924192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rgb="FFC00000"/>
      </left>
      <right style="medium">
        <color rgb="FFC00000"/>
      </right>
      <top style="medium">
        <color rgb="FFC00000"/>
      </top>
      <bottom/>
      <diagonal/>
    </border>
    <border>
      <left style="medium">
        <color rgb="FFC00000"/>
      </left>
      <right style="medium">
        <color rgb="FFC00000"/>
      </right>
      <top/>
      <bottom style="medium">
        <color rgb="FFC00000"/>
      </bottom>
      <diagonal/>
    </border>
    <border>
      <left/>
      <right style="medium">
        <color rgb="FFC00000"/>
      </right>
      <top style="medium">
        <color rgb="FFC00000"/>
      </top>
      <bottom/>
      <diagonal/>
    </border>
    <border>
      <left/>
      <right style="medium">
        <color rgb="FFC00000"/>
      </right>
      <top/>
      <bottom style="medium">
        <color rgb="FFC00000"/>
      </bottom>
      <diagonal/>
    </border>
    <border>
      <left/>
      <right style="medium">
        <color rgb="FFC00000"/>
      </right>
      <top style="thin">
        <color indexed="64"/>
      </top>
      <bottom style="thin">
        <color indexed="64"/>
      </bottom>
      <diagonal/>
    </border>
    <border>
      <left style="medium">
        <color rgb="FFC00000"/>
      </left>
      <right style="medium">
        <color rgb="FFC00000"/>
      </right>
      <top style="medium">
        <color rgb="FFC00000"/>
      </top>
      <bottom style="medium">
        <color rgb="FFC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2">
    <xf numFmtId="0" fontId="0" fillId="0" borderId="0"/>
    <xf numFmtId="0" fontId="3" fillId="0" borderId="0" applyNumberFormat="0" applyFill="0" applyBorder="0" applyAlignment="0" applyProtection="0"/>
    <xf numFmtId="0" fontId="4" fillId="0" borderId="7" applyNumberFormat="0" applyFill="0" applyAlignment="0" applyProtection="0"/>
    <xf numFmtId="0" fontId="5" fillId="0" borderId="8" applyNumberFormat="0" applyFill="0" applyAlignment="0" applyProtection="0"/>
    <xf numFmtId="0" fontId="6" fillId="0" borderId="9" applyNumberFormat="0" applyFill="0" applyAlignment="0" applyProtection="0"/>
    <xf numFmtId="0" fontId="6" fillId="0" borderId="0" applyNumberFormat="0" applyFill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0" applyNumberFormat="0" applyBorder="0" applyAlignment="0" applyProtection="0"/>
    <xf numFmtId="0" fontId="10" fillId="6" borderId="10" applyNumberFormat="0" applyAlignment="0" applyProtection="0"/>
    <xf numFmtId="0" fontId="11" fillId="7" borderId="11" applyNumberFormat="0" applyAlignment="0" applyProtection="0"/>
    <xf numFmtId="0" fontId="12" fillId="7" borderId="10" applyNumberFormat="0" applyAlignment="0" applyProtection="0"/>
    <xf numFmtId="0" fontId="13" fillId="0" borderId="12" applyNumberFormat="0" applyFill="0" applyAlignment="0" applyProtection="0"/>
    <xf numFmtId="0" fontId="1" fillId="8" borderId="13" applyNumberFormat="0" applyAlignment="0" applyProtection="0"/>
    <xf numFmtId="0" fontId="14" fillId="0" borderId="0" applyNumberFormat="0" applyFill="0" applyBorder="0" applyAlignment="0" applyProtection="0"/>
    <xf numFmtId="0" fontId="2" fillId="9" borderId="14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15" applyNumberFormat="0" applyFill="0" applyAlignment="0" applyProtection="0"/>
    <xf numFmtId="0" fontId="17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17" fillId="17" borderId="0" applyNumberFormat="0" applyBorder="0" applyAlignment="0" applyProtection="0"/>
    <xf numFmtId="0" fontId="17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17" fillId="21" borderId="0" applyNumberFormat="0" applyBorder="0" applyAlignment="0" applyProtection="0"/>
    <xf numFmtId="0" fontId="17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17" fillId="25" borderId="0" applyNumberFormat="0" applyBorder="0" applyAlignment="0" applyProtection="0"/>
    <xf numFmtId="0" fontId="17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28" borderId="0" applyNumberFormat="0" applyBorder="0" applyAlignment="0" applyProtection="0"/>
    <xf numFmtId="0" fontId="17" fillId="29" borderId="0" applyNumberFormat="0" applyBorder="0" applyAlignment="0" applyProtection="0"/>
    <xf numFmtId="0" fontId="17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32" borderId="0" applyNumberFormat="0" applyBorder="0" applyAlignment="0" applyProtection="0"/>
    <xf numFmtId="0" fontId="17" fillId="33" borderId="0" applyNumberFormat="0" applyBorder="0" applyAlignment="0" applyProtection="0"/>
  </cellStyleXfs>
  <cellXfs count="137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14" fontId="0" fillId="0" borderId="4" xfId="0" applyNumberFormat="1" applyBorder="1" applyAlignment="1">
      <alignment horizontal="center"/>
    </xf>
    <xf numFmtId="0" fontId="0" fillId="0" borderId="4" xfId="0" applyBorder="1" applyAlignment="1">
      <alignment horizontal="center"/>
    </xf>
    <xf numFmtId="14" fontId="1" fillId="2" borderId="1" xfId="0" applyNumberFormat="1" applyFont="1" applyFill="1" applyBorder="1" applyAlignment="1">
      <alignment horizontal="center" vertical="center" wrapText="1"/>
    </xf>
    <xf numFmtId="14" fontId="1" fillId="2" borderId="2" xfId="0" applyNumberFormat="1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1" fontId="0" fillId="0" borderId="0" xfId="0" applyNumberFormat="1" applyAlignment="1">
      <alignment horizontal="center"/>
    </xf>
    <xf numFmtId="0" fontId="1" fillId="2" borderId="1" xfId="0" applyFont="1" applyFill="1" applyBorder="1" applyAlignment="1">
      <alignment horizontal="center" vertical="center" wrapText="1"/>
    </xf>
    <xf numFmtId="14" fontId="1" fillId="2" borderId="0" xfId="0" applyNumberFormat="1" applyFont="1" applyFill="1" applyAlignment="1">
      <alignment horizontal="center" vertical="center" wrapText="1"/>
    </xf>
    <xf numFmtId="0" fontId="0" fillId="0" borderId="0" xfId="0" applyAlignment="1">
      <alignment wrapText="1"/>
    </xf>
    <xf numFmtId="0" fontId="0" fillId="0" borderId="0" xfId="0" applyAlignment="1">
      <alignment horizontal="center" wrapText="1"/>
    </xf>
    <xf numFmtId="2" fontId="0" fillId="0" borderId="0" xfId="0" applyNumberFormat="1"/>
    <xf numFmtId="2" fontId="0" fillId="0" borderId="0" xfId="0" applyNumberFormat="1" applyAlignment="1">
      <alignment horizontal="center"/>
    </xf>
    <xf numFmtId="0" fontId="16" fillId="0" borderId="0" xfId="0" applyFont="1"/>
    <xf numFmtId="14" fontId="0" fillId="0" borderId="0" xfId="0" applyNumberFormat="1"/>
    <xf numFmtId="14" fontId="0" fillId="0" borderId="0" xfId="0" applyNumberFormat="1" applyAlignment="1">
      <alignment horizontal="center" wrapText="1"/>
    </xf>
    <xf numFmtId="1" fontId="16" fillId="0" borderId="0" xfId="0" applyNumberFormat="1" applyFont="1" applyAlignment="1">
      <alignment horizontal="center" wrapText="1"/>
    </xf>
    <xf numFmtId="1" fontId="0" fillId="0" borderId="0" xfId="0" applyNumberFormat="1" applyAlignment="1">
      <alignment horizontal="center" wrapText="1"/>
    </xf>
    <xf numFmtId="1" fontId="0" fillId="0" borderId="4" xfId="0" applyNumberFormat="1" applyBorder="1" applyAlignment="1">
      <alignment horizontal="center"/>
    </xf>
    <xf numFmtId="1" fontId="16" fillId="0" borderId="0" xfId="0" applyNumberFormat="1" applyFont="1"/>
    <xf numFmtId="1" fontId="0" fillId="0" borderId="0" xfId="0" applyNumberFormat="1"/>
    <xf numFmtId="0" fontId="0" fillId="34" borderId="0" xfId="0" applyFill="1" applyAlignment="1">
      <alignment horizontal="center" vertical="center" wrapText="1"/>
    </xf>
    <xf numFmtId="0" fontId="0" fillId="35" borderId="0" xfId="0" applyFill="1" applyAlignment="1">
      <alignment horizontal="center" wrapText="1"/>
    </xf>
    <xf numFmtId="0" fontId="19" fillId="0" borderId="0" xfId="0" applyFont="1"/>
    <xf numFmtId="0" fontId="16" fillId="0" borderId="0" xfId="0" applyFont="1" applyAlignment="1">
      <alignment horizontal="center"/>
    </xf>
    <xf numFmtId="0" fontId="16" fillId="0" borderId="4" xfId="0" applyFont="1" applyBorder="1" applyAlignment="1">
      <alignment horizontal="center"/>
    </xf>
    <xf numFmtId="1" fontId="16" fillId="0" borderId="4" xfId="0" applyNumberFormat="1" applyFont="1" applyBorder="1" applyAlignment="1">
      <alignment horizontal="center"/>
    </xf>
    <xf numFmtId="2" fontId="16" fillId="0" borderId="0" xfId="0" applyNumberFormat="1" applyFont="1" applyAlignment="1">
      <alignment horizontal="center"/>
    </xf>
    <xf numFmtId="2" fontId="16" fillId="0" borderId="0" xfId="0" applyNumberFormat="1" applyFont="1"/>
    <xf numFmtId="0" fontId="0" fillId="0" borderId="0" xfId="0" applyAlignment="1">
      <alignment vertical="center"/>
    </xf>
    <xf numFmtId="0" fontId="0" fillId="0" borderId="0" xfId="0" pivotButton="1"/>
    <xf numFmtId="0" fontId="0" fillId="0" borderId="0" xfId="0" pivotButton="1" applyAlignment="1">
      <alignment horizontal="center" wrapText="1"/>
    </xf>
    <xf numFmtId="0" fontId="0" fillId="0" borderId="0" xfId="0" pivotButton="1" applyAlignment="1">
      <alignment wrapText="1"/>
    </xf>
    <xf numFmtId="14" fontId="0" fillId="0" borderId="0" xfId="0" applyNumberFormat="1" applyAlignment="1">
      <alignment horizontal="center" wrapText="1" shrinkToFit="1"/>
    </xf>
    <xf numFmtId="0" fontId="0" fillId="0" borderId="0" xfId="0" applyAlignment="1">
      <alignment horizontal="center" wrapText="1" shrinkToFit="1"/>
    </xf>
    <xf numFmtId="0" fontId="0" fillId="0" borderId="0" xfId="0" applyAlignment="1">
      <alignment horizontal="left"/>
    </xf>
    <xf numFmtId="17" fontId="0" fillId="0" borderId="0" xfId="0" applyNumberFormat="1"/>
    <xf numFmtId="0" fontId="21" fillId="0" borderId="0" xfId="0" applyFont="1"/>
    <xf numFmtId="0" fontId="23" fillId="0" borderId="0" xfId="0" applyFont="1"/>
    <xf numFmtId="0" fontId="23" fillId="0" borderId="0" xfId="0" applyFont="1" applyAlignment="1">
      <alignment horizontal="center" wrapText="1"/>
    </xf>
    <xf numFmtId="14" fontId="23" fillId="0" borderId="0" xfId="0" applyNumberFormat="1" applyFont="1" applyAlignment="1">
      <alignment horizontal="center" wrapText="1"/>
    </xf>
    <xf numFmtId="1" fontId="23" fillId="0" borderId="0" xfId="0" applyNumberFormat="1" applyFont="1" applyAlignment="1">
      <alignment horizontal="center" wrapText="1" shrinkToFit="1"/>
    </xf>
    <xf numFmtId="0" fontId="23" fillId="0" borderId="0" xfId="0" applyFont="1" applyAlignment="1">
      <alignment horizontal="center" wrapText="1" shrinkToFit="1"/>
    </xf>
    <xf numFmtId="1" fontId="23" fillId="0" borderId="0" xfId="0" applyNumberFormat="1" applyFont="1" applyAlignment="1">
      <alignment horizontal="center" wrapText="1"/>
    </xf>
    <xf numFmtId="0" fontId="23" fillId="0" borderId="0" xfId="0" applyFont="1" applyAlignment="1">
      <alignment wrapText="1" shrinkToFit="1"/>
    </xf>
    <xf numFmtId="0" fontId="1" fillId="37" borderId="1" xfId="0" applyFont="1" applyFill="1" applyBorder="1" applyAlignment="1">
      <alignment horizontal="center" vertical="center" wrapText="1"/>
    </xf>
    <xf numFmtId="14" fontId="1" fillId="37" borderId="1" xfId="0" applyNumberFormat="1" applyFont="1" applyFill="1" applyBorder="1" applyAlignment="1">
      <alignment horizontal="center" vertical="center" wrapText="1"/>
    </xf>
    <xf numFmtId="2" fontId="1" fillId="37" borderId="1" xfId="0" applyNumberFormat="1" applyFont="1" applyFill="1" applyBorder="1" applyAlignment="1">
      <alignment horizontal="center" vertical="center" wrapText="1"/>
    </xf>
    <xf numFmtId="0" fontId="16" fillId="0" borderId="0" xfId="0" applyFont="1" applyAlignment="1">
      <alignment horizontal="right" vertical="center"/>
    </xf>
    <xf numFmtId="0" fontId="0" fillId="0" borderId="19" xfId="0" applyBorder="1" applyAlignment="1">
      <alignment horizontal="center"/>
    </xf>
    <xf numFmtId="0" fontId="23" fillId="0" borderId="0" xfId="0" pivotButton="1" applyFont="1"/>
    <xf numFmtId="0" fontId="23" fillId="38" borderId="0" xfId="0" applyFont="1" applyFill="1" applyAlignment="1">
      <alignment horizontal="center" vertical="center" wrapText="1"/>
    </xf>
    <xf numFmtId="0" fontId="0" fillId="0" borderId="4" xfId="0" applyBorder="1"/>
    <xf numFmtId="0" fontId="17" fillId="43" borderId="0" xfId="0" applyFont="1" applyFill="1" applyAlignment="1">
      <alignment horizontal="left"/>
    </xf>
    <xf numFmtId="0" fontId="17" fillId="43" borderId="0" xfId="0" applyFont="1" applyFill="1"/>
    <xf numFmtId="1" fontId="0" fillId="0" borderId="0" xfId="0" applyNumberFormat="1" applyAlignment="1">
      <alignment horizontal="right"/>
    </xf>
    <xf numFmtId="14" fontId="0" fillId="0" borderId="0" xfId="0" applyNumberFormat="1" applyAlignment="1">
      <alignment horizontal="left"/>
    </xf>
    <xf numFmtId="14" fontId="0" fillId="0" borderId="0" xfId="0" applyNumberFormat="1" applyAlignment="1">
      <alignment horizontal="right"/>
    </xf>
    <xf numFmtId="2" fontId="17" fillId="43" borderId="0" xfId="0" applyNumberFormat="1" applyFont="1" applyFill="1"/>
    <xf numFmtId="0" fontId="1" fillId="34" borderId="0" xfId="0" applyFont="1" applyFill="1" applyAlignment="1">
      <alignment horizontal="center" vertical="center" wrapText="1"/>
    </xf>
    <xf numFmtId="0" fontId="30" fillId="0" borderId="0" xfId="0" applyFont="1" applyAlignment="1">
      <alignment horizontal="center"/>
    </xf>
    <xf numFmtId="14" fontId="28" fillId="43" borderId="4" xfId="0" applyNumberFormat="1" applyFont="1" applyFill="1" applyBorder="1" applyAlignment="1">
      <alignment horizontal="center"/>
    </xf>
    <xf numFmtId="0" fontId="28" fillId="39" borderId="4" xfId="0" applyFont="1" applyFill="1" applyBorder="1" applyAlignment="1">
      <alignment horizontal="center"/>
    </xf>
    <xf numFmtId="14" fontId="28" fillId="43" borderId="4" xfId="0" applyNumberFormat="1" applyFont="1" applyFill="1" applyBorder="1" applyAlignment="1">
      <alignment horizontal="center" vertical="center"/>
    </xf>
    <xf numFmtId="0" fontId="28" fillId="39" borderId="4" xfId="0" applyFont="1" applyFill="1" applyBorder="1" applyAlignment="1">
      <alignment horizontal="center" vertical="center"/>
    </xf>
    <xf numFmtId="2" fontId="28" fillId="39" borderId="4" xfId="0" applyNumberFormat="1" applyFont="1" applyFill="1" applyBorder="1" applyAlignment="1">
      <alignment horizontal="center" vertical="center"/>
    </xf>
    <xf numFmtId="0" fontId="31" fillId="0" borderId="0" xfId="0" applyFont="1" applyAlignment="1">
      <alignment horizontal="center"/>
    </xf>
    <xf numFmtId="14" fontId="31" fillId="0" borderId="0" xfId="0" applyNumberFormat="1" applyFont="1" applyAlignment="1">
      <alignment horizontal="center"/>
    </xf>
    <xf numFmtId="1" fontId="31" fillId="41" borderId="0" xfId="0" applyNumberFormat="1" applyFont="1" applyFill="1" applyAlignment="1">
      <alignment horizontal="center" vertical="center" wrapText="1"/>
    </xf>
    <xf numFmtId="0" fontId="31" fillId="0" borderId="0" xfId="0" applyFont="1" applyAlignment="1">
      <alignment horizontal="center" vertical="center"/>
    </xf>
    <xf numFmtId="1" fontId="31" fillId="0" borderId="0" xfId="0" applyNumberFormat="1" applyFont="1" applyAlignment="1">
      <alignment horizontal="center"/>
    </xf>
    <xf numFmtId="0" fontId="0" fillId="40" borderId="22" xfId="0" applyFill="1" applyBorder="1" applyAlignment="1">
      <alignment vertical="center"/>
    </xf>
    <xf numFmtId="0" fontId="0" fillId="40" borderId="0" xfId="0" applyFill="1" applyAlignment="1">
      <alignment vertical="center"/>
    </xf>
    <xf numFmtId="0" fontId="0" fillId="45" borderId="0" xfId="0" applyFill="1" applyAlignment="1">
      <alignment horizontal="center" vertical="center" wrapText="1"/>
    </xf>
    <xf numFmtId="14" fontId="0" fillId="45" borderId="0" xfId="0" applyNumberFormat="1" applyFill="1" applyAlignment="1">
      <alignment horizontal="center" vertical="center" wrapText="1"/>
    </xf>
    <xf numFmtId="0" fontId="31" fillId="45" borderId="0" xfId="0" applyFont="1" applyFill="1" applyAlignment="1">
      <alignment horizontal="center" vertical="center" wrapText="1"/>
    </xf>
    <xf numFmtId="0" fontId="29" fillId="42" borderId="25" xfId="0" applyFont="1" applyFill="1" applyBorder="1" applyAlignment="1">
      <alignment vertical="center" wrapText="1"/>
    </xf>
    <xf numFmtId="0" fontId="27" fillId="42" borderId="26" xfId="0" applyFont="1" applyFill="1" applyBorder="1" applyAlignment="1">
      <alignment horizontal="center" vertical="center" wrapText="1"/>
    </xf>
    <xf numFmtId="0" fontId="29" fillId="42" borderId="23" xfId="0" applyFont="1" applyFill="1" applyBorder="1" applyAlignment="1">
      <alignment vertical="center" wrapText="1"/>
    </xf>
    <xf numFmtId="0" fontId="27" fillId="42" borderId="24" xfId="0" applyFont="1" applyFill="1" applyBorder="1" applyAlignment="1">
      <alignment horizontal="center" vertical="center" wrapText="1"/>
    </xf>
    <xf numFmtId="0" fontId="0" fillId="0" borderId="4" xfId="0" applyBorder="1" applyAlignment="1">
      <alignment horizontal="right"/>
    </xf>
    <xf numFmtId="2" fontId="0" fillId="0" borderId="4" xfId="0" applyNumberFormat="1" applyBorder="1" applyAlignment="1">
      <alignment horizontal="right"/>
    </xf>
    <xf numFmtId="0" fontId="28" fillId="42" borderId="28" xfId="0" applyFont="1" applyFill="1" applyBorder="1" applyAlignment="1">
      <alignment vertical="center" wrapText="1"/>
    </xf>
    <xf numFmtId="0" fontId="33" fillId="42" borderId="24" xfId="0" applyFont="1" applyFill="1" applyBorder="1" applyAlignment="1">
      <alignment horizontal="center" vertical="center" wrapText="1"/>
    </xf>
    <xf numFmtId="14" fontId="0" fillId="0" borderId="0" xfId="0" applyNumberFormat="1" applyAlignment="1">
      <alignment horizontal="center" vertical="center" wrapText="1"/>
    </xf>
    <xf numFmtId="1" fontId="26" fillId="0" borderId="0" xfId="0" applyNumberFormat="1" applyFont="1" applyAlignment="1">
      <alignment horizontal="center"/>
    </xf>
    <xf numFmtId="0" fontId="0" fillId="35" borderId="0" xfId="0" applyFill="1" applyAlignment="1">
      <alignment wrapText="1" shrinkToFit="1"/>
    </xf>
    <xf numFmtId="0" fontId="16" fillId="0" borderId="0" xfId="0" applyFont="1" applyAlignment="1">
      <alignment horizontal="left" vertical="center"/>
    </xf>
    <xf numFmtId="1" fontId="1" fillId="37" borderId="1" xfId="0" applyNumberFormat="1" applyFont="1" applyFill="1" applyBorder="1" applyAlignment="1">
      <alignment horizontal="center" vertical="center" wrapText="1"/>
    </xf>
    <xf numFmtId="0" fontId="16" fillId="0" borderId="0" xfId="0" applyFont="1" applyAlignment="1">
      <alignment vertical="center"/>
    </xf>
    <xf numFmtId="1" fontId="0" fillId="0" borderId="19" xfId="0" applyNumberFormat="1" applyBorder="1" applyAlignment="1">
      <alignment horizontal="left"/>
    </xf>
    <xf numFmtId="1" fontId="35" fillId="39" borderId="17" xfId="0" applyNumberFormat="1" applyFont="1" applyFill="1" applyBorder="1" applyAlignment="1">
      <alignment vertical="center" shrinkToFit="1"/>
    </xf>
    <xf numFmtId="1" fontId="35" fillId="39" borderId="18" xfId="0" applyNumberFormat="1" applyFont="1" applyFill="1" applyBorder="1" applyAlignment="1">
      <alignment vertical="center" shrinkToFit="1"/>
    </xf>
    <xf numFmtId="1" fontId="35" fillId="39" borderId="17" xfId="0" applyNumberFormat="1" applyFont="1" applyFill="1" applyBorder="1" applyAlignment="1">
      <alignment vertical="center"/>
    </xf>
    <xf numFmtId="0" fontId="23" fillId="0" borderId="0" xfId="0" applyFont="1" applyAlignment="1">
      <alignment horizontal="center"/>
    </xf>
    <xf numFmtId="1" fontId="23" fillId="0" borderId="0" xfId="0" applyNumberFormat="1" applyFont="1"/>
    <xf numFmtId="0" fontId="0" fillId="0" borderId="0" xfId="0" applyAlignment="1">
      <alignment wrapText="1" shrinkToFit="1"/>
    </xf>
    <xf numFmtId="0" fontId="23" fillId="0" borderId="0" xfId="0" applyFont="1" applyAlignment="1">
      <alignment horizontal="left"/>
    </xf>
    <xf numFmtId="0" fontId="23" fillId="0" borderId="0" xfId="0" applyFont="1" applyAlignment="1">
      <alignment horizontal="center" vertical="center" wrapText="1"/>
    </xf>
    <xf numFmtId="0" fontId="36" fillId="0" borderId="0" xfId="0" applyFont="1" applyAlignment="1">
      <alignment horizontal="center" vertical="center" wrapText="1"/>
    </xf>
    <xf numFmtId="0" fontId="23" fillId="0" borderId="0" xfId="0" applyFont="1" applyAlignment="1">
      <alignment horizontal="center" vertical="center" wrapText="1" shrinkToFit="1"/>
    </xf>
    <xf numFmtId="14" fontId="23" fillId="0" borderId="0" xfId="0" applyNumberFormat="1" applyFont="1" applyAlignment="1">
      <alignment horizontal="center" vertical="center" wrapText="1"/>
    </xf>
    <xf numFmtId="1" fontId="23" fillId="0" borderId="0" xfId="0" applyNumberFormat="1" applyFont="1" applyAlignment="1">
      <alignment horizontal="center" vertical="center" wrapText="1"/>
    </xf>
    <xf numFmtId="1" fontId="23" fillId="0" borderId="0" xfId="0" applyNumberFormat="1" applyFont="1" applyAlignment="1">
      <alignment horizontal="center"/>
    </xf>
    <xf numFmtId="1" fontId="23" fillId="0" borderId="0" xfId="0" applyNumberFormat="1" applyFont="1" applyAlignment="1">
      <alignment horizontal="left"/>
    </xf>
    <xf numFmtId="0" fontId="24" fillId="0" borderId="0" xfId="0" applyFont="1" applyAlignment="1">
      <alignment horizontal="center"/>
    </xf>
    <xf numFmtId="1" fontId="24" fillId="0" borderId="0" xfId="0" applyNumberFormat="1" applyFont="1" applyAlignment="1">
      <alignment horizontal="center"/>
    </xf>
    <xf numFmtId="0" fontId="24" fillId="0" borderId="0" xfId="0" applyFont="1" applyAlignment="1">
      <alignment horizontal="center" vertical="center" wrapText="1"/>
    </xf>
    <xf numFmtId="1" fontId="24" fillId="0" borderId="0" xfId="0" applyNumberFormat="1" applyFont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6" fillId="0" borderId="0" xfId="0" applyFont="1" applyAlignment="1">
      <alignment horizontal="center" vertical="center" wrapText="1"/>
    </xf>
    <xf numFmtId="0" fontId="0" fillId="46" borderId="0" xfId="0" applyFill="1"/>
    <xf numFmtId="0" fontId="1" fillId="2" borderId="5" xfId="0" applyFont="1" applyFill="1" applyBorder="1" applyAlignment="1">
      <alignment horizontal="center" vertical="center" wrapText="1"/>
    </xf>
    <xf numFmtId="0" fontId="1" fillId="2" borderId="6" xfId="0" applyFont="1" applyFill="1" applyBorder="1" applyAlignment="1">
      <alignment horizontal="center" vertical="center" wrapText="1"/>
    </xf>
    <xf numFmtId="0" fontId="22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7" fillId="44" borderId="4" xfId="0" applyFont="1" applyFill="1" applyBorder="1" applyAlignment="1">
      <alignment horizontal="center"/>
    </xf>
    <xf numFmtId="0" fontId="1" fillId="44" borderId="20" xfId="0" applyFont="1" applyFill="1" applyBorder="1" applyAlignment="1">
      <alignment horizontal="center"/>
    </xf>
    <xf numFmtId="0" fontId="1" fillId="44" borderId="21" xfId="0" applyFont="1" applyFill="1" applyBorder="1" applyAlignment="1">
      <alignment horizontal="center"/>
    </xf>
    <xf numFmtId="0" fontId="25" fillId="36" borderId="16" xfId="0" applyFont="1" applyFill="1" applyBorder="1" applyAlignment="1">
      <alignment horizontal="right"/>
    </xf>
    <xf numFmtId="0" fontId="25" fillId="36" borderId="17" xfId="0" applyFont="1" applyFill="1" applyBorder="1" applyAlignment="1">
      <alignment horizontal="right"/>
    </xf>
    <xf numFmtId="14" fontId="28" fillId="43" borderId="29" xfId="0" applyNumberFormat="1" applyFont="1" applyFill="1" applyBorder="1" applyAlignment="1">
      <alignment horizontal="center"/>
    </xf>
    <xf numFmtId="14" fontId="28" fillId="43" borderId="30" xfId="0" applyNumberFormat="1" applyFont="1" applyFill="1" applyBorder="1" applyAlignment="1">
      <alignment horizontal="center"/>
    </xf>
    <xf numFmtId="0" fontId="28" fillId="42" borderId="23" xfId="0" applyFont="1" applyFill="1" applyBorder="1" applyAlignment="1">
      <alignment horizontal="center" vertical="center" wrapText="1"/>
    </xf>
    <xf numFmtId="0" fontId="28" fillId="42" borderId="24" xfId="0" applyFont="1" applyFill="1" applyBorder="1" applyAlignment="1">
      <alignment horizontal="center" vertical="center" wrapText="1"/>
    </xf>
    <xf numFmtId="0" fontId="28" fillId="39" borderId="20" xfId="0" applyFont="1" applyFill="1" applyBorder="1" applyAlignment="1">
      <alignment horizontal="center"/>
    </xf>
    <xf numFmtId="0" fontId="28" fillId="39" borderId="21" xfId="0" applyFont="1" applyFill="1" applyBorder="1" applyAlignment="1">
      <alignment horizontal="center"/>
    </xf>
    <xf numFmtId="1" fontId="28" fillId="39" borderId="20" xfId="0" applyNumberFormat="1" applyFont="1" applyFill="1" applyBorder="1" applyAlignment="1">
      <alignment horizontal="center" vertical="center"/>
    </xf>
    <xf numFmtId="1" fontId="28" fillId="39" borderId="21" xfId="0" applyNumberFormat="1" applyFont="1" applyFill="1" applyBorder="1" applyAlignment="1">
      <alignment horizontal="center" vertical="center"/>
    </xf>
    <xf numFmtId="0" fontId="28" fillId="39" borderId="20" xfId="0" applyFont="1" applyFill="1" applyBorder="1" applyAlignment="1">
      <alignment horizontal="center" vertical="center"/>
    </xf>
    <xf numFmtId="0" fontId="28" fillId="39" borderId="21" xfId="0" applyFont="1" applyFill="1" applyBorder="1" applyAlignment="1">
      <alignment horizontal="center" vertical="center"/>
    </xf>
    <xf numFmtId="0" fontId="28" fillId="39" borderId="27" xfId="0" applyFont="1" applyFill="1" applyBorder="1" applyAlignment="1">
      <alignment horizontal="center"/>
    </xf>
    <xf numFmtId="1" fontId="28" fillId="39" borderId="27" xfId="0" applyNumberFormat="1" applyFont="1" applyFill="1" applyBorder="1" applyAlignment="1">
      <alignment horizontal="center" vertical="center"/>
    </xf>
  </cellXfs>
  <cellStyles count="42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224">
    <dxf>
      <font>
        <b/>
        <i/>
        <color rgb="FFC00000"/>
      </font>
    </dxf>
    <dxf>
      <alignment vertical="center" readingOrder="0"/>
    </dxf>
    <dxf>
      <alignment vertical="center" readingOrder="0"/>
    </dxf>
    <dxf>
      <alignment vertical="bottom" readingOrder="0"/>
    </dxf>
    <dxf>
      <font>
        <color theme="1" tint="0.34998626667073579"/>
      </font>
    </dxf>
    <dxf>
      <fill>
        <patternFill>
          <bgColor auto="1"/>
        </patternFill>
      </fill>
    </dxf>
    <dxf>
      <fill>
        <patternFill>
          <bgColor auto="1"/>
        </patternFill>
      </fill>
    </dxf>
    <dxf>
      <font>
        <color auto="1"/>
      </font>
    </dxf>
    <dxf>
      <font>
        <color theme="1"/>
      </font>
    </dxf>
    <dxf>
      <font>
        <color auto="1"/>
      </font>
    </dxf>
    <dxf>
      <font>
        <color theme="0" tint="-4.9989318521683403E-2"/>
      </font>
    </dxf>
    <dxf>
      <font>
        <color theme="0" tint="-4.9989318521683403E-2"/>
      </font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alignment vertical="center" readingOrder="0"/>
    </dxf>
    <dxf>
      <alignment vertical="center" readingOrder="0"/>
    </dxf>
    <dxf>
      <alignment wrapText="1" readingOrder="0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" formatCode="0"/>
    </dxf>
    <dxf>
      <alignment vertical="center" readingOrder="0"/>
    </dxf>
    <dxf>
      <font>
        <color theme="1" tint="0.499984740745262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1" tint="0.34998626667073579"/>
      </font>
    </dxf>
    <dxf>
      <font>
        <color theme="1" tint="0.34998626667073579"/>
      </font>
    </dxf>
    <dxf>
      <alignment vertical="center" readingOrder="0"/>
    </dxf>
    <dxf>
      <font>
        <color theme="0" tint="-4.9989318521683403E-2"/>
      </font>
    </dxf>
    <dxf>
      <alignment vertical="center" readingOrder="0"/>
    </dxf>
    <dxf>
      <fill>
        <patternFill>
          <bgColor auto="1"/>
        </patternFill>
      </fill>
    </dxf>
    <dxf>
      <font>
        <color theme="0" tint="-4.9989318521683403E-2"/>
      </font>
    </dxf>
    <dxf>
      <alignment vertical="center" readingOrder="0"/>
    </dxf>
    <dxf>
      <font>
        <color theme="0"/>
      </font>
    </dxf>
    <dxf>
      <font>
        <color theme="0" tint="-4.9989318521683403E-2"/>
      </font>
    </dxf>
    <dxf>
      <font>
        <color theme="0" tint="-4.9989318521683403E-2"/>
      </font>
    </dxf>
    <dxf>
      <alignment vertical="center" readingOrder="0"/>
    </dxf>
    <dxf>
      <alignment vertical="center" readingOrder="0"/>
    </dxf>
    <dxf>
      <font>
        <color theme="0"/>
      </font>
    </dxf>
    <dxf>
      <fill>
        <patternFill patternType="solid">
          <bgColor theme="0" tint="-0.14999847407452621"/>
        </patternFill>
      </fill>
    </dxf>
    <dxf>
      <font>
        <color theme="0" tint="-0.14999847407452621"/>
      </font>
    </dxf>
    <dxf>
      <font>
        <b/>
      </font>
    </dxf>
    <dxf>
      <numFmt numFmtId="1" formatCode="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numFmt numFmtId="1" formatCode="0"/>
    </dxf>
    <dxf>
      <numFmt numFmtId="164" formatCode="0.0"/>
    </dxf>
    <dxf>
      <alignment wrapText="1" readingOrder="0"/>
    </dxf>
    <dxf>
      <alignment horizontal="center" readingOrder="0"/>
    </dxf>
    <dxf>
      <numFmt numFmtId="165" formatCode="dd/mm/yyyy"/>
    </dxf>
    <dxf>
      <fill>
        <patternFill patternType="gray125">
          <bgColor theme="7" tint="0.79998168889431442"/>
        </patternFill>
      </fill>
    </dxf>
    <dxf>
      <font>
        <b/>
        <i val="0"/>
        <color rgb="FF9C0006"/>
      </font>
    </dxf>
    <dxf>
      <font>
        <b/>
        <i val="0"/>
        <color rgb="FF9C0006"/>
      </font>
    </dxf>
    <dxf>
      <font>
        <b/>
        <i val="0"/>
        <color rgb="FF9C0006"/>
      </font>
    </dxf>
    <dxf>
      <font>
        <b/>
        <i val="0"/>
        <color rgb="FF006100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1" tint="0.499984740745262"/>
      </font>
    </dxf>
    <dxf>
      <alignment horizontal="center" readingOrder="0"/>
    </dxf>
    <dxf>
      <font>
        <color theme="0" tint="-4.9989318521683403E-2"/>
      </font>
    </dxf>
    <dxf>
      <font>
        <b/>
      </font>
    </dxf>
    <dxf>
      <numFmt numFmtId="1" formatCode="0"/>
    </dxf>
    <dxf>
      <font>
        <color theme="1" tint="0.499984740745262"/>
      </font>
    </dxf>
    <dxf>
      <font>
        <b/>
      </font>
    </dxf>
    <dxf>
      <numFmt numFmtId="1" formatCode="0"/>
    </dxf>
    <dxf>
      <alignment horizontal="left" readingOrder="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1" formatCode="0"/>
    </dxf>
    <dxf>
      <numFmt numFmtId="1" formatCode="0"/>
    </dxf>
    <dxf>
      <numFmt numFmtId="2" formatCode="0.00"/>
    </dxf>
    <dxf>
      <numFmt numFmtId="2" formatCode="0.00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" formatCode="0"/>
    </dxf>
    <dxf>
      <numFmt numFmtId="164" formatCode="0.0"/>
    </dxf>
    <dxf>
      <numFmt numFmtId="2" formatCode="0.00"/>
    </dxf>
    <dxf>
      <numFmt numFmtId="166" formatCode="0.000"/>
    </dxf>
    <dxf>
      <numFmt numFmtId="167" formatCode="0.0000"/>
    </dxf>
    <dxf>
      <numFmt numFmtId="168" formatCode="0.00000"/>
    </dxf>
    <dxf>
      <numFmt numFmtId="169" formatCode="0.000000"/>
    </dxf>
    <dxf>
      <font>
        <color theme="1" tint="0.499984740745262"/>
      </font>
    </dxf>
    <dxf>
      <alignment horizontal="left" readingOrder="0"/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color theme="1" tint="0.499984740745262"/>
      </font>
    </dxf>
    <dxf>
      <font>
        <b/>
      </font>
    </dxf>
    <dxf>
      <fill>
        <patternFill>
          <bgColor auto="1"/>
        </patternFill>
      </fill>
    </dxf>
    <dxf>
      <alignment horizontal="left" readingOrder="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" formatCode="0"/>
    </dxf>
    <dxf>
      <font>
        <condense val="0"/>
        <extend val="0"/>
        <color rgb="FF9C0006"/>
      </font>
      <fill>
        <patternFill patternType="gray125">
          <bgColor theme="5" tint="0.79998168889431442"/>
        </patternFill>
      </fill>
    </dxf>
    <dxf>
      <font>
        <condense val="0"/>
        <extend val="0"/>
        <color rgb="FF9C0006"/>
      </font>
      <fill>
        <patternFill patternType="gray125">
          <bgColor theme="5" tint="0.79998168889431442"/>
        </patternFill>
      </fill>
    </dxf>
    <dxf>
      <font>
        <b/>
        <i val="0"/>
        <color rgb="FF9C0006"/>
      </font>
    </dxf>
    <dxf>
      <numFmt numFmtId="165" formatCode="dd/mm/yyyy"/>
    </dxf>
    <dxf>
      <fill>
        <patternFill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none">
          <bgColor auto="1"/>
        </patternFill>
      </fill>
    </dxf>
    <dxf>
      <alignment vertical="center" readingOrder="0"/>
    </dxf>
    <dxf>
      <fill>
        <patternFill patternType="none">
          <bgColor auto="1"/>
        </patternFill>
      </fill>
    </dxf>
    <dxf>
      <alignment vertical="center" readingOrder="0"/>
    </dxf>
    <dxf>
      <alignment vertical="center" readingOrder="0"/>
    </dxf>
    <dxf>
      <fill>
        <patternFill>
          <bgColor auto="1"/>
        </patternFill>
      </fill>
    </dxf>
    <dxf>
      <fill>
        <patternFill>
          <bgColor auto="1"/>
        </patternFill>
      </fill>
    </dxf>
    <dxf>
      <alignment vertical="center" readingOrder="0"/>
    </dxf>
    <dxf>
      <fill>
        <patternFill patternType="none">
          <bgColor auto="1"/>
        </patternFill>
      </fill>
    </dxf>
    <dxf>
      <alignment vertical="center" readingOrder="0"/>
    </dxf>
    <dxf>
      <alignment vertical="center" readingOrder="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alignment vertical="center" readingOrder="0"/>
    </dxf>
    <dxf>
      <fill>
        <patternFill patternType="none">
          <bgColor auto="1"/>
        </patternFill>
      </fill>
    </dxf>
    <dxf>
      <alignment vertical="center" readingOrder="0"/>
    </dxf>
    <dxf>
      <fill>
        <patternFill patternType="none">
          <bgColor auto="1"/>
        </patternFill>
      </fill>
    </dxf>
    <dxf>
      <font>
        <color theme="0" tint="-0.499984740745262"/>
      </font>
    </dxf>
    <dxf>
      <fill>
        <patternFill patternType="solid">
          <bgColor theme="0" tint="-4.9989318521683403E-2"/>
        </patternFill>
      </fill>
    </dxf>
    <dxf>
      <alignment vertical="center" readingOrder="0"/>
    </dxf>
    <dxf>
      <font>
        <color theme="0" tint="-4.9989318521683403E-2"/>
      </font>
    </dxf>
    <dxf>
      <fill>
        <patternFill patternType="none">
          <bgColor auto="1"/>
        </patternFill>
      </fill>
    </dxf>
    <dxf>
      <fill>
        <patternFill patternType="solid">
          <bgColor theme="1" tint="0.499984740745262"/>
        </patternFill>
      </fill>
    </dxf>
    <dxf>
      <font>
        <color theme="1" tint="0.499984740745262"/>
      </font>
    </dxf>
    <dxf>
      <font>
        <color theme="1" tint="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numFmt numFmtId="1" formatCode="0"/>
    </dxf>
    <dxf>
      <alignment shrinkToFit="1" readingOrder="0"/>
    </dxf>
    <dxf>
      <alignment shrinkToFit="1" readingOrder="0"/>
    </dxf>
    <dxf>
      <alignment vertical="center" readingOrder="0"/>
    </dxf>
    <dxf>
      <alignment vertical="center" readingOrder="0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ont>
        <b val="0"/>
      </font>
    </dxf>
    <dxf>
      <fill>
        <patternFill>
          <bgColor theme="0" tint="-0.14999847407452621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numFmt numFmtId="1" formatCode="0"/>
    </dxf>
    <dxf>
      <numFmt numFmtId="164" formatCode="0.0"/>
    </dxf>
    <dxf>
      <alignment wrapText="1" readingOrder="0"/>
    </dxf>
    <dxf>
      <alignment horizontal="center" readingOrder="0"/>
    </dxf>
    <dxf>
      <numFmt numFmtId="165" formatCode="dd/mm/yyyy"/>
    </dxf>
    <dxf>
      <numFmt numFmtId="0" formatCode="General"/>
    </dxf>
    <dxf>
      <fill>
        <patternFill>
          <bgColor theme="0" tint="-4.9989318521683403E-2"/>
        </patternFill>
      </fill>
    </dxf>
    <dxf>
      <fill>
        <patternFill patternType="solid">
          <bgColor theme="0" tint="-0.14999847407452621"/>
        </patternFill>
      </fill>
    </dxf>
    <dxf>
      <numFmt numFmtId="2" formatCode="0.00"/>
    </dxf>
    <dxf>
      <alignment wrapText="1" readingOrder="0"/>
    </dxf>
    <dxf>
      <alignment wrapText="1" readingOrder="0"/>
    </dxf>
    <dxf>
      <alignment wrapText="1" readingOrder="0"/>
    </dxf>
    <dxf>
      <alignment horizontal="center" readingOrder="0"/>
    </dxf>
    <dxf>
      <alignment wrapText="1" shrinkToFit="1" readingOrder="0"/>
    </dxf>
    <dxf>
      <alignment wrapText="1" shrinkToFit="1" readingOrder="0"/>
    </dxf>
    <dxf>
      <fill>
        <patternFill patternType="solid">
          <bgColor theme="0" tint="-4.9989318521683403E-2"/>
        </patternFill>
      </fill>
    </dxf>
    <dxf>
      <fill>
        <patternFill patternType="solid"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 patternType="solid">
          <bgColor theme="0" tint="-0.14999847407452621"/>
        </patternFill>
      </fill>
    </dxf>
    <dxf>
      <alignment wrapText="1" readingOrder="0"/>
    </dxf>
    <dxf>
      <font>
        <color rgb="FF9C6500"/>
      </font>
      <fill>
        <patternFill>
          <bgColor rgb="FF92D05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/>
        <color rgb="FFC00000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92D05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/>
        <color rgb="FFC00000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</dxfs>
  <tableStyles count="0" defaultTableStyle="TableStyleMedium9" defaultPivotStyle="PivotStyleLight16"/>
  <colors>
    <mruColors>
      <color rgb="FFFFCC66"/>
      <color rgb="FFEFF4C4"/>
      <color rgb="FFFF6699"/>
      <color rgb="FF8B34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2.xml"/><Relationship Id="rId13" Type="http://schemas.openxmlformats.org/officeDocument/2006/relationships/pivotCacheDefinition" Target="pivotCache/pivotCacheDefinition2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chartsheet" Target="chartsheets/sheet1.xml"/><Relationship Id="rId12" Type="http://schemas.openxmlformats.org/officeDocument/2006/relationships/pivotCacheDefinition" Target="pivotCache/pivotCacheDefinition1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9.xml"/><Relationship Id="rId5" Type="http://schemas.openxmlformats.org/officeDocument/2006/relationships/worksheet" Target="worksheets/sheet5.xml"/><Relationship Id="rId15" Type="http://schemas.microsoft.com/office/2007/relationships/slicerCache" Target="slicerCaches/slicerCache1.xml"/><Relationship Id="rId10" Type="http://schemas.openxmlformats.org/officeDocument/2006/relationships/worksheet" Target="worksheets/sheet8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7.xml"/><Relationship Id="rId14" Type="http://schemas.openxmlformats.org/officeDocument/2006/relationships/pivotCacheDefinition" Target="pivotCache/pivotCacheDefinition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[Macro 2025 ejemplo.xlsm]Vista por años!Tabla dinámica1</c:name>
    <c:fmtId val="28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'Vista por años'!$B$1:$B$2</c:f>
              <c:strCache>
                <c:ptCount val="1"/>
                <c:pt idx="0">
                  <c:v>Mín de Fecha inicio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'Vista por años'!$A$3:$A$10</c:f>
              <c:strCache>
                <c:ptCount val="8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</c:strCache>
            </c:strRef>
          </c:cat>
          <c:val>
            <c:numRef>
              <c:f>'Vista por años'!$B$3:$B$10</c:f>
              <c:numCache>
                <c:formatCode>m/d/yyyy</c:formatCode>
                <c:ptCount val="8"/>
                <c:pt idx="0">
                  <c:v>43108</c:v>
                </c:pt>
                <c:pt idx="1">
                  <c:v>43473</c:v>
                </c:pt>
                <c:pt idx="2">
                  <c:v>43837</c:v>
                </c:pt>
                <c:pt idx="3">
                  <c:v>44204</c:v>
                </c:pt>
                <c:pt idx="4">
                  <c:v>44562</c:v>
                </c:pt>
                <c:pt idx="5">
                  <c:v>44949</c:v>
                </c:pt>
                <c:pt idx="6">
                  <c:v>45312</c:v>
                </c:pt>
                <c:pt idx="7">
                  <c:v>45671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B7-4740-ACBD-0890846BEADB}"/>
            </c:ext>
          </c:extLst>
        </c:ser>
        <c:ser>
          <c:idx val="1"/>
          <c:order val="1"/>
          <c:tx>
            <c:strRef>
              <c:f>'Vista por años'!$C$1:$C$2</c:f>
              <c:strCache>
                <c:ptCount val="1"/>
                <c:pt idx="0">
                  <c:v>Máx de Fecha fin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'Vista por años'!$A$3:$A$10</c:f>
              <c:strCache>
                <c:ptCount val="8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</c:strCache>
            </c:strRef>
          </c:cat>
          <c:val>
            <c:numRef>
              <c:f>'Vista por años'!$C$3:$C$10</c:f>
              <c:numCache>
                <c:formatCode>m/d/yyyy</c:formatCode>
                <c:ptCount val="8"/>
                <c:pt idx="0">
                  <c:v>43472</c:v>
                </c:pt>
                <c:pt idx="1">
                  <c:v>43836</c:v>
                </c:pt>
                <c:pt idx="2">
                  <c:v>44203</c:v>
                </c:pt>
                <c:pt idx="3">
                  <c:v>44561</c:v>
                </c:pt>
                <c:pt idx="4">
                  <c:v>44917</c:v>
                </c:pt>
                <c:pt idx="5">
                  <c:v>45311</c:v>
                </c:pt>
                <c:pt idx="6">
                  <c:v>45670</c:v>
                </c:pt>
                <c:pt idx="7">
                  <c:v>45908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EB7-4740-ACBD-0890846BEADB}"/>
            </c:ext>
          </c:extLst>
        </c:ser>
        <c:ser>
          <c:idx val="2"/>
          <c:order val="2"/>
          <c:tx>
            <c:strRef>
              <c:f>'Vista por años'!$D$1:$D$2</c:f>
              <c:strCache>
                <c:ptCount val="1"/>
                <c:pt idx="0">
                  <c:v>Suma de Consumo Activa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'Vista por años'!$A$3:$A$10</c:f>
              <c:strCache>
                <c:ptCount val="8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</c:strCache>
            </c:strRef>
          </c:cat>
          <c:val>
            <c:numRef>
              <c:f>'Vista por años'!$D$3:$D$10</c:f>
              <c:numCache>
                <c:formatCode>General</c:formatCode>
                <c:ptCount val="8"/>
                <c:pt idx="0">
                  <c:v>25</c:v>
                </c:pt>
                <c:pt idx="1">
                  <c:v>2</c:v>
                </c:pt>
                <c:pt idx="2">
                  <c:v>0</c:v>
                </c:pt>
                <c:pt idx="3">
                  <c:v>115</c:v>
                </c:pt>
                <c:pt idx="4">
                  <c:v>76</c:v>
                </c:pt>
                <c:pt idx="5">
                  <c:v>0</c:v>
                </c:pt>
                <c:pt idx="6">
                  <c:v>25</c:v>
                </c:pt>
                <c:pt idx="7">
                  <c:v>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EB7-4740-ACBD-0890846BEADB}"/>
            </c:ext>
          </c:extLst>
        </c:ser>
        <c:ser>
          <c:idx val="3"/>
          <c:order val="3"/>
          <c:tx>
            <c:strRef>
              <c:f>'Vista por años'!$E$1:$E$2</c:f>
              <c:strCache>
                <c:ptCount val="1"/>
                <c:pt idx="0">
                  <c:v>Suma de Consumo Reactiva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'Vista por años'!$A$3:$A$10</c:f>
              <c:strCache>
                <c:ptCount val="8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</c:strCache>
            </c:strRef>
          </c:cat>
          <c:val>
            <c:numRef>
              <c:f>'Vista por años'!$E$3:$E$10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EB7-4740-ACBD-0890846BEADB}"/>
            </c:ext>
          </c:extLst>
        </c:ser>
        <c:ser>
          <c:idx val="4"/>
          <c:order val="4"/>
          <c:tx>
            <c:strRef>
              <c:f>'Vista por años'!$F$1:$F$2</c:f>
              <c:strCache>
                <c:ptCount val="1"/>
                <c:pt idx="0">
                  <c:v>Máx de Maxímetro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'Vista por años'!$A$3:$A$10</c:f>
              <c:strCache>
                <c:ptCount val="8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</c:strCache>
            </c:strRef>
          </c:cat>
          <c:val>
            <c:numRef>
              <c:f>'Vista por años'!$F$3:$F$10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EB7-4740-ACBD-0890846BEADB}"/>
            </c:ext>
          </c:extLst>
        </c:ser>
        <c:ser>
          <c:idx val="5"/>
          <c:order val="5"/>
          <c:tx>
            <c:strRef>
              <c:f>'Vista por años'!$G$1:$G$2</c:f>
              <c:strCache>
                <c:ptCount val="1"/>
                <c:pt idx="0">
                  <c:v>Periodos facturados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'Vista por años'!$A$3:$A$10</c:f>
              <c:strCache>
                <c:ptCount val="8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</c:strCache>
            </c:strRef>
          </c:cat>
          <c:val>
            <c:numRef>
              <c:f>'Vista por años'!$G$3:$G$10</c:f>
              <c:numCache>
                <c:formatCode>General</c:formatCode>
                <c:ptCount val="8"/>
                <c:pt idx="0">
                  <c:v>12</c:v>
                </c:pt>
                <c:pt idx="1">
                  <c:v>12</c:v>
                </c:pt>
                <c:pt idx="2">
                  <c:v>12</c:v>
                </c:pt>
                <c:pt idx="3">
                  <c:v>12</c:v>
                </c:pt>
                <c:pt idx="4">
                  <c:v>12</c:v>
                </c:pt>
                <c:pt idx="5">
                  <c:v>12</c:v>
                </c:pt>
                <c:pt idx="6">
                  <c:v>10</c:v>
                </c:pt>
                <c:pt idx="7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EB7-4740-ACBD-0890846BEADB}"/>
            </c:ext>
          </c:extLst>
        </c:ser>
        <c:ser>
          <c:idx val="6"/>
          <c:order val="6"/>
          <c:tx>
            <c:strRef>
              <c:f>'Vista por años'!$H$1:$H$2</c:f>
              <c:strCache>
                <c:ptCount val="1"/>
                <c:pt idx="0">
                  <c:v>Suma de Días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'Vista por años'!$A$3:$A$10</c:f>
              <c:strCache>
                <c:ptCount val="8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</c:strCache>
            </c:strRef>
          </c:cat>
          <c:val>
            <c:numRef>
              <c:f>'Vista por años'!$H$3:$H$10</c:f>
              <c:numCache>
                <c:formatCode>General</c:formatCode>
                <c:ptCount val="8"/>
                <c:pt idx="0">
                  <c:v>353</c:v>
                </c:pt>
                <c:pt idx="1">
                  <c:v>352</c:v>
                </c:pt>
                <c:pt idx="2">
                  <c:v>355</c:v>
                </c:pt>
                <c:pt idx="3">
                  <c:v>346</c:v>
                </c:pt>
                <c:pt idx="4">
                  <c:v>316</c:v>
                </c:pt>
                <c:pt idx="5">
                  <c:v>351</c:v>
                </c:pt>
                <c:pt idx="6">
                  <c:v>292</c:v>
                </c:pt>
                <c:pt idx="7">
                  <c:v>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EB7-4740-ACBD-0890846BEADB}"/>
            </c:ext>
          </c:extLst>
        </c:ser>
        <c:ser>
          <c:idx val="7"/>
          <c:order val="7"/>
          <c:tx>
            <c:strRef>
              <c:f>'Vista por años'!$I$1:$I$2</c:f>
              <c:strCache>
                <c:ptCount val="1"/>
                <c:pt idx="0">
                  <c:v>Suma de Promedio consumo por día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'Vista por años'!$A$3:$A$10</c:f>
              <c:strCache>
                <c:ptCount val="8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</c:strCache>
            </c:strRef>
          </c:cat>
          <c:val>
            <c:numRef>
              <c:f>'Vista por años'!$I$3:$I$10</c:f>
              <c:numCache>
                <c:formatCode>0</c:formatCode>
                <c:ptCount val="8"/>
                <c:pt idx="0">
                  <c:v>7.0821529745042494E-2</c:v>
                </c:pt>
                <c:pt idx="1">
                  <c:v>5.681818181818182E-3</c:v>
                </c:pt>
                <c:pt idx="2">
                  <c:v>0</c:v>
                </c:pt>
                <c:pt idx="3">
                  <c:v>0.33236994219653176</c:v>
                </c:pt>
                <c:pt idx="4">
                  <c:v>0.24050632911392406</c:v>
                </c:pt>
                <c:pt idx="5">
                  <c:v>0</c:v>
                </c:pt>
                <c:pt idx="6">
                  <c:v>8.5616438356164379E-2</c:v>
                </c:pt>
                <c:pt idx="7">
                  <c:v>0.46086956521739131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EB7-4740-ACBD-0890846BEA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3417120"/>
        <c:axId val="243416728"/>
      </c:barChart>
      <c:valAx>
        <c:axId val="243416728"/>
        <c:scaling>
          <c:orientation val="minMax"/>
        </c:scaling>
        <c:delete val="0"/>
        <c:axPos val="r"/>
        <c:numFmt formatCode="m/d/yyyy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3417120"/>
        <c:crosses val="max"/>
        <c:crossBetween val="between"/>
      </c:valAx>
      <c:catAx>
        <c:axId val="2434171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4341672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[Macro 2025 ejemplo.xlsm]Vista por años!Tabla dinámica2</c:name>
    <c:fmtId val="62"/>
  </c:pivotSource>
  <c:chart>
    <c:autoTitleDeleted val="0"/>
    <c:pivotFmts>
      <c:pivotFmt>
        <c:idx val="0"/>
        <c:spPr>
          <a:noFill/>
          <a:ln w="25400" cap="flat" cmpd="sng" algn="ctr">
            <a:solidFill>
              <a:srgbClr val="0070C0"/>
            </a:solidFill>
            <a:miter lim="800000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noFill/>
          <a:ln w="25400" cap="flat" cmpd="sng" algn="ctr">
            <a:solidFill>
              <a:srgbClr val="0070C0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noFill/>
          <a:ln w="25400" cap="flat" cmpd="sng" algn="ctr">
            <a:solidFill>
              <a:srgbClr val="C00000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noFill/>
          <a:ln w="25400" cap="flat" cmpd="sng" algn="ctr">
            <a:solidFill>
              <a:srgbClr val="0070C0"/>
            </a:solidFill>
            <a:miter lim="800000"/>
          </a:ln>
          <a:effectLst/>
        </c:spPr>
      </c:pivotFmt>
      <c:pivotFmt>
        <c:idx val="4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12700" cap="rnd">
            <a:solidFill>
              <a:schemeClr val="accent1"/>
            </a:solidFill>
            <a:round/>
          </a:ln>
          <a:effectLst/>
        </c:spPr>
        <c:marker>
          <c:symbol val="square"/>
          <c:size val="2"/>
          <c:spPr>
            <a:solidFill>
              <a:srgbClr val="92D050">
                <a:alpha val="50000"/>
              </a:srgbClr>
            </a:solidFill>
            <a:ln w="19050" cap="rnd">
              <a:solidFill>
                <a:schemeClr val="accent3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'Vista por años'!$B$54:$B$55</c:f>
              <c:strCache>
                <c:ptCount val="1"/>
                <c:pt idx="0">
                  <c:v>Suma de Promedio Activa</c:v>
                </c:pt>
              </c:strCache>
            </c:strRef>
          </c:tx>
          <c:spPr>
            <a:noFill/>
            <a:ln w="25400" cap="flat" cmpd="sng" algn="ctr">
              <a:solidFill>
                <a:srgbClr val="0070C0"/>
              </a:solidFill>
              <a:miter lim="800000"/>
            </a:ln>
            <a:effectLst/>
          </c:spPr>
          <c:invertIfNegative val="0"/>
          <c:trendline>
            <c:spPr>
              <a:ln w="9525" cap="flat" cmpd="sng" algn="ctr">
                <a:solidFill>
                  <a:schemeClr val="accent6">
                    <a:shade val="95000"/>
                    <a:satMod val="105000"/>
                  </a:schemeClr>
                </a:solidFill>
                <a:prstDash val="solid"/>
              </a:ln>
              <a:effectLst/>
            </c:spPr>
            <c:trendlineType val="linear"/>
            <c:dispRSqr val="0"/>
            <c:dispEq val="0"/>
          </c:trendline>
          <c:cat>
            <c:strRef>
              <c:f>'Vista por años'!$A$56:$A$146</c:f>
              <c:strCache>
                <c:ptCount val="91"/>
                <c:pt idx="1">
                  <c:v>6/02/2018</c:v>
                </c:pt>
                <c:pt idx="2">
                  <c:v>6/03/2018</c:v>
                </c:pt>
                <c:pt idx="3">
                  <c:v>5/04/2018</c:v>
                </c:pt>
                <c:pt idx="4">
                  <c:v>7/05/2018</c:v>
                </c:pt>
                <c:pt idx="5">
                  <c:v>6/06/2018</c:v>
                </c:pt>
                <c:pt idx="6">
                  <c:v>6/07/2018</c:v>
                </c:pt>
                <c:pt idx="7">
                  <c:v>6/08/2018</c:v>
                </c:pt>
                <c:pt idx="8">
                  <c:v>3/09/2018</c:v>
                </c:pt>
                <c:pt idx="9">
                  <c:v>2/10/2018</c:v>
                </c:pt>
                <c:pt idx="10">
                  <c:v>6/11/2018</c:v>
                </c:pt>
                <c:pt idx="11">
                  <c:v>4/12/2018</c:v>
                </c:pt>
                <c:pt idx="12">
                  <c:v>7/01/2019</c:v>
                </c:pt>
                <c:pt idx="13">
                  <c:v>4/02/2019</c:v>
                </c:pt>
                <c:pt idx="14">
                  <c:v>5/03/2019</c:v>
                </c:pt>
                <c:pt idx="15">
                  <c:v>1/04/2019</c:v>
                </c:pt>
                <c:pt idx="16">
                  <c:v>4/05/2019</c:v>
                </c:pt>
                <c:pt idx="17">
                  <c:v>4/06/2019</c:v>
                </c:pt>
                <c:pt idx="18">
                  <c:v>2/07/2019</c:v>
                </c:pt>
                <c:pt idx="19">
                  <c:v>4/08/2019</c:v>
                </c:pt>
                <c:pt idx="20">
                  <c:v>2/09/2019</c:v>
                </c:pt>
                <c:pt idx="21">
                  <c:v>2/10/2019</c:v>
                </c:pt>
                <c:pt idx="22">
                  <c:v>4/11/2019</c:v>
                </c:pt>
                <c:pt idx="23">
                  <c:v>2/12/2019</c:v>
                </c:pt>
                <c:pt idx="24">
                  <c:v>6/01/2020</c:v>
                </c:pt>
                <c:pt idx="25">
                  <c:v>3/02/2020</c:v>
                </c:pt>
                <c:pt idx="26">
                  <c:v>2/03/2020</c:v>
                </c:pt>
                <c:pt idx="27">
                  <c:v>4/04/2020</c:v>
                </c:pt>
                <c:pt idx="28">
                  <c:v>5/05/2020</c:v>
                </c:pt>
                <c:pt idx="29">
                  <c:v>2/06/2020</c:v>
                </c:pt>
                <c:pt idx="30">
                  <c:v>5/07/2020</c:v>
                </c:pt>
                <c:pt idx="31">
                  <c:v>4/08/2020</c:v>
                </c:pt>
                <c:pt idx="32">
                  <c:v>2/09/2020</c:v>
                </c:pt>
                <c:pt idx="33">
                  <c:v>4/10/2020</c:v>
                </c:pt>
                <c:pt idx="34">
                  <c:v>5/11/2020</c:v>
                </c:pt>
                <c:pt idx="35">
                  <c:v>3/12/2020</c:v>
                </c:pt>
                <c:pt idx="36">
                  <c:v>7/01/2021</c:v>
                </c:pt>
                <c:pt idx="37">
                  <c:v>3/02/2021</c:v>
                </c:pt>
                <c:pt idx="38">
                  <c:v>4/03/2021</c:v>
                </c:pt>
                <c:pt idx="39">
                  <c:v>7/04/2021</c:v>
                </c:pt>
                <c:pt idx="40">
                  <c:v>5/05/2021</c:v>
                </c:pt>
                <c:pt idx="41">
                  <c:v>31/05/2021</c:v>
                </c:pt>
                <c:pt idx="42">
                  <c:v>4/07/2021</c:v>
                </c:pt>
                <c:pt idx="43">
                  <c:v>3/08/2021</c:v>
                </c:pt>
                <c:pt idx="44">
                  <c:v>4/09/2021</c:v>
                </c:pt>
                <c:pt idx="45">
                  <c:v>4/10/2021</c:v>
                </c:pt>
                <c:pt idx="46">
                  <c:v>2/11/2021</c:v>
                </c:pt>
                <c:pt idx="47">
                  <c:v>30/11/2021</c:v>
                </c:pt>
                <c:pt idx="48">
                  <c:v>31/12/2021</c:v>
                </c:pt>
                <c:pt idx="49">
                  <c:v>30/01/2022</c:v>
                </c:pt>
                <c:pt idx="50">
                  <c:v>25/02/2022</c:v>
                </c:pt>
                <c:pt idx="51">
                  <c:v>3/03/2022</c:v>
                </c:pt>
                <c:pt idx="52">
                  <c:v>2/04/2022</c:v>
                </c:pt>
                <c:pt idx="53">
                  <c:v>2/05/2022</c:v>
                </c:pt>
                <c:pt idx="54">
                  <c:v>28/05/2022</c:v>
                </c:pt>
                <c:pt idx="55">
                  <c:v>2/07/2022</c:v>
                </c:pt>
                <c:pt idx="56">
                  <c:v>25/07/2022</c:v>
                </c:pt>
                <c:pt idx="57">
                  <c:v>20/08/2022</c:v>
                </c:pt>
                <c:pt idx="58">
                  <c:v>23/09/2022</c:v>
                </c:pt>
                <c:pt idx="59">
                  <c:v>23/10/2022</c:v>
                </c:pt>
                <c:pt idx="60">
                  <c:v>22/12/2022</c:v>
                </c:pt>
                <c:pt idx="61">
                  <c:v>16/02/2023</c:v>
                </c:pt>
                <c:pt idx="62">
                  <c:v>17/03/2023</c:v>
                </c:pt>
                <c:pt idx="63">
                  <c:v>21/04/2023</c:v>
                </c:pt>
                <c:pt idx="64">
                  <c:v>16/05/2023</c:v>
                </c:pt>
                <c:pt idx="65">
                  <c:v>17/06/2023</c:v>
                </c:pt>
                <c:pt idx="66">
                  <c:v>19/06/2023</c:v>
                </c:pt>
                <c:pt idx="67">
                  <c:v>20/08/2023</c:v>
                </c:pt>
                <c:pt idx="68">
                  <c:v>15/09/2023</c:v>
                </c:pt>
                <c:pt idx="69">
                  <c:v>20/10/2023</c:v>
                </c:pt>
                <c:pt idx="70">
                  <c:v>24/11/2023</c:v>
                </c:pt>
                <c:pt idx="71">
                  <c:v>20/12/2023</c:v>
                </c:pt>
                <c:pt idx="72">
                  <c:v>20/01/2024</c:v>
                </c:pt>
                <c:pt idx="73">
                  <c:v>19/02/2024</c:v>
                </c:pt>
                <c:pt idx="74">
                  <c:v>12/03/2024</c:v>
                </c:pt>
                <c:pt idx="75">
                  <c:v>18/04/2024</c:v>
                </c:pt>
                <c:pt idx="76">
                  <c:v>21/05/2024</c:v>
                </c:pt>
                <c:pt idx="77">
                  <c:v>18/07/2024</c:v>
                </c:pt>
                <c:pt idx="78">
                  <c:v>18/09/2024</c:v>
                </c:pt>
                <c:pt idx="79">
                  <c:v>18/10/2024</c:v>
                </c:pt>
                <c:pt idx="80">
                  <c:v>15/11/2024</c:v>
                </c:pt>
                <c:pt idx="81">
                  <c:v>14/12/2024</c:v>
                </c:pt>
                <c:pt idx="82">
                  <c:v>13/01/2025</c:v>
                </c:pt>
                <c:pt idx="83">
                  <c:v>8/02/2025</c:v>
                </c:pt>
                <c:pt idx="84">
                  <c:v>11/03/2025</c:v>
                </c:pt>
                <c:pt idx="85">
                  <c:v>8/04/2025</c:v>
                </c:pt>
                <c:pt idx="86">
                  <c:v>11/05/2025</c:v>
                </c:pt>
                <c:pt idx="87">
                  <c:v>10/06/2025</c:v>
                </c:pt>
                <c:pt idx="88">
                  <c:v>5/07/2025</c:v>
                </c:pt>
                <c:pt idx="89">
                  <c:v>10/08/2025</c:v>
                </c:pt>
                <c:pt idx="90">
                  <c:v>8/09/2025</c:v>
                </c:pt>
              </c:strCache>
            </c:strRef>
          </c:cat>
          <c:val>
            <c:numRef>
              <c:f>'Vista por años'!$B$56:$B$146</c:f>
              <c:numCache>
                <c:formatCode>General</c:formatCode>
                <c:ptCount val="91"/>
                <c:pt idx="0">
                  <c:v>0</c:v>
                </c:pt>
                <c:pt idx="1">
                  <c:v>0.3</c:v>
                </c:pt>
                <c:pt idx="2">
                  <c:v>0.14285714285714285</c:v>
                </c:pt>
                <c:pt idx="3">
                  <c:v>6.6666666666666666E-2</c:v>
                </c:pt>
                <c:pt idx="4">
                  <c:v>9.375E-2</c:v>
                </c:pt>
                <c:pt idx="5">
                  <c:v>0.1</c:v>
                </c:pt>
                <c:pt idx="6">
                  <c:v>6.6666666666666666E-2</c:v>
                </c:pt>
                <c:pt idx="7">
                  <c:v>6.4516129032258063E-2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6.0606060606060608E-2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3.3235294117647061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3.125E-2</c:v>
                </c:pt>
                <c:pt idx="45">
                  <c:v>3.3333333333333333E-2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0.56666666666666665</c:v>
                </c:pt>
                <c:pt idx="50">
                  <c:v>1.8076923076923077</c:v>
                </c:pt>
                <c:pt idx="51">
                  <c:v>0</c:v>
                </c:pt>
                <c:pt idx="52">
                  <c:v>0.1</c:v>
                </c:pt>
                <c:pt idx="53">
                  <c:v>3.3333333333333333E-2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0.23529411764705882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0.44827586206896552</c:v>
                </c:pt>
                <c:pt idx="82">
                  <c:v>0.4</c:v>
                </c:pt>
                <c:pt idx="83">
                  <c:v>0.46153846153846156</c:v>
                </c:pt>
                <c:pt idx="84">
                  <c:v>0.5161290322580645</c:v>
                </c:pt>
                <c:pt idx="85">
                  <c:v>0.5357142857142857</c:v>
                </c:pt>
                <c:pt idx="86">
                  <c:v>0.39393939393939392</c:v>
                </c:pt>
                <c:pt idx="87">
                  <c:v>0.33333333333333331</c:v>
                </c:pt>
                <c:pt idx="88">
                  <c:v>0.36</c:v>
                </c:pt>
                <c:pt idx="89">
                  <c:v>0.44444444444444442</c:v>
                </c:pt>
                <c:pt idx="90">
                  <c:v>0.51724137931034486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A4-4BE1-9E17-FDD5FBEFB776}"/>
            </c:ext>
          </c:extLst>
        </c:ser>
        <c:ser>
          <c:idx val="1"/>
          <c:order val="1"/>
          <c:tx>
            <c:strRef>
              <c:f>'Vista por años'!$C$54:$C$55</c:f>
              <c:strCache>
                <c:ptCount val="1"/>
                <c:pt idx="0">
                  <c:v>Suma de Promedio Reactiva</c:v>
                </c:pt>
              </c:strCache>
            </c:strRef>
          </c:tx>
          <c:spPr>
            <a:noFill/>
            <a:ln w="25400" cap="flat" cmpd="sng" algn="ctr">
              <a:solidFill>
                <a:schemeClr val="accent2"/>
              </a:solidFill>
              <a:miter lim="800000"/>
            </a:ln>
            <a:effectLst/>
          </c:spPr>
          <c:invertIfNegative val="0"/>
          <c:cat>
            <c:strRef>
              <c:f>'Vista por años'!$A$56:$A$146</c:f>
              <c:strCache>
                <c:ptCount val="91"/>
                <c:pt idx="1">
                  <c:v>6/02/2018</c:v>
                </c:pt>
                <c:pt idx="2">
                  <c:v>6/03/2018</c:v>
                </c:pt>
                <c:pt idx="3">
                  <c:v>5/04/2018</c:v>
                </c:pt>
                <c:pt idx="4">
                  <c:v>7/05/2018</c:v>
                </c:pt>
                <c:pt idx="5">
                  <c:v>6/06/2018</c:v>
                </c:pt>
                <c:pt idx="6">
                  <c:v>6/07/2018</c:v>
                </c:pt>
                <c:pt idx="7">
                  <c:v>6/08/2018</c:v>
                </c:pt>
                <c:pt idx="8">
                  <c:v>3/09/2018</c:v>
                </c:pt>
                <c:pt idx="9">
                  <c:v>2/10/2018</c:v>
                </c:pt>
                <c:pt idx="10">
                  <c:v>6/11/2018</c:v>
                </c:pt>
                <c:pt idx="11">
                  <c:v>4/12/2018</c:v>
                </c:pt>
                <c:pt idx="12">
                  <c:v>7/01/2019</c:v>
                </c:pt>
                <c:pt idx="13">
                  <c:v>4/02/2019</c:v>
                </c:pt>
                <c:pt idx="14">
                  <c:v>5/03/2019</c:v>
                </c:pt>
                <c:pt idx="15">
                  <c:v>1/04/2019</c:v>
                </c:pt>
                <c:pt idx="16">
                  <c:v>4/05/2019</c:v>
                </c:pt>
                <c:pt idx="17">
                  <c:v>4/06/2019</c:v>
                </c:pt>
                <c:pt idx="18">
                  <c:v>2/07/2019</c:v>
                </c:pt>
                <c:pt idx="19">
                  <c:v>4/08/2019</c:v>
                </c:pt>
                <c:pt idx="20">
                  <c:v>2/09/2019</c:v>
                </c:pt>
                <c:pt idx="21">
                  <c:v>2/10/2019</c:v>
                </c:pt>
                <c:pt idx="22">
                  <c:v>4/11/2019</c:v>
                </c:pt>
                <c:pt idx="23">
                  <c:v>2/12/2019</c:v>
                </c:pt>
                <c:pt idx="24">
                  <c:v>6/01/2020</c:v>
                </c:pt>
                <c:pt idx="25">
                  <c:v>3/02/2020</c:v>
                </c:pt>
                <c:pt idx="26">
                  <c:v>2/03/2020</c:v>
                </c:pt>
                <c:pt idx="27">
                  <c:v>4/04/2020</c:v>
                </c:pt>
                <c:pt idx="28">
                  <c:v>5/05/2020</c:v>
                </c:pt>
                <c:pt idx="29">
                  <c:v>2/06/2020</c:v>
                </c:pt>
                <c:pt idx="30">
                  <c:v>5/07/2020</c:v>
                </c:pt>
                <c:pt idx="31">
                  <c:v>4/08/2020</c:v>
                </c:pt>
                <c:pt idx="32">
                  <c:v>2/09/2020</c:v>
                </c:pt>
                <c:pt idx="33">
                  <c:v>4/10/2020</c:v>
                </c:pt>
                <c:pt idx="34">
                  <c:v>5/11/2020</c:v>
                </c:pt>
                <c:pt idx="35">
                  <c:v>3/12/2020</c:v>
                </c:pt>
                <c:pt idx="36">
                  <c:v>7/01/2021</c:v>
                </c:pt>
                <c:pt idx="37">
                  <c:v>3/02/2021</c:v>
                </c:pt>
                <c:pt idx="38">
                  <c:v>4/03/2021</c:v>
                </c:pt>
                <c:pt idx="39">
                  <c:v>7/04/2021</c:v>
                </c:pt>
                <c:pt idx="40">
                  <c:v>5/05/2021</c:v>
                </c:pt>
                <c:pt idx="41">
                  <c:v>31/05/2021</c:v>
                </c:pt>
                <c:pt idx="42">
                  <c:v>4/07/2021</c:v>
                </c:pt>
                <c:pt idx="43">
                  <c:v>3/08/2021</c:v>
                </c:pt>
                <c:pt idx="44">
                  <c:v>4/09/2021</c:v>
                </c:pt>
                <c:pt idx="45">
                  <c:v>4/10/2021</c:v>
                </c:pt>
                <c:pt idx="46">
                  <c:v>2/11/2021</c:v>
                </c:pt>
                <c:pt idx="47">
                  <c:v>30/11/2021</c:v>
                </c:pt>
                <c:pt idx="48">
                  <c:v>31/12/2021</c:v>
                </c:pt>
                <c:pt idx="49">
                  <c:v>30/01/2022</c:v>
                </c:pt>
                <c:pt idx="50">
                  <c:v>25/02/2022</c:v>
                </c:pt>
                <c:pt idx="51">
                  <c:v>3/03/2022</c:v>
                </c:pt>
                <c:pt idx="52">
                  <c:v>2/04/2022</c:v>
                </c:pt>
                <c:pt idx="53">
                  <c:v>2/05/2022</c:v>
                </c:pt>
                <c:pt idx="54">
                  <c:v>28/05/2022</c:v>
                </c:pt>
                <c:pt idx="55">
                  <c:v>2/07/2022</c:v>
                </c:pt>
                <c:pt idx="56">
                  <c:v>25/07/2022</c:v>
                </c:pt>
                <c:pt idx="57">
                  <c:v>20/08/2022</c:v>
                </c:pt>
                <c:pt idx="58">
                  <c:v>23/09/2022</c:v>
                </c:pt>
                <c:pt idx="59">
                  <c:v>23/10/2022</c:v>
                </c:pt>
                <c:pt idx="60">
                  <c:v>22/12/2022</c:v>
                </c:pt>
                <c:pt idx="61">
                  <c:v>16/02/2023</c:v>
                </c:pt>
                <c:pt idx="62">
                  <c:v>17/03/2023</c:v>
                </c:pt>
                <c:pt idx="63">
                  <c:v>21/04/2023</c:v>
                </c:pt>
                <c:pt idx="64">
                  <c:v>16/05/2023</c:v>
                </c:pt>
                <c:pt idx="65">
                  <c:v>17/06/2023</c:v>
                </c:pt>
                <c:pt idx="66">
                  <c:v>19/06/2023</c:v>
                </c:pt>
                <c:pt idx="67">
                  <c:v>20/08/2023</c:v>
                </c:pt>
                <c:pt idx="68">
                  <c:v>15/09/2023</c:v>
                </c:pt>
                <c:pt idx="69">
                  <c:v>20/10/2023</c:v>
                </c:pt>
                <c:pt idx="70">
                  <c:v>24/11/2023</c:v>
                </c:pt>
                <c:pt idx="71">
                  <c:v>20/12/2023</c:v>
                </c:pt>
                <c:pt idx="72">
                  <c:v>20/01/2024</c:v>
                </c:pt>
                <c:pt idx="73">
                  <c:v>19/02/2024</c:v>
                </c:pt>
                <c:pt idx="74">
                  <c:v>12/03/2024</c:v>
                </c:pt>
                <c:pt idx="75">
                  <c:v>18/04/2024</c:v>
                </c:pt>
                <c:pt idx="76">
                  <c:v>21/05/2024</c:v>
                </c:pt>
                <c:pt idx="77">
                  <c:v>18/07/2024</c:v>
                </c:pt>
                <c:pt idx="78">
                  <c:v>18/09/2024</c:v>
                </c:pt>
                <c:pt idx="79">
                  <c:v>18/10/2024</c:v>
                </c:pt>
                <c:pt idx="80">
                  <c:v>15/11/2024</c:v>
                </c:pt>
                <c:pt idx="81">
                  <c:v>14/12/2024</c:v>
                </c:pt>
                <c:pt idx="82">
                  <c:v>13/01/2025</c:v>
                </c:pt>
                <c:pt idx="83">
                  <c:v>8/02/2025</c:v>
                </c:pt>
                <c:pt idx="84">
                  <c:v>11/03/2025</c:v>
                </c:pt>
                <c:pt idx="85">
                  <c:v>8/04/2025</c:v>
                </c:pt>
                <c:pt idx="86">
                  <c:v>11/05/2025</c:v>
                </c:pt>
                <c:pt idx="87">
                  <c:v>10/06/2025</c:v>
                </c:pt>
                <c:pt idx="88">
                  <c:v>5/07/2025</c:v>
                </c:pt>
                <c:pt idx="89">
                  <c:v>10/08/2025</c:v>
                </c:pt>
                <c:pt idx="90">
                  <c:v>8/09/2025</c:v>
                </c:pt>
              </c:strCache>
            </c:strRef>
          </c:cat>
          <c:val>
            <c:numRef>
              <c:f>'Vista por años'!$C$56:$C$146</c:f>
              <c:numCache>
                <c:formatCode>General</c:formatCode>
                <c:ptCount val="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A4-4BE1-9E17-FDD5FBEFB7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64"/>
        <c:overlap val="-35"/>
        <c:axId val="242456192"/>
        <c:axId val="243417904"/>
      </c:barChart>
      <c:lineChart>
        <c:grouping val="standard"/>
        <c:varyColors val="0"/>
        <c:ser>
          <c:idx val="2"/>
          <c:order val="2"/>
          <c:tx>
            <c:strRef>
              <c:f>'Vista por años'!$D$54:$D$55</c:f>
              <c:strCache>
                <c:ptCount val="1"/>
                <c:pt idx="0">
                  <c:v>Suma de Maxímetro</c:v>
                </c:pt>
              </c:strCache>
            </c:strRef>
          </c:tx>
          <c:spPr>
            <a:ln w="12700" cap="rnd">
              <a:solidFill>
                <a:schemeClr val="accent3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rgbClr val="92D050">
                  <a:alpha val="50000"/>
                </a:srgbClr>
              </a:solidFill>
              <a:ln w="19050" cap="rnd">
                <a:solidFill>
                  <a:schemeClr val="accent3"/>
                </a:solidFill>
                <a:round/>
              </a:ln>
              <a:effectLst/>
            </c:spPr>
          </c:marker>
          <c:cat>
            <c:strRef>
              <c:f>'Vista por años'!$A$56:$A$146</c:f>
              <c:strCache>
                <c:ptCount val="91"/>
                <c:pt idx="1">
                  <c:v>6/02/2018</c:v>
                </c:pt>
                <c:pt idx="2">
                  <c:v>6/03/2018</c:v>
                </c:pt>
                <c:pt idx="3">
                  <c:v>5/04/2018</c:v>
                </c:pt>
                <c:pt idx="4">
                  <c:v>7/05/2018</c:v>
                </c:pt>
                <c:pt idx="5">
                  <c:v>6/06/2018</c:v>
                </c:pt>
                <c:pt idx="6">
                  <c:v>6/07/2018</c:v>
                </c:pt>
                <c:pt idx="7">
                  <c:v>6/08/2018</c:v>
                </c:pt>
                <c:pt idx="8">
                  <c:v>3/09/2018</c:v>
                </c:pt>
                <c:pt idx="9">
                  <c:v>2/10/2018</c:v>
                </c:pt>
                <c:pt idx="10">
                  <c:v>6/11/2018</c:v>
                </c:pt>
                <c:pt idx="11">
                  <c:v>4/12/2018</c:v>
                </c:pt>
                <c:pt idx="12">
                  <c:v>7/01/2019</c:v>
                </c:pt>
                <c:pt idx="13">
                  <c:v>4/02/2019</c:v>
                </c:pt>
                <c:pt idx="14">
                  <c:v>5/03/2019</c:v>
                </c:pt>
                <c:pt idx="15">
                  <c:v>1/04/2019</c:v>
                </c:pt>
                <c:pt idx="16">
                  <c:v>4/05/2019</c:v>
                </c:pt>
                <c:pt idx="17">
                  <c:v>4/06/2019</c:v>
                </c:pt>
                <c:pt idx="18">
                  <c:v>2/07/2019</c:v>
                </c:pt>
                <c:pt idx="19">
                  <c:v>4/08/2019</c:v>
                </c:pt>
                <c:pt idx="20">
                  <c:v>2/09/2019</c:v>
                </c:pt>
                <c:pt idx="21">
                  <c:v>2/10/2019</c:v>
                </c:pt>
                <c:pt idx="22">
                  <c:v>4/11/2019</c:v>
                </c:pt>
                <c:pt idx="23">
                  <c:v>2/12/2019</c:v>
                </c:pt>
                <c:pt idx="24">
                  <c:v>6/01/2020</c:v>
                </c:pt>
                <c:pt idx="25">
                  <c:v>3/02/2020</c:v>
                </c:pt>
                <c:pt idx="26">
                  <c:v>2/03/2020</c:v>
                </c:pt>
                <c:pt idx="27">
                  <c:v>4/04/2020</c:v>
                </c:pt>
                <c:pt idx="28">
                  <c:v>5/05/2020</c:v>
                </c:pt>
                <c:pt idx="29">
                  <c:v>2/06/2020</c:v>
                </c:pt>
                <c:pt idx="30">
                  <c:v>5/07/2020</c:v>
                </c:pt>
                <c:pt idx="31">
                  <c:v>4/08/2020</c:v>
                </c:pt>
                <c:pt idx="32">
                  <c:v>2/09/2020</c:v>
                </c:pt>
                <c:pt idx="33">
                  <c:v>4/10/2020</c:v>
                </c:pt>
                <c:pt idx="34">
                  <c:v>5/11/2020</c:v>
                </c:pt>
                <c:pt idx="35">
                  <c:v>3/12/2020</c:v>
                </c:pt>
                <c:pt idx="36">
                  <c:v>7/01/2021</c:v>
                </c:pt>
                <c:pt idx="37">
                  <c:v>3/02/2021</c:v>
                </c:pt>
                <c:pt idx="38">
                  <c:v>4/03/2021</c:v>
                </c:pt>
                <c:pt idx="39">
                  <c:v>7/04/2021</c:v>
                </c:pt>
                <c:pt idx="40">
                  <c:v>5/05/2021</c:v>
                </c:pt>
                <c:pt idx="41">
                  <c:v>31/05/2021</c:v>
                </c:pt>
                <c:pt idx="42">
                  <c:v>4/07/2021</c:v>
                </c:pt>
                <c:pt idx="43">
                  <c:v>3/08/2021</c:v>
                </c:pt>
                <c:pt idx="44">
                  <c:v>4/09/2021</c:v>
                </c:pt>
                <c:pt idx="45">
                  <c:v>4/10/2021</c:v>
                </c:pt>
                <c:pt idx="46">
                  <c:v>2/11/2021</c:v>
                </c:pt>
                <c:pt idx="47">
                  <c:v>30/11/2021</c:v>
                </c:pt>
                <c:pt idx="48">
                  <c:v>31/12/2021</c:v>
                </c:pt>
                <c:pt idx="49">
                  <c:v>30/01/2022</c:v>
                </c:pt>
                <c:pt idx="50">
                  <c:v>25/02/2022</c:v>
                </c:pt>
                <c:pt idx="51">
                  <c:v>3/03/2022</c:v>
                </c:pt>
                <c:pt idx="52">
                  <c:v>2/04/2022</c:v>
                </c:pt>
                <c:pt idx="53">
                  <c:v>2/05/2022</c:v>
                </c:pt>
                <c:pt idx="54">
                  <c:v>28/05/2022</c:v>
                </c:pt>
                <c:pt idx="55">
                  <c:v>2/07/2022</c:v>
                </c:pt>
                <c:pt idx="56">
                  <c:v>25/07/2022</c:v>
                </c:pt>
                <c:pt idx="57">
                  <c:v>20/08/2022</c:v>
                </c:pt>
                <c:pt idx="58">
                  <c:v>23/09/2022</c:v>
                </c:pt>
                <c:pt idx="59">
                  <c:v>23/10/2022</c:v>
                </c:pt>
                <c:pt idx="60">
                  <c:v>22/12/2022</c:v>
                </c:pt>
                <c:pt idx="61">
                  <c:v>16/02/2023</c:v>
                </c:pt>
                <c:pt idx="62">
                  <c:v>17/03/2023</c:v>
                </c:pt>
                <c:pt idx="63">
                  <c:v>21/04/2023</c:v>
                </c:pt>
                <c:pt idx="64">
                  <c:v>16/05/2023</c:v>
                </c:pt>
                <c:pt idx="65">
                  <c:v>17/06/2023</c:v>
                </c:pt>
                <c:pt idx="66">
                  <c:v>19/06/2023</c:v>
                </c:pt>
                <c:pt idx="67">
                  <c:v>20/08/2023</c:v>
                </c:pt>
                <c:pt idx="68">
                  <c:v>15/09/2023</c:v>
                </c:pt>
                <c:pt idx="69">
                  <c:v>20/10/2023</c:v>
                </c:pt>
                <c:pt idx="70">
                  <c:v>24/11/2023</c:v>
                </c:pt>
                <c:pt idx="71">
                  <c:v>20/12/2023</c:v>
                </c:pt>
                <c:pt idx="72">
                  <c:v>20/01/2024</c:v>
                </c:pt>
                <c:pt idx="73">
                  <c:v>19/02/2024</c:v>
                </c:pt>
                <c:pt idx="74">
                  <c:v>12/03/2024</c:v>
                </c:pt>
                <c:pt idx="75">
                  <c:v>18/04/2024</c:v>
                </c:pt>
                <c:pt idx="76">
                  <c:v>21/05/2024</c:v>
                </c:pt>
                <c:pt idx="77">
                  <c:v>18/07/2024</c:v>
                </c:pt>
                <c:pt idx="78">
                  <c:v>18/09/2024</c:v>
                </c:pt>
                <c:pt idx="79">
                  <c:v>18/10/2024</c:v>
                </c:pt>
                <c:pt idx="80">
                  <c:v>15/11/2024</c:v>
                </c:pt>
                <c:pt idx="81">
                  <c:v>14/12/2024</c:v>
                </c:pt>
                <c:pt idx="82">
                  <c:v>13/01/2025</c:v>
                </c:pt>
                <c:pt idx="83">
                  <c:v>8/02/2025</c:v>
                </c:pt>
                <c:pt idx="84">
                  <c:v>11/03/2025</c:v>
                </c:pt>
                <c:pt idx="85">
                  <c:v>8/04/2025</c:v>
                </c:pt>
                <c:pt idx="86">
                  <c:v>11/05/2025</c:v>
                </c:pt>
                <c:pt idx="87">
                  <c:v>10/06/2025</c:v>
                </c:pt>
                <c:pt idx="88">
                  <c:v>5/07/2025</c:v>
                </c:pt>
                <c:pt idx="89">
                  <c:v>10/08/2025</c:v>
                </c:pt>
                <c:pt idx="90">
                  <c:v>8/09/2025</c:v>
                </c:pt>
              </c:strCache>
            </c:strRef>
          </c:cat>
          <c:val>
            <c:numRef>
              <c:f>'Vista por años'!$D$56:$D$146</c:f>
              <c:numCache>
                <c:formatCode>General</c:formatCode>
                <c:ptCount val="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5A4-4BE1-9E17-FDD5FBEFB7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3418688"/>
        <c:axId val="243418296"/>
      </c:lineChart>
      <c:catAx>
        <c:axId val="2424561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3417904"/>
        <c:crosses val="autoZero"/>
        <c:auto val="1"/>
        <c:lblAlgn val="ctr"/>
        <c:lblOffset val="100"/>
        <c:noMultiLvlLbl val="0"/>
      </c:catAx>
      <c:valAx>
        <c:axId val="24341790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2456192"/>
        <c:crosses val="autoZero"/>
        <c:crossBetween val="between"/>
      </c:valAx>
      <c:valAx>
        <c:axId val="24341829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3418688"/>
        <c:crosses val="max"/>
        <c:crossBetween val="between"/>
      </c:valAx>
      <c:catAx>
        <c:axId val="24341868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4341829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[Macro 2025 ejemplo.xlsm]Vista por años!Tabla dinámica2</c:name>
    <c:fmtId val="2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Análisis de consumos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</c:pivotFmt>
      <c:pivotFmt>
        <c:idx val="31"/>
      </c:pivotFmt>
      <c:pivotFmt>
        <c:idx val="32"/>
      </c:pivotFmt>
      <c:pivotFmt>
        <c:idx val="33"/>
      </c:pivotFmt>
      <c:pivotFmt>
        <c:idx val="34"/>
      </c:pivotFmt>
      <c:pivotFmt>
        <c:idx val="35"/>
      </c:pivotFmt>
      <c:pivotFmt>
        <c:idx val="36"/>
      </c:pivotFmt>
      <c:pivotFmt>
        <c:idx val="37"/>
      </c:pivotFmt>
      <c:pivotFmt>
        <c:idx val="38"/>
      </c:pivotFmt>
      <c:pivotFmt>
        <c:idx val="39"/>
      </c:pivotFmt>
      <c:pivotFmt>
        <c:idx val="40"/>
      </c:pivotFmt>
      <c:pivotFmt>
        <c:idx val="41"/>
      </c:pivotFmt>
      <c:pivotFmt>
        <c:idx val="42"/>
      </c:pivotFmt>
      <c:pivotFmt>
        <c:idx val="43"/>
      </c:pivotFmt>
      <c:pivotFmt>
        <c:idx val="44"/>
      </c:pivotFmt>
      <c:pivotFmt>
        <c:idx val="45"/>
      </c:pivotFmt>
      <c:pivotFmt>
        <c:idx val="46"/>
      </c:pivotFmt>
      <c:pivotFmt>
        <c:idx val="47"/>
      </c:pivotFmt>
      <c:pivotFmt>
        <c:idx val="48"/>
      </c:pivotFmt>
      <c:pivotFmt>
        <c:idx val="49"/>
      </c:pivotFmt>
      <c:pivotFmt>
        <c:idx val="50"/>
      </c:pivotFmt>
      <c:pivotFmt>
        <c:idx val="51"/>
      </c:pivotFmt>
      <c:pivotFmt>
        <c:idx val="52"/>
      </c:pivotFmt>
      <c:pivotFmt>
        <c:idx val="53"/>
      </c:pivotFmt>
      <c:pivotFmt>
        <c:idx val="5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</c:pivotFmt>
      <c:pivotFmt>
        <c:idx val="58"/>
      </c:pivotFmt>
      <c:pivotFmt>
        <c:idx val="59"/>
      </c:pivotFmt>
      <c:pivotFmt>
        <c:idx val="60"/>
      </c:pivotFmt>
      <c:pivotFmt>
        <c:idx val="61"/>
      </c:pivotFmt>
      <c:pivotFmt>
        <c:idx val="62"/>
      </c:pivotFmt>
      <c:pivotFmt>
        <c:idx val="63"/>
      </c:pivotFmt>
      <c:pivotFmt>
        <c:idx val="64"/>
      </c:pivotFmt>
      <c:pivotFmt>
        <c:idx val="65"/>
      </c:pivotFmt>
      <c:pivotFmt>
        <c:idx val="66"/>
      </c:pivotFmt>
      <c:pivotFmt>
        <c:idx val="67"/>
      </c:pivotFmt>
      <c:pivotFmt>
        <c:idx val="68"/>
      </c:pivotFmt>
      <c:pivotFmt>
        <c:idx val="69"/>
      </c:pivotFmt>
      <c:pivotFmt>
        <c:idx val="70"/>
      </c:pivotFmt>
      <c:pivotFmt>
        <c:idx val="71"/>
      </c:pivotFmt>
      <c:pivotFmt>
        <c:idx val="72"/>
        <c:spPr>
          <a:gradFill flip="none" rotWithShape="1">
            <a:gsLst>
              <a:gs pos="25000">
                <a:schemeClr val="tx2">
                  <a:lumMod val="99000"/>
                  <a:lumOff val="1000"/>
                </a:schemeClr>
              </a:gs>
              <a:gs pos="46000">
                <a:schemeClr val="accent1">
                  <a:lumMod val="95000"/>
                  <a:lumOff val="5000"/>
                </a:schemeClr>
              </a:gs>
              <a:gs pos="100000">
                <a:schemeClr val="accent1">
                  <a:lumMod val="60000"/>
                </a:schemeClr>
              </a:gs>
            </a:gsLst>
            <a:path path="circle">
              <a:fillToRect l="50000" t="130000" r="50000" b="-30000"/>
            </a:path>
            <a:tileRect/>
          </a:gradFill>
          <a:ln w="38100">
            <a:gradFill flip="none" rotWithShape="1">
              <a:gsLst>
                <a:gs pos="0">
                  <a:schemeClr val="accent1">
                    <a:lumMod val="40000"/>
                    <a:lumOff val="60000"/>
                  </a:schemeClr>
                </a:gs>
                <a:gs pos="46000">
                  <a:schemeClr val="accent1">
                    <a:lumMod val="95000"/>
                    <a:lumOff val="5000"/>
                  </a:schemeClr>
                </a:gs>
                <a:gs pos="100000">
                  <a:schemeClr val="accent1">
                    <a:lumMod val="60000"/>
                  </a:schemeClr>
                </a:gs>
              </a:gsLst>
              <a:path path="circle">
                <a:fillToRect l="50000" t="130000" r="50000" b="-30000"/>
              </a:path>
              <a:tileRect/>
            </a:gra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gradFill flip="none" rotWithShape="1">
            <a:gsLst>
              <a:gs pos="5000">
                <a:srgbClr val="C00000"/>
              </a:gs>
              <a:gs pos="23000">
                <a:schemeClr val="accent2">
                  <a:lumMod val="89000"/>
                </a:schemeClr>
              </a:gs>
              <a:gs pos="69000">
                <a:schemeClr val="accent2">
                  <a:lumMod val="75000"/>
                </a:schemeClr>
              </a:gs>
              <a:gs pos="97000">
                <a:schemeClr val="accent2">
                  <a:lumMod val="7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8100">
            <a:gradFill flip="none" rotWithShape="1">
              <a:gsLst>
                <a:gs pos="0">
                  <a:schemeClr val="accent2">
                    <a:lumMod val="89000"/>
                  </a:schemeClr>
                </a:gs>
                <a:gs pos="23000">
                  <a:schemeClr val="accent2">
                    <a:lumMod val="89000"/>
                  </a:schemeClr>
                </a:gs>
                <a:gs pos="69000">
                  <a:schemeClr val="accent2">
                    <a:lumMod val="75000"/>
                  </a:schemeClr>
                </a:gs>
                <a:gs pos="97000">
                  <a:schemeClr val="accent2">
                    <a:lumMod val="70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</a:ln>
          <a:effectLst/>
        </c:spPr>
        <c:marker>
          <c:symbol val="none"/>
        </c:marker>
      </c:pivotFmt>
      <c:pivotFmt>
        <c:idx val="74"/>
        <c:spPr>
          <a:solidFill>
            <a:schemeClr val="accent1"/>
          </a:solidFill>
          <a:ln w="12700">
            <a:solidFill>
              <a:srgbClr val="92D050">
                <a:alpha val="50000"/>
              </a:srgbClr>
            </a:solidFill>
          </a:ln>
          <a:effectLst/>
        </c:spPr>
        <c:marker>
          <c:symbol val="square"/>
          <c:size val="2"/>
          <c:spPr>
            <a:gradFill>
              <a:gsLst>
                <a:gs pos="0">
                  <a:schemeClr val="accent3">
                    <a:lumMod val="0"/>
                    <a:lumOff val="100000"/>
                  </a:schemeClr>
                </a:gs>
                <a:gs pos="35000">
                  <a:schemeClr val="accent3">
                    <a:lumMod val="0"/>
                    <a:lumOff val="100000"/>
                  </a:schemeClr>
                </a:gs>
                <a:gs pos="100000">
                  <a:schemeClr val="accent3">
                    <a:lumMod val="100000"/>
                  </a:schemeClr>
                </a:gs>
              </a:gsLst>
              <a:path path="circle">
                <a:fillToRect l="50000" t="-80000" r="50000" b="180000"/>
              </a:path>
            </a:gradFill>
            <a:ln w="25400">
              <a:solidFill>
                <a:srgbClr val="92D050"/>
              </a:solidFill>
            </a:ln>
            <a:effectLst/>
          </c:spPr>
        </c:marker>
      </c:pivotFmt>
      <c:pivotFmt>
        <c:idx val="75"/>
      </c:pivotFmt>
      <c:pivotFmt>
        <c:idx val="76"/>
        <c:spPr>
          <a:gradFill>
            <a:gsLst>
              <a:gs pos="5000">
                <a:srgbClr val="C00000"/>
              </a:gs>
              <a:gs pos="100000">
                <a:srgbClr val="C00000"/>
              </a:gs>
            </a:gsLst>
            <a:lin ang="0" scaled="0"/>
          </a:gradFill>
          <a:ln w="38100">
            <a:gradFill>
              <a:gsLst>
                <a:gs pos="0">
                  <a:srgbClr val="C00000">
                    <a:lumMod val="87000"/>
                  </a:srgbClr>
                </a:gs>
                <a:gs pos="100000">
                  <a:srgbClr val="8B3431"/>
                </a:gs>
              </a:gsLst>
              <a:lin ang="5400000" scaled="1"/>
            </a:gra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ln w="19050" cap="rnd">
            <a:solidFill>
              <a:srgbClr val="92D050">
                <a:alpha val="50000"/>
              </a:srgbClr>
            </a:solidFill>
            <a:round/>
          </a:ln>
          <a:effectLst/>
        </c:spPr>
        <c:marker>
          <c:symbol val="square"/>
          <c:size val="4"/>
          <c:spPr>
            <a:gradFill flip="none" rotWithShape="1">
              <a:gsLst>
                <a:gs pos="15000">
                  <a:srgbClr val="92D050"/>
                </a:gs>
                <a:gs pos="100000">
                  <a:srgbClr val="00B050"/>
                </a:gs>
              </a:gsLst>
              <a:path path="circle">
                <a:fillToRect l="100000" t="100000"/>
              </a:path>
              <a:tileRect r="-100000" b="-100000"/>
            </a:gra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'Vista por años'!$B$54:$B$55</c:f>
              <c:strCache>
                <c:ptCount val="1"/>
                <c:pt idx="0">
                  <c:v>Suma de Promedio Activa</c:v>
                </c:pt>
              </c:strCache>
            </c:strRef>
          </c:tx>
          <c:spPr>
            <a:gradFill flip="none" rotWithShape="1">
              <a:gsLst>
                <a:gs pos="25000">
                  <a:schemeClr val="tx2">
                    <a:lumMod val="99000"/>
                    <a:lumOff val="1000"/>
                  </a:schemeClr>
                </a:gs>
                <a:gs pos="46000">
                  <a:schemeClr val="accent1">
                    <a:lumMod val="95000"/>
                    <a:lumOff val="5000"/>
                  </a:schemeClr>
                </a:gs>
                <a:gs pos="100000">
                  <a:schemeClr val="accent1">
                    <a:lumMod val="60000"/>
                  </a:schemeClr>
                </a:gs>
              </a:gsLst>
              <a:path path="circle">
                <a:fillToRect l="50000" t="130000" r="50000" b="-30000"/>
              </a:path>
              <a:tileRect/>
            </a:gradFill>
            <a:ln w="38100">
              <a:gradFill flip="none" rotWithShape="1">
                <a:gsLst>
                  <a:gs pos="0">
                    <a:schemeClr val="accent1">
                      <a:lumMod val="40000"/>
                      <a:lumOff val="60000"/>
                    </a:schemeClr>
                  </a:gs>
                  <a:gs pos="46000">
                    <a:schemeClr val="accent1">
                      <a:lumMod val="95000"/>
                      <a:lumOff val="5000"/>
                    </a:schemeClr>
                  </a:gs>
                  <a:gs pos="100000">
                    <a:schemeClr val="accent1">
                      <a:lumMod val="60000"/>
                    </a:schemeClr>
                  </a:gs>
                </a:gsLst>
                <a:path path="circle">
                  <a:fillToRect l="50000" t="130000" r="50000" b="-30000"/>
                </a:path>
                <a:tileRect/>
              </a:gradFill>
            </a:ln>
            <a:effectLst/>
          </c:spPr>
          <c:invertIfNegative val="0"/>
          <c:trendline>
            <c:spPr>
              <a:ln w="9525" cap="flat" cmpd="sng" algn="ctr">
                <a:solidFill>
                  <a:schemeClr val="accent6">
                    <a:shade val="95000"/>
                    <a:satMod val="105000"/>
                  </a:schemeClr>
                </a:solidFill>
                <a:prstDash val="solid"/>
              </a:ln>
              <a:effectLst/>
            </c:spPr>
            <c:trendlineType val="linear"/>
            <c:forward val="2"/>
            <c:dispRSqr val="0"/>
            <c:dispEq val="0"/>
          </c:trendline>
          <c:cat>
            <c:strRef>
              <c:f>'Vista por años'!$A$56:$A$146</c:f>
              <c:strCache>
                <c:ptCount val="91"/>
                <c:pt idx="1">
                  <c:v>6/02/2018</c:v>
                </c:pt>
                <c:pt idx="2">
                  <c:v>6/03/2018</c:v>
                </c:pt>
                <c:pt idx="3">
                  <c:v>5/04/2018</c:v>
                </c:pt>
                <c:pt idx="4">
                  <c:v>7/05/2018</c:v>
                </c:pt>
                <c:pt idx="5">
                  <c:v>6/06/2018</c:v>
                </c:pt>
                <c:pt idx="6">
                  <c:v>6/07/2018</c:v>
                </c:pt>
                <c:pt idx="7">
                  <c:v>6/08/2018</c:v>
                </c:pt>
                <c:pt idx="8">
                  <c:v>3/09/2018</c:v>
                </c:pt>
                <c:pt idx="9">
                  <c:v>2/10/2018</c:v>
                </c:pt>
                <c:pt idx="10">
                  <c:v>6/11/2018</c:v>
                </c:pt>
                <c:pt idx="11">
                  <c:v>4/12/2018</c:v>
                </c:pt>
                <c:pt idx="12">
                  <c:v>7/01/2019</c:v>
                </c:pt>
                <c:pt idx="13">
                  <c:v>4/02/2019</c:v>
                </c:pt>
                <c:pt idx="14">
                  <c:v>5/03/2019</c:v>
                </c:pt>
                <c:pt idx="15">
                  <c:v>1/04/2019</c:v>
                </c:pt>
                <c:pt idx="16">
                  <c:v>4/05/2019</c:v>
                </c:pt>
                <c:pt idx="17">
                  <c:v>4/06/2019</c:v>
                </c:pt>
                <c:pt idx="18">
                  <c:v>2/07/2019</c:v>
                </c:pt>
                <c:pt idx="19">
                  <c:v>4/08/2019</c:v>
                </c:pt>
                <c:pt idx="20">
                  <c:v>2/09/2019</c:v>
                </c:pt>
                <c:pt idx="21">
                  <c:v>2/10/2019</c:v>
                </c:pt>
                <c:pt idx="22">
                  <c:v>4/11/2019</c:v>
                </c:pt>
                <c:pt idx="23">
                  <c:v>2/12/2019</c:v>
                </c:pt>
                <c:pt idx="24">
                  <c:v>6/01/2020</c:v>
                </c:pt>
                <c:pt idx="25">
                  <c:v>3/02/2020</c:v>
                </c:pt>
                <c:pt idx="26">
                  <c:v>2/03/2020</c:v>
                </c:pt>
                <c:pt idx="27">
                  <c:v>4/04/2020</c:v>
                </c:pt>
                <c:pt idx="28">
                  <c:v>5/05/2020</c:v>
                </c:pt>
                <c:pt idx="29">
                  <c:v>2/06/2020</c:v>
                </c:pt>
                <c:pt idx="30">
                  <c:v>5/07/2020</c:v>
                </c:pt>
                <c:pt idx="31">
                  <c:v>4/08/2020</c:v>
                </c:pt>
                <c:pt idx="32">
                  <c:v>2/09/2020</c:v>
                </c:pt>
                <c:pt idx="33">
                  <c:v>4/10/2020</c:v>
                </c:pt>
                <c:pt idx="34">
                  <c:v>5/11/2020</c:v>
                </c:pt>
                <c:pt idx="35">
                  <c:v>3/12/2020</c:v>
                </c:pt>
                <c:pt idx="36">
                  <c:v>7/01/2021</c:v>
                </c:pt>
                <c:pt idx="37">
                  <c:v>3/02/2021</c:v>
                </c:pt>
                <c:pt idx="38">
                  <c:v>4/03/2021</c:v>
                </c:pt>
                <c:pt idx="39">
                  <c:v>7/04/2021</c:v>
                </c:pt>
                <c:pt idx="40">
                  <c:v>5/05/2021</c:v>
                </c:pt>
                <c:pt idx="41">
                  <c:v>31/05/2021</c:v>
                </c:pt>
                <c:pt idx="42">
                  <c:v>4/07/2021</c:v>
                </c:pt>
                <c:pt idx="43">
                  <c:v>3/08/2021</c:v>
                </c:pt>
                <c:pt idx="44">
                  <c:v>4/09/2021</c:v>
                </c:pt>
                <c:pt idx="45">
                  <c:v>4/10/2021</c:v>
                </c:pt>
                <c:pt idx="46">
                  <c:v>2/11/2021</c:v>
                </c:pt>
                <c:pt idx="47">
                  <c:v>30/11/2021</c:v>
                </c:pt>
                <c:pt idx="48">
                  <c:v>31/12/2021</c:v>
                </c:pt>
                <c:pt idx="49">
                  <c:v>30/01/2022</c:v>
                </c:pt>
                <c:pt idx="50">
                  <c:v>25/02/2022</c:v>
                </c:pt>
                <c:pt idx="51">
                  <c:v>3/03/2022</c:v>
                </c:pt>
                <c:pt idx="52">
                  <c:v>2/04/2022</c:v>
                </c:pt>
                <c:pt idx="53">
                  <c:v>2/05/2022</c:v>
                </c:pt>
                <c:pt idx="54">
                  <c:v>28/05/2022</c:v>
                </c:pt>
                <c:pt idx="55">
                  <c:v>2/07/2022</c:v>
                </c:pt>
                <c:pt idx="56">
                  <c:v>25/07/2022</c:v>
                </c:pt>
                <c:pt idx="57">
                  <c:v>20/08/2022</c:v>
                </c:pt>
                <c:pt idx="58">
                  <c:v>23/09/2022</c:v>
                </c:pt>
                <c:pt idx="59">
                  <c:v>23/10/2022</c:v>
                </c:pt>
                <c:pt idx="60">
                  <c:v>22/12/2022</c:v>
                </c:pt>
                <c:pt idx="61">
                  <c:v>16/02/2023</c:v>
                </c:pt>
                <c:pt idx="62">
                  <c:v>17/03/2023</c:v>
                </c:pt>
                <c:pt idx="63">
                  <c:v>21/04/2023</c:v>
                </c:pt>
                <c:pt idx="64">
                  <c:v>16/05/2023</c:v>
                </c:pt>
                <c:pt idx="65">
                  <c:v>17/06/2023</c:v>
                </c:pt>
                <c:pt idx="66">
                  <c:v>19/06/2023</c:v>
                </c:pt>
                <c:pt idx="67">
                  <c:v>20/08/2023</c:v>
                </c:pt>
                <c:pt idx="68">
                  <c:v>15/09/2023</c:v>
                </c:pt>
                <c:pt idx="69">
                  <c:v>20/10/2023</c:v>
                </c:pt>
                <c:pt idx="70">
                  <c:v>24/11/2023</c:v>
                </c:pt>
                <c:pt idx="71">
                  <c:v>20/12/2023</c:v>
                </c:pt>
                <c:pt idx="72">
                  <c:v>20/01/2024</c:v>
                </c:pt>
                <c:pt idx="73">
                  <c:v>19/02/2024</c:v>
                </c:pt>
                <c:pt idx="74">
                  <c:v>12/03/2024</c:v>
                </c:pt>
                <c:pt idx="75">
                  <c:v>18/04/2024</c:v>
                </c:pt>
                <c:pt idx="76">
                  <c:v>21/05/2024</c:v>
                </c:pt>
                <c:pt idx="77">
                  <c:v>18/07/2024</c:v>
                </c:pt>
                <c:pt idx="78">
                  <c:v>18/09/2024</c:v>
                </c:pt>
                <c:pt idx="79">
                  <c:v>18/10/2024</c:v>
                </c:pt>
                <c:pt idx="80">
                  <c:v>15/11/2024</c:v>
                </c:pt>
                <c:pt idx="81">
                  <c:v>14/12/2024</c:v>
                </c:pt>
                <c:pt idx="82">
                  <c:v>13/01/2025</c:v>
                </c:pt>
                <c:pt idx="83">
                  <c:v>8/02/2025</c:v>
                </c:pt>
                <c:pt idx="84">
                  <c:v>11/03/2025</c:v>
                </c:pt>
                <c:pt idx="85">
                  <c:v>8/04/2025</c:v>
                </c:pt>
                <c:pt idx="86">
                  <c:v>11/05/2025</c:v>
                </c:pt>
                <c:pt idx="87">
                  <c:v>10/06/2025</c:v>
                </c:pt>
                <c:pt idx="88">
                  <c:v>5/07/2025</c:v>
                </c:pt>
                <c:pt idx="89">
                  <c:v>10/08/2025</c:v>
                </c:pt>
                <c:pt idx="90">
                  <c:v>8/09/2025</c:v>
                </c:pt>
              </c:strCache>
            </c:strRef>
          </c:cat>
          <c:val>
            <c:numRef>
              <c:f>'Vista por años'!$B$56:$B$146</c:f>
              <c:numCache>
                <c:formatCode>General</c:formatCode>
                <c:ptCount val="91"/>
                <c:pt idx="0">
                  <c:v>0</c:v>
                </c:pt>
                <c:pt idx="1">
                  <c:v>0.3</c:v>
                </c:pt>
                <c:pt idx="2">
                  <c:v>0.14285714285714285</c:v>
                </c:pt>
                <c:pt idx="3">
                  <c:v>6.6666666666666666E-2</c:v>
                </c:pt>
                <c:pt idx="4">
                  <c:v>9.375E-2</c:v>
                </c:pt>
                <c:pt idx="5">
                  <c:v>0.1</c:v>
                </c:pt>
                <c:pt idx="6">
                  <c:v>6.6666666666666666E-2</c:v>
                </c:pt>
                <c:pt idx="7">
                  <c:v>6.4516129032258063E-2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6.0606060606060608E-2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3.3235294117647061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3.125E-2</c:v>
                </c:pt>
                <c:pt idx="45">
                  <c:v>3.3333333333333333E-2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0.56666666666666665</c:v>
                </c:pt>
                <c:pt idx="50">
                  <c:v>1.8076923076923077</c:v>
                </c:pt>
                <c:pt idx="51">
                  <c:v>0</c:v>
                </c:pt>
                <c:pt idx="52">
                  <c:v>0.1</c:v>
                </c:pt>
                <c:pt idx="53">
                  <c:v>3.3333333333333333E-2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0.23529411764705882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0.44827586206896552</c:v>
                </c:pt>
                <c:pt idx="82">
                  <c:v>0.4</c:v>
                </c:pt>
                <c:pt idx="83">
                  <c:v>0.46153846153846156</c:v>
                </c:pt>
                <c:pt idx="84">
                  <c:v>0.5161290322580645</c:v>
                </c:pt>
                <c:pt idx="85">
                  <c:v>0.5357142857142857</c:v>
                </c:pt>
                <c:pt idx="86">
                  <c:v>0.39393939393939392</c:v>
                </c:pt>
                <c:pt idx="87">
                  <c:v>0.33333333333333331</c:v>
                </c:pt>
                <c:pt idx="88">
                  <c:v>0.36</c:v>
                </c:pt>
                <c:pt idx="89">
                  <c:v>0.44444444444444442</c:v>
                </c:pt>
                <c:pt idx="90">
                  <c:v>0.51724137931034486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51-4F1D-9AE6-749BF39AF58E}"/>
            </c:ext>
          </c:extLst>
        </c:ser>
        <c:ser>
          <c:idx val="1"/>
          <c:order val="1"/>
          <c:tx>
            <c:strRef>
              <c:f>'Vista por años'!$C$54:$C$55</c:f>
              <c:strCache>
                <c:ptCount val="1"/>
                <c:pt idx="0">
                  <c:v>Suma de Promedio Reactiva</c:v>
                </c:pt>
              </c:strCache>
            </c:strRef>
          </c:tx>
          <c:spPr>
            <a:gradFill>
              <a:gsLst>
                <a:gs pos="5000">
                  <a:srgbClr val="C00000"/>
                </a:gs>
                <a:gs pos="100000">
                  <a:srgbClr val="C00000"/>
                </a:gs>
              </a:gsLst>
              <a:lin ang="0" scaled="0"/>
            </a:gradFill>
            <a:ln w="38100">
              <a:gradFill>
                <a:gsLst>
                  <a:gs pos="0">
                    <a:srgbClr val="C00000">
                      <a:lumMod val="87000"/>
                    </a:srgbClr>
                  </a:gs>
                  <a:gs pos="100000">
                    <a:srgbClr val="8B3431"/>
                  </a:gs>
                </a:gsLst>
                <a:lin ang="5400000" scaled="1"/>
              </a:gradFill>
            </a:ln>
            <a:effectLst/>
          </c:spPr>
          <c:invertIfNegative val="0"/>
          <c:cat>
            <c:strRef>
              <c:f>'Vista por años'!$A$56:$A$146</c:f>
              <c:strCache>
                <c:ptCount val="91"/>
                <c:pt idx="1">
                  <c:v>6/02/2018</c:v>
                </c:pt>
                <c:pt idx="2">
                  <c:v>6/03/2018</c:v>
                </c:pt>
                <c:pt idx="3">
                  <c:v>5/04/2018</c:v>
                </c:pt>
                <c:pt idx="4">
                  <c:v>7/05/2018</c:v>
                </c:pt>
                <c:pt idx="5">
                  <c:v>6/06/2018</c:v>
                </c:pt>
                <c:pt idx="6">
                  <c:v>6/07/2018</c:v>
                </c:pt>
                <c:pt idx="7">
                  <c:v>6/08/2018</c:v>
                </c:pt>
                <c:pt idx="8">
                  <c:v>3/09/2018</c:v>
                </c:pt>
                <c:pt idx="9">
                  <c:v>2/10/2018</c:v>
                </c:pt>
                <c:pt idx="10">
                  <c:v>6/11/2018</c:v>
                </c:pt>
                <c:pt idx="11">
                  <c:v>4/12/2018</c:v>
                </c:pt>
                <c:pt idx="12">
                  <c:v>7/01/2019</c:v>
                </c:pt>
                <c:pt idx="13">
                  <c:v>4/02/2019</c:v>
                </c:pt>
                <c:pt idx="14">
                  <c:v>5/03/2019</c:v>
                </c:pt>
                <c:pt idx="15">
                  <c:v>1/04/2019</c:v>
                </c:pt>
                <c:pt idx="16">
                  <c:v>4/05/2019</c:v>
                </c:pt>
                <c:pt idx="17">
                  <c:v>4/06/2019</c:v>
                </c:pt>
                <c:pt idx="18">
                  <c:v>2/07/2019</c:v>
                </c:pt>
                <c:pt idx="19">
                  <c:v>4/08/2019</c:v>
                </c:pt>
                <c:pt idx="20">
                  <c:v>2/09/2019</c:v>
                </c:pt>
                <c:pt idx="21">
                  <c:v>2/10/2019</c:v>
                </c:pt>
                <c:pt idx="22">
                  <c:v>4/11/2019</c:v>
                </c:pt>
                <c:pt idx="23">
                  <c:v>2/12/2019</c:v>
                </c:pt>
                <c:pt idx="24">
                  <c:v>6/01/2020</c:v>
                </c:pt>
                <c:pt idx="25">
                  <c:v>3/02/2020</c:v>
                </c:pt>
                <c:pt idx="26">
                  <c:v>2/03/2020</c:v>
                </c:pt>
                <c:pt idx="27">
                  <c:v>4/04/2020</c:v>
                </c:pt>
                <c:pt idx="28">
                  <c:v>5/05/2020</c:v>
                </c:pt>
                <c:pt idx="29">
                  <c:v>2/06/2020</c:v>
                </c:pt>
                <c:pt idx="30">
                  <c:v>5/07/2020</c:v>
                </c:pt>
                <c:pt idx="31">
                  <c:v>4/08/2020</c:v>
                </c:pt>
                <c:pt idx="32">
                  <c:v>2/09/2020</c:v>
                </c:pt>
                <c:pt idx="33">
                  <c:v>4/10/2020</c:v>
                </c:pt>
                <c:pt idx="34">
                  <c:v>5/11/2020</c:v>
                </c:pt>
                <c:pt idx="35">
                  <c:v>3/12/2020</c:v>
                </c:pt>
                <c:pt idx="36">
                  <c:v>7/01/2021</c:v>
                </c:pt>
                <c:pt idx="37">
                  <c:v>3/02/2021</c:v>
                </c:pt>
                <c:pt idx="38">
                  <c:v>4/03/2021</c:v>
                </c:pt>
                <c:pt idx="39">
                  <c:v>7/04/2021</c:v>
                </c:pt>
                <c:pt idx="40">
                  <c:v>5/05/2021</c:v>
                </c:pt>
                <c:pt idx="41">
                  <c:v>31/05/2021</c:v>
                </c:pt>
                <c:pt idx="42">
                  <c:v>4/07/2021</c:v>
                </c:pt>
                <c:pt idx="43">
                  <c:v>3/08/2021</c:v>
                </c:pt>
                <c:pt idx="44">
                  <c:v>4/09/2021</c:v>
                </c:pt>
                <c:pt idx="45">
                  <c:v>4/10/2021</c:v>
                </c:pt>
                <c:pt idx="46">
                  <c:v>2/11/2021</c:v>
                </c:pt>
                <c:pt idx="47">
                  <c:v>30/11/2021</c:v>
                </c:pt>
                <c:pt idx="48">
                  <c:v>31/12/2021</c:v>
                </c:pt>
                <c:pt idx="49">
                  <c:v>30/01/2022</c:v>
                </c:pt>
                <c:pt idx="50">
                  <c:v>25/02/2022</c:v>
                </c:pt>
                <c:pt idx="51">
                  <c:v>3/03/2022</c:v>
                </c:pt>
                <c:pt idx="52">
                  <c:v>2/04/2022</c:v>
                </c:pt>
                <c:pt idx="53">
                  <c:v>2/05/2022</c:v>
                </c:pt>
                <c:pt idx="54">
                  <c:v>28/05/2022</c:v>
                </c:pt>
                <c:pt idx="55">
                  <c:v>2/07/2022</c:v>
                </c:pt>
                <c:pt idx="56">
                  <c:v>25/07/2022</c:v>
                </c:pt>
                <c:pt idx="57">
                  <c:v>20/08/2022</c:v>
                </c:pt>
                <c:pt idx="58">
                  <c:v>23/09/2022</c:v>
                </c:pt>
                <c:pt idx="59">
                  <c:v>23/10/2022</c:v>
                </c:pt>
                <c:pt idx="60">
                  <c:v>22/12/2022</c:v>
                </c:pt>
                <c:pt idx="61">
                  <c:v>16/02/2023</c:v>
                </c:pt>
                <c:pt idx="62">
                  <c:v>17/03/2023</c:v>
                </c:pt>
                <c:pt idx="63">
                  <c:v>21/04/2023</c:v>
                </c:pt>
                <c:pt idx="64">
                  <c:v>16/05/2023</c:v>
                </c:pt>
                <c:pt idx="65">
                  <c:v>17/06/2023</c:v>
                </c:pt>
                <c:pt idx="66">
                  <c:v>19/06/2023</c:v>
                </c:pt>
                <c:pt idx="67">
                  <c:v>20/08/2023</c:v>
                </c:pt>
                <c:pt idx="68">
                  <c:v>15/09/2023</c:v>
                </c:pt>
                <c:pt idx="69">
                  <c:v>20/10/2023</c:v>
                </c:pt>
                <c:pt idx="70">
                  <c:v>24/11/2023</c:v>
                </c:pt>
                <c:pt idx="71">
                  <c:v>20/12/2023</c:v>
                </c:pt>
                <c:pt idx="72">
                  <c:v>20/01/2024</c:v>
                </c:pt>
                <c:pt idx="73">
                  <c:v>19/02/2024</c:v>
                </c:pt>
                <c:pt idx="74">
                  <c:v>12/03/2024</c:v>
                </c:pt>
                <c:pt idx="75">
                  <c:v>18/04/2024</c:v>
                </c:pt>
                <c:pt idx="76">
                  <c:v>21/05/2024</c:v>
                </c:pt>
                <c:pt idx="77">
                  <c:v>18/07/2024</c:v>
                </c:pt>
                <c:pt idx="78">
                  <c:v>18/09/2024</c:v>
                </c:pt>
                <c:pt idx="79">
                  <c:v>18/10/2024</c:v>
                </c:pt>
                <c:pt idx="80">
                  <c:v>15/11/2024</c:v>
                </c:pt>
                <c:pt idx="81">
                  <c:v>14/12/2024</c:v>
                </c:pt>
                <c:pt idx="82">
                  <c:v>13/01/2025</c:v>
                </c:pt>
                <c:pt idx="83">
                  <c:v>8/02/2025</c:v>
                </c:pt>
                <c:pt idx="84">
                  <c:v>11/03/2025</c:v>
                </c:pt>
                <c:pt idx="85">
                  <c:v>8/04/2025</c:v>
                </c:pt>
                <c:pt idx="86">
                  <c:v>11/05/2025</c:v>
                </c:pt>
                <c:pt idx="87">
                  <c:v>10/06/2025</c:v>
                </c:pt>
                <c:pt idx="88">
                  <c:v>5/07/2025</c:v>
                </c:pt>
                <c:pt idx="89">
                  <c:v>10/08/2025</c:v>
                </c:pt>
                <c:pt idx="90">
                  <c:v>8/09/2025</c:v>
                </c:pt>
              </c:strCache>
            </c:strRef>
          </c:cat>
          <c:val>
            <c:numRef>
              <c:f>'Vista por años'!$C$56:$C$146</c:f>
              <c:numCache>
                <c:formatCode>General</c:formatCode>
                <c:ptCount val="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AB8-4F3C-AA27-2A615C8F1D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axId val="487575792"/>
        <c:axId val="487576184"/>
      </c:barChart>
      <c:lineChart>
        <c:grouping val="standard"/>
        <c:varyColors val="0"/>
        <c:ser>
          <c:idx val="2"/>
          <c:order val="2"/>
          <c:tx>
            <c:strRef>
              <c:f>'Vista por años'!$D$54:$D$55</c:f>
              <c:strCache>
                <c:ptCount val="1"/>
                <c:pt idx="0">
                  <c:v>Suma de Maxímetro</c:v>
                </c:pt>
              </c:strCache>
            </c:strRef>
          </c:tx>
          <c:spPr>
            <a:ln w="19050" cap="rnd">
              <a:solidFill>
                <a:srgbClr val="92D050">
                  <a:alpha val="50000"/>
                </a:srgbClr>
              </a:solidFill>
              <a:round/>
            </a:ln>
            <a:effectLst/>
          </c:spPr>
          <c:marker>
            <c:symbol val="square"/>
            <c:size val="4"/>
            <c:spPr>
              <a:gradFill flip="none" rotWithShape="1">
                <a:gsLst>
                  <a:gs pos="15000">
                    <a:srgbClr val="92D050"/>
                  </a:gs>
                  <a:gs pos="100000">
                    <a:srgbClr val="00B050"/>
                  </a:gs>
                </a:gsLst>
                <a:path path="circle">
                  <a:fillToRect l="100000" t="100000"/>
                </a:path>
                <a:tileRect r="-100000" b="-100000"/>
              </a:gra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'Vista por años'!$A$56:$A$146</c:f>
              <c:strCache>
                <c:ptCount val="91"/>
                <c:pt idx="1">
                  <c:v>6/02/2018</c:v>
                </c:pt>
                <c:pt idx="2">
                  <c:v>6/03/2018</c:v>
                </c:pt>
                <c:pt idx="3">
                  <c:v>5/04/2018</c:v>
                </c:pt>
                <c:pt idx="4">
                  <c:v>7/05/2018</c:v>
                </c:pt>
                <c:pt idx="5">
                  <c:v>6/06/2018</c:v>
                </c:pt>
                <c:pt idx="6">
                  <c:v>6/07/2018</c:v>
                </c:pt>
                <c:pt idx="7">
                  <c:v>6/08/2018</c:v>
                </c:pt>
                <c:pt idx="8">
                  <c:v>3/09/2018</c:v>
                </c:pt>
                <c:pt idx="9">
                  <c:v>2/10/2018</c:v>
                </c:pt>
                <c:pt idx="10">
                  <c:v>6/11/2018</c:v>
                </c:pt>
                <c:pt idx="11">
                  <c:v>4/12/2018</c:v>
                </c:pt>
                <c:pt idx="12">
                  <c:v>7/01/2019</c:v>
                </c:pt>
                <c:pt idx="13">
                  <c:v>4/02/2019</c:v>
                </c:pt>
                <c:pt idx="14">
                  <c:v>5/03/2019</c:v>
                </c:pt>
                <c:pt idx="15">
                  <c:v>1/04/2019</c:v>
                </c:pt>
                <c:pt idx="16">
                  <c:v>4/05/2019</c:v>
                </c:pt>
                <c:pt idx="17">
                  <c:v>4/06/2019</c:v>
                </c:pt>
                <c:pt idx="18">
                  <c:v>2/07/2019</c:v>
                </c:pt>
                <c:pt idx="19">
                  <c:v>4/08/2019</c:v>
                </c:pt>
                <c:pt idx="20">
                  <c:v>2/09/2019</c:v>
                </c:pt>
                <c:pt idx="21">
                  <c:v>2/10/2019</c:v>
                </c:pt>
                <c:pt idx="22">
                  <c:v>4/11/2019</c:v>
                </c:pt>
                <c:pt idx="23">
                  <c:v>2/12/2019</c:v>
                </c:pt>
                <c:pt idx="24">
                  <c:v>6/01/2020</c:v>
                </c:pt>
                <c:pt idx="25">
                  <c:v>3/02/2020</c:v>
                </c:pt>
                <c:pt idx="26">
                  <c:v>2/03/2020</c:v>
                </c:pt>
                <c:pt idx="27">
                  <c:v>4/04/2020</c:v>
                </c:pt>
                <c:pt idx="28">
                  <c:v>5/05/2020</c:v>
                </c:pt>
                <c:pt idx="29">
                  <c:v>2/06/2020</c:v>
                </c:pt>
                <c:pt idx="30">
                  <c:v>5/07/2020</c:v>
                </c:pt>
                <c:pt idx="31">
                  <c:v>4/08/2020</c:v>
                </c:pt>
                <c:pt idx="32">
                  <c:v>2/09/2020</c:v>
                </c:pt>
                <c:pt idx="33">
                  <c:v>4/10/2020</c:v>
                </c:pt>
                <c:pt idx="34">
                  <c:v>5/11/2020</c:v>
                </c:pt>
                <c:pt idx="35">
                  <c:v>3/12/2020</c:v>
                </c:pt>
                <c:pt idx="36">
                  <c:v>7/01/2021</c:v>
                </c:pt>
                <c:pt idx="37">
                  <c:v>3/02/2021</c:v>
                </c:pt>
                <c:pt idx="38">
                  <c:v>4/03/2021</c:v>
                </c:pt>
                <c:pt idx="39">
                  <c:v>7/04/2021</c:v>
                </c:pt>
                <c:pt idx="40">
                  <c:v>5/05/2021</c:v>
                </c:pt>
                <c:pt idx="41">
                  <c:v>31/05/2021</c:v>
                </c:pt>
                <c:pt idx="42">
                  <c:v>4/07/2021</c:v>
                </c:pt>
                <c:pt idx="43">
                  <c:v>3/08/2021</c:v>
                </c:pt>
                <c:pt idx="44">
                  <c:v>4/09/2021</c:v>
                </c:pt>
                <c:pt idx="45">
                  <c:v>4/10/2021</c:v>
                </c:pt>
                <c:pt idx="46">
                  <c:v>2/11/2021</c:v>
                </c:pt>
                <c:pt idx="47">
                  <c:v>30/11/2021</c:v>
                </c:pt>
                <c:pt idx="48">
                  <c:v>31/12/2021</c:v>
                </c:pt>
                <c:pt idx="49">
                  <c:v>30/01/2022</c:v>
                </c:pt>
                <c:pt idx="50">
                  <c:v>25/02/2022</c:v>
                </c:pt>
                <c:pt idx="51">
                  <c:v>3/03/2022</c:v>
                </c:pt>
                <c:pt idx="52">
                  <c:v>2/04/2022</c:v>
                </c:pt>
                <c:pt idx="53">
                  <c:v>2/05/2022</c:v>
                </c:pt>
                <c:pt idx="54">
                  <c:v>28/05/2022</c:v>
                </c:pt>
                <c:pt idx="55">
                  <c:v>2/07/2022</c:v>
                </c:pt>
                <c:pt idx="56">
                  <c:v>25/07/2022</c:v>
                </c:pt>
                <c:pt idx="57">
                  <c:v>20/08/2022</c:v>
                </c:pt>
                <c:pt idx="58">
                  <c:v>23/09/2022</c:v>
                </c:pt>
                <c:pt idx="59">
                  <c:v>23/10/2022</c:v>
                </c:pt>
                <c:pt idx="60">
                  <c:v>22/12/2022</c:v>
                </c:pt>
                <c:pt idx="61">
                  <c:v>16/02/2023</c:v>
                </c:pt>
                <c:pt idx="62">
                  <c:v>17/03/2023</c:v>
                </c:pt>
                <c:pt idx="63">
                  <c:v>21/04/2023</c:v>
                </c:pt>
                <c:pt idx="64">
                  <c:v>16/05/2023</c:v>
                </c:pt>
                <c:pt idx="65">
                  <c:v>17/06/2023</c:v>
                </c:pt>
                <c:pt idx="66">
                  <c:v>19/06/2023</c:v>
                </c:pt>
                <c:pt idx="67">
                  <c:v>20/08/2023</c:v>
                </c:pt>
                <c:pt idx="68">
                  <c:v>15/09/2023</c:v>
                </c:pt>
                <c:pt idx="69">
                  <c:v>20/10/2023</c:v>
                </c:pt>
                <c:pt idx="70">
                  <c:v>24/11/2023</c:v>
                </c:pt>
                <c:pt idx="71">
                  <c:v>20/12/2023</c:v>
                </c:pt>
                <c:pt idx="72">
                  <c:v>20/01/2024</c:v>
                </c:pt>
                <c:pt idx="73">
                  <c:v>19/02/2024</c:v>
                </c:pt>
                <c:pt idx="74">
                  <c:v>12/03/2024</c:v>
                </c:pt>
                <c:pt idx="75">
                  <c:v>18/04/2024</c:v>
                </c:pt>
                <c:pt idx="76">
                  <c:v>21/05/2024</c:v>
                </c:pt>
                <c:pt idx="77">
                  <c:v>18/07/2024</c:v>
                </c:pt>
                <c:pt idx="78">
                  <c:v>18/09/2024</c:v>
                </c:pt>
                <c:pt idx="79">
                  <c:v>18/10/2024</c:v>
                </c:pt>
                <c:pt idx="80">
                  <c:v>15/11/2024</c:v>
                </c:pt>
                <c:pt idx="81">
                  <c:v>14/12/2024</c:v>
                </c:pt>
                <c:pt idx="82">
                  <c:v>13/01/2025</c:v>
                </c:pt>
                <c:pt idx="83">
                  <c:v>8/02/2025</c:v>
                </c:pt>
                <c:pt idx="84">
                  <c:v>11/03/2025</c:v>
                </c:pt>
                <c:pt idx="85">
                  <c:v>8/04/2025</c:v>
                </c:pt>
                <c:pt idx="86">
                  <c:v>11/05/2025</c:v>
                </c:pt>
                <c:pt idx="87">
                  <c:v>10/06/2025</c:v>
                </c:pt>
                <c:pt idx="88">
                  <c:v>5/07/2025</c:v>
                </c:pt>
                <c:pt idx="89">
                  <c:v>10/08/2025</c:v>
                </c:pt>
                <c:pt idx="90">
                  <c:v>8/09/2025</c:v>
                </c:pt>
              </c:strCache>
            </c:strRef>
          </c:cat>
          <c:val>
            <c:numRef>
              <c:f>'Vista por años'!$D$56:$D$146</c:f>
              <c:numCache>
                <c:formatCode>General</c:formatCode>
                <c:ptCount val="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B8-4F3C-AA27-2A615C8F1D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576968"/>
        <c:axId val="487576576"/>
      </c:lineChart>
      <c:catAx>
        <c:axId val="48757579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87576184"/>
        <c:crosses val="autoZero"/>
        <c:auto val="1"/>
        <c:lblAlgn val="ctr"/>
        <c:lblOffset val="100"/>
        <c:noMultiLvlLbl val="0"/>
      </c:catAx>
      <c:valAx>
        <c:axId val="487576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87575792"/>
        <c:crosses val="autoZero"/>
        <c:crossBetween val="between"/>
      </c:valAx>
      <c:valAx>
        <c:axId val="48757657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87576968"/>
        <c:crosses val="max"/>
        <c:crossBetween val="between"/>
      </c:valAx>
      <c:catAx>
        <c:axId val="48757696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8757657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userShapes r:id="rId3"/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[Macro 2025 ejemplo.xlsm]Vista por años!Tabla dinámica3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Energía Reconstruida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  <c:spPr>
          <a:gradFill>
            <a:gsLst>
              <a:gs pos="0">
                <a:schemeClr val="tx2">
                  <a:alpha val="50000"/>
                  <a:lumMod val="21000"/>
                  <a:lumOff val="79000"/>
                </a:schemeClr>
              </a:gs>
              <a:gs pos="0">
                <a:schemeClr val="tx2">
                  <a:lumMod val="40000"/>
                  <a:lumOff val="60000"/>
                </a:schemeClr>
              </a:gs>
              <a:gs pos="100000">
                <a:schemeClr val="tx2"/>
              </a:gs>
            </a:gsLst>
            <a:path path="circle">
              <a:fillToRect l="50000" t="130000" r="50000" b="-30000"/>
            </a:path>
          </a:gradFill>
          <a:ln w="25400">
            <a:solidFill>
              <a:schemeClr val="tx2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C00000">
              <a:alpha val="66000"/>
            </a:srgbClr>
          </a:solidFill>
          <a:ln w="31750">
            <a:solidFill>
              <a:srgbClr val="C00000"/>
            </a:solidFill>
          </a:ln>
          <a:effectLst/>
        </c:spPr>
        <c:marker>
          <c:symbol val="none"/>
        </c:marker>
      </c:pivotFmt>
      <c:pivotFmt>
        <c:idx val="6"/>
        <c:spPr>
          <a:gradFill>
            <a:gsLst>
              <a:gs pos="0">
                <a:srgbClr val="FF6699"/>
              </a:gs>
              <a:gs pos="0">
                <a:srgbClr val="FF6699"/>
              </a:gs>
              <a:gs pos="100000">
                <a:srgbClr val="C00000"/>
              </a:gs>
            </a:gsLst>
            <a:path path="circle">
              <a:fillToRect l="50000" t="130000" r="50000" b="-30000"/>
            </a:path>
          </a:gradFill>
          <a:ln w="25400">
            <a:solidFill>
              <a:srgbClr val="C00000">
                <a:alpha val="80000"/>
              </a:srgbClr>
            </a:solidFill>
          </a:ln>
          <a:effectLst/>
        </c:spPr>
        <c:marker>
          <c:symbol val="none"/>
        </c:marker>
      </c:pivotFmt>
      <c:pivotFmt>
        <c:idx val="7"/>
        <c:spPr>
          <a:gradFill>
            <a:gsLst>
              <a:gs pos="50000">
                <a:srgbClr val="C00000"/>
              </a:gs>
              <a:gs pos="0">
                <a:srgbClr val="FF6699"/>
              </a:gs>
              <a:gs pos="0">
                <a:srgbClr val="FF0000"/>
              </a:gs>
              <a:gs pos="100000">
                <a:srgbClr val="C00000">
                  <a:alpha val="50000"/>
                </a:srgbClr>
              </a:gs>
            </a:gsLst>
            <a:path path="circle">
              <a:fillToRect l="50000" t="130000" r="50000" b="-30000"/>
            </a:path>
          </a:gradFill>
          <a:ln w="25400">
            <a:solidFill>
              <a:srgbClr val="C0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gradFill>
            <a:gsLst>
              <a:gs pos="52000">
                <a:srgbClr val="FFCC66">
                  <a:alpha val="50000"/>
                </a:srgbClr>
              </a:gs>
              <a:gs pos="0">
                <a:srgbClr val="FF6699"/>
              </a:gs>
              <a:gs pos="0">
                <a:srgbClr val="EFF4C4"/>
              </a:gs>
              <a:gs pos="100000">
                <a:srgbClr val="FFC000"/>
              </a:gs>
            </a:gsLst>
            <a:path path="circle">
              <a:fillToRect l="50000" t="130000" r="50000" b="-30000"/>
            </a:path>
          </a:gradFill>
          <a:ln w="25400">
            <a:solidFill>
              <a:srgbClr val="FFC000">
                <a:alpha val="50000"/>
              </a:srgb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</c:pivotFmt>
    </c:pivotFmts>
    <c:plotArea>
      <c:layout>
        <c:manualLayout>
          <c:layoutTarget val="inner"/>
          <c:xMode val="edge"/>
          <c:yMode val="edge"/>
          <c:x val="4.7917227426742613E-2"/>
          <c:y val="0.11685961924660244"/>
          <c:w val="0.94874002693495119"/>
          <c:h val="0.7727956737916811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'Vista por años'!$F$54:$F$55</c:f>
              <c:strCache>
                <c:ptCount val="1"/>
                <c:pt idx="0">
                  <c:v>Suma de Promedio Activa</c:v>
                </c:pt>
              </c:strCache>
            </c:strRef>
          </c:tx>
          <c:spPr>
            <a:gradFill>
              <a:gsLst>
                <a:gs pos="0">
                  <a:schemeClr val="tx2">
                    <a:alpha val="50000"/>
                    <a:lumMod val="21000"/>
                    <a:lumOff val="79000"/>
                  </a:schemeClr>
                </a:gs>
                <a:gs pos="0">
                  <a:schemeClr val="tx2">
                    <a:lumMod val="40000"/>
                    <a:lumOff val="60000"/>
                  </a:schemeClr>
                </a:gs>
                <a:gs pos="100000">
                  <a:schemeClr val="tx2"/>
                </a:gs>
              </a:gsLst>
              <a:path path="circle">
                <a:fillToRect l="50000" t="130000" r="50000" b="-30000"/>
              </a:path>
            </a:gradFill>
            <a:ln w="25400">
              <a:solidFill>
                <a:schemeClr val="tx2"/>
              </a:solidFill>
            </a:ln>
            <a:effectLst/>
          </c:spPr>
          <c:invertIfNegative val="0"/>
          <c:cat>
            <c:strRef>
              <c:f>'Vista por años'!$E$56:$E$145</c:f>
              <c:strCache>
                <c:ptCount val="90"/>
                <c:pt idx="0">
                  <c:v>6/02/2018</c:v>
                </c:pt>
                <c:pt idx="1">
                  <c:v>6/03/2018</c:v>
                </c:pt>
                <c:pt idx="2">
                  <c:v>5/04/2018</c:v>
                </c:pt>
                <c:pt idx="3">
                  <c:v>7/05/2018</c:v>
                </c:pt>
                <c:pt idx="4">
                  <c:v>6/06/2018</c:v>
                </c:pt>
                <c:pt idx="5">
                  <c:v>6/07/2018</c:v>
                </c:pt>
                <c:pt idx="6">
                  <c:v>6/08/2018</c:v>
                </c:pt>
                <c:pt idx="7">
                  <c:v>3/09/2018</c:v>
                </c:pt>
                <c:pt idx="8">
                  <c:v>2/10/2018</c:v>
                </c:pt>
                <c:pt idx="9">
                  <c:v>6/11/2018</c:v>
                </c:pt>
                <c:pt idx="10">
                  <c:v>4/12/2018</c:v>
                </c:pt>
                <c:pt idx="11">
                  <c:v>7/01/2019</c:v>
                </c:pt>
                <c:pt idx="12">
                  <c:v>4/02/2019</c:v>
                </c:pt>
                <c:pt idx="13">
                  <c:v>5/03/2019</c:v>
                </c:pt>
                <c:pt idx="14">
                  <c:v>1/04/2019</c:v>
                </c:pt>
                <c:pt idx="15">
                  <c:v>4/05/2019</c:v>
                </c:pt>
                <c:pt idx="16">
                  <c:v>4/06/2019</c:v>
                </c:pt>
                <c:pt idx="17">
                  <c:v>2/07/2019</c:v>
                </c:pt>
                <c:pt idx="18">
                  <c:v>4/08/2019</c:v>
                </c:pt>
                <c:pt idx="19">
                  <c:v>2/09/2019</c:v>
                </c:pt>
                <c:pt idx="20">
                  <c:v>2/10/2019</c:v>
                </c:pt>
                <c:pt idx="21">
                  <c:v>4/11/2019</c:v>
                </c:pt>
                <c:pt idx="22">
                  <c:v>2/12/2019</c:v>
                </c:pt>
                <c:pt idx="23">
                  <c:v>6/01/2020</c:v>
                </c:pt>
                <c:pt idx="24">
                  <c:v>3/02/2020</c:v>
                </c:pt>
                <c:pt idx="25">
                  <c:v>2/03/2020</c:v>
                </c:pt>
                <c:pt idx="26">
                  <c:v>4/04/2020</c:v>
                </c:pt>
                <c:pt idx="27">
                  <c:v>5/05/2020</c:v>
                </c:pt>
                <c:pt idx="28">
                  <c:v>2/06/2020</c:v>
                </c:pt>
                <c:pt idx="29">
                  <c:v>5/07/2020</c:v>
                </c:pt>
                <c:pt idx="30">
                  <c:v>4/08/2020</c:v>
                </c:pt>
                <c:pt idx="31">
                  <c:v>2/09/2020</c:v>
                </c:pt>
                <c:pt idx="32">
                  <c:v>4/10/2020</c:v>
                </c:pt>
                <c:pt idx="33">
                  <c:v>5/11/2020</c:v>
                </c:pt>
                <c:pt idx="34">
                  <c:v>3/12/2020</c:v>
                </c:pt>
                <c:pt idx="35">
                  <c:v>7/01/2021</c:v>
                </c:pt>
                <c:pt idx="36">
                  <c:v>3/02/2021</c:v>
                </c:pt>
                <c:pt idx="37">
                  <c:v>4/03/2021</c:v>
                </c:pt>
                <c:pt idx="38">
                  <c:v>7/04/2021</c:v>
                </c:pt>
                <c:pt idx="39">
                  <c:v>5/05/2021</c:v>
                </c:pt>
                <c:pt idx="40">
                  <c:v>31/05/2021</c:v>
                </c:pt>
                <c:pt idx="41">
                  <c:v>4/07/2021</c:v>
                </c:pt>
                <c:pt idx="42">
                  <c:v>3/08/2021</c:v>
                </c:pt>
                <c:pt idx="43">
                  <c:v>4/09/2021</c:v>
                </c:pt>
                <c:pt idx="44">
                  <c:v>4/10/2021</c:v>
                </c:pt>
                <c:pt idx="45">
                  <c:v>2/11/2021</c:v>
                </c:pt>
                <c:pt idx="46">
                  <c:v>30/11/2021</c:v>
                </c:pt>
                <c:pt idx="47">
                  <c:v>31/12/2021</c:v>
                </c:pt>
                <c:pt idx="48">
                  <c:v>30/01/2022</c:v>
                </c:pt>
                <c:pt idx="49">
                  <c:v>25/02/2022</c:v>
                </c:pt>
                <c:pt idx="50">
                  <c:v>3/03/2022</c:v>
                </c:pt>
                <c:pt idx="51">
                  <c:v>2/04/2022</c:v>
                </c:pt>
                <c:pt idx="52">
                  <c:v>2/05/2022</c:v>
                </c:pt>
                <c:pt idx="53">
                  <c:v>28/05/2022</c:v>
                </c:pt>
                <c:pt idx="54">
                  <c:v>2/07/2022</c:v>
                </c:pt>
                <c:pt idx="55">
                  <c:v>25/07/2022</c:v>
                </c:pt>
                <c:pt idx="56">
                  <c:v>20/08/2022</c:v>
                </c:pt>
                <c:pt idx="57">
                  <c:v>23/09/2022</c:v>
                </c:pt>
                <c:pt idx="58">
                  <c:v>23/10/2022</c:v>
                </c:pt>
                <c:pt idx="59">
                  <c:v>22/12/2022</c:v>
                </c:pt>
                <c:pt idx="60">
                  <c:v>16/02/2023</c:v>
                </c:pt>
                <c:pt idx="61">
                  <c:v>17/03/2023</c:v>
                </c:pt>
                <c:pt idx="62">
                  <c:v>21/04/2023</c:v>
                </c:pt>
                <c:pt idx="63">
                  <c:v>16/05/2023</c:v>
                </c:pt>
                <c:pt idx="64">
                  <c:v>17/06/2023</c:v>
                </c:pt>
                <c:pt idx="65">
                  <c:v>19/06/2023</c:v>
                </c:pt>
                <c:pt idx="66">
                  <c:v>20/08/2023</c:v>
                </c:pt>
                <c:pt idx="67">
                  <c:v>15/09/2023</c:v>
                </c:pt>
                <c:pt idx="68">
                  <c:v>20/10/2023</c:v>
                </c:pt>
                <c:pt idx="69">
                  <c:v>24/11/2023</c:v>
                </c:pt>
                <c:pt idx="70">
                  <c:v>20/12/2023</c:v>
                </c:pt>
                <c:pt idx="71">
                  <c:v>20/01/2024</c:v>
                </c:pt>
                <c:pt idx="72">
                  <c:v>19/02/2024</c:v>
                </c:pt>
                <c:pt idx="73">
                  <c:v>12/03/2024</c:v>
                </c:pt>
                <c:pt idx="74">
                  <c:v>18/04/2024</c:v>
                </c:pt>
                <c:pt idx="75">
                  <c:v>21/05/2024</c:v>
                </c:pt>
                <c:pt idx="76">
                  <c:v>18/07/2024</c:v>
                </c:pt>
                <c:pt idx="77">
                  <c:v>18/09/2024</c:v>
                </c:pt>
                <c:pt idx="78">
                  <c:v>18/10/2024</c:v>
                </c:pt>
                <c:pt idx="79">
                  <c:v>15/11/2024</c:v>
                </c:pt>
                <c:pt idx="80">
                  <c:v>14/12/2024</c:v>
                </c:pt>
                <c:pt idx="81">
                  <c:v>13/01/2025</c:v>
                </c:pt>
                <c:pt idx="82">
                  <c:v>8/02/2025</c:v>
                </c:pt>
                <c:pt idx="83">
                  <c:v>11/03/2025</c:v>
                </c:pt>
                <c:pt idx="84">
                  <c:v>8/04/2025</c:v>
                </c:pt>
                <c:pt idx="85">
                  <c:v>11/05/2025</c:v>
                </c:pt>
                <c:pt idx="86">
                  <c:v>10/06/2025</c:v>
                </c:pt>
                <c:pt idx="87">
                  <c:v>5/07/2025</c:v>
                </c:pt>
                <c:pt idx="88">
                  <c:v>10/08/2025</c:v>
                </c:pt>
                <c:pt idx="89">
                  <c:v>8/09/2025</c:v>
                </c:pt>
              </c:strCache>
            </c:strRef>
          </c:cat>
          <c:val>
            <c:numRef>
              <c:f>'Vista por años'!$F$56:$F$145</c:f>
              <c:numCache>
                <c:formatCode>General</c:formatCode>
                <c:ptCount val="90"/>
                <c:pt idx="0">
                  <c:v>0.3</c:v>
                </c:pt>
                <c:pt idx="1">
                  <c:v>0.14285714285714285</c:v>
                </c:pt>
                <c:pt idx="2">
                  <c:v>6.6666666666666666E-2</c:v>
                </c:pt>
                <c:pt idx="3">
                  <c:v>9.375E-2</c:v>
                </c:pt>
                <c:pt idx="4">
                  <c:v>0.1</c:v>
                </c:pt>
                <c:pt idx="5">
                  <c:v>6.6666666666666666E-2</c:v>
                </c:pt>
                <c:pt idx="6">
                  <c:v>6.4516129032258063E-2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6.0606060606060608E-2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3.3235294117647061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3.125E-2</c:v>
                </c:pt>
                <c:pt idx="44">
                  <c:v>3.3333333333333333E-2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0.56666666666666665</c:v>
                </c:pt>
                <c:pt idx="49">
                  <c:v>1.8076923076923077</c:v>
                </c:pt>
                <c:pt idx="50">
                  <c:v>0</c:v>
                </c:pt>
                <c:pt idx="51">
                  <c:v>0.1</c:v>
                </c:pt>
                <c:pt idx="52">
                  <c:v>3.3333333333333333E-2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0.23529411764705882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0.44827586206896552</c:v>
                </c:pt>
                <c:pt idx="81">
                  <c:v>0.4</c:v>
                </c:pt>
                <c:pt idx="82">
                  <c:v>0.46153846153846156</c:v>
                </c:pt>
                <c:pt idx="83">
                  <c:v>0.5161290322580645</c:v>
                </c:pt>
                <c:pt idx="84">
                  <c:v>0.5357142857142857</c:v>
                </c:pt>
                <c:pt idx="85">
                  <c:v>0.39393939393939392</c:v>
                </c:pt>
                <c:pt idx="86">
                  <c:v>0.33333333333333331</c:v>
                </c:pt>
                <c:pt idx="87">
                  <c:v>0.36</c:v>
                </c:pt>
                <c:pt idx="88">
                  <c:v>0.44444444444444442</c:v>
                </c:pt>
                <c:pt idx="89">
                  <c:v>0.51724137931034486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88-4318-B239-BC30A709BA6E}"/>
            </c:ext>
          </c:extLst>
        </c:ser>
        <c:ser>
          <c:idx val="1"/>
          <c:order val="1"/>
          <c:tx>
            <c:strRef>
              <c:f>'Vista por años'!$G$54:$G$55</c:f>
              <c:strCache>
                <c:ptCount val="1"/>
                <c:pt idx="0">
                  <c:v>Suma de AB - A</c:v>
                </c:pt>
              </c:strCache>
            </c:strRef>
          </c:tx>
          <c:spPr>
            <a:gradFill>
              <a:gsLst>
                <a:gs pos="50000">
                  <a:srgbClr val="C00000"/>
                </a:gs>
                <a:gs pos="0">
                  <a:srgbClr val="FF6699"/>
                </a:gs>
                <a:gs pos="0">
                  <a:srgbClr val="FF0000"/>
                </a:gs>
                <a:gs pos="100000">
                  <a:srgbClr val="C00000">
                    <a:alpha val="50000"/>
                  </a:srgbClr>
                </a:gs>
              </a:gsLst>
              <a:path path="circle">
                <a:fillToRect l="50000" t="130000" r="50000" b="-30000"/>
              </a:path>
            </a:gradFill>
            <a:ln w="25400">
              <a:solidFill>
                <a:srgbClr val="C00000"/>
              </a:solidFill>
            </a:ln>
            <a:effectLst/>
          </c:spPr>
          <c:invertIfNegative val="0"/>
          <c:cat>
            <c:strRef>
              <c:f>'Vista por años'!$E$56:$E$145</c:f>
              <c:strCache>
                <c:ptCount val="90"/>
                <c:pt idx="0">
                  <c:v>6/02/2018</c:v>
                </c:pt>
                <c:pt idx="1">
                  <c:v>6/03/2018</c:v>
                </c:pt>
                <c:pt idx="2">
                  <c:v>5/04/2018</c:v>
                </c:pt>
                <c:pt idx="3">
                  <c:v>7/05/2018</c:v>
                </c:pt>
                <c:pt idx="4">
                  <c:v>6/06/2018</c:v>
                </c:pt>
                <c:pt idx="5">
                  <c:v>6/07/2018</c:v>
                </c:pt>
                <c:pt idx="6">
                  <c:v>6/08/2018</c:v>
                </c:pt>
                <c:pt idx="7">
                  <c:v>3/09/2018</c:v>
                </c:pt>
                <c:pt idx="8">
                  <c:v>2/10/2018</c:v>
                </c:pt>
                <c:pt idx="9">
                  <c:v>6/11/2018</c:v>
                </c:pt>
                <c:pt idx="10">
                  <c:v>4/12/2018</c:v>
                </c:pt>
                <c:pt idx="11">
                  <c:v>7/01/2019</c:v>
                </c:pt>
                <c:pt idx="12">
                  <c:v>4/02/2019</c:v>
                </c:pt>
                <c:pt idx="13">
                  <c:v>5/03/2019</c:v>
                </c:pt>
                <c:pt idx="14">
                  <c:v>1/04/2019</c:v>
                </c:pt>
                <c:pt idx="15">
                  <c:v>4/05/2019</c:v>
                </c:pt>
                <c:pt idx="16">
                  <c:v>4/06/2019</c:v>
                </c:pt>
                <c:pt idx="17">
                  <c:v>2/07/2019</c:v>
                </c:pt>
                <c:pt idx="18">
                  <c:v>4/08/2019</c:v>
                </c:pt>
                <c:pt idx="19">
                  <c:v>2/09/2019</c:v>
                </c:pt>
                <c:pt idx="20">
                  <c:v>2/10/2019</c:v>
                </c:pt>
                <c:pt idx="21">
                  <c:v>4/11/2019</c:v>
                </c:pt>
                <c:pt idx="22">
                  <c:v>2/12/2019</c:v>
                </c:pt>
                <c:pt idx="23">
                  <c:v>6/01/2020</c:v>
                </c:pt>
                <c:pt idx="24">
                  <c:v>3/02/2020</c:v>
                </c:pt>
                <c:pt idx="25">
                  <c:v>2/03/2020</c:v>
                </c:pt>
                <c:pt idx="26">
                  <c:v>4/04/2020</c:v>
                </c:pt>
                <c:pt idx="27">
                  <c:v>5/05/2020</c:v>
                </c:pt>
                <c:pt idx="28">
                  <c:v>2/06/2020</c:v>
                </c:pt>
                <c:pt idx="29">
                  <c:v>5/07/2020</c:v>
                </c:pt>
                <c:pt idx="30">
                  <c:v>4/08/2020</c:v>
                </c:pt>
                <c:pt idx="31">
                  <c:v>2/09/2020</c:v>
                </c:pt>
                <c:pt idx="32">
                  <c:v>4/10/2020</c:v>
                </c:pt>
                <c:pt idx="33">
                  <c:v>5/11/2020</c:v>
                </c:pt>
                <c:pt idx="34">
                  <c:v>3/12/2020</c:v>
                </c:pt>
                <c:pt idx="35">
                  <c:v>7/01/2021</c:v>
                </c:pt>
                <c:pt idx="36">
                  <c:v>3/02/2021</c:v>
                </c:pt>
                <c:pt idx="37">
                  <c:v>4/03/2021</c:v>
                </c:pt>
                <c:pt idx="38">
                  <c:v>7/04/2021</c:v>
                </c:pt>
                <c:pt idx="39">
                  <c:v>5/05/2021</c:v>
                </c:pt>
                <c:pt idx="40">
                  <c:v>31/05/2021</c:v>
                </c:pt>
                <c:pt idx="41">
                  <c:v>4/07/2021</c:v>
                </c:pt>
                <c:pt idx="42">
                  <c:v>3/08/2021</c:v>
                </c:pt>
                <c:pt idx="43">
                  <c:v>4/09/2021</c:v>
                </c:pt>
                <c:pt idx="44">
                  <c:v>4/10/2021</c:v>
                </c:pt>
                <c:pt idx="45">
                  <c:v>2/11/2021</c:v>
                </c:pt>
                <c:pt idx="46">
                  <c:v>30/11/2021</c:v>
                </c:pt>
                <c:pt idx="47">
                  <c:v>31/12/2021</c:v>
                </c:pt>
                <c:pt idx="48">
                  <c:v>30/01/2022</c:v>
                </c:pt>
                <c:pt idx="49">
                  <c:v>25/02/2022</c:v>
                </c:pt>
                <c:pt idx="50">
                  <c:v>3/03/2022</c:v>
                </c:pt>
                <c:pt idx="51">
                  <c:v>2/04/2022</c:v>
                </c:pt>
                <c:pt idx="52">
                  <c:v>2/05/2022</c:v>
                </c:pt>
                <c:pt idx="53">
                  <c:v>28/05/2022</c:v>
                </c:pt>
                <c:pt idx="54">
                  <c:v>2/07/2022</c:v>
                </c:pt>
                <c:pt idx="55">
                  <c:v>25/07/2022</c:v>
                </c:pt>
                <c:pt idx="56">
                  <c:v>20/08/2022</c:v>
                </c:pt>
                <c:pt idx="57">
                  <c:v>23/09/2022</c:v>
                </c:pt>
                <c:pt idx="58">
                  <c:v>23/10/2022</c:v>
                </c:pt>
                <c:pt idx="59">
                  <c:v>22/12/2022</c:v>
                </c:pt>
                <c:pt idx="60">
                  <c:v>16/02/2023</c:v>
                </c:pt>
                <c:pt idx="61">
                  <c:v>17/03/2023</c:v>
                </c:pt>
                <c:pt idx="62">
                  <c:v>21/04/2023</c:v>
                </c:pt>
                <c:pt idx="63">
                  <c:v>16/05/2023</c:v>
                </c:pt>
                <c:pt idx="64">
                  <c:v>17/06/2023</c:v>
                </c:pt>
                <c:pt idx="65">
                  <c:v>19/06/2023</c:v>
                </c:pt>
                <c:pt idx="66">
                  <c:v>20/08/2023</c:v>
                </c:pt>
                <c:pt idx="67">
                  <c:v>15/09/2023</c:v>
                </c:pt>
                <c:pt idx="68">
                  <c:v>20/10/2023</c:v>
                </c:pt>
                <c:pt idx="69">
                  <c:v>24/11/2023</c:v>
                </c:pt>
                <c:pt idx="70">
                  <c:v>20/12/2023</c:v>
                </c:pt>
                <c:pt idx="71">
                  <c:v>20/01/2024</c:v>
                </c:pt>
                <c:pt idx="72">
                  <c:v>19/02/2024</c:v>
                </c:pt>
                <c:pt idx="73">
                  <c:v>12/03/2024</c:v>
                </c:pt>
                <c:pt idx="74">
                  <c:v>18/04/2024</c:v>
                </c:pt>
                <c:pt idx="75">
                  <c:v>21/05/2024</c:v>
                </c:pt>
                <c:pt idx="76">
                  <c:v>18/07/2024</c:v>
                </c:pt>
                <c:pt idx="77">
                  <c:v>18/09/2024</c:v>
                </c:pt>
                <c:pt idx="78">
                  <c:v>18/10/2024</c:v>
                </c:pt>
                <c:pt idx="79">
                  <c:v>15/11/2024</c:v>
                </c:pt>
                <c:pt idx="80">
                  <c:v>14/12/2024</c:v>
                </c:pt>
                <c:pt idx="81">
                  <c:v>13/01/2025</c:v>
                </c:pt>
                <c:pt idx="82">
                  <c:v>8/02/2025</c:v>
                </c:pt>
                <c:pt idx="83">
                  <c:v>11/03/2025</c:v>
                </c:pt>
                <c:pt idx="84">
                  <c:v>8/04/2025</c:v>
                </c:pt>
                <c:pt idx="85">
                  <c:v>11/05/2025</c:v>
                </c:pt>
                <c:pt idx="86">
                  <c:v>10/06/2025</c:v>
                </c:pt>
                <c:pt idx="87">
                  <c:v>5/07/2025</c:v>
                </c:pt>
                <c:pt idx="88">
                  <c:v>10/08/2025</c:v>
                </c:pt>
                <c:pt idx="89">
                  <c:v>8/09/2025</c:v>
                </c:pt>
              </c:strCache>
            </c:strRef>
          </c:cat>
          <c:val>
            <c:numRef>
              <c:f>'Vista por años'!$G$56:$G$145</c:f>
              <c:numCache>
                <c:formatCode>General</c:formatCode>
                <c:ptCount val="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97-4A89-888A-6C134697D1BC}"/>
            </c:ext>
          </c:extLst>
        </c:ser>
        <c:ser>
          <c:idx val="2"/>
          <c:order val="2"/>
          <c:tx>
            <c:strRef>
              <c:f>'Vista por años'!$H$54:$H$55</c:f>
              <c:strCache>
                <c:ptCount val="1"/>
                <c:pt idx="0">
                  <c:v>Suma de AB - C</c:v>
                </c:pt>
              </c:strCache>
            </c:strRef>
          </c:tx>
          <c:spPr>
            <a:gradFill>
              <a:gsLst>
                <a:gs pos="52000">
                  <a:srgbClr val="FFCC66">
                    <a:alpha val="50000"/>
                  </a:srgbClr>
                </a:gs>
                <a:gs pos="0">
                  <a:srgbClr val="FF6699"/>
                </a:gs>
                <a:gs pos="0">
                  <a:srgbClr val="EFF4C4"/>
                </a:gs>
                <a:gs pos="100000">
                  <a:srgbClr val="FFC000"/>
                </a:gs>
              </a:gsLst>
              <a:path path="circle">
                <a:fillToRect l="50000" t="130000" r="50000" b="-30000"/>
              </a:path>
            </a:gradFill>
            <a:ln w="25400">
              <a:solidFill>
                <a:srgbClr val="FFC000">
                  <a:alpha val="50000"/>
                </a:srgbClr>
              </a:solidFill>
            </a:ln>
            <a:effectLst/>
          </c:spPr>
          <c:invertIfNegative val="0"/>
          <c:cat>
            <c:strRef>
              <c:f>'Vista por años'!$E$56:$E$145</c:f>
              <c:strCache>
                <c:ptCount val="90"/>
                <c:pt idx="0">
                  <c:v>6/02/2018</c:v>
                </c:pt>
                <c:pt idx="1">
                  <c:v>6/03/2018</c:v>
                </c:pt>
                <c:pt idx="2">
                  <c:v>5/04/2018</c:v>
                </c:pt>
                <c:pt idx="3">
                  <c:v>7/05/2018</c:v>
                </c:pt>
                <c:pt idx="4">
                  <c:v>6/06/2018</c:v>
                </c:pt>
                <c:pt idx="5">
                  <c:v>6/07/2018</c:v>
                </c:pt>
                <c:pt idx="6">
                  <c:v>6/08/2018</c:v>
                </c:pt>
                <c:pt idx="7">
                  <c:v>3/09/2018</c:v>
                </c:pt>
                <c:pt idx="8">
                  <c:v>2/10/2018</c:v>
                </c:pt>
                <c:pt idx="9">
                  <c:v>6/11/2018</c:v>
                </c:pt>
                <c:pt idx="10">
                  <c:v>4/12/2018</c:v>
                </c:pt>
                <c:pt idx="11">
                  <c:v>7/01/2019</c:v>
                </c:pt>
                <c:pt idx="12">
                  <c:v>4/02/2019</c:v>
                </c:pt>
                <c:pt idx="13">
                  <c:v>5/03/2019</c:v>
                </c:pt>
                <c:pt idx="14">
                  <c:v>1/04/2019</c:v>
                </c:pt>
                <c:pt idx="15">
                  <c:v>4/05/2019</c:v>
                </c:pt>
                <c:pt idx="16">
                  <c:v>4/06/2019</c:v>
                </c:pt>
                <c:pt idx="17">
                  <c:v>2/07/2019</c:v>
                </c:pt>
                <c:pt idx="18">
                  <c:v>4/08/2019</c:v>
                </c:pt>
                <c:pt idx="19">
                  <c:v>2/09/2019</c:v>
                </c:pt>
                <c:pt idx="20">
                  <c:v>2/10/2019</c:v>
                </c:pt>
                <c:pt idx="21">
                  <c:v>4/11/2019</c:v>
                </c:pt>
                <c:pt idx="22">
                  <c:v>2/12/2019</c:v>
                </c:pt>
                <c:pt idx="23">
                  <c:v>6/01/2020</c:v>
                </c:pt>
                <c:pt idx="24">
                  <c:v>3/02/2020</c:v>
                </c:pt>
                <c:pt idx="25">
                  <c:v>2/03/2020</c:v>
                </c:pt>
                <c:pt idx="26">
                  <c:v>4/04/2020</c:v>
                </c:pt>
                <c:pt idx="27">
                  <c:v>5/05/2020</c:v>
                </c:pt>
                <c:pt idx="28">
                  <c:v>2/06/2020</c:v>
                </c:pt>
                <c:pt idx="29">
                  <c:v>5/07/2020</c:v>
                </c:pt>
                <c:pt idx="30">
                  <c:v>4/08/2020</c:v>
                </c:pt>
                <c:pt idx="31">
                  <c:v>2/09/2020</c:v>
                </c:pt>
                <c:pt idx="32">
                  <c:v>4/10/2020</c:v>
                </c:pt>
                <c:pt idx="33">
                  <c:v>5/11/2020</c:v>
                </c:pt>
                <c:pt idx="34">
                  <c:v>3/12/2020</c:v>
                </c:pt>
                <c:pt idx="35">
                  <c:v>7/01/2021</c:v>
                </c:pt>
                <c:pt idx="36">
                  <c:v>3/02/2021</c:v>
                </c:pt>
                <c:pt idx="37">
                  <c:v>4/03/2021</c:v>
                </c:pt>
                <c:pt idx="38">
                  <c:v>7/04/2021</c:v>
                </c:pt>
                <c:pt idx="39">
                  <c:v>5/05/2021</c:v>
                </c:pt>
                <c:pt idx="40">
                  <c:v>31/05/2021</c:v>
                </c:pt>
                <c:pt idx="41">
                  <c:v>4/07/2021</c:v>
                </c:pt>
                <c:pt idx="42">
                  <c:v>3/08/2021</c:v>
                </c:pt>
                <c:pt idx="43">
                  <c:v>4/09/2021</c:v>
                </c:pt>
                <c:pt idx="44">
                  <c:v>4/10/2021</c:v>
                </c:pt>
                <c:pt idx="45">
                  <c:v>2/11/2021</c:v>
                </c:pt>
                <c:pt idx="46">
                  <c:v>30/11/2021</c:v>
                </c:pt>
                <c:pt idx="47">
                  <c:v>31/12/2021</c:v>
                </c:pt>
                <c:pt idx="48">
                  <c:v>30/01/2022</c:v>
                </c:pt>
                <c:pt idx="49">
                  <c:v>25/02/2022</c:v>
                </c:pt>
                <c:pt idx="50">
                  <c:v>3/03/2022</c:v>
                </c:pt>
                <c:pt idx="51">
                  <c:v>2/04/2022</c:v>
                </c:pt>
                <c:pt idx="52">
                  <c:v>2/05/2022</c:v>
                </c:pt>
                <c:pt idx="53">
                  <c:v>28/05/2022</c:v>
                </c:pt>
                <c:pt idx="54">
                  <c:v>2/07/2022</c:v>
                </c:pt>
                <c:pt idx="55">
                  <c:v>25/07/2022</c:v>
                </c:pt>
                <c:pt idx="56">
                  <c:v>20/08/2022</c:v>
                </c:pt>
                <c:pt idx="57">
                  <c:v>23/09/2022</c:v>
                </c:pt>
                <c:pt idx="58">
                  <c:v>23/10/2022</c:v>
                </c:pt>
                <c:pt idx="59">
                  <c:v>22/12/2022</c:v>
                </c:pt>
                <c:pt idx="60">
                  <c:v>16/02/2023</c:v>
                </c:pt>
                <c:pt idx="61">
                  <c:v>17/03/2023</c:v>
                </c:pt>
                <c:pt idx="62">
                  <c:v>21/04/2023</c:v>
                </c:pt>
                <c:pt idx="63">
                  <c:v>16/05/2023</c:v>
                </c:pt>
                <c:pt idx="64">
                  <c:v>17/06/2023</c:v>
                </c:pt>
                <c:pt idx="65">
                  <c:v>19/06/2023</c:v>
                </c:pt>
                <c:pt idx="66">
                  <c:v>20/08/2023</c:v>
                </c:pt>
                <c:pt idx="67">
                  <c:v>15/09/2023</c:v>
                </c:pt>
                <c:pt idx="68">
                  <c:v>20/10/2023</c:v>
                </c:pt>
                <c:pt idx="69">
                  <c:v>24/11/2023</c:v>
                </c:pt>
                <c:pt idx="70">
                  <c:v>20/12/2023</c:v>
                </c:pt>
                <c:pt idx="71">
                  <c:v>20/01/2024</c:v>
                </c:pt>
                <c:pt idx="72">
                  <c:v>19/02/2024</c:v>
                </c:pt>
                <c:pt idx="73">
                  <c:v>12/03/2024</c:v>
                </c:pt>
                <c:pt idx="74">
                  <c:v>18/04/2024</c:v>
                </c:pt>
                <c:pt idx="75">
                  <c:v>21/05/2024</c:v>
                </c:pt>
                <c:pt idx="76">
                  <c:v>18/07/2024</c:v>
                </c:pt>
                <c:pt idx="77">
                  <c:v>18/09/2024</c:v>
                </c:pt>
                <c:pt idx="78">
                  <c:v>18/10/2024</c:v>
                </c:pt>
                <c:pt idx="79">
                  <c:v>15/11/2024</c:v>
                </c:pt>
                <c:pt idx="80">
                  <c:v>14/12/2024</c:v>
                </c:pt>
                <c:pt idx="81">
                  <c:v>13/01/2025</c:v>
                </c:pt>
                <c:pt idx="82">
                  <c:v>8/02/2025</c:v>
                </c:pt>
                <c:pt idx="83">
                  <c:v>11/03/2025</c:v>
                </c:pt>
                <c:pt idx="84">
                  <c:v>8/04/2025</c:v>
                </c:pt>
                <c:pt idx="85">
                  <c:v>11/05/2025</c:v>
                </c:pt>
                <c:pt idx="86">
                  <c:v>10/06/2025</c:v>
                </c:pt>
                <c:pt idx="87">
                  <c:v>5/07/2025</c:v>
                </c:pt>
                <c:pt idx="88">
                  <c:v>10/08/2025</c:v>
                </c:pt>
                <c:pt idx="89">
                  <c:v>8/09/2025</c:v>
                </c:pt>
              </c:strCache>
            </c:strRef>
          </c:cat>
          <c:val>
            <c:numRef>
              <c:f>'Vista por años'!$H$56:$H$145</c:f>
              <c:numCache>
                <c:formatCode>General</c:formatCode>
                <c:ptCount val="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97-4A89-888A-6C134697D1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487931512"/>
        <c:axId val="487931904"/>
      </c:barChart>
      <c:catAx>
        <c:axId val="48793151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87931904"/>
        <c:crosses val="autoZero"/>
        <c:auto val="1"/>
        <c:lblAlgn val="ctr"/>
        <c:lblOffset val="100"/>
        <c:noMultiLvlLbl val="0"/>
      </c:catAx>
      <c:valAx>
        <c:axId val="487931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87931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userShapes r:id="rId3"/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[Macro 2025 ejemplo.xlsm]Vista por años!Tabla dinámica2</c:name>
    <c:fmtId val="12"/>
  </c:pivotSource>
  <c:chart>
    <c:autoTitleDeleted val="1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</c:pivotFmt>
      <c:pivotFmt>
        <c:idx val="31"/>
      </c:pivotFmt>
      <c:pivotFmt>
        <c:idx val="32"/>
      </c:pivotFmt>
      <c:pivotFmt>
        <c:idx val="33"/>
      </c:pivotFmt>
      <c:pivotFmt>
        <c:idx val="34"/>
      </c:pivotFmt>
      <c:pivotFmt>
        <c:idx val="35"/>
      </c:pivotFmt>
      <c:pivotFmt>
        <c:idx val="36"/>
      </c:pivotFmt>
      <c:pivotFmt>
        <c:idx val="37"/>
      </c:pivotFmt>
      <c:pivotFmt>
        <c:idx val="38"/>
      </c:pivotFmt>
      <c:pivotFmt>
        <c:idx val="39"/>
      </c:pivotFmt>
      <c:pivotFmt>
        <c:idx val="40"/>
      </c:pivotFmt>
      <c:pivotFmt>
        <c:idx val="41"/>
      </c:pivotFmt>
      <c:pivotFmt>
        <c:idx val="42"/>
      </c:pivotFmt>
      <c:pivotFmt>
        <c:idx val="43"/>
      </c:pivotFmt>
      <c:pivotFmt>
        <c:idx val="44"/>
      </c:pivotFmt>
      <c:pivotFmt>
        <c:idx val="45"/>
      </c:pivotFmt>
      <c:pivotFmt>
        <c:idx val="46"/>
      </c:pivotFmt>
      <c:pivotFmt>
        <c:idx val="47"/>
      </c:pivotFmt>
      <c:pivotFmt>
        <c:idx val="48"/>
      </c:pivotFmt>
      <c:pivotFmt>
        <c:idx val="49"/>
      </c:pivotFmt>
      <c:pivotFmt>
        <c:idx val="50"/>
      </c:pivotFmt>
      <c:pivotFmt>
        <c:idx val="51"/>
      </c:pivotFmt>
      <c:pivotFmt>
        <c:idx val="52"/>
      </c:pivotFmt>
      <c:pivotFmt>
        <c:idx val="53"/>
      </c:pivotFmt>
      <c:pivotFmt>
        <c:idx val="54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ymbol val="none"/>
        </c:marker>
      </c:pivotFmt>
      <c:pivotFmt>
        <c:idx val="58"/>
        <c:spPr>
          <a:noFill/>
          <a:ln w="25400" cap="flat" cmpd="sng" algn="ctr">
            <a:solidFill>
              <a:schemeClr val="accent2"/>
            </a:solidFill>
            <a:miter lim="800000"/>
          </a:ln>
          <a:effectLst/>
        </c:spPr>
        <c:marker>
          <c:symbol val="none"/>
        </c:marker>
      </c:pivotFmt>
      <c:pivotFmt>
        <c:idx val="59"/>
        <c:spPr>
          <a:noFill/>
          <a:ln w="25400" cap="flat" cmpd="sng" algn="ctr">
            <a:solidFill>
              <a:schemeClr val="accent3"/>
            </a:solidFill>
            <a:miter lim="800000"/>
          </a:ln>
          <a:effectLst/>
        </c:spPr>
        <c:marker>
          <c:symbol val="none"/>
        </c:marker>
      </c:pivotFmt>
      <c:pivotFmt>
        <c:idx val="60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ymbol val="none"/>
        </c:marker>
      </c:pivotFmt>
      <c:pivotFmt>
        <c:idx val="61"/>
        <c:spPr>
          <a:noFill/>
          <a:ln w="25400" cap="flat" cmpd="sng" algn="ctr">
            <a:solidFill>
              <a:schemeClr val="accent2"/>
            </a:solidFill>
            <a:miter lim="800000"/>
          </a:ln>
          <a:effectLst/>
        </c:spPr>
        <c:marker>
          <c:symbol val="none"/>
        </c:marker>
      </c:pivotFmt>
      <c:pivotFmt>
        <c:idx val="62"/>
        <c:spPr>
          <a:noFill/>
          <a:ln w="25400" cap="flat" cmpd="sng" algn="ctr">
            <a:solidFill>
              <a:schemeClr val="accent3"/>
            </a:solidFill>
            <a:miter lim="800000"/>
          </a:ln>
          <a:effectLst/>
        </c:spPr>
        <c:marker>
          <c:symbol val="none"/>
        </c:marker>
      </c:pivotFmt>
      <c:pivotFmt>
        <c:idx val="63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ymbol val="none"/>
        </c:marker>
      </c:pivotFmt>
      <c:pivotFmt>
        <c:idx val="64"/>
        <c:spPr>
          <a:noFill/>
          <a:ln w="25400" cap="flat" cmpd="sng" algn="ctr">
            <a:solidFill>
              <a:schemeClr val="accent2"/>
            </a:solidFill>
            <a:miter lim="800000"/>
          </a:ln>
          <a:effectLst/>
        </c:spPr>
        <c:marker>
          <c:symbol val="none"/>
        </c:marker>
      </c:pivotFmt>
      <c:pivotFmt>
        <c:idx val="65"/>
        <c:spPr>
          <a:noFill/>
          <a:ln w="25400" cap="flat" cmpd="sng" algn="ctr">
            <a:solidFill>
              <a:schemeClr val="accent3"/>
            </a:solidFill>
            <a:miter lim="800000"/>
          </a:ln>
          <a:effectLst/>
        </c:spPr>
        <c:marker>
          <c:symbol val="none"/>
        </c:marker>
      </c:pivotFmt>
      <c:pivotFmt>
        <c:idx val="66"/>
        <c:marker>
          <c:symbol val="none"/>
        </c:marker>
      </c:pivotFmt>
      <c:pivotFmt>
        <c:idx val="67"/>
        <c:marker>
          <c:symbol val="none"/>
        </c:marker>
      </c:pivotFmt>
      <c:pivotFmt>
        <c:idx val="68"/>
        <c:spPr>
          <a:solidFill>
            <a:srgbClr val="4F81BD"/>
          </a:solidFill>
          <a:ln w="38100" cmpd="sng">
            <a:solidFill>
              <a:srgbClr val="1F497D">
                <a:lumMod val="75000"/>
              </a:srgbClr>
            </a:solidFill>
          </a:ln>
          <a:scene3d>
            <a:camera prst="orthographicFront"/>
            <a:lightRig rig="threePt" dir="t"/>
          </a:scene3d>
          <a:sp3d prstMaterial="matte"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ln w="38100" cmpd="sng">
            <a:solidFill>
              <a:srgbClr val="C00000"/>
            </a:solidFill>
          </a:ln>
        </c:spPr>
        <c:marker>
          <c:symbol val="none"/>
        </c:marker>
      </c:pivotFmt>
      <c:pivotFmt>
        <c:idx val="70"/>
        <c:spPr>
          <a:ln w="19050" cap="rnd" cmpd="sng">
            <a:solidFill>
              <a:srgbClr val="92D050">
                <a:alpha val="73000"/>
              </a:srgbClr>
            </a:solidFill>
          </a:ln>
        </c:spPr>
        <c:marker>
          <c:symbol val="square"/>
          <c:size val="4"/>
        </c:marker>
      </c:pivotFmt>
      <c:pivotFmt>
        <c:idx val="71"/>
      </c:pivotFmt>
      <c:pivotFmt>
        <c:idx val="72"/>
      </c:pivotFmt>
      <c:pivotFmt>
        <c:idx val="73"/>
      </c:pivotFmt>
      <c:pivotFmt>
        <c:idx val="7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'Vista por años'!$B$54:$B$55</c:f>
              <c:strCache>
                <c:ptCount val="1"/>
                <c:pt idx="0">
                  <c:v>Suma de Promedio Activa</c:v>
                </c:pt>
              </c:strCache>
            </c:strRef>
          </c:tx>
          <c:spPr>
            <a:solidFill>
              <a:srgbClr val="4F81BD"/>
            </a:solidFill>
            <a:ln w="38100" cmpd="sng">
              <a:solidFill>
                <a:srgbClr val="1F497D">
                  <a:lumMod val="75000"/>
                </a:srgbClr>
              </a:solidFill>
            </a:ln>
            <a:scene3d>
              <a:camera prst="orthographicFront"/>
              <a:lightRig rig="threePt" dir="t"/>
            </a:scene3d>
            <a:sp3d prstMaterial="matte"/>
          </c:spPr>
          <c:invertIfNegative val="0"/>
          <c:cat>
            <c:strRef>
              <c:f>'Vista por años'!$A$56:$A$146</c:f>
              <c:strCache>
                <c:ptCount val="91"/>
                <c:pt idx="1">
                  <c:v>6/02/2018</c:v>
                </c:pt>
                <c:pt idx="2">
                  <c:v>6/03/2018</c:v>
                </c:pt>
                <c:pt idx="3">
                  <c:v>5/04/2018</c:v>
                </c:pt>
                <c:pt idx="4">
                  <c:v>7/05/2018</c:v>
                </c:pt>
                <c:pt idx="5">
                  <c:v>6/06/2018</c:v>
                </c:pt>
                <c:pt idx="6">
                  <c:v>6/07/2018</c:v>
                </c:pt>
                <c:pt idx="7">
                  <c:v>6/08/2018</c:v>
                </c:pt>
                <c:pt idx="8">
                  <c:v>3/09/2018</c:v>
                </c:pt>
                <c:pt idx="9">
                  <c:v>2/10/2018</c:v>
                </c:pt>
                <c:pt idx="10">
                  <c:v>6/11/2018</c:v>
                </c:pt>
                <c:pt idx="11">
                  <c:v>4/12/2018</c:v>
                </c:pt>
                <c:pt idx="12">
                  <c:v>7/01/2019</c:v>
                </c:pt>
                <c:pt idx="13">
                  <c:v>4/02/2019</c:v>
                </c:pt>
                <c:pt idx="14">
                  <c:v>5/03/2019</c:v>
                </c:pt>
                <c:pt idx="15">
                  <c:v>1/04/2019</c:v>
                </c:pt>
                <c:pt idx="16">
                  <c:v>4/05/2019</c:v>
                </c:pt>
                <c:pt idx="17">
                  <c:v>4/06/2019</c:v>
                </c:pt>
                <c:pt idx="18">
                  <c:v>2/07/2019</c:v>
                </c:pt>
                <c:pt idx="19">
                  <c:v>4/08/2019</c:v>
                </c:pt>
                <c:pt idx="20">
                  <c:v>2/09/2019</c:v>
                </c:pt>
                <c:pt idx="21">
                  <c:v>2/10/2019</c:v>
                </c:pt>
                <c:pt idx="22">
                  <c:v>4/11/2019</c:v>
                </c:pt>
                <c:pt idx="23">
                  <c:v>2/12/2019</c:v>
                </c:pt>
                <c:pt idx="24">
                  <c:v>6/01/2020</c:v>
                </c:pt>
                <c:pt idx="25">
                  <c:v>3/02/2020</c:v>
                </c:pt>
                <c:pt idx="26">
                  <c:v>2/03/2020</c:v>
                </c:pt>
                <c:pt idx="27">
                  <c:v>4/04/2020</c:v>
                </c:pt>
                <c:pt idx="28">
                  <c:v>5/05/2020</c:v>
                </c:pt>
                <c:pt idx="29">
                  <c:v>2/06/2020</c:v>
                </c:pt>
                <c:pt idx="30">
                  <c:v>5/07/2020</c:v>
                </c:pt>
                <c:pt idx="31">
                  <c:v>4/08/2020</c:v>
                </c:pt>
                <c:pt idx="32">
                  <c:v>2/09/2020</c:v>
                </c:pt>
                <c:pt idx="33">
                  <c:v>4/10/2020</c:v>
                </c:pt>
                <c:pt idx="34">
                  <c:v>5/11/2020</c:v>
                </c:pt>
                <c:pt idx="35">
                  <c:v>3/12/2020</c:v>
                </c:pt>
                <c:pt idx="36">
                  <c:v>7/01/2021</c:v>
                </c:pt>
                <c:pt idx="37">
                  <c:v>3/02/2021</c:v>
                </c:pt>
                <c:pt idx="38">
                  <c:v>4/03/2021</c:v>
                </c:pt>
                <c:pt idx="39">
                  <c:v>7/04/2021</c:v>
                </c:pt>
                <c:pt idx="40">
                  <c:v>5/05/2021</c:v>
                </c:pt>
                <c:pt idx="41">
                  <c:v>31/05/2021</c:v>
                </c:pt>
                <c:pt idx="42">
                  <c:v>4/07/2021</c:v>
                </c:pt>
                <c:pt idx="43">
                  <c:v>3/08/2021</c:v>
                </c:pt>
                <c:pt idx="44">
                  <c:v>4/09/2021</c:v>
                </c:pt>
                <c:pt idx="45">
                  <c:v>4/10/2021</c:v>
                </c:pt>
                <c:pt idx="46">
                  <c:v>2/11/2021</c:v>
                </c:pt>
                <c:pt idx="47">
                  <c:v>30/11/2021</c:v>
                </c:pt>
                <c:pt idx="48">
                  <c:v>31/12/2021</c:v>
                </c:pt>
                <c:pt idx="49">
                  <c:v>30/01/2022</c:v>
                </c:pt>
                <c:pt idx="50">
                  <c:v>25/02/2022</c:v>
                </c:pt>
                <c:pt idx="51">
                  <c:v>3/03/2022</c:v>
                </c:pt>
                <c:pt idx="52">
                  <c:v>2/04/2022</c:v>
                </c:pt>
                <c:pt idx="53">
                  <c:v>2/05/2022</c:v>
                </c:pt>
                <c:pt idx="54">
                  <c:v>28/05/2022</c:v>
                </c:pt>
                <c:pt idx="55">
                  <c:v>2/07/2022</c:v>
                </c:pt>
                <c:pt idx="56">
                  <c:v>25/07/2022</c:v>
                </c:pt>
                <c:pt idx="57">
                  <c:v>20/08/2022</c:v>
                </c:pt>
                <c:pt idx="58">
                  <c:v>23/09/2022</c:v>
                </c:pt>
                <c:pt idx="59">
                  <c:v>23/10/2022</c:v>
                </c:pt>
                <c:pt idx="60">
                  <c:v>22/12/2022</c:v>
                </c:pt>
                <c:pt idx="61">
                  <c:v>16/02/2023</c:v>
                </c:pt>
                <c:pt idx="62">
                  <c:v>17/03/2023</c:v>
                </c:pt>
                <c:pt idx="63">
                  <c:v>21/04/2023</c:v>
                </c:pt>
                <c:pt idx="64">
                  <c:v>16/05/2023</c:v>
                </c:pt>
                <c:pt idx="65">
                  <c:v>17/06/2023</c:v>
                </c:pt>
                <c:pt idx="66">
                  <c:v>19/06/2023</c:v>
                </c:pt>
                <c:pt idx="67">
                  <c:v>20/08/2023</c:v>
                </c:pt>
                <c:pt idx="68">
                  <c:v>15/09/2023</c:v>
                </c:pt>
                <c:pt idx="69">
                  <c:v>20/10/2023</c:v>
                </c:pt>
                <c:pt idx="70">
                  <c:v>24/11/2023</c:v>
                </c:pt>
                <c:pt idx="71">
                  <c:v>20/12/2023</c:v>
                </c:pt>
                <c:pt idx="72">
                  <c:v>20/01/2024</c:v>
                </c:pt>
                <c:pt idx="73">
                  <c:v>19/02/2024</c:v>
                </c:pt>
                <c:pt idx="74">
                  <c:v>12/03/2024</c:v>
                </c:pt>
                <c:pt idx="75">
                  <c:v>18/04/2024</c:v>
                </c:pt>
                <c:pt idx="76">
                  <c:v>21/05/2024</c:v>
                </c:pt>
                <c:pt idx="77">
                  <c:v>18/07/2024</c:v>
                </c:pt>
                <c:pt idx="78">
                  <c:v>18/09/2024</c:v>
                </c:pt>
                <c:pt idx="79">
                  <c:v>18/10/2024</c:v>
                </c:pt>
                <c:pt idx="80">
                  <c:v>15/11/2024</c:v>
                </c:pt>
                <c:pt idx="81">
                  <c:v>14/12/2024</c:v>
                </c:pt>
                <c:pt idx="82">
                  <c:v>13/01/2025</c:v>
                </c:pt>
                <c:pt idx="83">
                  <c:v>8/02/2025</c:v>
                </c:pt>
                <c:pt idx="84">
                  <c:v>11/03/2025</c:v>
                </c:pt>
                <c:pt idx="85">
                  <c:v>8/04/2025</c:v>
                </c:pt>
                <c:pt idx="86">
                  <c:v>11/05/2025</c:v>
                </c:pt>
                <c:pt idx="87">
                  <c:v>10/06/2025</c:v>
                </c:pt>
                <c:pt idx="88">
                  <c:v>5/07/2025</c:v>
                </c:pt>
                <c:pt idx="89">
                  <c:v>10/08/2025</c:v>
                </c:pt>
                <c:pt idx="90">
                  <c:v>8/09/2025</c:v>
                </c:pt>
              </c:strCache>
            </c:strRef>
          </c:cat>
          <c:val>
            <c:numRef>
              <c:f>'Vista por años'!$B$56:$B$146</c:f>
              <c:numCache>
                <c:formatCode>General</c:formatCode>
                <c:ptCount val="91"/>
                <c:pt idx="0">
                  <c:v>0</c:v>
                </c:pt>
                <c:pt idx="1">
                  <c:v>0.3</c:v>
                </c:pt>
                <c:pt idx="2">
                  <c:v>0.14285714285714285</c:v>
                </c:pt>
                <c:pt idx="3">
                  <c:v>6.6666666666666666E-2</c:v>
                </c:pt>
                <c:pt idx="4">
                  <c:v>9.375E-2</c:v>
                </c:pt>
                <c:pt idx="5">
                  <c:v>0.1</c:v>
                </c:pt>
                <c:pt idx="6">
                  <c:v>6.6666666666666666E-2</c:v>
                </c:pt>
                <c:pt idx="7">
                  <c:v>6.4516129032258063E-2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6.0606060606060608E-2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3.3235294117647061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3.125E-2</c:v>
                </c:pt>
                <c:pt idx="45">
                  <c:v>3.3333333333333333E-2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0.56666666666666665</c:v>
                </c:pt>
                <c:pt idx="50">
                  <c:v>1.8076923076923077</c:v>
                </c:pt>
                <c:pt idx="51">
                  <c:v>0</c:v>
                </c:pt>
                <c:pt idx="52">
                  <c:v>0.1</c:v>
                </c:pt>
                <c:pt idx="53">
                  <c:v>3.3333333333333333E-2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0.23529411764705882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0.44827586206896552</c:v>
                </c:pt>
                <c:pt idx="82">
                  <c:v>0.4</c:v>
                </c:pt>
                <c:pt idx="83">
                  <c:v>0.46153846153846156</c:v>
                </c:pt>
                <c:pt idx="84">
                  <c:v>0.5161290322580645</c:v>
                </c:pt>
                <c:pt idx="85">
                  <c:v>0.5357142857142857</c:v>
                </c:pt>
                <c:pt idx="86">
                  <c:v>0.39393939393939392</c:v>
                </c:pt>
                <c:pt idx="87">
                  <c:v>0.33333333333333331</c:v>
                </c:pt>
                <c:pt idx="88">
                  <c:v>0.36</c:v>
                </c:pt>
                <c:pt idx="89">
                  <c:v>0.44444444444444442</c:v>
                </c:pt>
                <c:pt idx="90">
                  <c:v>0.51724137931034486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61-4458-9978-79B4857BAF41}"/>
            </c:ext>
          </c:extLst>
        </c:ser>
        <c:ser>
          <c:idx val="1"/>
          <c:order val="1"/>
          <c:tx>
            <c:strRef>
              <c:f>'Vista por años'!$C$54:$C$55</c:f>
              <c:strCache>
                <c:ptCount val="1"/>
                <c:pt idx="0">
                  <c:v>Suma de Promedio Reactiva</c:v>
                </c:pt>
              </c:strCache>
            </c:strRef>
          </c:tx>
          <c:invertIfNegative val="0"/>
          <c:cat>
            <c:strRef>
              <c:f>'Vista por años'!$A$56:$A$146</c:f>
              <c:strCache>
                <c:ptCount val="91"/>
                <c:pt idx="1">
                  <c:v>6/02/2018</c:v>
                </c:pt>
                <c:pt idx="2">
                  <c:v>6/03/2018</c:v>
                </c:pt>
                <c:pt idx="3">
                  <c:v>5/04/2018</c:v>
                </c:pt>
                <c:pt idx="4">
                  <c:v>7/05/2018</c:v>
                </c:pt>
                <c:pt idx="5">
                  <c:v>6/06/2018</c:v>
                </c:pt>
                <c:pt idx="6">
                  <c:v>6/07/2018</c:v>
                </c:pt>
                <c:pt idx="7">
                  <c:v>6/08/2018</c:v>
                </c:pt>
                <c:pt idx="8">
                  <c:v>3/09/2018</c:v>
                </c:pt>
                <c:pt idx="9">
                  <c:v>2/10/2018</c:v>
                </c:pt>
                <c:pt idx="10">
                  <c:v>6/11/2018</c:v>
                </c:pt>
                <c:pt idx="11">
                  <c:v>4/12/2018</c:v>
                </c:pt>
                <c:pt idx="12">
                  <c:v>7/01/2019</c:v>
                </c:pt>
                <c:pt idx="13">
                  <c:v>4/02/2019</c:v>
                </c:pt>
                <c:pt idx="14">
                  <c:v>5/03/2019</c:v>
                </c:pt>
                <c:pt idx="15">
                  <c:v>1/04/2019</c:v>
                </c:pt>
                <c:pt idx="16">
                  <c:v>4/05/2019</c:v>
                </c:pt>
                <c:pt idx="17">
                  <c:v>4/06/2019</c:v>
                </c:pt>
                <c:pt idx="18">
                  <c:v>2/07/2019</c:v>
                </c:pt>
                <c:pt idx="19">
                  <c:v>4/08/2019</c:v>
                </c:pt>
                <c:pt idx="20">
                  <c:v>2/09/2019</c:v>
                </c:pt>
                <c:pt idx="21">
                  <c:v>2/10/2019</c:v>
                </c:pt>
                <c:pt idx="22">
                  <c:v>4/11/2019</c:v>
                </c:pt>
                <c:pt idx="23">
                  <c:v>2/12/2019</c:v>
                </c:pt>
                <c:pt idx="24">
                  <c:v>6/01/2020</c:v>
                </c:pt>
                <c:pt idx="25">
                  <c:v>3/02/2020</c:v>
                </c:pt>
                <c:pt idx="26">
                  <c:v>2/03/2020</c:v>
                </c:pt>
                <c:pt idx="27">
                  <c:v>4/04/2020</c:v>
                </c:pt>
                <c:pt idx="28">
                  <c:v>5/05/2020</c:v>
                </c:pt>
                <c:pt idx="29">
                  <c:v>2/06/2020</c:v>
                </c:pt>
                <c:pt idx="30">
                  <c:v>5/07/2020</c:v>
                </c:pt>
                <c:pt idx="31">
                  <c:v>4/08/2020</c:v>
                </c:pt>
                <c:pt idx="32">
                  <c:v>2/09/2020</c:v>
                </c:pt>
                <c:pt idx="33">
                  <c:v>4/10/2020</c:v>
                </c:pt>
                <c:pt idx="34">
                  <c:v>5/11/2020</c:v>
                </c:pt>
                <c:pt idx="35">
                  <c:v>3/12/2020</c:v>
                </c:pt>
                <c:pt idx="36">
                  <c:v>7/01/2021</c:v>
                </c:pt>
                <c:pt idx="37">
                  <c:v>3/02/2021</c:v>
                </c:pt>
                <c:pt idx="38">
                  <c:v>4/03/2021</c:v>
                </c:pt>
                <c:pt idx="39">
                  <c:v>7/04/2021</c:v>
                </c:pt>
                <c:pt idx="40">
                  <c:v>5/05/2021</c:v>
                </c:pt>
                <c:pt idx="41">
                  <c:v>31/05/2021</c:v>
                </c:pt>
                <c:pt idx="42">
                  <c:v>4/07/2021</c:v>
                </c:pt>
                <c:pt idx="43">
                  <c:v>3/08/2021</c:v>
                </c:pt>
                <c:pt idx="44">
                  <c:v>4/09/2021</c:v>
                </c:pt>
                <c:pt idx="45">
                  <c:v>4/10/2021</c:v>
                </c:pt>
                <c:pt idx="46">
                  <c:v>2/11/2021</c:v>
                </c:pt>
                <c:pt idx="47">
                  <c:v>30/11/2021</c:v>
                </c:pt>
                <c:pt idx="48">
                  <c:v>31/12/2021</c:v>
                </c:pt>
                <c:pt idx="49">
                  <c:v>30/01/2022</c:v>
                </c:pt>
                <c:pt idx="50">
                  <c:v>25/02/2022</c:v>
                </c:pt>
                <c:pt idx="51">
                  <c:v>3/03/2022</c:v>
                </c:pt>
                <c:pt idx="52">
                  <c:v>2/04/2022</c:v>
                </c:pt>
                <c:pt idx="53">
                  <c:v>2/05/2022</c:v>
                </c:pt>
                <c:pt idx="54">
                  <c:v>28/05/2022</c:v>
                </c:pt>
                <c:pt idx="55">
                  <c:v>2/07/2022</c:v>
                </c:pt>
                <c:pt idx="56">
                  <c:v>25/07/2022</c:v>
                </c:pt>
                <c:pt idx="57">
                  <c:v>20/08/2022</c:v>
                </c:pt>
                <c:pt idx="58">
                  <c:v>23/09/2022</c:v>
                </c:pt>
                <c:pt idx="59">
                  <c:v>23/10/2022</c:v>
                </c:pt>
                <c:pt idx="60">
                  <c:v>22/12/2022</c:v>
                </c:pt>
                <c:pt idx="61">
                  <c:v>16/02/2023</c:v>
                </c:pt>
                <c:pt idx="62">
                  <c:v>17/03/2023</c:v>
                </c:pt>
                <c:pt idx="63">
                  <c:v>21/04/2023</c:v>
                </c:pt>
                <c:pt idx="64">
                  <c:v>16/05/2023</c:v>
                </c:pt>
                <c:pt idx="65">
                  <c:v>17/06/2023</c:v>
                </c:pt>
                <c:pt idx="66">
                  <c:v>19/06/2023</c:v>
                </c:pt>
                <c:pt idx="67">
                  <c:v>20/08/2023</c:v>
                </c:pt>
                <c:pt idx="68">
                  <c:v>15/09/2023</c:v>
                </c:pt>
                <c:pt idx="69">
                  <c:v>20/10/2023</c:v>
                </c:pt>
                <c:pt idx="70">
                  <c:v>24/11/2023</c:v>
                </c:pt>
                <c:pt idx="71">
                  <c:v>20/12/2023</c:v>
                </c:pt>
                <c:pt idx="72">
                  <c:v>20/01/2024</c:v>
                </c:pt>
                <c:pt idx="73">
                  <c:v>19/02/2024</c:v>
                </c:pt>
                <c:pt idx="74">
                  <c:v>12/03/2024</c:v>
                </c:pt>
                <c:pt idx="75">
                  <c:v>18/04/2024</c:v>
                </c:pt>
                <c:pt idx="76">
                  <c:v>21/05/2024</c:v>
                </c:pt>
                <c:pt idx="77">
                  <c:v>18/07/2024</c:v>
                </c:pt>
                <c:pt idx="78">
                  <c:v>18/09/2024</c:v>
                </c:pt>
                <c:pt idx="79">
                  <c:v>18/10/2024</c:v>
                </c:pt>
                <c:pt idx="80">
                  <c:v>15/11/2024</c:v>
                </c:pt>
                <c:pt idx="81">
                  <c:v>14/12/2024</c:v>
                </c:pt>
                <c:pt idx="82">
                  <c:v>13/01/2025</c:v>
                </c:pt>
                <c:pt idx="83">
                  <c:v>8/02/2025</c:v>
                </c:pt>
                <c:pt idx="84">
                  <c:v>11/03/2025</c:v>
                </c:pt>
                <c:pt idx="85">
                  <c:v>8/04/2025</c:v>
                </c:pt>
                <c:pt idx="86">
                  <c:v>11/05/2025</c:v>
                </c:pt>
                <c:pt idx="87">
                  <c:v>10/06/2025</c:v>
                </c:pt>
                <c:pt idx="88">
                  <c:v>5/07/2025</c:v>
                </c:pt>
                <c:pt idx="89">
                  <c:v>10/08/2025</c:v>
                </c:pt>
                <c:pt idx="90">
                  <c:v>8/09/2025</c:v>
                </c:pt>
              </c:strCache>
            </c:strRef>
          </c:cat>
          <c:val>
            <c:numRef>
              <c:f>'Vista por años'!$C$56:$C$146</c:f>
              <c:numCache>
                <c:formatCode>General</c:formatCode>
                <c:ptCount val="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A61-4458-9978-79B4857BAF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87931120"/>
        <c:axId val="487930728"/>
      </c:barChart>
      <c:lineChart>
        <c:grouping val="standard"/>
        <c:varyColors val="0"/>
        <c:ser>
          <c:idx val="2"/>
          <c:order val="2"/>
          <c:tx>
            <c:strRef>
              <c:f>'Vista por años'!$D$54:$D$55</c:f>
              <c:strCache>
                <c:ptCount val="1"/>
                <c:pt idx="0">
                  <c:v>Suma de Maxímetro</c:v>
                </c:pt>
              </c:strCache>
            </c:strRef>
          </c:tx>
          <c:marker>
            <c:symbol val="none"/>
          </c:marker>
          <c:cat>
            <c:strRef>
              <c:f>'Vista por años'!$A$56:$A$146</c:f>
              <c:strCache>
                <c:ptCount val="91"/>
                <c:pt idx="1">
                  <c:v>6/02/2018</c:v>
                </c:pt>
                <c:pt idx="2">
                  <c:v>6/03/2018</c:v>
                </c:pt>
                <c:pt idx="3">
                  <c:v>5/04/2018</c:v>
                </c:pt>
                <c:pt idx="4">
                  <c:v>7/05/2018</c:v>
                </c:pt>
                <c:pt idx="5">
                  <c:v>6/06/2018</c:v>
                </c:pt>
                <c:pt idx="6">
                  <c:v>6/07/2018</c:v>
                </c:pt>
                <c:pt idx="7">
                  <c:v>6/08/2018</c:v>
                </c:pt>
                <c:pt idx="8">
                  <c:v>3/09/2018</c:v>
                </c:pt>
                <c:pt idx="9">
                  <c:v>2/10/2018</c:v>
                </c:pt>
                <c:pt idx="10">
                  <c:v>6/11/2018</c:v>
                </c:pt>
                <c:pt idx="11">
                  <c:v>4/12/2018</c:v>
                </c:pt>
                <c:pt idx="12">
                  <c:v>7/01/2019</c:v>
                </c:pt>
                <c:pt idx="13">
                  <c:v>4/02/2019</c:v>
                </c:pt>
                <c:pt idx="14">
                  <c:v>5/03/2019</c:v>
                </c:pt>
                <c:pt idx="15">
                  <c:v>1/04/2019</c:v>
                </c:pt>
                <c:pt idx="16">
                  <c:v>4/05/2019</c:v>
                </c:pt>
                <c:pt idx="17">
                  <c:v>4/06/2019</c:v>
                </c:pt>
                <c:pt idx="18">
                  <c:v>2/07/2019</c:v>
                </c:pt>
                <c:pt idx="19">
                  <c:v>4/08/2019</c:v>
                </c:pt>
                <c:pt idx="20">
                  <c:v>2/09/2019</c:v>
                </c:pt>
                <c:pt idx="21">
                  <c:v>2/10/2019</c:v>
                </c:pt>
                <c:pt idx="22">
                  <c:v>4/11/2019</c:v>
                </c:pt>
                <c:pt idx="23">
                  <c:v>2/12/2019</c:v>
                </c:pt>
                <c:pt idx="24">
                  <c:v>6/01/2020</c:v>
                </c:pt>
                <c:pt idx="25">
                  <c:v>3/02/2020</c:v>
                </c:pt>
                <c:pt idx="26">
                  <c:v>2/03/2020</c:v>
                </c:pt>
                <c:pt idx="27">
                  <c:v>4/04/2020</c:v>
                </c:pt>
                <c:pt idx="28">
                  <c:v>5/05/2020</c:v>
                </c:pt>
                <c:pt idx="29">
                  <c:v>2/06/2020</c:v>
                </c:pt>
                <c:pt idx="30">
                  <c:v>5/07/2020</c:v>
                </c:pt>
                <c:pt idx="31">
                  <c:v>4/08/2020</c:v>
                </c:pt>
                <c:pt idx="32">
                  <c:v>2/09/2020</c:v>
                </c:pt>
                <c:pt idx="33">
                  <c:v>4/10/2020</c:v>
                </c:pt>
                <c:pt idx="34">
                  <c:v>5/11/2020</c:v>
                </c:pt>
                <c:pt idx="35">
                  <c:v>3/12/2020</c:v>
                </c:pt>
                <c:pt idx="36">
                  <c:v>7/01/2021</c:v>
                </c:pt>
                <c:pt idx="37">
                  <c:v>3/02/2021</c:v>
                </c:pt>
                <c:pt idx="38">
                  <c:v>4/03/2021</c:v>
                </c:pt>
                <c:pt idx="39">
                  <c:v>7/04/2021</c:v>
                </c:pt>
                <c:pt idx="40">
                  <c:v>5/05/2021</c:v>
                </c:pt>
                <c:pt idx="41">
                  <c:v>31/05/2021</c:v>
                </c:pt>
                <c:pt idx="42">
                  <c:v>4/07/2021</c:v>
                </c:pt>
                <c:pt idx="43">
                  <c:v>3/08/2021</c:v>
                </c:pt>
                <c:pt idx="44">
                  <c:v>4/09/2021</c:v>
                </c:pt>
                <c:pt idx="45">
                  <c:v>4/10/2021</c:v>
                </c:pt>
                <c:pt idx="46">
                  <c:v>2/11/2021</c:v>
                </c:pt>
                <c:pt idx="47">
                  <c:v>30/11/2021</c:v>
                </c:pt>
                <c:pt idx="48">
                  <c:v>31/12/2021</c:v>
                </c:pt>
                <c:pt idx="49">
                  <c:v>30/01/2022</c:v>
                </c:pt>
                <c:pt idx="50">
                  <c:v>25/02/2022</c:v>
                </c:pt>
                <c:pt idx="51">
                  <c:v>3/03/2022</c:v>
                </c:pt>
                <c:pt idx="52">
                  <c:v>2/04/2022</c:v>
                </c:pt>
                <c:pt idx="53">
                  <c:v>2/05/2022</c:v>
                </c:pt>
                <c:pt idx="54">
                  <c:v>28/05/2022</c:v>
                </c:pt>
                <c:pt idx="55">
                  <c:v>2/07/2022</c:v>
                </c:pt>
                <c:pt idx="56">
                  <c:v>25/07/2022</c:v>
                </c:pt>
                <c:pt idx="57">
                  <c:v>20/08/2022</c:v>
                </c:pt>
                <c:pt idx="58">
                  <c:v>23/09/2022</c:v>
                </c:pt>
                <c:pt idx="59">
                  <c:v>23/10/2022</c:v>
                </c:pt>
                <c:pt idx="60">
                  <c:v>22/12/2022</c:v>
                </c:pt>
                <c:pt idx="61">
                  <c:v>16/02/2023</c:v>
                </c:pt>
                <c:pt idx="62">
                  <c:v>17/03/2023</c:v>
                </c:pt>
                <c:pt idx="63">
                  <c:v>21/04/2023</c:v>
                </c:pt>
                <c:pt idx="64">
                  <c:v>16/05/2023</c:v>
                </c:pt>
                <c:pt idx="65">
                  <c:v>17/06/2023</c:v>
                </c:pt>
                <c:pt idx="66">
                  <c:v>19/06/2023</c:v>
                </c:pt>
                <c:pt idx="67">
                  <c:v>20/08/2023</c:v>
                </c:pt>
                <c:pt idx="68">
                  <c:v>15/09/2023</c:v>
                </c:pt>
                <c:pt idx="69">
                  <c:v>20/10/2023</c:v>
                </c:pt>
                <c:pt idx="70">
                  <c:v>24/11/2023</c:v>
                </c:pt>
                <c:pt idx="71">
                  <c:v>20/12/2023</c:v>
                </c:pt>
                <c:pt idx="72">
                  <c:v>20/01/2024</c:v>
                </c:pt>
                <c:pt idx="73">
                  <c:v>19/02/2024</c:v>
                </c:pt>
                <c:pt idx="74">
                  <c:v>12/03/2024</c:v>
                </c:pt>
                <c:pt idx="75">
                  <c:v>18/04/2024</c:v>
                </c:pt>
                <c:pt idx="76">
                  <c:v>21/05/2024</c:v>
                </c:pt>
                <c:pt idx="77">
                  <c:v>18/07/2024</c:v>
                </c:pt>
                <c:pt idx="78">
                  <c:v>18/09/2024</c:v>
                </c:pt>
                <c:pt idx="79">
                  <c:v>18/10/2024</c:v>
                </c:pt>
                <c:pt idx="80">
                  <c:v>15/11/2024</c:v>
                </c:pt>
                <c:pt idx="81">
                  <c:v>14/12/2024</c:v>
                </c:pt>
                <c:pt idx="82">
                  <c:v>13/01/2025</c:v>
                </c:pt>
                <c:pt idx="83">
                  <c:v>8/02/2025</c:v>
                </c:pt>
                <c:pt idx="84">
                  <c:v>11/03/2025</c:v>
                </c:pt>
                <c:pt idx="85">
                  <c:v>8/04/2025</c:v>
                </c:pt>
                <c:pt idx="86">
                  <c:v>11/05/2025</c:v>
                </c:pt>
                <c:pt idx="87">
                  <c:v>10/06/2025</c:v>
                </c:pt>
                <c:pt idx="88">
                  <c:v>5/07/2025</c:v>
                </c:pt>
                <c:pt idx="89">
                  <c:v>10/08/2025</c:v>
                </c:pt>
                <c:pt idx="90">
                  <c:v>8/09/2025</c:v>
                </c:pt>
              </c:strCache>
            </c:strRef>
          </c:cat>
          <c:val>
            <c:numRef>
              <c:f>'Vista por años'!$D$56:$D$146</c:f>
              <c:numCache>
                <c:formatCode>General</c:formatCode>
                <c:ptCount val="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61-4458-9978-79B4857BAF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929944"/>
        <c:axId val="487930336"/>
      </c:lineChart>
      <c:catAx>
        <c:axId val="48793112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noFill/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87930728"/>
        <c:crosses val="autoZero"/>
        <c:auto val="1"/>
        <c:lblAlgn val="ctr"/>
        <c:lblOffset val="100"/>
        <c:noMultiLvlLbl val="0"/>
      </c:catAx>
      <c:valAx>
        <c:axId val="4879307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noFill/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87931120"/>
        <c:crosses val="autoZero"/>
        <c:crossBetween val="between"/>
      </c:valAx>
      <c:valAx>
        <c:axId val="48793033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crossAx val="487929944"/>
        <c:crosses val="max"/>
        <c:crossBetween val="between"/>
      </c:valAx>
      <c:catAx>
        <c:axId val="48792994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8793033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000000000000355" l="0.70000000000000062" r="0.70000000000000062" t="0.75000000000000355" header="0.30000000000000032" footer="0.30000000000000032"/>
    <c:pageSetup orientation="portrait"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1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35000"/>
          <a:lumOff val="65000"/>
        </a:schemeClr>
      </a:solidFill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/>
    <cs:fontRef idx="minor">
      <a:schemeClr val="dk1"/>
    </cs:fontRef>
    <cs:spPr>
      <a:noFill/>
      <a:ln w="25400" cap="flat" cmpd="sng" algn="ctr">
        <a:solidFill>
          <a:schemeClr val="phClr"/>
        </a:solidFill>
        <a:miter lim="800000"/>
      </a:ln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dk1"/>
    </cs:fontRef>
    <cs:spPr>
      <a:ln w="19050" cap="flat" cmpd="sng" algn="ctr">
        <a:solidFill>
          <a:schemeClr val="phClr"/>
        </a:solidFill>
        <a:miter lim="800000"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1"/>
    <cs:effectRef idx="0"/>
    <cs:fontRef idx="minor">
      <a:schemeClr val="tx1"/>
    </cs:fontRef>
    <cs:spPr>
      <a:ln w="9525">
        <a:solidFill>
          <a:schemeClr val="phClr"/>
        </a:solidFill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0" kern="1200" cap="none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chart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600-000000000000}">
  <sheetPr codeName="Gráfico1">
    <tabColor rgb="FFC00000"/>
  </sheetPr>
  <sheetViews>
    <sheetView zoomScale="66" workbookViewId="0" zoomToFit="1"/>
  </sheetViews>
  <pageMargins left="0.7" right="0.7" top="0.75" bottom="0.75" header="0.3" footer="0.3"/>
  <pageSetup paperSize="9" orientation="landscape" r:id="rId1"/>
  <headerFooter>
    <oddHeader>&amp;C&amp;"Arial"&amp;8&amp;K000000INTERNAL&amp;1#</oddHeader>
  </headerFooter>
  <drawing r:id="rId2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700-000000000000}">
  <sheetPr codeName="Gráfico9">
    <tabColor rgb="FFFF0000"/>
  </sheetPr>
  <sheetViews>
    <sheetView zoomScale="64" workbookViewId="0" zoomToFit="1"/>
  </sheetViews>
  <pageMargins left="0.7" right="0.7" top="0.75" bottom="0.75" header="0.3" footer="0.3"/>
  <pageSetup orientation="landscape" r:id="rId1"/>
  <headerFooter>
    <oddHeader>&amp;C&amp;"Arial"&amp;8&amp;K000000INTERNAL&amp;1#</oddHeader>
  </headerFooter>
  <drawing r:id="rId2"/>
</chartsheet>
</file>

<file path=xl/ctrlProps/ctrlProp1.xml><?xml version="1.0" encoding="utf-8"?>
<formControlPr xmlns="http://schemas.microsoft.com/office/spreadsheetml/2009/9/main" objectType="Radio" firstButton="1" lockText="1" noThreeD="1"/>
</file>

<file path=xl/ctrlProps/ctrlProp2.xml><?xml version="1.0" encoding="utf-8"?>
<formControlPr xmlns="http://schemas.microsoft.com/office/spreadsheetml/2009/9/main" objectType="Radio" checked="Checked" lockText="1" noThreeD="1"/>
</file>

<file path=xl/ctrlProps/ctrlProp3.xml><?xml version="1.0" encoding="utf-8"?>
<formControlPr xmlns="http://schemas.microsoft.com/office/spreadsheetml/2009/9/main" objectType="Radio" checked="Checked" firstButton="1" lockText="1" noThreeD="1"/>
</file>

<file path=xl/ctrlProps/ctrlProp4.xml><?xml version="1.0" encoding="utf-8"?>
<formControlPr xmlns="http://schemas.microsoft.com/office/spreadsheetml/2009/9/main" objectType="Radio" firstButton="1" lockText="1" noThreeD="1"/>
</file>

<file path=xl/ctrlProps/ctrlProp5.xml><?xml version="1.0" encoding="utf-8"?>
<formControlPr xmlns="http://schemas.microsoft.com/office/spreadsheetml/2009/9/main" objectType="Radio" lockText="1" noThreeD="1"/>
</file>

<file path=xl/ctrlProps/ctrlProp6.xml><?xml version="1.0" encoding="utf-8"?>
<formControlPr xmlns="http://schemas.microsoft.com/office/spreadsheetml/2009/9/main" objectType="Radio" lockText="1" noThreeD="1"/>
</file>

<file path=xl/ctrlProps/ctrlProp7.xml><?xml version="1.0" encoding="utf-8"?>
<formControlPr xmlns="http://schemas.microsoft.com/office/spreadsheetml/2009/9/main" objectType="Radio" lockText="1" noThreeD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Radio" checked="Checked" lockText="1" noThreeD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138650</xdr:colOff>
      <xdr:row>1</xdr:row>
      <xdr:rowOff>28575</xdr:rowOff>
    </xdr:from>
    <xdr:to>
      <xdr:col>15</xdr:col>
      <xdr:colOff>20450</xdr:colOff>
      <xdr:row>2</xdr:row>
      <xdr:rowOff>11975</xdr:rowOff>
    </xdr:to>
    <xdr:sp macro="[0]!Guardar_Libro_Como" textlink="">
      <xdr:nvSpPr>
        <xdr:cNvPr id="9" name="Rectángulo redondeado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>
        <a:xfrm>
          <a:off x="9549350" y="212725"/>
          <a:ext cx="720000" cy="720000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65000"/>
            </a:schemeClr>
          </a:solidFill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050" b="1">
              <a:solidFill>
                <a:schemeClr val="bg1"/>
              </a:solidFill>
            </a:rPr>
            <a:t>Guardar</a:t>
          </a:r>
          <a:r>
            <a:rPr lang="es-ES" sz="1050" b="1" baseline="0">
              <a:solidFill>
                <a:schemeClr val="bg1"/>
              </a:solidFill>
            </a:rPr>
            <a:t> como...</a:t>
          </a:r>
          <a:endParaRPr lang="es-ES" sz="1050" b="1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495296</xdr:colOff>
      <xdr:row>14</xdr:row>
      <xdr:rowOff>123825</xdr:rowOff>
    </xdr:from>
    <xdr:to>
      <xdr:col>7</xdr:col>
      <xdr:colOff>713996</xdr:colOff>
      <xdr:row>20</xdr:row>
      <xdr:rowOff>47625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95296" y="3362325"/>
              <a:ext cx="6305175" cy="10668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22860</xdr:colOff>
          <xdr:row>3</xdr:row>
          <xdr:rowOff>114300</xdr:rowOff>
        </xdr:from>
        <xdr:to>
          <xdr:col>19</xdr:col>
          <xdr:colOff>274320</xdr:colOff>
          <xdr:row>5</xdr:row>
          <xdr:rowOff>99060</xdr:rowOff>
        </xdr:to>
        <xdr:sp macro="" textlink="">
          <xdr:nvSpPr>
            <xdr:cNvPr id="2056" name="Option 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3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Fecha inicio periodo en Diciembre Tipo III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22860</xdr:colOff>
          <xdr:row>2</xdr:row>
          <xdr:rowOff>83820</xdr:rowOff>
        </xdr:from>
        <xdr:to>
          <xdr:col>19</xdr:col>
          <xdr:colOff>312420</xdr:colOff>
          <xdr:row>4</xdr:row>
          <xdr:rowOff>68580</xdr:rowOff>
        </xdr:to>
        <xdr:sp macro="" textlink="">
          <xdr:nvSpPr>
            <xdr:cNvPr id="2057" name="Option 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3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Fecha inicio peiodo en Enero</a:t>
              </a:r>
            </a:p>
          </xdr:txBody>
        </xdr:sp>
        <xdr:clientData/>
      </xdr:twoCellAnchor>
    </mc:Choice>
    <mc:Fallback/>
  </mc:AlternateContent>
  <xdr:twoCellAnchor>
    <xdr:from>
      <xdr:col>10</xdr:col>
      <xdr:colOff>28575</xdr:colOff>
      <xdr:row>7</xdr:row>
      <xdr:rowOff>47625</xdr:rowOff>
    </xdr:from>
    <xdr:to>
      <xdr:col>22</xdr:col>
      <xdr:colOff>228601</xdr:colOff>
      <xdr:row>19</xdr:row>
      <xdr:rowOff>95250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123825</xdr:colOff>
      <xdr:row>5</xdr:row>
      <xdr:rowOff>104776</xdr:rowOff>
    </xdr:from>
    <xdr:to>
      <xdr:col>24</xdr:col>
      <xdr:colOff>247650</xdr:colOff>
      <xdr:row>20</xdr:row>
      <xdr:rowOff>47632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196850</xdr:colOff>
      <xdr:row>1</xdr:row>
      <xdr:rowOff>50800</xdr:rowOff>
    </xdr:from>
    <xdr:to>
      <xdr:col>12</xdr:col>
      <xdr:colOff>8800</xdr:colOff>
      <xdr:row>2</xdr:row>
      <xdr:rowOff>34200</xdr:rowOff>
    </xdr:to>
    <xdr:sp macro="[0]!EliminaComplementarias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66FF60CD-F00E-45FC-86E0-AB0AB9F09018}"/>
            </a:ext>
          </a:extLst>
        </xdr:cNvPr>
        <xdr:cNvSpPr/>
      </xdr:nvSpPr>
      <xdr:spPr>
        <a:xfrm>
          <a:off x="8699500" y="234950"/>
          <a:ext cx="720000" cy="720000"/>
        </a:xfrm>
        <a:prstGeom prst="roundRect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chemeClr val="accent3">
              <a:lumMod val="75000"/>
            </a:schemeClr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>
              <a:solidFill>
                <a:schemeClr val="bg1"/>
              </a:solidFill>
            </a:rPr>
            <a:t>Elimina</a:t>
          </a:r>
          <a:r>
            <a:rPr lang="es-ES" sz="1100" b="1" baseline="0">
              <a:solidFill>
                <a:schemeClr val="bg1"/>
              </a:solidFill>
            </a:rPr>
            <a:t> FC's</a:t>
          </a:r>
          <a:endParaRPr lang="es-ES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331650</xdr:colOff>
      <xdr:row>6</xdr:row>
      <xdr:rowOff>76200</xdr:rowOff>
    </xdr:from>
    <xdr:to>
      <xdr:col>14</xdr:col>
      <xdr:colOff>200025</xdr:colOff>
      <xdr:row>10</xdr:row>
      <xdr:rowOff>34200</xdr:rowOff>
    </xdr:to>
    <xdr:sp macro="[0]!Guardar_Libro_Como" textlink="">
      <xdr:nvSpPr>
        <xdr:cNvPr id="8" name="Rectángulo redondeado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/>
      </xdr:nvSpPr>
      <xdr:spPr>
        <a:xfrm>
          <a:off x="9456600" y="1219200"/>
          <a:ext cx="1440000" cy="720000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65000"/>
            </a:schemeClr>
          </a:solidFill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200" b="1">
              <a:solidFill>
                <a:schemeClr val="bg1">
                  <a:lumMod val="85000"/>
                </a:schemeClr>
              </a:solidFill>
            </a:rPr>
            <a:t>Guardar</a:t>
          </a:r>
          <a:r>
            <a:rPr lang="es-ES" sz="1200" b="1" baseline="0">
              <a:solidFill>
                <a:schemeClr val="bg1">
                  <a:lumMod val="85000"/>
                </a:schemeClr>
              </a:solidFill>
            </a:rPr>
            <a:t> como...</a:t>
          </a:r>
          <a:endParaRPr lang="es-ES" sz="1200" b="1">
            <a:solidFill>
              <a:schemeClr val="bg1">
                <a:lumMod val="85000"/>
              </a:schemeClr>
            </a:solidFill>
          </a:endParaRPr>
        </a:p>
      </xdr:txBody>
    </xdr:sp>
    <xdr:clientData/>
  </xdr:twoCellAnchor>
  <xdr:twoCellAnchor>
    <xdr:from>
      <xdr:col>12</xdr:col>
      <xdr:colOff>341175</xdr:colOff>
      <xdr:row>1</xdr:row>
      <xdr:rowOff>161925</xdr:rowOff>
    </xdr:from>
    <xdr:to>
      <xdr:col>14</xdr:col>
      <xdr:colOff>209550</xdr:colOff>
      <xdr:row>5</xdr:row>
      <xdr:rowOff>119925</xdr:rowOff>
    </xdr:to>
    <xdr:sp macro="[0]!MetodoCerrarLibrosinGuardarCambios" textlink="">
      <xdr:nvSpPr>
        <xdr:cNvPr id="18" name="Rectángulo redondeado 17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SpPr/>
      </xdr:nvSpPr>
      <xdr:spPr>
        <a:xfrm>
          <a:off x="9466125" y="352425"/>
          <a:ext cx="1440000" cy="720000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65000"/>
            </a:schemeClr>
          </a:solidFill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200" b="1">
              <a:solidFill>
                <a:schemeClr val="bg1">
                  <a:lumMod val="85000"/>
                </a:schemeClr>
              </a:solidFill>
            </a:rPr>
            <a:t>Salir sin guardar</a:t>
          </a:r>
          <a:r>
            <a:rPr lang="es-ES" sz="1200" b="1" baseline="0">
              <a:solidFill>
                <a:schemeClr val="bg1">
                  <a:lumMod val="85000"/>
                </a:schemeClr>
              </a:solidFill>
            </a:rPr>
            <a:t> cambios</a:t>
          </a:r>
          <a:endParaRPr lang="es-ES" sz="1200" b="1">
            <a:solidFill>
              <a:schemeClr val="bg1">
                <a:lumMod val="85000"/>
              </a:schemeClr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109536</xdr:colOff>
      <xdr:row>2</xdr:row>
      <xdr:rowOff>66675</xdr:rowOff>
    </xdr:from>
    <xdr:to>
      <xdr:col>29</xdr:col>
      <xdr:colOff>600075</xdr:colOff>
      <xdr:row>6</xdr:row>
      <xdr:rowOff>24675</xdr:rowOff>
    </xdr:to>
    <xdr:sp macro="[0]!ImprimirListado" textlink="">
      <xdr:nvSpPr>
        <xdr:cNvPr id="9" name="Rectángulo redondeado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/>
      </xdr:nvSpPr>
      <xdr:spPr>
        <a:xfrm>
          <a:off x="9958386" y="533400"/>
          <a:ext cx="833439" cy="720000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65000"/>
            </a:schemeClr>
          </a:solidFill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200" b="1">
              <a:solidFill>
                <a:schemeClr val="bg1">
                  <a:lumMod val="85000"/>
                </a:schemeClr>
              </a:solidFill>
            </a:rPr>
            <a:t>Imprimir Listado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9280478" cy="6061881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0.80502</cdr:x>
      <cdr:y>0.01074</cdr:y>
    </cdr:from>
    <cdr:to>
      <cdr:x>0.92968</cdr:x>
      <cdr:y>0.0966</cdr:y>
    </cdr:to>
    <cdr:sp macro="[0]!MetodoCerrarLibrosinGuardarCambios" textlink="">
      <cdr:nvSpPr>
        <cdr:cNvPr id="2" name="Rectángulo redondeado 1"/>
        <cdr:cNvSpPr/>
      </cdr:nvSpPr>
      <cdr:spPr>
        <a:xfrm xmlns:a="http://schemas.openxmlformats.org/drawingml/2006/main">
          <a:off x="6974561" y="67545"/>
          <a:ext cx="1080034" cy="539983"/>
        </a:xfrm>
        <a:prstGeom xmlns:a="http://schemas.openxmlformats.org/drawingml/2006/main" prst="roundRect">
          <a:avLst/>
        </a:prstGeom>
        <a:solidFill xmlns:a="http://schemas.openxmlformats.org/drawingml/2006/main">
          <a:schemeClr val="bg1">
            <a:lumMod val="50000"/>
          </a:schemeClr>
        </a:solidFill>
        <a:ln xmlns:a="http://schemas.openxmlformats.org/drawingml/2006/main">
          <a:solidFill>
            <a:schemeClr val="bg1">
              <a:lumMod val="65000"/>
            </a:schemeClr>
          </a:solidFill>
        </a:ln>
      </cdr:spPr>
      <cdr:style>
        <a:lnRef xmlns:a="http://schemas.openxmlformats.org/drawingml/2006/main" idx="1">
          <a:schemeClr val="dk1"/>
        </a:lnRef>
        <a:fillRef xmlns:a="http://schemas.openxmlformats.org/drawingml/2006/main" idx="2">
          <a:schemeClr val="dk1"/>
        </a:fillRef>
        <a:effectRef xmlns:a="http://schemas.openxmlformats.org/drawingml/2006/main" idx="1">
          <a:schemeClr val="dk1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ES" sz="1200" b="1">
              <a:solidFill>
                <a:schemeClr val="bg1">
                  <a:lumMod val="85000"/>
                </a:schemeClr>
              </a:solidFill>
            </a:rPr>
            <a:t>Salir sin guardar</a:t>
          </a:r>
          <a:r>
            <a:rPr lang="es-ES" sz="1200" b="1" baseline="0">
              <a:solidFill>
                <a:schemeClr val="bg1">
                  <a:lumMod val="85000"/>
                </a:schemeClr>
              </a:solidFill>
            </a:rPr>
            <a:t> </a:t>
          </a:r>
          <a:endParaRPr lang="es-ES" sz="1200" b="1">
            <a:solidFill>
              <a:schemeClr val="bg1">
                <a:lumMod val="85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0.14597</cdr:x>
      <cdr:y>0.02941</cdr:y>
    </cdr:from>
    <cdr:to>
      <cdr:x>0.34699</cdr:x>
      <cdr:y>0.07647</cdr:y>
    </cdr:to>
    <cdr:sp macro="" textlink="">
      <cdr:nvSpPr>
        <cdr:cNvPr id="3" name="Rectángulo redondeado 2"/>
        <cdr:cNvSpPr/>
      </cdr:nvSpPr>
      <cdr:spPr>
        <a:xfrm xmlns:a="http://schemas.openxmlformats.org/drawingml/2006/main">
          <a:off x="1357312" y="178594"/>
          <a:ext cx="1869282" cy="285750"/>
        </a:xfrm>
        <a:prstGeom xmlns:a="http://schemas.openxmlformats.org/drawingml/2006/main" prst="roundRect">
          <a:avLst/>
        </a:prstGeom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r>
            <a:rPr lang="es-ES"/>
            <a:t>Promedio de consumo diario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8406"/>
    <xdr:graphicFrame macro="">
      <xdr:nvGraphicFramePr>
        <xdr:cNvPr id="2" name="1 Gráfico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0.80352</cdr:x>
      <cdr:y>0.01319</cdr:y>
    </cdr:from>
    <cdr:to>
      <cdr:x>0.92817</cdr:x>
      <cdr:y>0.09905</cdr:y>
    </cdr:to>
    <cdr:sp macro="[0]!MetodoCerrarLibrosinGuardarCambios" textlink="">
      <cdr:nvSpPr>
        <cdr:cNvPr id="4" name="Rectángulo redondeado 3"/>
        <cdr:cNvSpPr/>
      </cdr:nvSpPr>
      <cdr:spPr>
        <a:xfrm xmlns:a="http://schemas.openxmlformats.org/drawingml/2006/main">
          <a:off x="6962275" y="82929"/>
          <a:ext cx="1080052" cy="539935"/>
        </a:xfrm>
        <a:prstGeom xmlns:a="http://schemas.openxmlformats.org/drawingml/2006/main" prst="roundRect">
          <a:avLst/>
        </a:prstGeom>
        <a:solidFill xmlns:a="http://schemas.openxmlformats.org/drawingml/2006/main">
          <a:schemeClr val="bg1">
            <a:lumMod val="50000"/>
          </a:schemeClr>
        </a:solidFill>
        <a:ln xmlns:a="http://schemas.openxmlformats.org/drawingml/2006/main">
          <a:solidFill>
            <a:schemeClr val="bg1">
              <a:lumMod val="65000"/>
            </a:schemeClr>
          </a:solidFill>
        </a:ln>
      </cdr:spPr>
      <cdr:style>
        <a:lnRef xmlns:a="http://schemas.openxmlformats.org/drawingml/2006/main" idx="1">
          <a:schemeClr val="dk1"/>
        </a:lnRef>
        <a:fillRef xmlns:a="http://schemas.openxmlformats.org/drawingml/2006/main" idx="2">
          <a:schemeClr val="dk1"/>
        </a:fillRef>
        <a:effectRef xmlns:a="http://schemas.openxmlformats.org/drawingml/2006/main" idx="1">
          <a:schemeClr val="dk1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ES" sz="1200" b="1">
              <a:solidFill>
                <a:schemeClr val="bg1">
                  <a:lumMod val="85000"/>
                </a:schemeClr>
              </a:solidFill>
            </a:rPr>
            <a:t>Salir sin guardar</a:t>
          </a:r>
          <a:r>
            <a:rPr lang="es-ES" sz="1200" b="1" baseline="0">
              <a:solidFill>
                <a:schemeClr val="bg1">
                  <a:lumMod val="85000"/>
                </a:schemeClr>
              </a:solidFill>
            </a:rPr>
            <a:t> </a:t>
          </a:r>
          <a:endParaRPr lang="es-ES" sz="1200" b="1">
            <a:solidFill>
              <a:schemeClr val="bg1">
                <a:lumMod val="85000"/>
              </a:schemeClr>
            </a:solidFill>
          </a:endParaRPr>
        </a:p>
      </cdr:txBody>
    </cdr: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absoluteAnchor>
    <xdr:pos x="152401" y="4391025"/>
    <xdr:ext cx="9248774" cy="6419849"/>
    <xdr:graphicFrame macro="">
      <xdr:nvGraphicFramePr>
        <xdr:cNvPr id="2" name="1 Gráfico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12</xdr:col>
      <xdr:colOff>356325</xdr:colOff>
      <xdr:row>3</xdr:row>
      <xdr:rowOff>152401</xdr:rowOff>
    </xdr:from>
    <xdr:to>
      <xdr:col>14</xdr:col>
      <xdr:colOff>272325</xdr:colOff>
      <xdr:row>4</xdr:row>
      <xdr:rowOff>110401</xdr:rowOff>
    </xdr:to>
    <xdr:sp macro="[0]!Guardar_PDF" textlink="">
      <xdr:nvSpPr>
        <xdr:cNvPr id="3" name="Rectángulo redondeado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9938475" y="1181101"/>
          <a:ext cx="1440000" cy="720000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65000"/>
            </a:schemeClr>
          </a:solidFill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200" b="1">
              <a:solidFill>
                <a:schemeClr val="bg1">
                  <a:lumMod val="85000"/>
                </a:schemeClr>
              </a:solidFill>
            </a:rPr>
            <a:t>Abre PDF y lo guarda en AD</a:t>
          </a:r>
          <a:r>
            <a:rPr lang="es-ES" sz="1200" b="1" baseline="0">
              <a:solidFill>
                <a:schemeClr val="bg1">
                  <a:lumMod val="85000"/>
                </a:schemeClr>
              </a:solidFill>
            </a:rPr>
            <a:t> Expedientes</a:t>
          </a:r>
          <a:endParaRPr lang="es-ES" sz="1200" b="1">
            <a:solidFill>
              <a:schemeClr val="bg1">
                <a:lumMod val="85000"/>
              </a:schemeClr>
            </a:solidFill>
          </a:endParaRPr>
        </a:p>
      </xdr:txBody>
    </xdr:sp>
    <xdr:clientData/>
  </xdr:twoCellAnchor>
  <xdr:twoCellAnchor>
    <xdr:from>
      <xdr:col>12</xdr:col>
      <xdr:colOff>356325</xdr:colOff>
      <xdr:row>5</xdr:row>
      <xdr:rowOff>168276</xdr:rowOff>
    </xdr:from>
    <xdr:to>
      <xdr:col>14</xdr:col>
      <xdr:colOff>272325</xdr:colOff>
      <xdr:row>9</xdr:row>
      <xdr:rowOff>126276</xdr:rowOff>
    </xdr:to>
    <xdr:sp macro="[0]!Imprimir_Resumen" textlink="">
      <xdr:nvSpPr>
        <xdr:cNvPr id="12" name="Rectángulo redondeado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/>
      </xdr:nvSpPr>
      <xdr:spPr>
        <a:xfrm>
          <a:off x="9938475" y="2149476"/>
          <a:ext cx="1440000" cy="720000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65000"/>
            </a:schemeClr>
          </a:solidFill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200" b="1">
              <a:solidFill>
                <a:schemeClr val="bg1">
                  <a:lumMod val="85000"/>
                </a:schemeClr>
              </a:solidFill>
            </a:rPr>
            <a:t>Imprimir resumen</a:t>
          </a:r>
        </a:p>
      </xdr:txBody>
    </xdr:sp>
    <xdr:clientData/>
  </xdr:twoCellAnchor>
  <xdr:twoCellAnchor>
    <xdr:from>
      <xdr:col>12</xdr:col>
      <xdr:colOff>356325</xdr:colOff>
      <xdr:row>0</xdr:row>
      <xdr:rowOff>279401</xdr:rowOff>
    </xdr:from>
    <xdr:to>
      <xdr:col>14</xdr:col>
      <xdr:colOff>272325</xdr:colOff>
      <xdr:row>2</xdr:row>
      <xdr:rowOff>161201</xdr:rowOff>
    </xdr:to>
    <xdr:sp macro="[0]!MetodoCerrarLibrosinGuardarCambios" textlink="">
      <xdr:nvSpPr>
        <xdr:cNvPr id="13" name="Rectángulo redondeado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SpPr/>
      </xdr:nvSpPr>
      <xdr:spPr>
        <a:xfrm>
          <a:off x="9938475" y="279401"/>
          <a:ext cx="1440000" cy="720000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65000"/>
            </a:schemeClr>
          </a:solidFill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200" b="1">
              <a:solidFill>
                <a:schemeClr val="bg1">
                  <a:lumMod val="85000"/>
                </a:schemeClr>
              </a:solidFill>
            </a:rPr>
            <a:t>Salir sin guardar</a:t>
          </a:r>
          <a:r>
            <a:rPr lang="es-ES" sz="1200" b="1" baseline="0">
              <a:solidFill>
                <a:schemeClr val="bg1">
                  <a:lumMod val="85000"/>
                </a:schemeClr>
              </a:solidFill>
            </a:rPr>
            <a:t> cambios</a:t>
          </a:r>
          <a:endParaRPr lang="es-ES" sz="1200" b="1">
            <a:solidFill>
              <a:schemeClr val="bg1">
                <a:lumMod val="85000"/>
              </a:schemeClr>
            </a:solidFill>
          </a:endParaRPr>
        </a:p>
      </xdr:txBody>
    </xdr:sp>
    <xdr:clientData/>
  </xdr:twoCellAnchor>
  <xdr:twoCellAnchor>
    <xdr:from>
      <xdr:col>12</xdr:col>
      <xdr:colOff>356325</xdr:colOff>
      <xdr:row>11</xdr:row>
      <xdr:rowOff>28575</xdr:rowOff>
    </xdr:from>
    <xdr:to>
      <xdr:col>14</xdr:col>
      <xdr:colOff>272325</xdr:colOff>
      <xdr:row>14</xdr:row>
      <xdr:rowOff>177075</xdr:rowOff>
    </xdr:to>
    <xdr:sp macro="[0]!Guardar_Libro_Como" textlink="">
      <xdr:nvSpPr>
        <xdr:cNvPr id="14" name="Rectángulo redondeado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SpPr/>
      </xdr:nvSpPr>
      <xdr:spPr>
        <a:xfrm>
          <a:off x="9938475" y="3152775"/>
          <a:ext cx="1440000" cy="720000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65000"/>
            </a:schemeClr>
          </a:solidFill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200" b="1">
              <a:solidFill>
                <a:schemeClr val="bg1">
                  <a:lumMod val="85000"/>
                </a:schemeClr>
              </a:solidFill>
            </a:rPr>
            <a:t>Guardar</a:t>
          </a:r>
          <a:r>
            <a:rPr lang="es-ES" sz="1200" b="1" baseline="0">
              <a:solidFill>
                <a:schemeClr val="bg1">
                  <a:lumMod val="85000"/>
                </a:schemeClr>
              </a:solidFill>
            </a:rPr>
            <a:t> como...</a:t>
          </a:r>
          <a:endParaRPr lang="es-ES" sz="1200" b="1">
            <a:solidFill>
              <a:schemeClr val="bg1">
                <a:lumMod val="85000"/>
              </a:schemeClr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160020</xdr:colOff>
          <xdr:row>0</xdr:row>
          <xdr:rowOff>175260</xdr:rowOff>
        </xdr:from>
        <xdr:to>
          <xdr:col>11</xdr:col>
          <xdr:colOff>579120</xdr:colOff>
          <xdr:row>1</xdr:row>
          <xdr:rowOff>274320</xdr:rowOff>
        </xdr:to>
        <xdr:sp macro="" textlink="">
          <xdr:nvSpPr>
            <xdr:cNvPr id="7176" name="Option Button 8" hidden="1">
              <a:extLst>
                <a:ext uri="{63B3BB69-23CF-44E3-9099-C40C66FF867C}">
                  <a14:compatExt spid="_x0000_s7176"/>
                </a:ext>
                <a:ext uri="{FF2B5EF4-FFF2-40B4-BE49-F238E27FC236}">
                  <a16:creationId xmlns:a16="http://schemas.microsoft.com/office/drawing/2014/main" id="{00000000-0008-0000-0800-00000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262626">
                <a:alpha val="52000"/>
              </a:srgbClr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    Incluir en campaña Proactiva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142876</xdr:colOff>
      <xdr:row>0</xdr:row>
      <xdr:rowOff>238125</xdr:rowOff>
    </xdr:from>
    <xdr:to>
      <xdr:col>1</xdr:col>
      <xdr:colOff>561976</xdr:colOff>
      <xdr:row>1</xdr:row>
      <xdr:rowOff>295275</xdr:rowOff>
    </xdr:to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 txBox="1"/>
      </xdr:nvSpPr>
      <xdr:spPr>
        <a:xfrm>
          <a:off x="142876" y="238125"/>
          <a:ext cx="1028700" cy="390525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ES" sz="800"/>
            <a:t>Pegar</a:t>
          </a:r>
          <a:r>
            <a:rPr lang="es-ES" sz="800" baseline="0"/>
            <a:t> CUPS aquí (F1)...</a:t>
          </a:r>
          <a:endParaRPr lang="es-ES" sz="800"/>
        </a:p>
      </xdr:txBody>
    </xdr:sp>
    <xdr:clientData/>
  </xdr:twoCellAnchor>
  <xdr:twoCellAnchor>
    <xdr:from>
      <xdr:col>1</xdr:col>
      <xdr:colOff>561976</xdr:colOff>
      <xdr:row>1</xdr:row>
      <xdr:rowOff>209550</xdr:rowOff>
    </xdr:from>
    <xdr:to>
      <xdr:col>3</xdr:col>
      <xdr:colOff>361950</xdr:colOff>
      <xdr:row>1</xdr:row>
      <xdr:rowOff>428625</xdr:rowOff>
    </xdr:to>
    <xdr:cxnSp macro="">
      <xdr:nvCxnSpPr>
        <xdr:cNvPr id="6" name="Conector recto de flecha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CxnSpPr>
          <a:stCxn id="5" idx="3"/>
        </xdr:cNvCxnSpPr>
      </xdr:nvCxnSpPr>
      <xdr:spPr>
        <a:xfrm flipV="1">
          <a:off x="1171576" y="552450"/>
          <a:ext cx="1495424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704850</xdr:colOff>
      <xdr:row>1</xdr:row>
      <xdr:rowOff>209550</xdr:rowOff>
    </xdr:from>
    <xdr:ext cx="184731" cy="264560"/>
    <xdr:sp macro="" textlink="">
      <xdr:nvSpPr>
        <xdr:cNvPr id="7" name="CuadroTexto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SpPr txBox="1"/>
      </xdr:nvSpPr>
      <xdr:spPr>
        <a:xfrm>
          <a:off x="1314450" y="5524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s-ES" sz="1100"/>
        </a:p>
      </xdr:txBody>
    </xdr:sp>
    <xdr:clientData/>
  </xdr:oneCellAnchor>
  <xdr:twoCellAnchor>
    <xdr:from>
      <xdr:col>0</xdr:col>
      <xdr:colOff>142876</xdr:colOff>
      <xdr:row>1</xdr:row>
      <xdr:rowOff>228600</xdr:rowOff>
    </xdr:from>
    <xdr:to>
      <xdr:col>1</xdr:col>
      <xdr:colOff>561976</xdr:colOff>
      <xdr:row>2</xdr:row>
      <xdr:rowOff>133350</xdr:rowOff>
    </xdr:to>
    <xdr:sp macro="" textlink="">
      <xdr:nvSpPr>
        <xdr:cNvPr id="5" name="CuadroTexto 4">
          <a:extLst>
            <a:ext uri="{FF2B5EF4-FFF2-40B4-BE49-F238E27FC236}">
              <a16:creationId xmlns:a16="http://schemas.microsoft.com/office/drawing/2014/main" id="{90FCDD18-AF89-4F0B-B5B2-44A84B251946}"/>
            </a:ext>
          </a:extLst>
        </xdr:cNvPr>
        <xdr:cNvSpPr txBox="1"/>
      </xdr:nvSpPr>
      <xdr:spPr>
        <a:xfrm>
          <a:off x="142876" y="571500"/>
          <a:ext cx="1028700" cy="400050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ES" sz="800"/>
            <a:t>Pegar</a:t>
          </a:r>
          <a:r>
            <a:rPr lang="es-ES" sz="800" baseline="0"/>
            <a:t> nombre archivo aquí (D2)...</a:t>
          </a:r>
          <a:endParaRPr lang="es-ES" sz="800"/>
        </a:p>
      </xdr:txBody>
    </xdr:sp>
    <xdr:clientData/>
  </xdr:twoCellAnchor>
  <xdr:twoCellAnchor>
    <xdr:from>
      <xdr:col>1</xdr:col>
      <xdr:colOff>552451</xdr:colOff>
      <xdr:row>0</xdr:row>
      <xdr:rowOff>219075</xdr:rowOff>
    </xdr:from>
    <xdr:to>
      <xdr:col>5</xdr:col>
      <xdr:colOff>123825</xdr:colOff>
      <xdr:row>1</xdr:row>
      <xdr:rowOff>57150</xdr:rowOff>
    </xdr:to>
    <xdr:cxnSp macro="">
      <xdr:nvCxnSpPr>
        <xdr:cNvPr id="10" name="Conector recto de flecha 9">
          <a:extLst>
            <a:ext uri="{FF2B5EF4-FFF2-40B4-BE49-F238E27FC236}">
              <a16:creationId xmlns:a16="http://schemas.microsoft.com/office/drawing/2014/main" id="{8655506C-D1AB-4306-B2E5-E274DDD168CF}"/>
            </a:ext>
          </a:extLst>
        </xdr:cNvPr>
        <xdr:cNvCxnSpPr/>
      </xdr:nvCxnSpPr>
      <xdr:spPr>
        <a:xfrm flipV="1">
          <a:off x="1162051" y="219075"/>
          <a:ext cx="2962274" cy="1809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83820</xdr:colOff>
          <xdr:row>1</xdr:row>
          <xdr:rowOff>121920</xdr:rowOff>
        </xdr:from>
        <xdr:to>
          <xdr:col>15</xdr:col>
          <xdr:colOff>518160</xdr:colOff>
          <xdr:row>1</xdr:row>
          <xdr:rowOff>266700</xdr:rowOff>
        </xdr:to>
        <xdr:sp macro="" textlink="">
          <xdr:nvSpPr>
            <xdr:cNvPr id="8193" name="Option 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9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83820</xdr:colOff>
          <xdr:row>0</xdr:row>
          <xdr:rowOff>99060</xdr:rowOff>
        </xdr:from>
        <xdr:to>
          <xdr:col>15</xdr:col>
          <xdr:colOff>518160</xdr:colOff>
          <xdr:row>1</xdr:row>
          <xdr:rowOff>45720</xdr:rowOff>
        </xdr:to>
        <xdr:sp macro="" textlink="">
          <xdr:nvSpPr>
            <xdr:cNvPr id="8194" name="Option 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9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76200</xdr:colOff>
          <xdr:row>0</xdr:row>
          <xdr:rowOff>99060</xdr:rowOff>
        </xdr:from>
        <xdr:to>
          <xdr:col>16</xdr:col>
          <xdr:colOff>502920</xdr:colOff>
          <xdr:row>1</xdr:row>
          <xdr:rowOff>45720</xdr:rowOff>
        </xdr:to>
        <xdr:sp macro="" textlink="">
          <xdr:nvSpPr>
            <xdr:cNvPr id="8196" name="Option 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9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CMD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632460</xdr:colOff>
          <xdr:row>0</xdr:row>
          <xdr:rowOff>45720</xdr:rowOff>
        </xdr:from>
        <xdr:to>
          <xdr:col>19</xdr:col>
          <xdr:colOff>0</xdr:colOff>
          <xdr:row>1</xdr:row>
          <xdr:rowOff>312420</xdr:rowOff>
        </xdr:to>
        <xdr:sp macro="" textlink="">
          <xdr:nvSpPr>
            <xdr:cNvPr id="8206" name="Option Button 14" hidden="1">
              <a:extLst>
                <a:ext uri="{63B3BB69-23CF-44E3-9099-C40C66FF867C}">
                  <a14:compatExt spid="_x0000_s8206"/>
                </a:ext>
                <a:ext uri="{FF2B5EF4-FFF2-40B4-BE49-F238E27FC236}">
                  <a16:creationId xmlns:a16="http://schemas.microsoft.com/office/drawing/2014/main" id="{00000000-0008-0000-0900-00000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76200</xdr:colOff>
          <xdr:row>1</xdr:row>
          <xdr:rowOff>121920</xdr:rowOff>
        </xdr:from>
        <xdr:to>
          <xdr:col>16</xdr:col>
          <xdr:colOff>502920</xdr:colOff>
          <xdr:row>1</xdr:row>
          <xdr:rowOff>266700</xdr:rowOff>
        </xdr:to>
        <xdr:sp macro="" textlink="">
          <xdr:nvSpPr>
            <xdr:cNvPr id="8195" name="Option 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9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CTE.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</xdr:colOff>
          <xdr:row>0</xdr:row>
          <xdr:rowOff>7620</xdr:rowOff>
        </xdr:from>
        <xdr:to>
          <xdr:col>0</xdr:col>
          <xdr:colOff>617220</xdr:colOff>
          <xdr:row>0</xdr:row>
          <xdr:rowOff>175260</xdr:rowOff>
        </xdr:to>
        <xdr:sp macro="" textlink="">
          <xdr:nvSpPr>
            <xdr:cNvPr id="8209" name="Button 17" hidden="1">
              <a:extLst>
                <a:ext uri="{63B3BB69-23CF-44E3-9099-C40C66FF867C}">
                  <a14:compatExt spid="_x0000_s8209"/>
                </a:ext>
                <a:ext uri="{FF2B5EF4-FFF2-40B4-BE49-F238E27FC236}">
                  <a16:creationId xmlns:a16="http://schemas.microsoft.com/office/drawing/2014/main" id="{00000000-0008-0000-0900-00001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Tipo 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</xdr:colOff>
          <xdr:row>1</xdr:row>
          <xdr:rowOff>182880</xdr:rowOff>
        </xdr:from>
        <xdr:to>
          <xdr:col>0</xdr:col>
          <xdr:colOff>617220</xdr:colOff>
          <xdr:row>2</xdr:row>
          <xdr:rowOff>0</xdr:rowOff>
        </xdr:to>
        <xdr:sp macro="" textlink="">
          <xdr:nvSpPr>
            <xdr:cNvPr id="8211" name="Button 19" hidden="1">
              <a:extLst>
                <a:ext uri="{63B3BB69-23CF-44E3-9099-C40C66FF867C}">
                  <a14:compatExt spid="_x0000_s8211"/>
                </a:ext>
                <a:ext uri="{FF2B5EF4-FFF2-40B4-BE49-F238E27FC236}">
                  <a16:creationId xmlns:a16="http://schemas.microsoft.com/office/drawing/2014/main" id="{00000000-0008-0000-0900-00001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Tipo IV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</xdr:colOff>
          <xdr:row>1</xdr:row>
          <xdr:rowOff>0</xdr:rowOff>
        </xdr:from>
        <xdr:to>
          <xdr:col>0</xdr:col>
          <xdr:colOff>617220</xdr:colOff>
          <xdr:row>1</xdr:row>
          <xdr:rowOff>160020</xdr:rowOff>
        </xdr:to>
        <xdr:sp macro="" textlink="">
          <xdr:nvSpPr>
            <xdr:cNvPr id="8213" name="Button 21" hidden="1">
              <a:extLst>
                <a:ext uri="{63B3BB69-23CF-44E3-9099-C40C66FF867C}">
                  <a14:compatExt spid="_x0000_s8213"/>
                </a:ext>
                <a:ext uri="{FF2B5EF4-FFF2-40B4-BE49-F238E27FC236}">
                  <a16:creationId xmlns:a16="http://schemas.microsoft.com/office/drawing/2014/main" id="{00000000-0008-0000-0900-00001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TV DH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640080</xdr:colOff>
          <xdr:row>0</xdr:row>
          <xdr:rowOff>7620</xdr:rowOff>
        </xdr:from>
        <xdr:to>
          <xdr:col>1</xdr:col>
          <xdr:colOff>518160</xdr:colOff>
          <xdr:row>1</xdr:row>
          <xdr:rowOff>350520</xdr:rowOff>
        </xdr:to>
        <xdr:sp macro="" textlink="">
          <xdr:nvSpPr>
            <xdr:cNvPr id="8214" name="Button 22" hidden="1">
              <a:extLst>
                <a:ext uri="{63B3BB69-23CF-44E3-9099-C40C66FF867C}">
                  <a14:compatExt spid="_x0000_s8214"/>
                </a:ext>
                <a:ext uri="{FF2B5EF4-FFF2-40B4-BE49-F238E27FC236}">
                  <a16:creationId xmlns:a16="http://schemas.microsoft.com/office/drawing/2014/main" id="{00000000-0008-0000-0900-00001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Validar periodo</a:t>
              </a:r>
            </a:p>
          </xdr:txBody>
        </xdr:sp>
        <xdr:clientData fPrintsWithSheet="0"/>
      </xdr:twoCellAnchor>
    </mc:Choice>
    <mc:Fallback/>
  </mc:AlternateContent>
  <xdr:twoCellAnchor>
    <xdr:from>
      <xdr:col>20</xdr:col>
      <xdr:colOff>9524</xdr:colOff>
      <xdr:row>1</xdr:row>
      <xdr:rowOff>238125</xdr:rowOff>
    </xdr:from>
    <xdr:to>
      <xdr:col>28</xdr:col>
      <xdr:colOff>133350</xdr:colOff>
      <xdr:row>3</xdr:row>
      <xdr:rowOff>257176</xdr:rowOff>
    </xdr:to>
    <xdr:sp macro="[0]!Sumar_P2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FF29A11A-E3C8-5F2A-EB2A-30E4F819A9AF}"/>
            </a:ext>
          </a:extLst>
        </xdr:cNvPr>
        <xdr:cNvSpPr/>
      </xdr:nvSpPr>
      <xdr:spPr>
        <a:xfrm>
          <a:off x="11963399" y="428625"/>
          <a:ext cx="1666876" cy="514351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ES" sz="1100"/>
            <a:t>Sumar</a:t>
          </a:r>
          <a:r>
            <a:rPr lang="es-ES" sz="1100" baseline="0"/>
            <a:t> consumos en P2 para simular valoración.</a:t>
          </a:r>
          <a:endParaRPr lang="es-E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19050</xdr:colOff>
      <xdr:row>7</xdr:row>
      <xdr:rowOff>104775</xdr:rowOff>
    </xdr:from>
    <xdr:to>
      <xdr:col>10</xdr:col>
      <xdr:colOff>697050</xdr:colOff>
      <xdr:row>11</xdr:row>
      <xdr:rowOff>62775</xdr:rowOff>
    </xdr:to>
    <xdr:sp macro="[0]!MetodoCerrarLibrosinGuardarCambios" textlink="">
      <xdr:nvSpPr>
        <xdr:cNvPr id="2" name="Rectángulo redondeado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7115175" y="1628775"/>
          <a:ext cx="1440000" cy="720000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65000"/>
            </a:schemeClr>
          </a:solidFill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200" b="1">
              <a:solidFill>
                <a:schemeClr val="bg1">
                  <a:lumMod val="85000"/>
                </a:schemeClr>
              </a:solidFill>
            </a:rPr>
            <a:t>Salir sin guardar</a:t>
          </a:r>
          <a:r>
            <a:rPr lang="es-ES" sz="1200" b="1" baseline="0">
              <a:solidFill>
                <a:schemeClr val="bg1">
                  <a:lumMod val="85000"/>
                </a:schemeClr>
              </a:solidFill>
            </a:rPr>
            <a:t> cambios</a:t>
          </a:r>
          <a:endParaRPr lang="es-ES" sz="1200" b="1">
            <a:solidFill>
              <a:schemeClr val="bg1">
                <a:lumMod val="85000"/>
              </a:schemeClr>
            </a:solidFill>
          </a:endParaRPr>
        </a:p>
      </xdr:txBody>
    </xdr:sp>
    <xdr:clientData/>
  </xdr:twoCellAnchor>
  <xdr:twoCellAnchor>
    <xdr:from>
      <xdr:col>9</xdr:col>
      <xdr:colOff>28575</xdr:colOff>
      <xdr:row>12</xdr:row>
      <xdr:rowOff>104775</xdr:rowOff>
    </xdr:from>
    <xdr:to>
      <xdr:col>10</xdr:col>
      <xdr:colOff>706575</xdr:colOff>
      <xdr:row>16</xdr:row>
      <xdr:rowOff>0</xdr:rowOff>
    </xdr:to>
    <xdr:sp macro="[0]!CopiarComentario" textlink="">
      <xdr:nvSpPr>
        <xdr:cNvPr id="3" name="Rectángulo redondeado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7124700" y="2581275"/>
          <a:ext cx="1440000" cy="720000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65000"/>
            </a:schemeClr>
          </a:solidFill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200" b="1">
              <a:solidFill>
                <a:schemeClr val="bg1">
                  <a:lumMod val="85000"/>
                </a:schemeClr>
              </a:solidFill>
            </a:rPr>
            <a:t>Copiar</a:t>
          </a:r>
          <a:r>
            <a:rPr lang="es-ES" sz="1200" b="1" baseline="0">
              <a:solidFill>
                <a:schemeClr val="bg1">
                  <a:lumMod val="85000"/>
                </a:schemeClr>
              </a:solidFill>
            </a:rPr>
            <a:t> comentario</a:t>
          </a:r>
          <a:endParaRPr lang="es-ES" sz="1200" b="1">
            <a:solidFill>
              <a:schemeClr val="bg1">
                <a:lumMod val="85000"/>
              </a:schemeClr>
            </a:solidFill>
          </a:endParaRP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ncarnacion Ceballos Ponce" refreshedDate="45961.437206249997" createdVersion="5" refreshedVersion="8" minRefreshableVersion="3" recordCount="198" xr:uid="{00000000-000A-0000-FFFF-FFFF9F000000}">
  <cacheSource type="worksheet">
    <worksheetSource ref="A2:AB200" sheet="Listado"/>
  </cacheSource>
  <cacheFields count="28">
    <cacheField name="Contrato" numFmtId="0">
      <sharedItems containsMixedTypes="1" containsNumber="1" containsInteger="1" minValue="97067967539" maxValue="500018185086"/>
    </cacheField>
    <cacheField name="Secuencial factura" numFmtId="0">
      <sharedItems containsMixedTypes="1" containsNumber="1" containsInteger="1" minValue="0" maxValue="0"/>
    </cacheField>
    <cacheField name="Fecha Inicio" numFmtId="14">
      <sharedItems containsDate="1" containsMixedTypes="1" minDate="2018-01-08T00:00:00" maxDate="2025-08-12T00:00:00"/>
    </cacheField>
    <cacheField name="Fecha fin" numFmtId="14">
      <sharedItems containsDate="1" containsMixedTypes="1" minDate="1899-12-30T00:00:00" maxDate="2025-09-09T00:00:00" count="1178">
        <d v="2018-02-06T00:00:00"/>
        <d v="2018-03-06T00:00:00"/>
        <d v="2018-04-05T00:00:00"/>
        <d v="2018-05-07T00:00:00"/>
        <d v="2018-06-06T00:00:00"/>
        <d v="2018-07-06T00:00:00"/>
        <d v="2018-08-06T00:00:00"/>
        <d v="2018-09-03T00:00:00"/>
        <d v="2018-10-02T00:00:00"/>
        <d v="2018-11-06T00:00:00"/>
        <d v="2018-12-04T00:00:00"/>
        <d v="2019-01-07T00:00:00"/>
        <d v="2019-02-04T00:00:00"/>
        <d v="2019-03-05T00:00:00"/>
        <d v="2019-04-01T00:00:00"/>
        <d v="2019-05-04T00:00:00"/>
        <d v="2019-06-04T00:00:00"/>
        <d v="2019-07-02T00:00:00"/>
        <d v="2019-08-04T00:00:00"/>
        <d v="2019-09-02T00:00:00"/>
        <d v="2019-10-02T00:00:00"/>
        <d v="2019-11-04T00:00:00"/>
        <d v="2019-12-02T00:00:00"/>
        <d v="2020-01-06T00:00:00"/>
        <d v="2020-02-03T00:00:00"/>
        <d v="2020-03-02T00:00:00"/>
        <d v="2020-04-04T00:00:00"/>
        <d v="2020-05-05T00:00:00"/>
        <d v="2020-06-02T00:00:00"/>
        <d v="2020-07-05T00:00:00"/>
        <d v="2020-08-04T00:00:00"/>
        <d v="2020-09-02T00:00:00"/>
        <d v="2020-10-04T00:00:00"/>
        <d v="2020-11-05T00:00:00"/>
        <d v="2020-12-03T00:00:00"/>
        <d v="2021-01-07T00:00:00"/>
        <d v="2021-02-03T00:00:00"/>
        <d v="2021-03-04T00:00:00"/>
        <d v="2021-04-07T00:00:00"/>
        <d v="2021-05-05T00:00:00"/>
        <d v="2021-05-31T00:00:00"/>
        <d v="2021-07-04T00:00:00"/>
        <d v="2021-08-03T00:00:00"/>
        <d v="2021-09-04T00:00:00"/>
        <d v="2021-10-04T00:00:00"/>
        <d v="2021-11-02T00:00:00"/>
        <d v="2021-11-30T00:00:00"/>
        <d v="2021-12-31T00:00:00"/>
        <d v="2022-01-30T00:00:00"/>
        <d v="2022-02-25T00:00:00"/>
        <d v="2022-03-03T00:00:00"/>
        <d v="2022-04-02T00:00:00"/>
        <d v="2022-05-02T00:00:00"/>
        <d v="2022-05-28T00:00:00"/>
        <d v="2022-07-02T00:00:00"/>
        <d v="2022-07-25T00:00:00"/>
        <d v="2022-08-20T00:00:00"/>
        <d v="2022-09-23T00:00:00"/>
        <d v="2022-10-23T00:00:00"/>
        <d v="2022-12-22T00:00:00"/>
        <d v="2023-02-16T00:00:00"/>
        <d v="2023-03-17T00:00:00"/>
        <d v="2023-04-21T00:00:00"/>
        <d v="2023-05-16T00:00:00"/>
        <d v="2023-06-17T00:00:00"/>
        <d v="2023-06-19T00:00:00"/>
        <d v="2023-08-20T00:00:00"/>
        <d v="2023-09-15T00:00:00"/>
        <d v="2023-10-20T00:00:00"/>
        <d v="2023-11-24T00:00:00"/>
        <d v="2023-12-20T00:00:00"/>
        <d v="2024-01-20T00:00:00"/>
        <d v="2024-02-19T00:00:00"/>
        <d v="2024-03-12T00:00:00"/>
        <d v="2024-04-18T00:00:00"/>
        <d v="2024-05-21T00:00:00"/>
        <d v="2024-07-18T00:00:00"/>
        <d v="2024-09-18T00:00:00"/>
        <d v="2024-10-18T00:00:00"/>
        <d v="2024-11-15T00:00:00"/>
        <d v="2024-12-14T00:00:00"/>
        <d v="2025-01-13T00:00:00"/>
        <d v="2025-02-08T00:00:00"/>
        <d v="2025-03-11T00:00:00"/>
        <d v="2025-04-08T00:00:00"/>
        <d v="2025-05-11T00:00:00"/>
        <d v="2025-06-10T00:00:00"/>
        <d v="2025-07-05T00:00:00"/>
        <d v="2025-08-10T00:00:00"/>
        <d v="2025-09-08T00:00:00"/>
        <s v=""/>
        <d v="1899-12-30T00:00:00" u="1"/>
        <d v="2016-11-26T00:00:00" u="1"/>
        <d v="2016-12-28T00:00:00" u="1"/>
        <d v="2017-02-24T00:00:00" u="1"/>
        <d v="2017-04-28T00:00:00" u="1"/>
        <d v="2017-06-28T00:00:00" u="1"/>
        <d v="2017-08-29T00:00:00" u="1"/>
        <d v="2017-10-30T00:00:00" u="1"/>
        <d v="2017-12-27T00:00:00" u="1"/>
        <d v="2018-04-02T00:00:00" u="1"/>
        <d v="2018-04-25T00:00:00" u="1"/>
        <d v="2018-05-27T00:00:00" u="1"/>
        <d v="2018-06-27T00:00:00" u="1"/>
        <d v="2018-07-26T00:00:00" u="1"/>
        <d v="2018-08-28T00:00:00" u="1"/>
        <d v="2018-09-27T00:00:00" u="1"/>
        <d v="2018-10-23T00:00:00" u="1"/>
        <d v="2018-11-24T00:00:00" u="1"/>
        <d v="2018-12-26T00:00:00" u="1"/>
        <d v="2019-01-26T00:00:00" u="1"/>
        <d v="2019-02-20T00:00:00" u="1"/>
        <d v="2019-03-24T00:00:00" u="1"/>
        <d v="2019-04-23T00:00:00" u="1"/>
        <d v="2019-05-24T00:00:00" u="1"/>
        <d v="2019-06-23T00:00:00" u="1"/>
        <d v="2019-07-22T00:00:00" u="1"/>
        <d v="2019-08-24T00:00:00" u="1"/>
        <d v="2019-09-23T00:00:00" u="1"/>
        <d v="2019-10-22T00:00:00" u="1"/>
        <d v="2019-11-24T00:00:00" u="1"/>
        <d v="2019-12-25T00:00:00" u="1"/>
        <d v="2020-01-25T00:00:00" u="1"/>
        <d v="2020-02-23T00:00:00" u="1"/>
        <d v="2020-03-22T00:00:00" u="1"/>
        <d v="2020-04-25T00:00:00" u="1"/>
        <d v="2020-05-25T00:00:00" u="1"/>
        <d v="2020-06-21T00:00:00" u="1"/>
        <d v="2020-07-22T00:00:00" u="1"/>
        <d v="2020-08-23T00:00:00" u="1"/>
        <d v="2020-09-21T00:00:00" u="1"/>
        <d v="2020-10-25T00:00:00" u="1"/>
        <d v="2020-11-23T00:00:00" u="1"/>
        <d v="2020-12-27T00:00:00" u="1"/>
        <d v="2021-01-26T00:00:00" u="1"/>
        <d v="2021-02-19T00:00:00" u="1"/>
        <d v="2021-03-24T00:00:00" u="1"/>
        <d v="2021-04-27T00:00:00" u="1"/>
        <d v="2021-05-25T00:00:00" u="1"/>
        <d v="2021-06-22T00:00:00" u="1"/>
        <d v="2021-07-21T00:00:00" u="1"/>
        <d v="2021-08-24T00:00:00" u="1"/>
        <d v="2021-09-23T00:00:00" u="1"/>
        <d v="2021-11-23T00:00:00" u="1"/>
        <d v="2021-12-23T00:00:00" u="1"/>
        <d v="2022-01-24T00:00:00" u="1"/>
        <d v="2022-02-21T00:00:00" u="1"/>
        <d v="2022-03-19T00:00:00" u="1"/>
        <d v="2022-04-25T00:00:00" u="1"/>
        <d v="2022-05-21T00:00:00" u="1"/>
        <d v="2022-06-21T00:00:00" u="1"/>
        <d v="2022-07-23T00:00:00" u="1"/>
        <d v="2022-09-22T00:00:00" u="1"/>
        <d v="2022-10-21T00:00:00" u="1"/>
        <d v="2022-11-22T00:00:00" u="1"/>
        <d v="2022-12-24T00:00:00" u="1"/>
        <d v="2023-01-22T00:00:00" u="1"/>
        <d v="2023-02-21T00:00:00" u="1"/>
        <d v="2023-03-19T00:00:00" u="1"/>
        <d v="2023-04-25T00:00:00" u="1"/>
        <d v="2023-05-20T00:00:00" u="1"/>
        <d v="2023-07-23T00:00:00" u="1"/>
        <d v="2023-08-19T00:00:00" u="1"/>
        <d v="2023-09-22T00:00:00" u="1"/>
        <d v="2023-11-19T00:00:00" u="1"/>
        <d v="2023-12-25T00:00:00" u="1"/>
        <d v="2024-01-19T00:00:00" u="1"/>
        <d v="2024-02-21T00:00:00" u="1"/>
        <d v="2024-03-20T00:00:00" u="1"/>
        <d v="2024-04-20T00:00:00" u="1"/>
        <d v="2024-05-07T00:00:00" u="1"/>
        <d v="2024-06-22T00:00:00" u="1"/>
        <d v="2024-07-23T00:00:00" u="1"/>
        <d v="2024-08-21T00:00:00" u="1"/>
        <d v="2024-09-20T00:00:00" u="1"/>
        <d v="2024-10-20T00:00:00" u="1"/>
        <d v="2024-11-22T00:00:00" u="1"/>
        <d v="2024-12-21T00:00:00" u="1"/>
        <d v="2025-01-21T00:00:00" u="1"/>
        <d v="2025-02-18T00:00:00" u="1"/>
        <d v="2025-03-21T00:00:00" u="1"/>
        <d v="2025-03-28T00:00:00" u="1"/>
        <d v="2025-04-14T00:00:00" u="1"/>
        <d v="2017-04-17T00:00:00" u="1"/>
        <d v="2017-05-15T00:00:00" u="1"/>
        <d v="2017-06-14T00:00:00" u="1"/>
        <d v="2017-07-13T00:00:00" u="1"/>
        <d v="2017-08-13T00:00:00" u="1"/>
        <d v="2017-09-13T00:00:00" u="1"/>
        <d v="2017-10-15T00:00:00" u="1"/>
        <d v="2017-11-14T00:00:00" u="1"/>
        <d v="2017-12-14T00:00:00" u="1"/>
        <d v="2018-01-14T00:00:00" u="1"/>
        <d v="2018-02-12T00:00:00" u="1"/>
        <d v="2018-03-13T00:00:00" u="1"/>
        <d v="2018-04-12T00:00:00" u="1"/>
        <d v="2018-05-15T00:00:00" u="1"/>
        <d v="2018-06-13T00:00:00" u="1"/>
        <d v="2018-07-12T00:00:00" u="1"/>
        <d v="2018-08-13T00:00:00" u="1"/>
        <d v="2018-09-10T00:00:00" u="1"/>
        <d v="2018-10-09T00:00:00" u="1"/>
        <d v="2018-11-10T00:00:00" u="1"/>
        <d v="2018-12-12T00:00:00" u="1"/>
        <d v="2019-01-13T00:00:00" u="1"/>
        <d v="2019-02-11T00:00:00" u="1"/>
        <d v="2019-03-10T00:00:00" u="1"/>
        <d v="2019-04-08T00:00:00" u="1"/>
        <d v="2019-05-10T00:00:00" u="1"/>
        <d v="2019-06-11T00:00:00" u="1"/>
        <d v="2019-07-09T00:00:00" u="1"/>
        <d v="2019-08-11T00:00:00" u="1"/>
        <d v="2019-09-09T00:00:00" u="1"/>
        <d v="2019-10-09T00:00:00" u="1"/>
        <d v="2019-11-12T00:00:00" u="1"/>
        <d v="2019-12-14T00:00:00" u="1"/>
        <d v="2020-01-13T00:00:00" u="1"/>
        <d v="2020-02-10T00:00:00" u="1"/>
        <d v="2020-03-09T00:00:00" u="1"/>
        <d v="2020-04-13T00:00:00" u="1"/>
        <d v="2020-05-11T00:00:00" u="1"/>
        <d v="2020-06-09T00:00:00" u="1"/>
        <d v="2020-07-11T00:00:00" u="1"/>
        <d v="2020-08-11T00:00:00" u="1"/>
        <d v="2020-09-09T00:00:00" u="1"/>
        <d v="2020-10-12T00:00:00" u="1"/>
        <d v="2020-11-12T00:00:00" u="1"/>
        <d v="2020-12-22T00:00:00" u="1"/>
        <d v="2021-01-24T00:00:00" u="1"/>
        <d v="2021-02-21T00:00:00" u="1"/>
        <d v="2021-03-22T00:00:00" u="1"/>
        <d v="2021-04-25T00:00:00" u="1"/>
        <d v="2021-05-23T00:00:00" u="1"/>
        <d v="2021-06-20T00:00:00" u="1"/>
        <d v="2021-07-19T00:00:00" u="1"/>
        <d v="2021-08-21T00:00:00" u="1"/>
        <d v="2021-09-20T00:00:00" u="1"/>
        <d v="2021-10-22T00:00:00" u="1"/>
        <d v="2021-11-20T00:00:00" u="1"/>
        <d v="2021-12-22T00:00:00" u="1"/>
        <d v="2022-01-22T00:00:00" u="1"/>
        <d v="2022-03-20T00:00:00" u="1"/>
        <d v="2022-04-24T00:00:00" u="1"/>
        <d v="2022-06-19T00:00:00" u="1"/>
        <d v="2022-07-20T00:00:00" u="1"/>
        <d v="2022-09-21T00:00:00" u="1"/>
        <d v="2022-10-22T00:00:00" u="1"/>
        <d v="2022-11-21T00:00:00" u="1"/>
        <d v="2022-12-25T00:00:00" u="1"/>
        <d v="2023-02-20T00:00:00" u="1"/>
        <d v="2023-03-20T00:00:00" u="1"/>
        <d v="2023-04-23T00:00:00" u="1"/>
        <d v="2023-05-22T00:00:00" u="1"/>
        <d v="2023-07-21T00:00:00" u="1"/>
        <d v="2023-08-22T00:00:00" u="1"/>
        <d v="2023-09-19T00:00:00" u="1"/>
        <d v="2023-10-23T00:00:00" u="1"/>
        <d v="2023-11-20T00:00:00" u="1"/>
        <d v="2024-01-21T00:00:00" u="1"/>
        <d v="2024-02-18T00:00:00" u="1"/>
        <d v="2024-05-18T00:00:00" u="1"/>
        <d v="2024-07-19T00:00:00" u="1"/>
        <d v="2024-09-21T00:00:00" u="1"/>
        <d v="2024-11-01T00:00:00" u="1"/>
        <d v="2024-11-29T00:00:00" u="1"/>
        <d v="2024-12-30T00:00:00" u="1"/>
        <d v="2025-02-01T00:00:00" u="1"/>
        <d v="2025-02-28T00:00:00" u="1"/>
        <d v="2025-03-30T00:00:00" u="1"/>
        <d v="2017-09-05T00:00:00" u="1"/>
        <d v="2017-10-03T00:00:00" u="1"/>
        <d v="2017-11-05T00:00:00" u="1"/>
        <d v="2018-01-05T00:00:00" u="1"/>
        <d v="2018-05-06T00:00:00" u="1"/>
        <d v="2018-06-04T00:00:00" u="1"/>
        <d v="2018-07-03T00:00:00" u="1"/>
        <d v="2018-08-03T00:00:00" u="1"/>
        <d v="2018-12-03T00:00:00" u="1"/>
        <d v="2019-01-05T00:00:00" u="1"/>
        <d v="2019-02-05T00:00:00" u="1"/>
        <d v="2019-03-06T00:00:00" u="1"/>
        <d v="2019-04-03T00:00:00" u="1"/>
        <d v="2019-05-05T00:00:00" u="1"/>
        <d v="2019-07-01T00:00:00" u="1"/>
        <d v="2019-08-05T00:00:00" u="1"/>
        <d v="2019-09-04T00:00:00" u="1"/>
        <d v="2019-10-03T00:00:00" u="1"/>
        <d v="2019-12-04T00:00:00" u="1"/>
        <d v="2020-01-07T00:00:00" u="1"/>
        <d v="2020-02-04T00:00:00" u="1"/>
        <d v="2020-03-03T00:00:00" u="1"/>
        <d v="2020-04-05T00:00:00" u="1"/>
        <d v="2020-05-06T00:00:00" u="1"/>
        <d v="2020-06-03T00:00:00" u="1"/>
        <d v="2020-09-03T00:00:00" u="1"/>
        <d v="2020-10-05T00:00:00" u="1"/>
        <d v="2020-11-04T00:00:00" u="1"/>
        <d v="2021-04-08T00:00:00" u="1"/>
        <d v="2021-06-03T00:00:00" u="1"/>
        <d v="2021-06-04T00:00:00" u="1"/>
        <d v="2021-08-02T00:00:00" u="1"/>
        <d v="2021-09-03T00:00:00" u="1"/>
        <d v="2021-10-02T00:00:00" u="1"/>
        <d v="2022-03-31T00:00:00" u="1"/>
        <d v="2022-05-31T00:00:00" u="1"/>
        <d v="2022-06-30T00:00:00" u="1"/>
        <d v="2022-08-31T00:00:00" u="1"/>
        <d v="2022-09-30T00:00:00" u="1"/>
        <d v="2023-02-28T00:00:00" u="1"/>
        <d v="2023-03-31T00:00:00" u="1"/>
        <d v="2023-06-30T00:00:00" u="1"/>
        <d v="2023-11-04T00:00:00" u="1"/>
        <d v="2023-12-03T00:00:00" u="1"/>
        <d v="2024-01-02T00:00:00" u="1"/>
        <d v="2024-02-01T00:00:00" u="1"/>
        <d v="2024-03-03T00:00:00" u="1"/>
        <d v="2024-04-02T00:00:00" u="1"/>
        <d v="2024-05-05T00:00:00" u="1"/>
        <d v="2024-06-04T00:00:00" u="1"/>
        <d v="2024-07-01T00:00:00" u="1"/>
        <d v="2024-07-31T00:00:00" u="1"/>
        <d v="2024-08-20T00:00:00" u="1"/>
        <d v="2024-08-27T00:00:00" u="1"/>
        <d v="2024-09-23T00:00:00" u="1"/>
        <d v="2024-10-22T00:00:00" u="1"/>
        <d v="2024-11-25T00:00:00" u="1"/>
        <d v="2024-12-25T00:00:00" u="1"/>
        <d v="2025-01-07T00:00:00" u="1"/>
        <d v="2025-02-05T00:00:00" u="1"/>
        <d v="2025-02-22T00:00:00" u="1"/>
        <d v="2025-02-26T00:00:00" u="1"/>
        <d v="2017-12-06T00:00:00" u="1"/>
        <d v="2021-11-01T00:00:00" u="1"/>
        <d v="2021-12-03T00:00:00" u="1"/>
        <d v="2022-01-03T00:00:00" u="1"/>
        <d v="2022-01-31T00:00:00" u="1"/>
        <d v="2022-05-01T00:00:00" u="1"/>
        <d v="2022-07-31T00:00:00" u="1"/>
        <d v="2022-11-03T00:00:00" u="1"/>
        <d v="2022-11-11T00:00:00" u="1"/>
        <d v="2022-12-11T00:00:00" u="1"/>
        <d v="2023-01-06T00:00:00" u="1"/>
        <d v="2023-02-02T00:00:00" u="1"/>
        <d v="2023-04-30T00:00:00" u="1"/>
        <d v="2023-06-01T00:00:00" u="1"/>
        <d v="2023-07-30T00:00:00" u="1"/>
        <d v="2023-09-01T00:00:00" u="1"/>
        <d v="2023-09-30T00:00:00" u="1"/>
        <d v="2011-06-30T00:00:00" u="1"/>
        <d v="2011-07-31T00:00:00" u="1"/>
        <d v="2011-08-31T00:00:00" u="1"/>
        <d v="2011-09-30T00:00:00" u="1"/>
        <d v="2011-10-31T00:00:00" u="1"/>
        <d v="2011-11-30T00:00:00" u="1"/>
        <d v="2011-12-31T00:00:00" u="1"/>
        <d v="2012-01-31T00:00:00" u="1"/>
        <d v="2012-02-29T00:00:00" u="1"/>
        <d v="2012-03-31T00:00:00" u="1"/>
        <d v="2012-04-30T00:00:00" u="1"/>
        <d v="2012-05-31T00:00:00" u="1"/>
        <d v="2012-06-30T00:00:00" u="1"/>
        <d v="2012-07-31T00:00:00" u="1"/>
        <d v="2012-08-31T00:00:00" u="1"/>
        <d v="2012-09-30T00:00:00" u="1"/>
        <d v="2012-10-31T00:00:00" u="1"/>
        <d v="2012-11-30T00:00:00" u="1"/>
        <d v="2012-12-31T00:00:00" u="1"/>
        <d v="2013-01-31T00:00:00" u="1"/>
        <d v="2013-02-28T00:00:00" u="1"/>
        <d v="2013-03-31T00:00:00" u="1"/>
        <d v="2013-04-30T00:00:00" u="1"/>
        <d v="2013-05-31T00:00:00" u="1"/>
        <d v="2013-06-30T00:00:00" u="1"/>
        <d v="2013-07-31T00:00:00" u="1"/>
        <d v="2013-08-31T00:00:00" u="1"/>
        <d v="2013-09-27T00:00:00" u="1"/>
        <d v="2013-09-30T00:00:00" u="1"/>
        <d v="2013-10-31T00:00:00" u="1"/>
        <d v="2013-11-30T00:00:00" u="1"/>
        <d v="2013-12-31T00:00:00" u="1"/>
        <d v="2014-01-31T00:00:00" u="1"/>
        <d v="2014-02-28T00:00:00" u="1"/>
        <d v="2014-03-31T00:00:00" u="1"/>
        <d v="2014-04-30T00:00:00" u="1"/>
        <d v="2014-05-31T00:00:00" u="1"/>
        <d v="2014-06-30T00:00:00" u="1"/>
        <d v="2014-07-31T00:00:00" u="1"/>
        <d v="2014-08-31T00:00:00" u="1"/>
        <d v="2014-09-30T00:00:00" u="1"/>
        <d v="2014-10-31T00:00:00" u="1"/>
        <d v="2014-11-30T00:00:00" u="1"/>
        <d v="2014-12-31T00:00:00" u="1"/>
        <d v="2015-01-31T00:00:00" u="1"/>
        <d v="2015-02-28T00:00:00" u="1"/>
        <d v="2015-03-31T00:00:00" u="1"/>
        <d v="2015-04-30T00:00:00" u="1"/>
        <d v="2015-05-31T00:00:00" u="1"/>
        <d v="2015-06-30T00:00:00" u="1"/>
        <d v="2015-07-31T00:00:00" u="1"/>
        <d v="2015-08-31T00:00:00" u="1"/>
        <d v="2015-09-30T00:00:00" u="1"/>
        <d v="2015-10-31T00:00:00" u="1"/>
        <d v="2015-11-30T00:00:00" u="1"/>
        <d v="2015-12-31T00:00:00" u="1"/>
        <d v="2016-01-31T00:00:00" u="1"/>
        <d v="2016-02-29T00:00:00" u="1"/>
        <d v="2016-03-31T00:00:00" u="1"/>
        <d v="2016-04-30T00:00:00" u="1"/>
        <d v="2016-05-31T00:00:00" u="1"/>
        <d v="2016-06-30T00:00:00" u="1"/>
        <d v="2016-07-31T00:00:00" u="1"/>
        <d v="2016-08-31T00:00:00" u="1"/>
        <d v="2016-09-30T00:00:00" u="1"/>
        <d v="2016-10-31T00:00:00" u="1"/>
        <d v="2016-11-30T00:00:00" u="1"/>
        <d v="2016-12-31T00:00:00" u="1"/>
        <d v="2017-01-31T00:00:00" u="1"/>
        <d v="2017-02-28T00:00:00" u="1"/>
        <d v="2017-03-31T00:00:00" u="1"/>
        <d v="2017-04-30T00:00:00" u="1"/>
        <d v="2017-05-31T00:00:00" u="1"/>
        <d v="2017-06-30T00:00:00" u="1"/>
        <d v="2017-07-31T00:00:00" u="1"/>
        <d v="2017-08-31T00:00:00" u="1"/>
        <d v="2017-09-30T00:00:00" u="1"/>
        <d v="2017-10-31T00:00:00" u="1"/>
        <d v="2017-11-30T00:00:00" u="1"/>
        <d v="2017-12-31T00:00:00" u="1"/>
        <d v="2018-01-31T00:00:00" u="1"/>
        <d v="2018-02-28T00:00:00" u="1"/>
        <d v="2018-03-31T00:00:00" u="1"/>
        <d v="2018-04-30T00:00:00" u="1"/>
        <d v="2018-05-31T00:00:00" u="1"/>
        <d v="2018-06-30T00:00:00" u="1"/>
        <d v="2018-07-31T00:00:00" u="1"/>
        <d v="2018-08-31T00:00:00" u="1"/>
        <d v="2018-09-30T00:00:00" u="1"/>
        <d v="2018-10-31T00:00:00" u="1"/>
        <d v="2018-11-30T00:00:00" u="1"/>
        <d v="2018-12-31T00:00:00" u="1"/>
        <d v="2019-01-31T00:00:00" u="1"/>
        <d v="2019-02-28T00:00:00" u="1"/>
        <d v="2019-03-31T00:00:00" u="1"/>
        <d v="2019-04-30T00:00:00" u="1"/>
        <d v="2019-05-30T00:00:00" u="1"/>
        <d v="2019-06-30T00:00:00" u="1"/>
        <d v="2019-07-31T00:00:00" u="1"/>
        <d v="2019-08-31T00:00:00" u="1"/>
        <d v="2019-09-30T00:00:00" u="1"/>
        <d v="2019-10-31T00:00:00" u="1"/>
        <d v="2019-11-30T00:00:00" u="1"/>
        <d v="2019-12-31T00:00:00" u="1"/>
        <d v="2020-01-31T00:00:00" u="1"/>
        <d v="2020-02-29T00:00:00" u="1"/>
        <d v="2020-03-31T00:00:00" u="1"/>
        <d v="2020-04-30T00:00:00" u="1"/>
        <d v="2020-05-31T00:00:00" u="1"/>
        <d v="2020-06-30T00:00:00" u="1"/>
        <d v="2020-07-31T00:00:00" u="1"/>
        <d v="2020-08-31T00:00:00" u="1"/>
        <d v="2020-09-30T00:00:00" u="1"/>
        <d v="2020-10-31T00:00:00" u="1"/>
        <d v="2020-11-30T00:00:00" u="1"/>
        <d v="2020-12-31T00:00:00" u="1"/>
        <d v="2021-01-31T00:00:00" u="1"/>
        <d v="2021-02-28T00:00:00" u="1"/>
        <d v="2021-03-31T00:00:00" u="1"/>
        <d v="2021-04-30T00:00:00" u="1"/>
        <d v="2021-06-30T00:00:00" u="1"/>
        <d v="2021-07-31T00:00:00" u="1"/>
        <d v="2021-08-31T00:00:00" u="1"/>
        <d v="2021-09-30T00:00:00" u="1"/>
        <d v="2021-10-31T00:00:00" u="1"/>
        <d v="2021-11-21T00:00:00" u="1"/>
        <d v="2022-02-28T00:00:00" u="1"/>
        <d v="2022-04-30T00:00:00" u="1"/>
        <d v="2022-05-11T00:00:00" u="1"/>
        <d v="2022-07-10T00:00:00" u="1"/>
        <d v="2022-10-31T00:00:00" u="1"/>
        <d v="2022-11-30T00:00:00" u="1"/>
        <d v="2022-12-31T00:00:00" u="1"/>
        <d v="2023-01-31T00:00:00" u="1"/>
        <d v="2023-05-31T00:00:00" u="1"/>
        <d v="2023-07-31T00:00:00" u="1"/>
        <d v="2023-08-31T00:00:00" u="1"/>
        <d v="2023-10-31T00:00:00" u="1"/>
        <d v="2023-11-30T00:00:00" u="1"/>
        <d v="2023-12-31T00:00:00" u="1"/>
        <d v="2024-01-31T00:00:00" u="1"/>
        <d v="2024-02-29T00:00:00" u="1"/>
        <d v="2024-03-31T00:00:00" u="1"/>
        <d v="2024-04-30T00:00:00" u="1"/>
        <d v="2024-05-31T00:00:00" u="1"/>
        <d v="2024-06-30T00:00:00" u="1"/>
        <d v="2024-08-31T00:00:00" u="1"/>
        <d v="2024-09-30T00:00:00" u="1"/>
        <d v="2024-10-31T00:00:00" u="1"/>
        <d v="2024-11-30T00:00:00" u="1"/>
        <d v="2024-12-31T00:00:00" u="1"/>
        <d v="2025-01-31T00:00:00" u="1"/>
        <d v="2022-04-19T00:00:00" u="1"/>
        <d v="2024-03-25T00:00:00" u="1"/>
        <d v="2011-06-10T00:00:00" u="1"/>
        <d v="2011-07-12T00:00:00" u="1"/>
        <d v="2011-08-10T00:00:00" u="1"/>
        <d v="2011-09-08T00:00:00" u="1"/>
        <d v="2011-10-11T00:00:00" u="1"/>
        <d v="2011-11-10T00:00:00" u="1"/>
        <d v="2011-12-12T00:00:00" u="1"/>
        <d v="2012-01-16T00:00:00" u="1"/>
        <d v="2012-02-10T00:00:00" u="1"/>
        <d v="2012-03-12T00:00:00" u="1"/>
        <d v="2012-04-14T00:00:00" u="1"/>
        <d v="2012-05-09T00:00:00" u="1"/>
        <d v="2012-06-12T00:00:00" u="1"/>
        <d v="2012-07-08T00:00:00" u="1"/>
        <d v="2012-08-05T00:00:00" u="1"/>
        <d v="2012-09-09T00:00:00" u="1"/>
        <d v="2012-11-10T00:00:00" u="1"/>
        <d v="2013-01-11T00:00:00" u="1"/>
        <d v="2013-03-12T00:00:00" u="1"/>
        <d v="2013-05-10T00:00:00" u="1"/>
        <d v="2013-07-09T00:00:00" u="1"/>
        <d v="2013-08-14T00:00:00" u="1"/>
        <d v="2013-09-06T00:00:00" u="1"/>
        <d v="2013-11-12T00:00:00" u="1"/>
        <d v="2014-01-13T00:00:00" u="1"/>
        <d v="2014-03-12T00:00:00" u="1"/>
        <d v="2014-04-10T00:00:00" u="1"/>
        <d v="2014-05-13T00:00:00" u="1"/>
        <d v="2014-06-04T00:00:00" u="1"/>
        <d v="2014-06-11T00:00:00" u="1"/>
        <d v="2014-07-10T00:00:00" u="1"/>
        <d v="2014-08-12T00:00:00" u="1"/>
        <d v="2014-09-05T00:00:00" u="1"/>
        <d v="2014-10-07T00:00:00" u="1"/>
        <d v="2014-11-07T00:00:00" u="1"/>
        <d v="2014-12-09T00:00:00" u="1"/>
        <d v="2015-01-09T00:00:00" u="1"/>
        <d v="2015-02-06T00:00:00" u="1"/>
        <d v="2015-03-05T00:00:00" u="1"/>
        <d v="2015-04-10T00:00:00" u="1"/>
        <d v="2015-05-07T00:00:00" u="1"/>
        <d v="2015-06-04T00:00:00" u="1"/>
        <d v="2015-07-06T00:00:00" u="1"/>
        <d v="2015-08-06T00:00:00" u="1"/>
        <d v="2015-09-06T00:00:00" u="1"/>
        <d v="2015-10-06T00:00:00" u="1"/>
        <d v="2015-11-08T00:00:00" u="1"/>
        <d v="2015-12-08T00:00:00" u="1"/>
        <d v="2016-01-10T00:00:00" u="1"/>
        <d v="2016-02-04T00:00:00" u="1"/>
        <d v="2016-03-08T00:00:00" u="1"/>
        <d v="2016-04-06T00:00:00" u="1"/>
        <d v="2016-05-05T00:00:00" u="1"/>
        <d v="2016-06-06T00:00:00" u="1"/>
        <d v="2016-07-02T00:00:00" u="1"/>
        <d v="2016-08-04T00:00:00" u="1"/>
        <d v="2016-09-06T00:00:00" u="1"/>
        <d v="2016-10-10T00:00:00" u="1"/>
        <d v="2016-11-07T00:00:00" u="1"/>
        <d v="2016-12-08T00:00:00" u="1"/>
        <d v="2017-01-08T00:00:00" u="1"/>
        <d v="2017-02-06T00:00:00" u="1"/>
        <d v="2017-03-02T00:00:00" u="1"/>
        <d v="2017-04-05T00:00:00" u="1"/>
        <d v="2017-05-04T00:00:00" u="1"/>
        <d v="2017-06-04T00:00:00" u="1"/>
        <d v="2017-07-05T00:00:00" u="1"/>
        <d v="2017-08-06T00:00:00" u="1"/>
        <d v="2017-10-05T00:00:00" u="1"/>
        <d v="2017-11-07T00:00:00" u="1"/>
        <d v="2017-12-10T00:00:00" u="1"/>
        <d v="2018-01-08T00:00:00" u="1"/>
        <d v="2018-02-07T00:00:00" u="1"/>
        <d v="2018-04-08T00:00:00" u="1"/>
        <d v="2018-07-04T00:00:00" u="1"/>
        <d v="2018-08-04T00:00:00" u="1"/>
        <d v="2018-09-05T00:00:00" u="1"/>
        <d v="2018-10-01T00:00:00" u="1"/>
        <d v="2018-11-01T00:00:00" u="1"/>
        <d v="2018-12-01T00:00:00" u="1"/>
        <d v="2019-01-30T00:00:00" u="1"/>
        <d v="2019-03-02T00:00:00" u="1"/>
        <d v="2019-03-30T00:00:00" u="1"/>
        <d v="2019-06-01T00:00:00" u="1"/>
        <d v="2019-07-30T00:00:00" u="1"/>
        <d v="2019-09-29T00:00:00" u="1"/>
        <d v="2019-11-03T00:00:00" u="1"/>
        <d v="2020-01-01T00:00:00" u="1"/>
        <d v="2020-02-01T00:00:00" u="1"/>
        <d v="2020-05-02T00:00:00" u="1"/>
        <d v="2020-08-02T00:00:00" u="1"/>
        <d v="2020-09-29T00:00:00" u="1"/>
        <d v="2020-11-29T00:00:00" u="1"/>
        <d v="2021-01-03T00:00:00" u="1"/>
        <d v="2021-03-01T00:00:00" u="1"/>
        <d v="2021-04-05T00:00:00" u="1"/>
        <d v="2021-05-02T00:00:00" u="1"/>
        <d v="2021-08-01T00:00:00" u="1"/>
        <d v="2021-09-29T00:00:00" u="1"/>
        <d v="2022-01-01T00:00:00" u="1"/>
        <d v="2022-05-30T00:00:00" u="1"/>
        <d v="2022-06-29T00:00:00" u="1"/>
        <d v="2022-08-30T00:00:00" u="1"/>
        <d v="2022-10-02T00:00:00" u="1"/>
        <d v="2022-11-29T00:00:00" u="1"/>
        <d v="2023-01-30T00:00:00" u="1"/>
        <d v="2023-04-01T00:00:00" u="1"/>
        <d v="2023-04-29T00:00:00" u="1"/>
        <d v="2023-05-30T00:00:00" u="1"/>
        <d v="2023-07-02T00:00:00" u="1"/>
        <d v="2023-08-30T00:00:00" u="1"/>
        <d v="2023-09-29T00:00:00" u="1"/>
        <d v="2023-11-01T00:00:00" u="1"/>
        <d v="2023-11-26T00:00:00" u="1"/>
        <d v="2023-12-26T00:00:00" u="1"/>
        <d v="2024-01-26T00:00:00" u="1"/>
        <d v="2024-02-26T00:00:00" u="1"/>
        <d v="2023-01-19T00:00:00" u="1"/>
        <d v="2012-10-25T00:00:00" u="1"/>
        <d v="2016-11-21T00:00:00" u="1"/>
        <d v="2018-12-17T00:00:00" u="1"/>
        <d v="2010-10-27T00:00:00" u="1"/>
        <d v="2011-10-27T00:00:00" u="1"/>
        <d v="2011-11-23T00:00:00" u="1"/>
        <d v="2011-12-19T00:00:00" u="1"/>
        <d v="2016-10-27T00:00:00" u="1"/>
        <d v="2015-11-23T00:00:00" u="1"/>
        <d v="2017-10-27T00:00:00" u="1"/>
        <d v="2017-11-23T00:00:00" u="1"/>
        <d v="2013-10-29T00:00:00" u="1"/>
        <d v="2016-12-21T00:00:00" u="1"/>
        <d v="2018-01-02T00:00:00" u="1"/>
        <d v="2019-01-02T00:00:00" u="1"/>
        <d v="2020-01-02T00:00:00" u="1"/>
        <d v="2023-01-02T00:00:00" u="1"/>
        <d v="2012-11-27T00:00:00" u="1"/>
        <d v="2013-11-27T00:00:00" u="1"/>
        <d v="2016-11-27T00:00:00" u="1"/>
        <d v="2019-12-23T00:00:00" u="1"/>
        <d v="2010-01-04T00:00:00" u="1"/>
        <d v="2016-01-04T00:00:00" u="1"/>
        <d v="2018-01-04T00:00:00" u="1"/>
        <d v="2011-12-25T00:00:00" u="1"/>
        <d v="2017-11-29T00:00:00" u="1"/>
        <d v="2018-12-25T00:00:00" u="1"/>
        <d v="2016-01-06T00:00:00" u="1"/>
        <d v="2016-02-02T00:00:00" u="1"/>
        <d v="2017-02-02T00:00:00" u="1"/>
        <d v="2011-12-27T00:00:00" u="1"/>
        <d v="2015-02-04T00:00:00" u="1"/>
        <d v="2017-12-29T00:00:00" u="1"/>
        <d v="2020-01-10T00:00:00" u="1"/>
        <d v="2021-03-02T00:00:00" u="1"/>
        <d v="2023-03-02T00:00:00" u="1"/>
        <d v="2016-01-12T00:00:00" u="1"/>
        <d v="2013-03-04T00:00:00" u="1"/>
        <d v="2017-01-12T00:00:00" u="1"/>
        <d v="2016-02-08T00:00:00" u="1"/>
        <d v="2016-03-04T00:00:00" u="1"/>
        <d v="2018-03-04T00:00:00" u="1"/>
        <d v="2019-03-04T00:00:00" u="1"/>
        <d v="2015-01-14T00:00:00" u="1"/>
        <d v="2016-01-14T00:00:00" u="1"/>
        <d v="2013-03-06T00:00:00" u="1"/>
        <d v="2015-03-06T00:00:00" u="1"/>
        <d v="2019-02-10T00:00:00" u="1"/>
        <d v="2017-02-12T00:00:00" u="1"/>
        <d v="2016-04-04T00:00:00" u="1"/>
        <d v="2019-04-04T00:00:00" u="1"/>
        <d v="2011-01-18T00:00:00" u="1"/>
        <d v="2013-01-18T00:00:00" u="1"/>
        <d v="2014-01-18T00:00:00" u="1"/>
        <d v="2013-05-02T00:00:00" u="1"/>
        <d v="2015-04-06T00:00:00" u="1"/>
        <d v="2017-04-06T00:00:00" u="1"/>
        <d v="2018-05-02T00:00:00" u="1"/>
        <d v="2019-05-02T00:00:00" u="1"/>
        <d v="2021-04-06T00:00:00" u="1"/>
        <d v="2010-02-16T00:00:00" u="1"/>
        <d v="2016-01-20T00:00:00" u="1"/>
        <d v="2011-05-04T00:00:00" u="1"/>
        <d v="2019-02-16T00:00:00" u="1"/>
        <d v="2022-01-20T00:00:00" u="1"/>
        <d v="2015-05-04T00:00:00" u="1"/>
        <d v="2022-02-16T00:00:00" u="1"/>
        <d v="2022-05-04T00:00:00" u="1"/>
        <d v="2011-02-18T00:00:00" u="1"/>
        <d v="2014-01-22T00:00:00" u="1"/>
        <d v="2015-01-22T00:00:00" u="1"/>
        <d v="2014-02-18T00:00:00" u="1"/>
        <d v="2015-06-02T00:00:00" u="1"/>
        <d v="2016-06-02T00:00:00" u="1"/>
        <d v="2019-05-06T00:00:00" u="1"/>
        <d v="2019-06-02T00:00:00" u="1"/>
        <d v="2018-01-24T00:00:00" u="1"/>
        <d v="2011-05-08T00:00:00" u="1"/>
        <d v="2016-03-16T00:00:00" u="1"/>
        <d v="2014-05-08T00:00:00" u="1"/>
        <d v="2011-02-22T00:00:00" u="1"/>
        <d v="2011-03-18T00:00:00" u="1"/>
        <d v="2017-01-26T00:00:00" u="1"/>
        <d v="2014-03-18T00:00:00" u="1"/>
        <d v="2018-01-26T00:00:00" u="1"/>
        <d v="2015-03-18T00:00:00" u="1"/>
        <d v="2012-06-06T00:00:00" u="1"/>
        <d v="2019-03-18T00:00:00" u="1"/>
        <d v="2013-07-02T00:00:00" u="1"/>
        <d v="2014-07-02T00:00:00" u="1"/>
        <d v="2018-05-10T00:00:00" u="1"/>
        <d v="2015-07-02T00:00:00" u="1"/>
        <d v="2017-06-06T00:00:00" u="1"/>
        <d v="2017-07-02T00:00:00" u="1"/>
        <d v="2018-07-02T00:00:00" u="1"/>
        <d v="2013-01-28T00:00:00" u="1"/>
        <d v="2012-02-24T00:00:00" u="1"/>
        <d v="2014-01-28T00:00:00" u="1"/>
        <d v="2012-03-20T00:00:00" u="1"/>
        <d v="2014-03-20T00:00:00" u="1"/>
        <d v="2017-03-20T00:00:00" u="1"/>
        <d v="2019-02-24T00:00:00" u="1"/>
        <d v="2018-04-16T00:00:00" u="1"/>
        <d v="2016-07-04T00:00:00" u="1"/>
        <d v="2017-07-04T00:00:00" u="1"/>
        <d v="2022-07-04T00:00:00" u="1"/>
        <d v="2010-02-26T00:00:00" u="1"/>
        <d v="2012-01-30T00:00:00" u="1"/>
        <d v="2013-02-26T00:00:00" u="1"/>
        <d v="2012-04-18T00:00:00" u="1"/>
        <d v="2013-04-18T00:00:00" u="1"/>
        <d v="2017-02-26T00:00:00" u="1"/>
        <d v="2018-03-22T00:00:00" u="1"/>
        <d v="2015-05-14T00:00:00" u="1"/>
        <d v="2011-08-02T00:00:00" u="1"/>
        <d v="2013-08-02T00:00:00" u="1"/>
        <d v="2015-08-02T00:00:00" u="1"/>
        <d v="2016-08-02T00:00:00" u="1"/>
        <d v="2017-08-02T00:00:00" u="1"/>
        <d v="2022-08-02T00:00:00" u="1"/>
        <d v="2005-04-20T00:00:00" u="1"/>
        <d v="2011-02-28T00:00:00" u="1"/>
        <d v="2011-03-24T00:00:00" u="1"/>
        <d v="2012-04-20T00:00:00" u="1"/>
        <d v="2013-05-16T00:00:00" u="1"/>
        <d v="2016-04-20T00:00:00" u="1"/>
        <d v="2018-03-24T00:00:00" u="1"/>
        <d v="2017-04-20T00:00:00" u="1"/>
        <d v="2016-05-16T00:00:00" u="1"/>
        <d v="2018-05-16T00:00:00" u="1"/>
        <d v="2015-08-04T00:00:00" u="1"/>
        <d v="2018-07-08T00:00:00" u="1"/>
        <d v="2013-03-26T00:00:00" u="1"/>
        <d v="2010-05-18T00:00:00" u="1"/>
        <d v="2014-03-26T00:00:00" u="1"/>
        <d v="2011-05-18T00:00:00" u="1"/>
        <d v="2012-05-18T00:00:00" u="1"/>
        <d v="2014-04-22T00:00:00" u="1"/>
        <d v="2010-09-02T00:00:00" u="1"/>
        <d v="2011-09-02T00:00:00" u="1"/>
        <d v="2019-05-18T00:00:00" u="1"/>
        <d v="2012-09-02T00:00:00" u="1"/>
        <d v="2013-09-02T00:00:00" u="1"/>
        <d v="2014-09-02T00:00:00" u="1"/>
        <d v="2015-09-02T00:00:00" u="1"/>
        <d v="2018-09-02T00:00:00" u="1"/>
        <d v="2010-06-16T00:00:00" u="1"/>
        <d v="2014-05-20T00:00:00" u="1"/>
        <d v="2019-03-28T00:00:00" u="1"/>
        <d v="2018-04-24T00:00:00" u="1"/>
        <d v="2015-06-16T00:00:00" u="1"/>
        <d v="2019-04-24T00:00:00" u="1"/>
        <d v="2012-09-04T00:00:00" u="1"/>
        <d v="2016-07-12T00:00:00" u="1"/>
        <d v="2016-08-08T00:00:00" u="1"/>
        <d v="2016-09-04T00:00:00" u="1"/>
        <d v="2017-09-04T00:00:00" u="1"/>
        <d v="2022-09-04T00:00:00" u="1"/>
        <d v="2011-04-26T00:00:00" u="1"/>
        <d v="2012-04-26T00:00:00" u="1"/>
        <d v="2018-03-30T00:00:00" u="1"/>
        <d v="2013-06-18T00:00:00" u="1"/>
        <d v="2017-04-26T00:00:00" u="1"/>
        <d v="2014-06-18T00:00:00" u="1"/>
        <d v="2015-06-18T00:00:00" u="1"/>
        <d v="2014-07-14T00:00:00" u="1"/>
        <d v="2012-10-02T00:00:00" u="1"/>
        <d v="2013-10-02T00:00:00" u="1"/>
        <d v="2017-08-10T00:00:00" u="1"/>
        <d v="2018-09-06T00:00:00" u="1"/>
        <d v="2017-10-02T00:00:00" u="1"/>
        <d v="2005-06-20T00:00:00" u="1"/>
        <d v="2010-05-24T00:00:00" u="1"/>
        <d v="2011-05-24T00:00:00" u="1"/>
        <d v="2016-04-28T00:00:00" u="1"/>
        <d v="2019-04-28T00:00:00" u="1"/>
        <d v="2014-07-16T00:00:00" u="1"/>
        <d v="2018-05-24T00:00:00" u="1"/>
        <d v="2015-07-16T00:00:00" u="1"/>
        <d v="2017-06-20T00:00:00" u="1"/>
        <d v="2011-10-04T00:00:00" u="1"/>
        <d v="2015-10-04T00:00:00" u="1"/>
        <d v="2016-10-04T00:00:00" u="1"/>
        <d v="2017-10-04T00:00:00" u="1"/>
        <d v="2010-04-30T00:00:00" u="1"/>
        <d v="2011-05-26T00:00:00" u="1"/>
        <d v="2009-08-14T00:00:00" u="1"/>
        <d v="2011-07-18T00:00:00" u="1"/>
        <d v="2015-05-26T00:00:00" u="1"/>
        <d v="2013-07-18T00:00:00" u="1"/>
        <d v="2017-05-26T00:00:00" u="1"/>
        <d v="2015-07-18T00:00:00" u="1"/>
        <d v="2017-06-22T00:00:00" u="1"/>
        <d v="2019-05-26T00:00:00" u="1"/>
        <d v="2018-08-14T00:00:00" u="1"/>
        <d v="2017-09-10T00:00:00" u="1"/>
        <d v="2014-11-02T00:00:00" u="1"/>
        <d v="2016-11-02T00:00:00" u="1"/>
        <d v="2017-11-02T00:00:00" u="1"/>
        <d v="2022-11-02T00:00:00" u="1"/>
        <d v="2011-06-24T00:00:00" u="1"/>
        <d v="2013-05-28T00:00:00" u="1"/>
        <d v="2010-07-20T00:00:00" u="1"/>
        <d v="2014-05-28T00:00:00" u="1"/>
        <d v="2018-06-24T00:00:00" u="1"/>
        <d v="2016-08-16T00:00:00" u="1"/>
        <d v="2012-11-04T00:00:00" u="1"/>
        <d v="2016-09-12T00:00:00" u="1"/>
        <d v="2014-11-04T00:00:00" u="1"/>
        <d v="2015-11-04T00:00:00" u="1"/>
        <d v="2018-10-08T00:00:00" u="1"/>
        <d v="2018-11-04T00:00:00" u="1"/>
        <d v="2012-06-26T00:00:00" u="1"/>
        <d v="2011-08-18T00:00:00" u="1"/>
        <d v="2016-06-26T00:00:00" u="1"/>
        <d v="2013-08-18T00:00:00" u="1"/>
        <d v="2020-05-30T00:00:00" u="1"/>
        <d v="2015-08-18T00:00:00" u="1"/>
        <d v="2013-11-06T00:00:00" u="1"/>
        <d v="2014-12-02T00:00:00" u="1"/>
        <d v="2015-12-02T00:00:00" u="1"/>
        <d v="2016-12-02T00:00:00" u="1"/>
        <d v="2018-12-02T00:00:00" u="1"/>
        <d v="2022-12-02T00:00:00" u="1"/>
        <d v="2010-06-28T00:00:00" u="1"/>
        <d v="2011-06-28T00:00:00" u="1"/>
        <d v="2010-09-16T00:00:00" u="1"/>
        <d v="2012-08-20T00:00:00" u="1"/>
        <d v="2014-08-20T00:00:00" u="1"/>
        <d v="2015-08-20T00:00:00" u="1"/>
        <d v="2017-07-24T00:00:00" u="1"/>
        <d v="2015-09-16T00:00:00" u="1"/>
        <d v="2019-07-24T00:00:00" u="1"/>
        <d v="2017-09-16T00:00:00" u="1"/>
        <d v="2018-09-16T00:00:00" u="1"/>
        <d v="2016-12-04T00:00:00" u="1"/>
        <d v="2018-11-08T00:00:00" u="1"/>
        <d v="2009-06-30T00:00:00" u="1"/>
        <d v="2011-07-26T00:00:00" u="1"/>
        <d v="2012-07-26T00:00:00" u="1"/>
        <d v="2012-09-18T00:00:00" u="1"/>
        <d v="2014-08-22T00:00:00" u="1"/>
        <d v="2018-08-22T00:00:00" u="1"/>
        <d v="2017-11-10T00:00:00" u="1"/>
        <d v="2009-10-16T00:00:00" u="1"/>
        <d v="2011-09-20T00:00:00" u="1"/>
        <d v="2012-09-20T00:00:00" u="1"/>
        <d v="2018-07-28T00:00:00" u="1"/>
        <d v="2014-11-12T00:00:00" u="1"/>
        <d v="2015-11-12T00:00:00" u="1"/>
        <d v="2010-08-26T00:00:00" u="1"/>
        <d v="2012-10-18T00:00:00" u="1"/>
        <d v="2013-10-18T00:00:00" u="1"/>
        <d v="2016-09-22T00:00:00" u="1"/>
        <d v="2016-10-18T00:00:00" u="1"/>
        <d v="2018-11-14T00:00:00" u="1"/>
        <d v="2013-09-24T00:00:00" u="1"/>
        <d v="2015-09-24T00:00:00" u="1"/>
        <d v="2018-09-24T00:00:00" u="1"/>
        <d v="2011-09-26T00:00:00" u="1"/>
        <d v="2013-08-30T00:00:00" u="1"/>
        <d v="2012-09-26T00:00:00" u="1"/>
        <d v="2010-11-18T00:00:00" u="1"/>
        <d v="2011-11-18T00:00:00" u="1"/>
        <d v="2017-08-30T00:00:00" u="1"/>
        <d v="2016-09-26T00:00:00" u="1"/>
        <d v="2012-12-14T00:00:00" u="1"/>
        <d v="2014-11-18T00:00:00" u="1"/>
        <d v="2018-10-22T00:00:00" u="1"/>
        <d v="2016-12-14T00:00:00" u="1"/>
        <d v="2012-09-28T00:00:00" u="1"/>
        <d v="2012-11-20T00:00:00" u="1"/>
        <d v="2011-12-16T00:00:00" u="1"/>
        <d v="2016-10-24T00:00:00" u="1"/>
        <d v="2017-10-24T00:00:00" u="1"/>
        <d v="2015-12-16T00:00:00" u="1"/>
        <d v="2018-11-20T00:00:00" u="1"/>
        <d v="2011-10-26T00:00:00" u="1"/>
        <d v="2009-12-18T00:00:00" u="1"/>
        <d v="2013-11-22T00:00:00" u="1"/>
        <d v="2012-12-18T00:00:00" u="1"/>
        <d v="2013-12-18T00:00:00" u="1"/>
        <d v="2014-12-18T00:00:00" u="1"/>
        <d v="2010-12-20T00:00:00" u="1"/>
        <d v="2017-12-20T00:00:00" u="1"/>
        <d v="2020-11-24T00:00:00" u="1"/>
        <d v="2020-12-20T00:00:00" u="1"/>
        <d v="2017-01-01T00:00:00" u="1"/>
        <d v="2019-01-01T00:00:00" u="1"/>
        <d v="2010-11-26T00:00:00" u="1"/>
        <d v="2012-10-30T00:00:00" u="1"/>
        <d v="2014-11-26T00:00:00" u="1"/>
        <d v="2013-12-22T00:00:00" u="1"/>
        <d v="2015-11-26T00:00:00" u="1"/>
        <d v="2014-12-22T00:00:00" u="1"/>
        <d v="2015-12-22T00:00:00" u="1"/>
        <d v="2019-11-26T00:00:00" u="1"/>
        <d v="2012-01-03T00:00:00" u="1"/>
        <d v="2013-01-03T00:00:00" u="1"/>
        <d v="2014-01-03T00:00:00" u="1"/>
        <d v="2017-01-03T00:00:00" u="1"/>
        <d v="2018-01-03T00:00:00" u="1"/>
        <d v="2011-11-28T00:00:00" u="1"/>
        <d v="2021-02-01T00:00:00" u="1"/>
        <d v="2022-02-01T00:00:00" u="1"/>
        <d v="2012-12-26T00:00:00" u="1"/>
        <d v="2014-01-07T00:00:00" u="1"/>
        <d v="2015-01-07T00:00:00" u="1"/>
        <d v="2019-02-03T00:00:00" u="1"/>
        <d v="2010-12-28T00:00:00" u="1"/>
        <d v="2012-02-05T00:00:00" u="1"/>
        <d v="2014-01-09T00:00:00" u="1"/>
        <d v="2012-03-01T00:00:00" u="1"/>
        <d v="2019-01-09T00:00:00" u="1"/>
        <d v="2016-03-01T00:00:00" u="1"/>
        <d v="2018-02-05T00:00:00" u="1"/>
        <d v="2020-01-09T00:00:00" u="1"/>
        <d v="2022-03-01T00:00:00" u="1"/>
        <d v="2010-12-30T00:00:00" u="1"/>
        <d v="2011-12-30T00:00:00" u="1"/>
        <d v="2016-12-30T00:00:00" u="1"/>
        <d v="2005-02-07T00:00:00" u="1"/>
        <d v="2014-03-03T00:00:00" u="1"/>
        <d v="2018-01-11T00:00:00" u="1"/>
        <d v="2015-03-03T00:00:00" u="1"/>
        <d v="2016-03-03T00:00:00" u="1"/>
        <d v="2012-03-05T00:00:00" u="1"/>
        <d v="2015-02-09T00:00:00" u="1"/>
        <d v="2012-04-01T00:00:00" u="1"/>
        <d v="2018-03-05T00:00:00" u="1"/>
        <d v="2020-04-01T00:00:00" u="1"/>
        <d v="2014-02-11T00:00:00" u="1"/>
        <d v="2013-04-03T00:00:00" u="1"/>
        <d v="2019-01-15T00:00:00" u="1"/>
        <d v="2017-04-03T00:00:00" u="1"/>
        <d v="2018-04-03T00:00:00" u="1"/>
        <d v="2005-03-09T00:00:00" u="1"/>
        <d v="2013-01-17T00:00:00" u="1"/>
        <d v="2018-01-17T00:00:00" u="1"/>
        <d v="2012-05-01T00:00:00" u="1"/>
        <d v="2018-05-01T00:00:00" u="1"/>
        <d v="2013-02-15T00:00:00" u="1"/>
        <d v="2016-02-15T00:00:00" u="1"/>
        <d v="2017-02-15T00:00:00" u="1"/>
        <d v="2012-05-03T00:00:00" u="1"/>
        <d v="2014-04-07T00:00:00" u="1"/>
        <d v="2018-02-15T00:00:00" u="1"/>
        <d v="2016-05-03T00:00:00" u="1"/>
        <d v="2017-05-03T00:00:00" u="1"/>
        <d v="2018-05-03T00:00:00" u="1"/>
        <d v="2020-05-03T00:00:00" u="1"/>
        <d v="2010-01-21T00:00:00" u="1"/>
        <d v="2012-02-17T00:00:00" u="1"/>
        <d v="2016-01-21T00:00:00" u="1"/>
        <d v="2015-02-17T00:00:00" u="1"/>
        <d v="2010-05-05T00:00:00" u="1"/>
        <d v="2016-02-17T00:00:00" u="1"/>
        <d v="2015-03-13T00:00:00" u="1"/>
        <d v="2010-06-01T00:00:00" u="1"/>
        <d v="2017-03-13T00:00:00" u="1"/>
        <d v="2014-05-05T00:00:00" u="1"/>
        <d v="2015-05-05T00:00:00" u="1"/>
        <d v="2015-06-01T00:00:00" u="1"/>
        <d v="2017-06-01T00:00:00" u="1"/>
        <d v="2012-01-23T00:00:00" u="1"/>
        <d v="2013-02-19T00:00:00" u="1"/>
        <d v="2017-01-23T00:00:00" u="1"/>
        <d v="2017-02-19T00:00:00" u="1"/>
        <d v="2019-01-23T00:00:00" u="1"/>
        <d v="2017-03-15T00:00:00" u="1"/>
        <d v="2016-04-11T00:00:00" u="1"/>
        <d v="2013-06-03T00:00:00" u="1"/>
        <d v="2018-04-11T00:00:00" u="1"/>
        <d v="2018-06-03T00:00:00" u="1"/>
        <d v="2013-01-25T00:00:00" u="1"/>
        <d v="2015-03-17T00:00:00" u="1"/>
        <d v="2016-03-17T00:00:00" u="1"/>
        <d v="2021-01-25T00:00:00" u="1"/>
        <d v="2018-03-17T00:00:00" u="1"/>
        <d v="2011-07-01T00:00:00" u="1"/>
        <d v="2012-07-01T00:00:00" u="1"/>
        <d v="2016-05-09T00:00:00" u="1"/>
        <d v="2013-07-01T00:00:00" u="1"/>
        <d v="2018-05-09T00:00:00" u="1"/>
        <d v="2018-07-01T00:00:00" u="1"/>
        <d v="2012-01-27T00:00:00" u="1"/>
        <d v="2010-03-19T00:00:00" u="1"/>
        <d v="2014-01-27T00:00:00" u="1"/>
        <d v="2012-03-19T00:00:00" u="1"/>
        <d v="2011-04-15T00:00:00" u="1"/>
        <d v="2013-03-19T00:00:00" u="1"/>
        <d v="2015-02-23T00:00:00" u="1"/>
        <d v="2017-02-23T00:00:00" u="1"/>
        <d v="2018-02-23T00:00:00" u="1"/>
        <d v="2017-07-03T00:00:00" u="1"/>
        <d v="2019-07-03T00:00:00" u="1"/>
        <d v="2010-02-25T00:00:00" u="1"/>
        <d v="2009-04-17T00:00:00" u="1"/>
        <d v="2011-03-21T00:00:00" u="1"/>
        <d v="2013-02-25T00:00:00" u="1"/>
        <d v="2015-01-29T00:00:00" u="1"/>
        <d v="2014-02-25T00:00:00" u="1"/>
        <d v="2019-02-25T00:00:00" u="1"/>
        <d v="2016-04-17T00:00:00" u="1"/>
        <d v="2018-06-09T00:00:00" u="1"/>
        <d v="2017-08-01T00:00:00" u="1"/>
        <d v="2018-08-01T00:00:00" u="1"/>
        <d v="2019-08-01T00:00:00" u="1"/>
        <d v="2020-08-01T00:00:00" u="1"/>
        <d v="2011-01-31T00:00:00" u="1"/>
        <d v="2010-03-23T00:00:00" u="1"/>
        <d v="2014-08-03T00:00:00" u="1"/>
        <d v="2010-04-21T00:00:00" u="1"/>
        <d v="2011-05-17T00:00:00" u="1"/>
        <d v="2015-03-25T00:00:00" u="1"/>
        <d v="2012-05-17T00:00:00" u="1"/>
        <d v="2015-04-21T00:00:00" u="1"/>
        <d v="2019-03-25T00:00:00" u="1"/>
        <d v="2011-09-01T00:00:00" u="1"/>
        <d v="2014-09-01T00:00:00" u="1"/>
        <d v="2019-09-01T00:00:00" u="1"/>
        <d v="2012-03-27T00:00:00" u="1"/>
        <d v="2009-05-19T00:00:00" u="1"/>
        <d v="2014-04-23T00:00:00" u="1"/>
        <d v="2017-03-27T00:00:00" u="1"/>
        <d v="2012-06-15T00:00:00" u="1"/>
        <d v="2014-05-19T00:00:00" u="1"/>
        <d v="2015-05-19T00:00:00" u="1"/>
        <d v="2018-04-23T00:00:00" u="1"/>
        <d v="2016-06-15T00:00:00" u="1"/>
        <d v="2013-09-03T00:00:00" u="1"/>
        <d v="2017-07-11T00:00:00" u="1"/>
        <d v="2014-09-03T00:00:00" u="1"/>
        <d v="2018-08-07T00:00:00" u="1"/>
        <d v="2017-09-03T00:00:00" u="1"/>
        <d v="2012-03-29T00:00:00" u="1"/>
        <d v="2013-04-25T00:00:00" u="1"/>
        <d v="2016-03-29T00:00:00" u="1"/>
        <d v="2011-06-17T00:00:00" u="1"/>
        <d v="2013-05-21T00:00:00" u="1"/>
        <d v="2017-05-21T00:00:00" u="1"/>
        <d v="2016-06-17T00:00:00" u="1"/>
        <d v="2018-06-17T00:00:00" u="1"/>
        <d v="2017-08-09T00:00:00" u="1"/>
        <d v="2014-10-01T00:00:00" u="1"/>
        <d v="2016-09-05T00:00:00" u="1"/>
        <d v="2019-10-01T00:00:00" u="1"/>
        <d v="2022-10-01T00:00:00" u="1"/>
        <d v="2012-04-27T00:00:00" u="1"/>
        <d v="2009-06-19T00:00:00" u="1"/>
        <d v="2015-04-27T00:00:00" u="1"/>
        <d v="2012-06-19T00:00:00" u="1"/>
        <d v="2016-04-27T00:00:00" u="1"/>
        <d v="2017-04-27T00:00:00" u="1"/>
        <d v="2016-05-23T00:00:00" u="1"/>
        <d v="2013-07-15T00:00:00" u="1"/>
        <d v="2018-05-23T00:00:00" u="1"/>
        <d v="2015-07-15T00:00:00" u="1"/>
        <d v="2017-06-19T00:00:00" u="1"/>
        <d v="2011-10-03T00:00:00" u="1"/>
        <d v="2016-08-11T00:00:00" u="1"/>
        <d v="2014-10-03T00:00:00" u="1"/>
        <d v="2013-04-29T00:00:00" u="1"/>
        <d v="2012-05-25T00:00:00" u="1"/>
        <d v="2009-07-17T00:00:00" u="1"/>
        <d v="2016-04-29T00:00:00" u="1"/>
        <d v="2015-05-25T00:00:00" u="1"/>
        <d v="2012-07-17T00:00:00" u="1"/>
        <d v="2016-05-25T00:00:00" u="1"/>
        <d v="2017-05-25T00:00:00" u="1"/>
        <d v="2014-07-17T00:00:00" u="1"/>
        <d v="2016-07-17T00:00:00" u="1"/>
        <d v="2017-07-17T00:00:00" u="1"/>
        <d v="2018-09-09T00:00:00" u="1"/>
        <d v="2016-11-01T00:00:00" u="1"/>
        <d v="2020-11-01T00:00:00" u="1"/>
        <d v="2013-05-27T00:00:00" u="1"/>
        <d v="2010-07-19T00:00:00" u="1"/>
        <d v="2011-07-19T00:00:00" u="1"/>
        <d v="2014-07-19T00:00:00" u="1"/>
        <d v="2017-07-19T00:00:00" u="1"/>
        <d v="2011-11-03T00:00:00" u="1"/>
        <d v="2017-08-15T00:00:00" u="1"/>
        <d v="2015-11-03T00:00:00" u="1"/>
        <d v="2016-11-03T00:00:00" u="1"/>
        <d v="2018-10-07T00:00:00" u="1"/>
        <d v="2010-06-25T00:00:00" u="1"/>
        <d v="2011-07-21T00:00:00" u="1"/>
        <d v="2013-06-25T00:00:00" u="1"/>
        <d v="2010-08-17T00:00:00" u="1"/>
        <d v="2012-08-17T00:00:00" u="1"/>
        <d v="2019-06-25T00:00:00" u="1"/>
        <d v="2010-11-05T00:00:00" u="1"/>
        <d v="2018-07-21T00:00:00" u="1"/>
        <d v="2012-11-05T00:00:00" u="1"/>
        <d v="2014-11-05T00:00:00" u="1"/>
        <d v="2017-10-09T00:00:00" u="1"/>
        <d v="2015-12-01T00:00:00" u="1"/>
        <d v="2018-11-05T00:00:00" u="1"/>
        <d v="2019-11-05T00:00:00" u="1"/>
        <d v="2019-12-01T00:00:00" u="1"/>
        <d v="2012-06-27T00:00:00" u="1"/>
        <d v="2012-07-23T00:00:00" u="1"/>
        <d v="2009-09-15T00:00:00" u="1"/>
        <d v="2013-08-19T00:00:00" u="1"/>
        <d v="2017-06-27T00:00:00" u="1"/>
        <d v="2014-08-19T00:00:00" u="1"/>
        <d v="2016-07-23T00:00:00" u="1"/>
        <d v="2016-09-15T00:00:00" u="1"/>
        <d v="2012-12-03T00:00:00" u="1"/>
        <d v="2014-12-03T00:00:00" u="1"/>
        <d v="2017-12-03T00:00:00" u="1"/>
        <d v="2019-12-03T00:00:00" u="1"/>
        <d v="2011-06-29T00:00:00" u="1"/>
        <d v="2012-06-29T00:00:00" u="1"/>
        <d v="2013-07-25T00:00:00" u="1"/>
        <d v="2014-07-25T00:00:00" u="1"/>
        <d v="2013-09-17T00:00:00" u="1"/>
        <d v="2014-09-17T00:00:00" u="1"/>
        <d v="2015-09-17T00:00:00" u="1"/>
        <d v="2016-10-13T00:00:00" u="1"/>
        <d v="2016-11-09T00:00:00" u="1"/>
        <d v="2018-11-09T00:00:00" u="1"/>
        <d v="2018-12-05T00:00:00" u="1"/>
        <d v="2012-07-27T00:00:00" u="1"/>
        <d v="2011-09-19T00:00:00" u="1"/>
        <d v="2015-07-27T00:00:00" u="1"/>
        <d v="2017-08-23T00:00:00" u="1"/>
        <d v="2018-10-15T00:00:00" u="1"/>
        <d v="2011-07-29T00:00:00" u="1"/>
        <d v="2011-08-25T00:00:00" u="1"/>
        <d v="2016-07-29T00:00:00" u="1"/>
        <d v="2016-08-25T00:00:00" u="1"/>
        <d v="2014-10-17T00:00:00" u="1"/>
        <d v="2019-08-25T00:00:00" u="1"/>
        <d v="2013-12-09T00:00:00" u="1"/>
        <d v="2016-11-13T00:00:00" u="1"/>
        <d v="2012-08-27T00:00:00" u="1"/>
        <d v="2010-10-19T00:00:00" u="1"/>
        <d v="2011-10-19T00:00:00" u="1"/>
        <d v="2013-09-23T00:00:00" u="1"/>
        <d v="2015-10-19T00:00:00" u="1"/>
        <d v="2017-09-23T00:00:00" u="1"/>
        <d v="2017-11-15T00:00:00" u="1"/>
        <d v="2018-12-11T00:00:00" u="1"/>
        <d v="2012-08-29T00:00:00" u="1"/>
        <d v="2009-11-17T00:00:00" u="1"/>
        <d v="2013-09-25T00:00:00" u="1"/>
        <d v="2014-09-25T00:00:00" u="1"/>
        <d v="2011-11-17T00:00:00" u="1"/>
        <d v="2014-10-21T00:00:00" u="1"/>
        <d v="2015-10-21T00:00:00" u="1"/>
        <d v="2015-11-17T00:00:00" u="1"/>
        <d v="2017-12-13T00:00:00" u="1"/>
        <d v="2010-09-27T00:00:00" u="1"/>
        <d v="2013-11-19T00:00:00" u="1"/>
        <d v="2014-11-19T00:00:00" u="1"/>
        <d v="2019-10-23T00:00:00" u="1"/>
      </sharedItems>
    </cacheField>
    <cacheField name="Consumo Activa" numFmtId="0">
      <sharedItems containsMixedTypes="1" containsNumber="1" containsInteger="1" minValue="0" maxValue="113"/>
    </cacheField>
    <cacheField name="Promedio Activa" numFmtId="1">
      <sharedItems containsMixedTypes="1" containsNumber="1" minValue="0" maxValue="3.3235294117647061"/>
    </cacheField>
    <cacheField name="Consumo Reactiva" numFmtId="1">
      <sharedItems containsMixedTypes="1" containsNumber="1" containsInteger="1" minValue="0" maxValue="0"/>
    </cacheField>
    <cacheField name="Promedio Reactiva" numFmtId="1">
      <sharedItems containsMixedTypes="1" containsNumber="1" containsInteger="1" minValue="0" maxValue="0"/>
    </cacheField>
    <cacheField name="Cargo abono total" numFmtId="1">
      <sharedItems containsMixedTypes="1" containsNumber="1" containsInteger="1" minValue="0" maxValue="0"/>
    </cacheField>
    <cacheField name="Pérdidas Total" numFmtId="1">
      <sharedItems containsMixedTypes="1" containsNumber="1" containsInteger="1" minValue="0" maxValue="0"/>
    </cacheField>
    <cacheField name="Maxímetro" numFmtId="1">
      <sharedItems containsMixedTypes="1" containsNumber="1" containsInteger="1" minValue="0" maxValue="0"/>
    </cacheField>
    <cacheField name="Lectura" numFmtId="1">
      <sharedItems/>
    </cacheField>
    <cacheField name="Fuente" numFmtId="1">
      <sharedItems/>
    </cacheField>
    <cacheField name="Año" numFmtId="1">
      <sharedItems containsMixedTypes="1" containsNumber="1" containsInteger="1" minValue="1900" maxValue="2025" count="21">
        <n v="2018"/>
        <n v="2019"/>
        <n v="2020"/>
        <n v="2021"/>
        <n v="2022"/>
        <n v="2023"/>
        <n v="2024"/>
        <n v="2025"/>
        <s v=""/>
        <n v="1900" u="1"/>
        <n v="2016" u="1"/>
        <n v="2017" u="1"/>
        <n v="2011" u="1"/>
        <n v="2012" u="1"/>
        <n v="2013" u="1"/>
        <n v="2014" u="1"/>
        <n v="2015" u="1"/>
        <n v="2004" u="1"/>
        <n v="2009" u="1"/>
        <n v="2005" u="1"/>
        <n v="2010" u="1"/>
      </sharedItems>
    </cacheField>
    <cacheField name="Mes" numFmtId="1">
      <sharedItems count="13">
        <s v="enero"/>
        <s v="febrero"/>
        <s v="marzo"/>
        <s v="abril"/>
        <s v="mayo"/>
        <s v="junio"/>
        <s v="julio"/>
        <s v="agosto"/>
        <s v="septiembre"/>
        <s v="octubre"/>
        <s v="noviembre"/>
        <s v="diciembre"/>
        <s v=""/>
      </sharedItems>
    </cacheField>
    <cacheField name="Energía Total Reconstruida" numFmtId="1">
      <sharedItems containsMixedTypes="1" containsNumber="1" containsInteger="1" minValue="0" maxValue="113"/>
    </cacheField>
    <cacheField name="Días" numFmtId="1">
      <sharedItems containsMixedTypes="1" containsNumber="1" containsInteger="1" minValue="1" maxValue="61"/>
    </cacheField>
    <cacheField name="Consumo promedio ciclo" numFmtId="1">
      <sharedItems containsMixedTypes="1" containsNumber="1" minValue="0" maxValue="3.4242424242424243"/>
    </cacheField>
    <cacheField name="Promedio ER" numFmtId="1">
      <sharedItems containsMixedTypes="1" containsNumber="1" minValue="0" maxValue="3.4242424242424243"/>
    </cacheField>
    <cacheField name="AB - A" numFmtId="1">
      <sharedItems containsMixedTypes="1" containsNumber="1" containsInteger="1" minValue="0" maxValue="0"/>
    </cacheField>
    <cacheField name="P1" numFmtId="1">
      <sharedItems containsMixedTypes="1" containsNumber="1" containsInteger="1" minValue="0" maxValue="113"/>
    </cacheField>
    <cacheField name="P2" numFmtId="1">
      <sharedItems containsMixedTypes="1" containsNumber="1" containsInteger="1" minValue="0" maxValue="12"/>
    </cacheField>
    <cacheField name="P3" numFmtId="1">
      <sharedItems containsMixedTypes="1" containsNumber="1" containsInteger="1" minValue="0" maxValue="23"/>
    </cacheField>
    <cacheField name="P4" numFmtId="1">
      <sharedItems/>
    </cacheField>
    <cacheField name="P5" numFmtId="1">
      <sharedItems/>
    </cacheField>
    <cacheField name="P6" numFmtId="1">
      <sharedItems/>
    </cacheField>
    <cacheField name="AB - C" numFmtId="1">
      <sharedItems containsMixedTypes="1" containsNumber="1" containsInteger="1" minValue="0" maxValue="0"/>
    </cacheField>
    <cacheField name="A + B + C" numFmtId="1">
      <sharedItems containsMixedTypes="1" containsNumber="1" containsInteger="1" minValue="0" maxValue="1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ncarnacion Ceballos Ponce" refreshedDate="45961.43720763889" createdVersion="6" refreshedVersion="8" minRefreshableVersion="3" recordCount="198" xr:uid="{00000000-000A-0000-FFFF-FFFFA0000000}">
  <cacheSource type="worksheet">
    <worksheetSource ref="A2:P200" sheet="Listado"/>
  </cacheSource>
  <cacheFields count="16">
    <cacheField name="Contrato" numFmtId="0">
      <sharedItems containsMixedTypes="1" containsNumber="1" containsInteger="1" minValue="97067967539" maxValue="500018185086"/>
    </cacheField>
    <cacheField name="Secuencial factura" numFmtId="0">
      <sharedItems containsMixedTypes="1" containsNumber="1" containsInteger="1" minValue="0" maxValue="0"/>
    </cacheField>
    <cacheField name="Fecha Inicio" numFmtId="14">
      <sharedItems containsDate="1" containsMixedTypes="1" minDate="2018-01-08T00:00:00" maxDate="2025-08-12T00:00:00"/>
    </cacheField>
    <cacheField name="Fecha fin" numFmtId="14">
      <sharedItems containsDate="1" containsMixedTypes="1" minDate="1899-12-30T00:00:00" maxDate="2025-09-09T00:00:00" count="3136">
        <d v="2018-02-06T00:00:00"/>
        <d v="2018-03-06T00:00:00"/>
        <d v="2018-04-05T00:00:00"/>
        <d v="2018-05-07T00:00:00"/>
        <d v="2018-06-06T00:00:00"/>
        <d v="2018-07-06T00:00:00"/>
        <d v="2018-08-06T00:00:00"/>
        <d v="2018-09-03T00:00:00"/>
        <d v="2018-10-02T00:00:00"/>
        <d v="2018-11-06T00:00:00"/>
        <d v="2018-12-04T00:00:00"/>
        <d v="2019-01-07T00:00:00"/>
        <d v="2019-02-04T00:00:00"/>
        <d v="2019-03-05T00:00:00"/>
        <d v="2019-04-01T00:00:00"/>
        <d v="2019-05-04T00:00:00"/>
        <d v="2019-06-04T00:00:00"/>
        <d v="2019-07-02T00:00:00"/>
        <d v="2019-08-04T00:00:00"/>
        <d v="2019-09-02T00:00:00"/>
        <d v="2019-10-02T00:00:00"/>
        <d v="2019-11-04T00:00:00"/>
        <d v="2019-12-02T00:00:00"/>
        <d v="2020-01-06T00:00:00"/>
        <d v="2020-02-03T00:00:00"/>
        <d v="2020-03-02T00:00:00"/>
        <d v="2020-04-04T00:00:00"/>
        <d v="2020-05-05T00:00:00"/>
        <d v="2020-06-02T00:00:00"/>
        <d v="2020-07-05T00:00:00"/>
        <d v="2020-08-04T00:00:00"/>
        <d v="2020-09-02T00:00:00"/>
        <d v="2020-10-04T00:00:00"/>
        <d v="2020-11-05T00:00:00"/>
        <d v="2020-12-03T00:00:00"/>
        <d v="2021-01-07T00:00:00"/>
        <d v="2021-02-03T00:00:00"/>
        <d v="2021-03-04T00:00:00"/>
        <d v="2021-04-07T00:00:00"/>
        <d v="2021-05-05T00:00:00"/>
        <d v="2021-05-31T00:00:00"/>
        <d v="2021-07-04T00:00:00"/>
        <d v="2021-08-03T00:00:00"/>
        <d v="2021-09-04T00:00:00"/>
        <d v="2021-10-04T00:00:00"/>
        <d v="2021-11-02T00:00:00"/>
        <d v="2021-11-30T00:00:00"/>
        <d v="2021-12-31T00:00:00"/>
        <d v="2022-01-30T00:00:00"/>
        <d v="2022-02-25T00:00:00"/>
        <d v="2022-03-03T00:00:00"/>
        <d v="2022-04-02T00:00:00"/>
        <d v="2022-05-02T00:00:00"/>
        <d v="2022-05-28T00:00:00"/>
        <d v="2022-07-02T00:00:00"/>
        <d v="2022-07-25T00:00:00"/>
        <d v="2022-08-20T00:00:00"/>
        <d v="2022-09-23T00:00:00"/>
        <d v="2022-10-23T00:00:00"/>
        <d v="2022-12-22T00:00:00"/>
        <d v="2023-02-16T00:00:00"/>
        <d v="2023-03-17T00:00:00"/>
        <d v="2023-04-21T00:00:00"/>
        <d v="2023-05-16T00:00:00"/>
        <d v="2023-06-17T00:00:00"/>
        <d v="2023-06-19T00:00:00"/>
        <d v="2023-08-20T00:00:00"/>
        <d v="2023-09-15T00:00:00"/>
        <d v="2023-10-20T00:00:00"/>
        <d v="2023-11-24T00:00:00"/>
        <d v="2023-12-20T00:00:00"/>
        <d v="2024-01-20T00:00:00"/>
        <d v="2024-02-19T00:00:00"/>
        <d v="2024-03-12T00:00:00"/>
        <d v="2024-04-18T00:00:00"/>
        <d v="2024-05-21T00:00:00"/>
        <d v="2024-07-18T00:00:00"/>
        <d v="2024-09-18T00:00:00"/>
        <d v="2024-10-18T00:00:00"/>
        <d v="2024-11-15T00:00:00"/>
        <d v="2024-12-14T00:00:00"/>
        <d v="2025-01-13T00:00:00"/>
        <d v="2025-02-08T00:00:00"/>
        <d v="2025-03-11T00:00:00"/>
        <d v="2025-04-08T00:00:00"/>
        <d v="2025-05-11T00:00:00"/>
        <d v="2025-06-10T00:00:00"/>
        <d v="2025-07-05T00:00:00"/>
        <d v="2025-08-10T00:00:00"/>
        <d v="2025-09-08T00:00:00"/>
        <s v=""/>
        <d v="1899-12-30T00:00:00" u="1"/>
        <d v="2016-11-26T00:00:00" u="1"/>
        <d v="2016-12-28T00:00:00" u="1"/>
        <d v="2017-02-24T00:00:00" u="1"/>
        <d v="2017-04-28T00:00:00" u="1"/>
        <d v="2017-06-28T00:00:00" u="1"/>
        <d v="2017-08-29T00:00:00" u="1"/>
        <d v="2017-10-30T00:00:00" u="1"/>
        <d v="2017-12-27T00:00:00" u="1"/>
        <d v="2018-04-02T00:00:00" u="1"/>
        <d v="2018-04-25T00:00:00" u="1"/>
        <d v="2018-05-27T00:00:00" u="1"/>
        <d v="2018-06-27T00:00:00" u="1"/>
        <d v="2018-07-26T00:00:00" u="1"/>
        <d v="2018-08-28T00:00:00" u="1"/>
        <d v="2018-09-27T00:00:00" u="1"/>
        <d v="2018-10-23T00:00:00" u="1"/>
        <d v="2018-11-24T00:00:00" u="1"/>
        <d v="2018-12-26T00:00:00" u="1"/>
        <d v="2019-01-26T00:00:00" u="1"/>
        <d v="2019-02-20T00:00:00" u="1"/>
        <d v="2019-03-24T00:00:00" u="1"/>
        <d v="2019-04-23T00:00:00" u="1"/>
        <d v="2019-05-24T00:00:00" u="1"/>
        <d v="2019-06-23T00:00:00" u="1"/>
        <d v="2019-07-22T00:00:00" u="1"/>
        <d v="2019-08-24T00:00:00" u="1"/>
        <d v="2019-09-23T00:00:00" u="1"/>
        <d v="2019-10-22T00:00:00" u="1"/>
        <d v="2019-11-24T00:00:00" u="1"/>
        <d v="2019-12-25T00:00:00" u="1"/>
        <d v="2020-01-25T00:00:00" u="1"/>
        <d v="2020-02-23T00:00:00" u="1"/>
        <d v="2020-03-22T00:00:00" u="1"/>
        <d v="2020-04-25T00:00:00" u="1"/>
        <d v="2020-05-25T00:00:00" u="1"/>
        <d v="2020-06-21T00:00:00" u="1"/>
        <d v="2020-07-22T00:00:00" u="1"/>
        <d v="2020-08-23T00:00:00" u="1"/>
        <d v="2020-09-21T00:00:00" u="1"/>
        <d v="2020-10-25T00:00:00" u="1"/>
        <d v="2020-11-23T00:00:00" u="1"/>
        <d v="2020-12-27T00:00:00" u="1"/>
        <d v="2021-01-26T00:00:00" u="1"/>
        <d v="2021-02-19T00:00:00" u="1"/>
        <d v="2021-03-24T00:00:00" u="1"/>
        <d v="2021-04-27T00:00:00" u="1"/>
        <d v="2021-05-25T00:00:00" u="1"/>
        <d v="2021-06-22T00:00:00" u="1"/>
        <d v="2021-07-21T00:00:00" u="1"/>
        <d v="2021-08-24T00:00:00" u="1"/>
        <d v="2021-09-23T00:00:00" u="1"/>
        <d v="2021-11-23T00:00:00" u="1"/>
        <d v="2021-12-23T00:00:00" u="1"/>
        <d v="2022-01-24T00:00:00" u="1"/>
        <d v="2022-02-21T00:00:00" u="1"/>
        <d v="2022-03-19T00:00:00" u="1"/>
        <d v="2022-04-25T00:00:00" u="1"/>
        <d v="2022-05-21T00:00:00" u="1"/>
        <d v="2022-06-21T00:00:00" u="1"/>
        <d v="2022-07-23T00:00:00" u="1"/>
        <d v="2022-09-22T00:00:00" u="1"/>
        <d v="2022-10-21T00:00:00" u="1"/>
        <d v="2022-11-22T00:00:00" u="1"/>
        <d v="2022-12-24T00:00:00" u="1"/>
        <d v="2023-01-22T00:00:00" u="1"/>
        <d v="2023-02-21T00:00:00" u="1"/>
        <d v="2023-03-19T00:00:00" u="1"/>
        <d v="2023-04-25T00:00:00" u="1"/>
        <d v="2023-05-20T00:00:00" u="1"/>
        <d v="2023-07-23T00:00:00" u="1"/>
        <d v="2023-08-19T00:00:00" u="1"/>
        <d v="2023-09-22T00:00:00" u="1"/>
        <d v="2023-11-19T00:00:00" u="1"/>
        <d v="2023-12-25T00:00:00" u="1"/>
        <d v="2024-01-19T00:00:00" u="1"/>
        <d v="2024-02-21T00:00:00" u="1"/>
        <d v="2024-03-20T00:00:00" u="1"/>
        <d v="2024-04-20T00:00:00" u="1"/>
        <d v="2024-05-07T00:00:00" u="1"/>
        <d v="2024-06-22T00:00:00" u="1"/>
        <d v="2024-07-23T00:00:00" u="1"/>
        <d v="2024-08-21T00:00:00" u="1"/>
        <d v="2024-09-20T00:00:00" u="1"/>
        <d v="2024-10-20T00:00:00" u="1"/>
        <d v="2024-11-22T00:00:00" u="1"/>
        <d v="2024-12-21T00:00:00" u="1"/>
        <d v="2025-01-21T00:00:00" u="1"/>
        <d v="2025-02-18T00:00:00" u="1"/>
        <d v="2025-03-21T00:00:00" u="1"/>
        <d v="2025-03-28T00:00:00" u="1"/>
        <d v="2025-04-14T00:00:00" u="1"/>
        <d v="2017-04-17T00:00:00" u="1"/>
        <d v="2017-05-15T00:00:00" u="1"/>
        <d v="2017-06-14T00:00:00" u="1"/>
        <d v="2017-07-13T00:00:00" u="1"/>
        <d v="2017-08-13T00:00:00" u="1"/>
        <d v="2017-09-13T00:00:00" u="1"/>
        <d v="2017-10-15T00:00:00" u="1"/>
        <d v="2017-11-14T00:00:00" u="1"/>
        <d v="2017-12-14T00:00:00" u="1"/>
        <d v="2018-01-14T00:00:00" u="1"/>
        <d v="2018-02-12T00:00:00" u="1"/>
        <d v="2018-03-13T00:00:00" u="1"/>
        <d v="2018-04-12T00:00:00" u="1"/>
        <d v="2018-05-15T00:00:00" u="1"/>
        <d v="2018-06-13T00:00:00" u="1"/>
        <d v="2018-07-12T00:00:00" u="1"/>
        <d v="2018-08-13T00:00:00" u="1"/>
        <d v="2018-09-10T00:00:00" u="1"/>
        <d v="2018-10-09T00:00:00" u="1"/>
        <d v="2018-11-10T00:00:00" u="1"/>
        <d v="2018-12-12T00:00:00" u="1"/>
        <d v="2019-01-13T00:00:00" u="1"/>
        <d v="2019-02-11T00:00:00" u="1"/>
        <d v="2019-03-10T00:00:00" u="1"/>
        <d v="2019-04-08T00:00:00" u="1"/>
        <d v="2019-05-10T00:00:00" u="1"/>
        <d v="2019-06-11T00:00:00" u="1"/>
        <d v="2019-07-09T00:00:00" u="1"/>
        <d v="2019-08-11T00:00:00" u="1"/>
        <d v="2019-09-09T00:00:00" u="1"/>
        <d v="2019-10-09T00:00:00" u="1"/>
        <d v="2019-11-12T00:00:00" u="1"/>
        <d v="2019-12-14T00:00:00" u="1"/>
        <d v="2020-01-13T00:00:00" u="1"/>
        <d v="2020-02-10T00:00:00" u="1"/>
        <d v="2020-03-09T00:00:00" u="1"/>
        <d v="2020-04-13T00:00:00" u="1"/>
        <d v="2020-05-11T00:00:00" u="1"/>
        <d v="2020-06-09T00:00:00" u="1"/>
        <d v="2020-07-11T00:00:00" u="1"/>
        <d v="2020-08-11T00:00:00" u="1"/>
        <d v="2020-09-09T00:00:00" u="1"/>
        <d v="2020-10-12T00:00:00" u="1"/>
        <d v="2020-11-12T00:00:00" u="1"/>
        <d v="2020-12-22T00:00:00" u="1"/>
        <d v="2021-01-24T00:00:00" u="1"/>
        <d v="2021-02-21T00:00:00" u="1"/>
        <d v="2021-03-22T00:00:00" u="1"/>
        <d v="2021-04-25T00:00:00" u="1"/>
        <d v="2021-05-23T00:00:00" u="1"/>
        <d v="2021-06-20T00:00:00" u="1"/>
        <d v="2021-07-19T00:00:00" u="1"/>
        <d v="2021-08-21T00:00:00" u="1"/>
        <d v="2021-09-20T00:00:00" u="1"/>
        <d v="2021-10-22T00:00:00" u="1"/>
        <d v="2021-11-20T00:00:00" u="1"/>
        <d v="2021-12-22T00:00:00" u="1"/>
        <d v="2022-01-22T00:00:00" u="1"/>
        <d v="2022-03-20T00:00:00" u="1"/>
        <d v="2022-04-24T00:00:00" u="1"/>
        <d v="2022-06-19T00:00:00" u="1"/>
        <d v="2022-07-20T00:00:00" u="1"/>
        <d v="2022-09-21T00:00:00" u="1"/>
        <d v="2022-10-22T00:00:00" u="1"/>
        <d v="2022-11-21T00:00:00" u="1"/>
        <d v="2022-12-25T00:00:00" u="1"/>
        <d v="2023-02-20T00:00:00" u="1"/>
        <d v="2023-03-20T00:00:00" u="1"/>
        <d v="2023-04-23T00:00:00" u="1"/>
        <d v="2023-05-22T00:00:00" u="1"/>
        <d v="2023-07-21T00:00:00" u="1"/>
        <d v="2023-08-22T00:00:00" u="1"/>
        <d v="2023-09-19T00:00:00" u="1"/>
        <d v="2023-10-23T00:00:00" u="1"/>
        <d v="2023-11-20T00:00:00" u="1"/>
        <d v="2024-01-21T00:00:00" u="1"/>
        <d v="2024-02-18T00:00:00" u="1"/>
        <d v="2024-05-18T00:00:00" u="1"/>
        <d v="2024-07-19T00:00:00" u="1"/>
        <d v="2024-09-21T00:00:00" u="1"/>
        <d v="2024-11-01T00:00:00" u="1"/>
        <d v="2024-11-29T00:00:00" u="1"/>
        <d v="2024-12-30T00:00:00" u="1"/>
        <d v="2025-02-01T00:00:00" u="1"/>
        <d v="2025-02-28T00:00:00" u="1"/>
        <d v="2025-03-30T00:00:00" u="1"/>
        <d v="2017-09-05T00:00:00" u="1"/>
        <d v="2017-10-03T00:00:00" u="1"/>
        <d v="2017-11-05T00:00:00" u="1"/>
        <d v="2018-01-05T00:00:00" u="1"/>
        <d v="2018-05-06T00:00:00" u="1"/>
        <d v="2018-06-04T00:00:00" u="1"/>
        <d v="2018-07-03T00:00:00" u="1"/>
        <d v="2018-08-03T00:00:00" u="1"/>
        <d v="2018-12-03T00:00:00" u="1"/>
        <d v="2019-01-05T00:00:00" u="1"/>
        <d v="2019-02-05T00:00:00" u="1"/>
        <d v="2019-03-06T00:00:00" u="1"/>
        <d v="2019-04-03T00:00:00" u="1"/>
        <d v="2019-05-05T00:00:00" u="1"/>
        <d v="2019-07-01T00:00:00" u="1"/>
        <d v="2019-08-05T00:00:00" u="1"/>
        <d v="2019-09-04T00:00:00" u="1"/>
        <d v="2019-10-03T00:00:00" u="1"/>
        <d v="2019-12-04T00:00:00" u="1"/>
        <d v="2020-01-07T00:00:00" u="1"/>
        <d v="2020-02-04T00:00:00" u="1"/>
        <d v="2020-03-03T00:00:00" u="1"/>
        <d v="2020-04-05T00:00:00" u="1"/>
        <d v="2020-05-06T00:00:00" u="1"/>
        <d v="2020-06-03T00:00:00" u="1"/>
        <d v="2020-09-03T00:00:00" u="1"/>
        <d v="2020-10-05T00:00:00" u="1"/>
        <d v="2020-11-04T00:00:00" u="1"/>
        <d v="2021-04-08T00:00:00" u="1"/>
        <d v="2021-06-03T00:00:00" u="1"/>
        <d v="2021-06-04T00:00:00" u="1"/>
        <d v="2021-08-02T00:00:00" u="1"/>
        <d v="2021-09-03T00:00:00" u="1"/>
        <d v="2021-10-02T00:00:00" u="1"/>
        <d v="2022-03-31T00:00:00" u="1"/>
        <d v="2022-05-31T00:00:00" u="1"/>
        <d v="2022-06-30T00:00:00" u="1"/>
        <d v="2022-08-31T00:00:00" u="1"/>
        <d v="2022-09-30T00:00:00" u="1"/>
        <d v="2023-02-28T00:00:00" u="1"/>
        <d v="2023-03-31T00:00:00" u="1"/>
        <d v="2023-06-30T00:00:00" u="1"/>
        <d v="2023-11-04T00:00:00" u="1"/>
        <d v="2023-12-03T00:00:00" u="1"/>
        <d v="2024-01-02T00:00:00" u="1"/>
        <d v="2024-02-01T00:00:00" u="1"/>
        <d v="2024-03-03T00:00:00" u="1"/>
        <d v="2024-04-02T00:00:00" u="1"/>
        <d v="2024-05-05T00:00:00" u="1"/>
        <d v="2024-06-04T00:00:00" u="1"/>
        <d v="2024-07-01T00:00:00" u="1"/>
        <d v="2024-07-31T00:00:00" u="1"/>
        <d v="2024-08-20T00:00:00" u="1"/>
        <d v="2024-08-27T00:00:00" u="1"/>
        <d v="2024-09-23T00:00:00" u="1"/>
        <d v="2024-10-22T00:00:00" u="1"/>
        <d v="2024-11-25T00:00:00" u="1"/>
        <d v="2024-12-25T00:00:00" u="1"/>
        <d v="2025-01-07T00:00:00" u="1"/>
        <d v="2025-02-05T00:00:00" u="1"/>
        <d v="2025-02-22T00:00:00" u="1"/>
        <d v="2025-02-26T00:00:00" u="1"/>
        <d v="2017-12-06T00:00:00" u="1"/>
        <d v="2021-11-01T00:00:00" u="1"/>
        <d v="2021-12-03T00:00:00" u="1"/>
        <d v="2022-01-03T00:00:00" u="1"/>
        <d v="2022-01-31T00:00:00" u="1"/>
        <d v="2022-05-01T00:00:00" u="1"/>
        <d v="2022-07-31T00:00:00" u="1"/>
        <d v="2022-11-03T00:00:00" u="1"/>
        <d v="2022-11-11T00:00:00" u="1"/>
        <d v="2022-12-11T00:00:00" u="1"/>
        <d v="2023-01-06T00:00:00" u="1"/>
        <d v="2023-02-02T00:00:00" u="1"/>
        <d v="2023-04-30T00:00:00" u="1"/>
        <d v="2023-06-01T00:00:00" u="1"/>
        <d v="2023-07-30T00:00:00" u="1"/>
        <d v="2023-09-01T00:00:00" u="1"/>
        <d v="2023-09-30T00:00:00" u="1"/>
        <d v="2011-06-30T00:00:00" u="1"/>
        <d v="2011-07-31T00:00:00" u="1"/>
        <d v="2011-08-31T00:00:00" u="1"/>
        <d v="2011-09-30T00:00:00" u="1"/>
        <d v="2011-10-31T00:00:00" u="1"/>
        <d v="2011-11-30T00:00:00" u="1"/>
        <d v="2011-12-31T00:00:00" u="1"/>
        <d v="2012-01-31T00:00:00" u="1"/>
        <d v="2012-02-29T00:00:00" u="1"/>
        <d v="2012-03-31T00:00:00" u="1"/>
        <d v="2012-04-30T00:00:00" u="1"/>
        <d v="2012-05-31T00:00:00" u="1"/>
        <d v="2012-06-30T00:00:00" u="1"/>
        <d v="2012-07-31T00:00:00" u="1"/>
        <d v="2012-08-31T00:00:00" u="1"/>
        <d v="2012-09-30T00:00:00" u="1"/>
        <d v="2012-10-31T00:00:00" u="1"/>
        <d v="2012-11-30T00:00:00" u="1"/>
        <d v="2012-12-31T00:00:00" u="1"/>
        <d v="2013-01-31T00:00:00" u="1"/>
        <d v="2013-02-28T00:00:00" u="1"/>
        <d v="2013-03-31T00:00:00" u="1"/>
        <d v="2013-04-30T00:00:00" u="1"/>
        <d v="2013-05-31T00:00:00" u="1"/>
        <d v="2013-06-30T00:00:00" u="1"/>
        <d v="2013-07-31T00:00:00" u="1"/>
        <d v="2013-08-31T00:00:00" u="1"/>
        <d v="2013-09-27T00:00:00" u="1"/>
        <d v="2013-09-30T00:00:00" u="1"/>
        <d v="2013-10-31T00:00:00" u="1"/>
        <d v="2013-11-30T00:00:00" u="1"/>
        <d v="2013-12-31T00:00:00" u="1"/>
        <d v="2014-01-31T00:00:00" u="1"/>
        <d v="2014-02-28T00:00:00" u="1"/>
        <d v="2014-03-31T00:00:00" u="1"/>
        <d v="2014-04-30T00:00:00" u="1"/>
        <d v="2014-05-31T00:00:00" u="1"/>
        <d v="2014-06-30T00:00:00" u="1"/>
        <d v="2014-07-31T00:00:00" u="1"/>
        <d v="2014-08-31T00:00:00" u="1"/>
        <d v="2014-09-30T00:00:00" u="1"/>
        <d v="2014-10-31T00:00:00" u="1"/>
        <d v="2014-11-30T00:00:00" u="1"/>
        <d v="2014-12-31T00:00:00" u="1"/>
        <d v="2015-01-31T00:00:00" u="1"/>
        <d v="2015-02-28T00:00:00" u="1"/>
        <d v="2015-03-31T00:00:00" u="1"/>
        <d v="2015-04-30T00:00:00" u="1"/>
        <d v="2015-05-31T00:00:00" u="1"/>
        <d v="2015-06-30T00:00:00" u="1"/>
        <d v="2015-07-31T00:00:00" u="1"/>
        <d v="2015-08-31T00:00:00" u="1"/>
        <d v="2015-09-30T00:00:00" u="1"/>
        <d v="2015-10-31T00:00:00" u="1"/>
        <d v="2015-11-30T00:00:00" u="1"/>
        <d v="2015-12-31T00:00:00" u="1"/>
        <d v="2016-01-31T00:00:00" u="1"/>
        <d v="2016-02-29T00:00:00" u="1"/>
        <d v="2016-03-31T00:00:00" u="1"/>
        <d v="2016-04-30T00:00:00" u="1"/>
        <d v="2016-05-31T00:00:00" u="1"/>
        <d v="2016-06-30T00:00:00" u="1"/>
        <d v="2016-07-31T00:00:00" u="1"/>
        <d v="2016-08-31T00:00:00" u="1"/>
        <d v="2016-09-30T00:00:00" u="1"/>
        <d v="2016-10-31T00:00:00" u="1"/>
        <d v="2016-11-30T00:00:00" u="1"/>
        <d v="2016-12-31T00:00:00" u="1"/>
        <d v="2017-01-31T00:00:00" u="1"/>
        <d v="2017-02-28T00:00:00" u="1"/>
        <d v="2017-03-31T00:00:00" u="1"/>
        <d v="2017-04-30T00:00:00" u="1"/>
        <d v="2017-05-31T00:00:00" u="1"/>
        <d v="2017-06-30T00:00:00" u="1"/>
        <d v="2017-07-31T00:00:00" u="1"/>
        <d v="2017-08-31T00:00:00" u="1"/>
        <d v="2017-09-30T00:00:00" u="1"/>
        <d v="2017-10-31T00:00:00" u="1"/>
        <d v="2017-11-30T00:00:00" u="1"/>
        <d v="2017-12-31T00:00:00" u="1"/>
        <d v="2018-01-31T00:00:00" u="1"/>
        <d v="2018-02-28T00:00:00" u="1"/>
        <d v="2018-03-31T00:00:00" u="1"/>
        <d v="2018-04-30T00:00:00" u="1"/>
        <d v="2018-05-31T00:00:00" u="1"/>
        <d v="2018-06-30T00:00:00" u="1"/>
        <d v="2018-07-31T00:00:00" u="1"/>
        <d v="2018-08-31T00:00:00" u="1"/>
        <d v="2018-09-30T00:00:00" u="1"/>
        <d v="2018-10-31T00:00:00" u="1"/>
        <d v="2018-11-30T00:00:00" u="1"/>
        <d v="2018-12-31T00:00:00" u="1"/>
        <d v="2019-01-31T00:00:00" u="1"/>
        <d v="2019-02-28T00:00:00" u="1"/>
        <d v="2019-03-31T00:00:00" u="1"/>
        <d v="2019-04-30T00:00:00" u="1"/>
        <d v="2019-05-30T00:00:00" u="1"/>
        <d v="2019-06-30T00:00:00" u="1"/>
        <d v="2019-07-31T00:00:00" u="1"/>
        <d v="2019-08-31T00:00:00" u="1"/>
        <d v="2019-09-30T00:00:00" u="1"/>
        <d v="2019-10-31T00:00:00" u="1"/>
        <d v="2019-11-30T00:00:00" u="1"/>
        <d v="2019-12-31T00:00:00" u="1"/>
        <d v="2020-01-31T00:00:00" u="1"/>
        <d v="2020-02-29T00:00:00" u="1"/>
        <d v="2020-03-31T00:00:00" u="1"/>
        <d v="2020-04-30T00:00:00" u="1"/>
        <d v="2020-05-31T00:00:00" u="1"/>
        <d v="2020-06-30T00:00:00" u="1"/>
        <d v="2020-07-31T00:00:00" u="1"/>
        <d v="2020-08-31T00:00:00" u="1"/>
        <d v="2020-09-30T00:00:00" u="1"/>
        <d v="2020-10-31T00:00:00" u="1"/>
        <d v="2020-11-30T00:00:00" u="1"/>
        <d v="2020-12-31T00:00:00" u="1"/>
        <d v="2021-01-31T00:00:00" u="1"/>
        <d v="2021-02-28T00:00:00" u="1"/>
        <d v="2021-03-31T00:00:00" u="1"/>
        <d v="2021-04-30T00:00:00" u="1"/>
        <d v="2021-06-30T00:00:00" u="1"/>
        <d v="2021-07-31T00:00:00" u="1"/>
        <d v="2021-08-31T00:00:00" u="1"/>
        <d v="2021-09-30T00:00:00" u="1"/>
        <d v="2021-10-31T00:00:00" u="1"/>
        <d v="2021-11-21T00:00:00" u="1"/>
        <d v="2022-02-28T00:00:00" u="1"/>
        <d v="2022-04-30T00:00:00" u="1"/>
        <d v="2022-05-11T00:00:00" u="1"/>
        <d v="2022-07-10T00:00:00" u="1"/>
        <d v="2022-10-31T00:00:00" u="1"/>
        <d v="2022-11-30T00:00:00" u="1"/>
        <d v="2022-12-31T00:00:00" u="1"/>
        <d v="2023-01-31T00:00:00" u="1"/>
        <d v="2023-05-31T00:00:00" u="1"/>
        <d v="2023-07-31T00:00:00" u="1"/>
        <d v="2023-08-31T00:00:00" u="1"/>
        <d v="2023-10-31T00:00:00" u="1"/>
        <d v="2023-11-30T00:00:00" u="1"/>
        <d v="2023-12-31T00:00:00" u="1"/>
        <d v="2024-01-31T00:00:00" u="1"/>
        <d v="2024-02-29T00:00:00" u="1"/>
        <d v="2024-03-31T00:00:00" u="1"/>
        <d v="2024-04-30T00:00:00" u="1"/>
        <d v="2024-05-31T00:00:00" u="1"/>
        <d v="2024-06-30T00:00:00" u="1"/>
        <d v="2024-08-31T00:00:00" u="1"/>
        <d v="2024-09-30T00:00:00" u="1"/>
        <d v="2024-10-31T00:00:00" u="1"/>
        <d v="2024-11-30T00:00:00" u="1"/>
        <d v="2024-12-31T00:00:00" u="1"/>
        <d v="2025-01-31T00:00:00" u="1"/>
        <d v="2022-04-19T00:00:00" u="1"/>
        <d v="2024-03-25T00:00:00" u="1"/>
        <d v="2011-06-10T00:00:00" u="1"/>
        <d v="2011-07-12T00:00:00" u="1"/>
        <d v="2011-08-10T00:00:00" u="1"/>
        <d v="2011-09-08T00:00:00" u="1"/>
        <d v="2011-10-11T00:00:00" u="1"/>
        <d v="2011-11-10T00:00:00" u="1"/>
        <d v="2011-12-12T00:00:00" u="1"/>
        <d v="2012-01-16T00:00:00" u="1"/>
        <d v="2012-02-10T00:00:00" u="1"/>
        <d v="2012-03-12T00:00:00" u="1"/>
        <d v="2012-04-14T00:00:00" u="1"/>
        <d v="2012-05-09T00:00:00" u="1"/>
        <d v="2012-06-12T00:00:00" u="1"/>
        <d v="2012-07-08T00:00:00" u="1"/>
        <d v="2012-08-05T00:00:00" u="1"/>
        <d v="2012-09-09T00:00:00" u="1"/>
        <d v="2012-11-10T00:00:00" u="1"/>
        <d v="2013-01-11T00:00:00" u="1"/>
        <d v="2013-03-12T00:00:00" u="1"/>
        <d v="2013-05-10T00:00:00" u="1"/>
        <d v="2013-07-09T00:00:00" u="1"/>
        <d v="2013-08-14T00:00:00" u="1"/>
        <d v="2013-09-06T00:00:00" u="1"/>
        <d v="2013-11-12T00:00:00" u="1"/>
        <d v="2014-01-13T00:00:00" u="1"/>
        <d v="2014-03-12T00:00:00" u="1"/>
        <d v="2014-04-10T00:00:00" u="1"/>
        <d v="2014-05-13T00:00:00" u="1"/>
        <d v="2014-06-04T00:00:00" u="1"/>
        <d v="2014-06-11T00:00:00" u="1"/>
        <d v="2014-07-10T00:00:00" u="1"/>
        <d v="2014-08-12T00:00:00" u="1"/>
        <d v="2014-09-05T00:00:00" u="1"/>
        <d v="2014-10-07T00:00:00" u="1"/>
        <d v="2014-11-07T00:00:00" u="1"/>
        <d v="2014-12-09T00:00:00" u="1"/>
        <d v="2015-01-09T00:00:00" u="1"/>
        <d v="2015-02-06T00:00:00" u="1"/>
        <d v="2015-03-05T00:00:00" u="1"/>
        <d v="2015-04-10T00:00:00" u="1"/>
        <d v="2015-05-07T00:00:00" u="1"/>
        <d v="2015-06-04T00:00:00" u="1"/>
        <d v="2015-07-06T00:00:00" u="1"/>
        <d v="2015-08-06T00:00:00" u="1"/>
        <d v="2015-09-06T00:00:00" u="1"/>
        <d v="2015-10-06T00:00:00" u="1"/>
        <d v="2015-11-08T00:00:00" u="1"/>
        <d v="2015-12-08T00:00:00" u="1"/>
        <d v="2016-01-10T00:00:00" u="1"/>
        <d v="2016-02-04T00:00:00" u="1"/>
        <d v="2016-03-08T00:00:00" u="1"/>
        <d v="2016-04-06T00:00:00" u="1"/>
        <d v="2016-05-05T00:00:00" u="1"/>
        <d v="2016-06-06T00:00:00" u="1"/>
        <d v="2016-07-02T00:00:00" u="1"/>
        <d v="2016-08-04T00:00:00" u="1"/>
        <d v="2016-09-06T00:00:00" u="1"/>
        <d v="2016-10-10T00:00:00" u="1"/>
        <d v="2016-11-07T00:00:00" u="1"/>
        <d v="2016-12-08T00:00:00" u="1"/>
        <d v="2017-01-08T00:00:00" u="1"/>
        <d v="2017-02-06T00:00:00" u="1"/>
        <d v="2017-03-02T00:00:00" u="1"/>
        <d v="2017-04-05T00:00:00" u="1"/>
        <d v="2017-05-04T00:00:00" u="1"/>
        <d v="2017-06-04T00:00:00" u="1"/>
        <d v="2017-07-05T00:00:00" u="1"/>
        <d v="2017-08-06T00:00:00" u="1"/>
        <d v="2017-10-05T00:00:00" u="1"/>
        <d v="2017-11-07T00:00:00" u="1"/>
        <d v="2017-12-10T00:00:00" u="1"/>
        <d v="2018-01-08T00:00:00" u="1"/>
        <d v="2018-02-07T00:00:00" u="1"/>
        <d v="2018-04-08T00:00:00" u="1"/>
        <d v="2018-07-04T00:00:00" u="1"/>
        <d v="2018-08-04T00:00:00" u="1"/>
        <d v="2018-09-05T00:00:00" u="1"/>
        <d v="2018-10-01T00:00:00" u="1"/>
        <d v="2018-11-01T00:00:00" u="1"/>
        <d v="2018-12-01T00:00:00" u="1"/>
        <d v="2019-01-30T00:00:00" u="1"/>
        <d v="2019-03-02T00:00:00" u="1"/>
        <d v="2019-03-30T00:00:00" u="1"/>
        <d v="2019-06-01T00:00:00" u="1"/>
        <d v="2019-07-30T00:00:00" u="1"/>
        <d v="2019-09-29T00:00:00" u="1"/>
        <d v="2019-11-03T00:00:00" u="1"/>
        <d v="2020-01-01T00:00:00" u="1"/>
        <d v="2020-02-01T00:00:00" u="1"/>
        <d v="2020-05-02T00:00:00" u="1"/>
        <d v="2020-08-02T00:00:00" u="1"/>
        <d v="2020-09-29T00:00:00" u="1"/>
        <d v="2020-11-29T00:00:00" u="1"/>
        <d v="2021-01-03T00:00:00" u="1"/>
        <d v="2021-03-01T00:00:00" u="1"/>
        <d v="2021-04-05T00:00:00" u="1"/>
        <d v="2021-05-02T00:00:00" u="1"/>
        <d v="2021-08-01T00:00:00" u="1"/>
        <d v="2021-09-29T00:00:00" u="1"/>
        <d v="2022-01-01T00:00:00" u="1"/>
        <d v="2022-05-30T00:00:00" u="1"/>
        <d v="2022-06-29T00:00:00" u="1"/>
        <d v="2022-08-30T00:00:00" u="1"/>
        <d v="2022-10-02T00:00:00" u="1"/>
        <d v="2022-11-29T00:00:00" u="1"/>
        <d v="2023-01-30T00:00:00" u="1"/>
        <d v="2023-04-01T00:00:00" u="1"/>
        <d v="2023-04-29T00:00:00" u="1"/>
        <d v="2023-05-30T00:00:00" u="1"/>
        <d v="2023-07-02T00:00:00" u="1"/>
        <d v="2023-08-30T00:00:00" u="1"/>
        <d v="2023-09-29T00:00:00" u="1"/>
        <d v="2023-11-01T00:00:00" u="1"/>
        <d v="2023-11-26T00:00:00" u="1"/>
        <d v="2023-12-26T00:00:00" u="1"/>
        <d v="2024-01-26T00:00:00" u="1"/>
        <d v="2024-02-26T00:00:00" u="1"/>
        <d v="2023-01-19T00:00:00" u="1"/>
        <d v="2008-09-29T00:00:00" u="1"/>
        <d v="2007-10-25T00:00:00" u="1"/>
        <d v="2010-09-29T00:00:00" u="1"/>
        <d v="2007-11-21T00:00:00" u="1"/>
        <d v="2011-10-25T00:00:00" u="1"/>
        <d v="2008-12-17T00:00:00" u="1"/>
        <d v="2012-10-25T00:00:00" u="1"/>
        <d v="2009-12-17T00:00:00" u="1"/>
        <d v="2011-11-21T00:00:00" u="1"/>
        <d v="2013-10-25T00:00:00" u="1"/>
        <d v="2010-12-17T00:00:00" u="1"/>
        <d v="2016-09-29T00:00:00" u="1"/>
        <d v="2015-10-25T00:00:00" u="1"/>
        <d v="2012-12-17T00:00:00" u="1"/>
        <d v="2016-10-25T00:00:00" u="1"/>
        <d v="2013-12-17T00:00:00" u="1"/>
        <d v="2017-10-25T00:00:00" u="1"/>
        <d v="2014-12-17T00:00:00" u="1"/>
        <d v="2016-11-21T00:00:00" u="1"/>
        <d v="2015-12-17T00:00:00" u="1"/>
        <d v="2018-12-17T00:00:00" u="1"/>
        <d v="2006-10-27T00:00:00" u="1"/>
        <d v="2006-11-23T00:00:00" u="1"/>
        <d v="2008-10-27T00:00:00" u="1"/>
        <d v="2009-10-27T00:00:00" u="1"/>
        <d v="2010-10-27T00:00:00" u="1"/>
        <d v="2007-12-19T00:00:00" u="1"/>
        <d v="2009-11-23T00:00:00" u="1"/>
        <d v="2011-10-27T00:00:00" u="1"/>
        <d v="2008-12-19T00:00:00" u="1"/>
        <d v="2010-11-23T00:00:00" u="1"/>
        <d v="2011-11-23T00:00:00" u="1"/>
        <d v="2013-10-27T00:00:00" u="1"/>
        <d v="2010-12-19T00:00:00" u="1"/>
        <d v="2012-11-23T00:00:00" u="1"/>
        <d v="2011-12-19T00:00:00" u="1"/>
        <d v="2015-10-27T00:00:00" u="1"/>
        <d v="2012-12-19T00:00:00" u="1"/>
        <d v="2016-10-27T00:00:00" u="1"/>
        <d v="2015-11-23T00:00:00" u="1"/>
        <d v="2017-10-27T00:00:00" u="1"/>
        <d v="2014-12-19T00:00:00" u="1"/>
        <d v="2017-11-23T00:00:00" u="1"/>
        <d v="2016-12-19T00:00:00" u="1"/>
        <d v="2017-12-19T00:00:00" u="1"/>
        <d v="2007-10-29T00:00:00" u="1"/>
        <d v="2008-10-29T00:00:00" u="1"/>
        <d v="2009-10-29T00:00:00" u="1"/>
        <d v="2010-10-29T00:00:00" u="1"/>
        <d v="2007-12-21T00:00:00" u="1"/>
        <d v="2009-11-25T00:00:00" u="1"/>
        <d v="2010-11-25T00:00:00" u="1"/>
        <d v="2011-11-25T00:00:00" u="1"/>
        <d v="2013-10-29T00:00:00" u="1"/>
        <d v="2010-12-21T00:00:00" u="1"/>
        <d v="2014-10-29T00:00:00" u="1"/>
        <d v="2011-12-21T00:00:00" u="1"/>
        <d v="2015-10-29T00:00:00" u="1"/>
        <d v="2012-12-21T00:00:00" u="1"/>
        <d v="2014-11-25T00:00:00" u="1"/>
        <d v="2013-12-21T00:00:00" u="1"/>
        <d v="2015-11-25T00:00:00" u="1"/>
        <d v="2016-12-21T00:00:00" u="1"/>
        <d v="2007-01-02T00:00:00" u="1"/>
        <d v="2008-01-02T00:00:00" u="1"/>
        <d v="2009-01-02T00:00:00" u="1"/>
        <d v="2012-01-02T00:00:00" u="1"/>
        <d v="2013-01-02T00:00:00" u="1"/>
        <d v="2015-01-02T00:00:00" u="1"/>
        <d v="2017-01-02T00:00:00" u="1"/>
        <d v="2018-01-02T00:00:00" u="1"/>
        <d v="2019-01-02T00:00:00" u="1"/>
        <d v="2020-01-02T00:00:00" u="1"/>
        <d v="2023-01-02T00:00:00" u="1"/>
        <d v="2007-10-31T00:00:00" u="1"/>
        <d v="2008-10-31T00:00:00" u="1"/>
        <d v="2009-10-31T00:00:00" u="1"/>
        <d v="2008-11-27T00:00:00" u="1"/>
        <d v="2010-10-31T00:00:00" u="1"/>
        <d v="2009-11-27T00:00:00" u="1"/>
        <d v="2008-12-23T00:00:00" u="1"/>
        <d v="2009-12-23T00:00:00" u="1"/>
        <d v="2010-12-23T00:00:00" u="1"/>
        <d v="2012-11-27T00:00:00" u="1"/>
        <d v="2011-12-23T00:00:00" u="1"/>
        <d v="2013-11-27T00:00:00" u="1"/>
        <d v="2014-11-27T00:00:00" u="1"/>
        <d v="2015-11-27T00:00:00" u="1"/>
        <d v="2014-12-23T00:00:00" u="1"/>
        <d v="2016-11-27T00:00:00" u="1"/>
        <d v="2015-12-23T00:00:00" u="1"/>
        <d v="2008-01-04T00:00:00" u="1"/>
        <d v="2019-12-23T00:00:00" u="1"/>
        <d v="2010-01-04T00:00:00" u="1"/>
        <d v="2011-01-04T00:00:00" u="1"/>
        <d v="2012-01-04T00:00:00" u="1"/>
        <d v="2013-01-04T00:00:00" u="1"/>
        <d v="2016-01-04T00:00:00" u="1"/>
        <d v="2017-01-04T00:00:00" u="1"/>
        <d v="2018-01-04T00:00:00" u="1"/>
        <d v="2008-11-29T00:00:00" u="1"/>
        <d v="2010-11-29T00:00:00" u="1"/>
        <d v="2009-12-25T00:00:00" u="1"/>
        <d v="2011-11-29T00:00:00" u="1"/>
        <d v="2012-11-29T00:00:00" u="1"/>
        <d v="2011-12-25T00:00:00" u="1"/>
        <d v="2017-11-29T00:00:00" u="1"/>
        <d v="2018-12-25T00:00:00" u="1"/>
        <d v="2009-02-02T00:00:00" u="1"/>
        <d v="2010-02-02T00:00:00" u="1"/>
        <d v="2011-02-02T00:00:00" u="1"/>
        <d v="2012-02-02T00:00:00" u="1"/>
        <d v="2014-02-02T00:00:00" u="1"/>
        <d v="2016-01-06T00:00:00" u="1"/>
        <d v="2015-02-02T00:00:00" u="1"/>
        <d v="2016-02-02T00:00:00" u="1"/>
        <d v="2017-02-02T00:00:00" u="1"/>
        <d v="2018-02-02T00:00:00" u="1"/>
        <d v="2007-12-27T00:00:00" u="1"/>
        <d v="2008-12-27T00:00:00" u="1"/>
        <d v="2010-12-27T00:00:00" u="1"/>
        <d v="2011-12-27T00:00:00" u="1"/>
        <d v="2012-12-27T00:00:00" u="1"/>
        <d v="2013-12-27T00:00:00" u="1"/>
        <d v="2014-12-27T00:00:00" u="1"/>
        <d v="2015-12-27T00:00:00" u="1"/>
        <d v="2008-01-08T00:00:00" u="1"/>
        <d v="2009-01-08T00:00:00" u="1"/>
        <d v="2010-01-08T00:00:00" u="1"/>
        <d v="2009-02-04T00:00:00" u="1"/>
        <d v="2010-02-04T00:00:00" u="1"/>
        <d v="2011-02-04T00:00:00" u="1"/>
        <d v="2013-01-08T00:00:00" u="1"/>
        <d v="2014-01-08T00:00:00" u="1"/>
        <d v="2013-02-04T00:00:00" u="1"/>
        <d v="2015-01-08T00:00:00" u="1"/>
        <d v="2016-01-08T00:00:00" u="1"/>
        <d v="2015-02-04T00:00:00" u="1"/>
        <d v="2010-12-29T00:00:00" u="1"/>
        <d v="2011-12-29T00:00:00" u="1"/>
        <d v="2014-12-29T00:00:00" u="1"/>
        <d v="2016-12-29T00:00:00" u="1"/>
        <d v="2017-12-29T00:00:00" u="1"/>
        <d v="2008-01-10T00:00:00" u="1"/>
        <d v="2007-02-06T00:00:00" u="1"/>
        <d v="2010-01-10T00:00:00" u="1"/>
        <d v="2009-02-06T00:00:00" u="1"/>
        <d v="2011-01-10T00:00:00" u="1"/>
        <d v="2012-01-10T00:00:00" u="1"/>
        <d v="2009-03-02T00:00:00" u="1"/>
        <d v="2013-01-10T00:00:00" u="1"/>
        <d v="2010-03-02T00:00:00" u="1"/>
        <d v="2012-02-06T00:00:00" u="1"/>
        <d v="2014-01-10T00:00:00" u="1"/>
        <d v="2013-02-06T00:00:00" u="1"/>
        <d v="2012-03-02T00:00:00" u="1"/>
        <d v="2017-01-10T00:00:00" u="1"/>
        <d v="2014-03-02T00:00:00" u="1"/>
        <d v="2018-01-10T00:00:00" u="1"/>
        <d v="2015-03-02T00:00:00" u="1"/>
        <d v="2016-03-02T00:00:00" u="1"/>
        <d v="2020-01-10T00:00:00" u="1"/>
        <d v="2021-03-02T00:00:00" u="1"/>
        <d v="2023-03-02T00:00:00" u="1"/>
        <d v="2007-12-31T00:00:00" u="1"/>
        <d v="2008-12-31T00:00:00" u="1"/>
        <d v="2009-12-31T00:00:00" u="1"/>
        <d v="2010-12-31T00:00:00" u="1"/>
        <d v="2007-01-12T00:00:00" u="1"/>
        <d v="2009-01-12T00:00:00" u="1"/>
        <d v="2008-02-08T00:00:00" u="1"/>
        <d v="2010-01-12T00:00:00" u="1"/>
        <d v="2011-01-12T00:00:00" u="1"/>
        <d v="2008-03-04T00:00:00" u="1"/>
        <d v="2010-02-08T00:00:00" u="1"/>
        <d v="2012-01-12T00:00:00" u="1"/>
        <d v="2009-03-04T00:00:00" u="1"/>
        <d v="2011-02-08T00:00:00" u="1"/>
        <d v="2010-03-04T00:00:00" u="1"/>
        <d v="2012-02-08T00:00:00" u="1"/>
        <d v="2014-01-12T00:00:00" u="1"/>
        <d v="2011-03-04T00:00:00" u="1"/>
        <d v="2013-02-08T00:00:00" u="1"/>
        <d v="2015-01-12T00:00:00" u="1"/>
        <d v="2014-02-08T00:00:00" u="1"/>
        <d v="2016-01-12T00:00:00" u="1"/>
        <d v="2013-03-04T00:00:00" u="1"/>
        <d v="2015-02-08T00:00:00" u="1"/>
        <d v="2017-01-12T00:00:00" u="1"/>
        <d v="2014-03-04T00:00:00" u="1"/>
        <d v="2016-02-08T00:00:00" u="1"/>
        <d v="2018-01-12T00:00:00" u="1"/>
        <d v="2015-03-04T00:00:00" u="1"/>
        <d v="2017-02-08T00:00:00" u="1"/>
        <d v="2016-03-04T00:00:00" u="1"/>
        <d v="2017-03-04T00:00:00" u="1"/>
        <d v="2018-03-04T00:00:00" u="1"/>
        <d v="2019-03-04T00:00:00" u="1"/>
        <d v="2008-01-14T00:00:00" u="1"/>
        <d v="2009-01-14T00:00:00" u="1"/>
        <d v="2010-01-14T00:00:00" u="1"/>
        <d v="2007-03-06T00:00:00" u="1"/>
        <d v="2009-02-10T00:00:00" u="1"/>
        <d v="2011-01-14T00:00:00" u="1"/>
        <d v="2008-03-06T00:00:00" u="1"/>
        <d v="2010-02-10T00:00:00" u="1"/>
        <d v="2009-03-06T00:00:00" u="1"/>
        <d v="2011-02-10T00:00:00" u="1"/>
        <d v="2013-01-14T00:00:00" u="1"/>
        <d v="2008-04-02T00:00:00" u="1"/>
        <d v="2014-01-14T00:00:00" u="1"/>
        <d v="2009-04-02T00:00:00" u="1"/>
        <d v="2015-01-14T00:00:00" u="1"/>
        <d v="2012-03-06T00:00:00" u="1"/>
        <d v="2016-01-14T00:00:00" u="1"/>
        <d v="2013-03-06T00:00:00" u="1"/>
        <d v="2017-01-14T00:00:00" u="1"/>
        <d v="2012-04-02T00:00:00" u="1"/>
        <d v="2014-03-06T00:00:00" u="1"/>
        <d v="2016-02-10T00:00:00" u="1"/>
        <d v="2013-04-02T00:00:00" u="1"/>
        <d v="2015-03-06T00:00:00" u="1"/>
        <d v="2019-01-14T00:00:00" u="1"/>
        <d v="2014-04-02T00:00:00" u="1"/>
        <d v="2019-02-10T00:00:00" u="1"/>
        <d v="2008-01-16T00:00:00" u="1"/>
        <d v="2007-02-12T00:00:00" u="1"/>
        <d v="2009-01-16T00:00:00" u="1"/>
        <d v="2010-02-12T00:00:00" u="1"/>
        <d v="2013-01-16T00:00:00" u="1"/>
        <d v="2008-04-04T00:00:00" u="1"/>
        <d v="2010-03-08T00:00:00" u="1"/>
        <d v="2014-01-16T00:00:00" u="1"/>
        <d v="2011-03-08T00:00:00" u="1"/>
        <d v="2013-02-12T00:00:00" u="1"/>
        <d v="2015-01-16T00:00:00" u="1"/>
        <d v="2012-03-08T00:00:00" u="1"/>
        <d v="2014-02-12T00:00:00" u="1"/>
        <d v="2013-03-08T00:00:00" u="1"/>
        <d v="2015-02-12T00:00:00" u="1"/>
        <d v="2012-04-04T00:00:00" u="1"/>
        <d v="2016-02-12T00:00:00" u="1"/>
        <d v="2018-01-16T00:00:00" u="1"/>
        <d v="2013-04-04T00:00:00" u="1"/>
        <d v="2015-03-08T00:00:00" u="1"/>
        <d v="2017-02-12T00:00:00" u="1"/>
        <d v="2014-04-04T00:00:00" u="1"/>
        <d v="2016-04-04T00:00:00" u="1"/>
        <d v="2018-03-08T00:00:00" u="1"/>
        <d v="2017-04-04T00:00:00" u="1"/>
        <d v="2019-04-04T00:00:00" u="1"/>
        <d v="2008-01-18T00:00:00" u="1"/>
        <d v="2008-02-14T00:00:00" u="1"/>
        <d v="2010-01-18T00:00:00" u="1"/>
        <d v="2011-01-18T00:00:00" u="1"/>
        <d v="2006-04-06T00:00:00" u="1"/>
        <d v="2008-03-10T00:00:00" u="1"/>
        <d v="2009-03-10T00:00:00" u="1"/>
        <d v="2013-01-18T00:00:00" u="1"/>
        <d v="2010-03-10T00:00:00" u="1"/>
        <d v="2012-02-14T00:00:00" u="1"/>
        <d v="2014-01-18T00:00:00" u="1"/>
        <d v="2009-04-06T00:00:00" u="1"/>
        <d v="2011-03-10T00:00:00" u="1"/>
        <d v="2013-02-14T00:00:00" u="1"/>
        <d v="2008-05-02T00:00:00" u="1"/>
        <d v="2010-04-06T00:00:00" u="1"/>
        <d v="2012-03-10T00:00:00" u="1"/>
        <d v="2014-02-14T00:00:00" u="1"/>
        <d v="2016-01-18T00:00:00" u="1"/>
        <d v="2011-04-06T00:00:00" u="1"/>
        <d v="2015-02-14T00:00:00" u="1"/>
        <d v="2017-01-18T00:00:00" u="1"/>
        <d v="2014-03-10T00:00:00" u="1"/>
        <d v="2016-02-14T00:00:00" u="1"/>
        <d v="2011-05-02T00:00:00" u="1"/>
        <d v="2015-03-10T00:00:00" u="1"/>
        <d v="2017-02-14T00:00:00" u="1"/>
        <d v="2012-05-02T00:00:00" u="1"/>
        <d v="2016-03-10T00:00:00" u="1"/>
        <d v="2018-02-14T00:00:00" u="1"/>
        <d v="2013-05-02T00:00:00" u="1"/>
        <d v="2015-04-06T00:00:00" u="1"/>
        <d v="2014-05-02T00:00:00" u="1"/>
        <d v="2018-03-10T00:00:00" u="1"/>
        <d v="2017-04-06T00:00:00" u="1"/>
        <d v="2016-05-02T00:00:00" u="1"/>
        <d v="2017-05-02T00:00:00" u="1"/>
        <d v="2018-05-02T00:00:00" u="1"/>
        <d v="2019-05-02T00:00:00" u="1"/>
        <d v="2021-04-06T00:00:00" u="1"/>
        <d v="2009-01-20T00:00:00" u="1"/>
        <d v="2010-01-20T00:00:00" u="1"/>
        <d v="2009-02-16T00:00:00" u="1"/>
        <d v="2008-03-12T00:00:00" u="1"/>
        <d v="2010-02-16T00:00:00" u="1"/>
        <d v="2009-03-12T00:00:00" u="1"/>
        <d v="2011-02-16T00:00:00" u="1"/>
        <d v="2008-04-08T00:00:00" u="1"/>
        <d v="2010-03-12T00:00:00" u="1"/>
        <d v="2012-02-16T00:00:00" u="1"/>
        <d v="2014-01-20T00:00:00" u="1"/>
        <d v="2009-04-08T00:00:00" u="1"/>
        <d v="2010-04-08T00:00:00" u="1"/>
        <d v="2016-01-20T00:00:00" u="1"/>
        <d v="2009-05-04T00:00:00" u="1"/>
        <d v="2011-04-08T00:00:00" u="1"/>
        <d v="2015-02-16T00:00:00" u="1"/>
        <d v="2010-05-04T00:00:00" u="1"/>
        <d v="2016-02-16T00:00:00" u="1"/>
        <d v="2011-05-04T00:00:00" u="1"/>
        <d v="2013-04-08T00:00:00" u="1"/>
        <d v="2017-02-16T00:00:00" u="1"/>
        <d v="2012-05-04T00:00:00" u="1"/>
        <d v="2014-04-08T00:00:00" u="1"/>
        <d v="2015-04-08T00:00:00" u="1"/>
        <d v="2017-03-12T00:00:00" u="1"/>
        <d v="2019-02-16T00:00:00" u="1"/>
        <d v="2022-01-20T00:00:00" u="1"/>
        <d v="2015-05-04T00:00:00" u="1"/>
        <d v="2016-05-04T00:00:00" u="1"/>
        <d v="2022-02-16T00:00:00" u="1"/>
        <d v="2022-05-04T00:00:00" u="1"/>
        <d v="2008-01-22T00:00:00" u="1"/>
        <d v="2009-01-22T00:00:00" u="1"/>
        <d v="2008-02-18T00:00:00" u="1"/>
        <d v="2010-01-22T00:00:00" u="1"/>
        <d v="2009-02-18T00:00:00" u="1"/>
        <d v="2008-03-14T00:00:00" u="1"/>
        <d v="2010-02-18T00:00:00" u="1"/>
        <d v="2012-01-22T00:00:00" u="1"/>
        <d v="2007-04-10T00:00:00" u="1"/>
        <d v="2011-02-18T00:00:00" u="1"/>
        <d v="2008-04-10T00:00:00" u="1"/>
        <d v="2014-01-22T00:00:00" u="1"/>
        <d v="2009-04-10T00:00:00" u="1"/>
        <d v="2011-03-14T00:00:00" u="1"/>
        <d v="2013-02-18T00:00:00" u="1"/>
        <d v="2015-01-22T00:00:00" u="1"/>
        <d v="2012-03-14T00:00:00" u="1"/>
        <d v="2014-02-18T00:00:00" u="1"/>
        <d v="2009-05-06T00:00:00" u="1"/>
        <d v="2013-03-14T00:00:00" u="1"/>
        <d v="2015-02-18T00:00:00" u="1"/>
        <d v="2010-05-06T00:00:00" u="1"/>
        <d v="2012-04-10T00:00:00" u="1"/>
        <d v="2016-02-18T00:00:00" u="1"/>
        <d v="2009-06-02T00:00:00" u="1"/>
        <d v="2011-05-06T00:00:00" u="1"/>
        <d v="2013-04-10T00:00:00" u="1"/>
        <d v="2015-03-14T00:00:00" u="1"/>
        <d v="2016-03-14T00:00:00" u="1"/>
        <d v="2011-06-02T00:00:00" u="1"/>
        <d v="2013-05-06T00:00:00" u="1"/>
        <d v="2014-05-06T00:00:00" u="1"/>
        <d v="2016-04-10T00:00:00" u="1"/>
        <d v="2015-05-06T00:00:00" u="1"/>
        <d v="2014-06-02T00:00:00" u="1"/>
        <d v="2016-05-06T00:00:00" u="1"/>
        <d v="2015-06-02T00:00:00" u="1"/>
        <d v="2016-06-02T00:00:00" u="1"/>
        <d v="2017-06-02T00:00:00" u="1"/>
        <d v="2019-05-06T00:00:00" u="1"/>
        <d v="2019-06-02T00:00:00" u="1"/>
        <d v="2009-01-24T00:00:00" u="1"/>
        <d v="2008-02-20T00:00:00" u="1"/>
        <d v="2007-03-16T00:00:00" u="1"/>
        <d v="2009-02-20T00:00:00" u="1"/>
        <d v="2011-01-24T00:00:00" u="1"/>
        <d v="2006-04-12T00:00:00" u="1"/>
        <d v="2012-01-24T00:00:00" u="1"/>
        <d v="2009-03-16T00:00:00" u="1"/>
        <d v="2013-01-24T00:00:00" u="1"/>
        <d v="2010-03-16T00:00:00" u="1"/>
        <d v="2012-02-20T00:00:00" u="1"/>
        <d v="2007-05-08T00:00:00" u="1"/>
        <d v="2011-03-16T00:00:00" u="1"/>
        <d v="2013-02-20T00:00:00" u="1"/>
        <d v="2008-05-08T00:00:00" u="1"/>
        <d v="2010-04-12T00:00:00" u="1"/>
        <d v="2012-03-16T00:00:00" u="1"/>
        <d v="2014-02-20T00:00:00" u="1"/>
        <d v="2007-06-04T00:00:00" u="1"/>
        <d v="2009-05-08T00:00:00" u="1"/>
        <d v="2011-04-12T00:00:00" u="1"/>
        <d v="2017-01-24T00:00:00" u="1"/>
        <d v="2012-04-12T00:00:00" u="1"/>
        <d v="2016-02-20T00:00:00" u="1"/>
        <d v="2018-01-24T00:00:00" u="1"/>
        <d v="2009-06-04T00:00:00" u="1"/>
        <d v="2011-05-08T00:00:00" u="1"/>
        <d v="2013-04-12T00:00:00" u="1"/>
        <d v="2015-03-16T00:00:00" u="1"/>
        <d v="2017-02-20T00:00:00" u="1"/>
        <d v="2019-01-24T00:00:00" u="1"/>
        <d v="2010-06-04T00:00:00" u="1"/>
        <d v="2012-05-08T00:00:00" u="1"/>
        <d v="2016-03-16T00:00:00" u="1"/>
        <d v="2013-05-08T00:00:00" u="1"/>
        <d v="2015-04-12T00:00:00" u="1"/>
        <d v="2017-03-16T00:00:00" u="1"/>
        <d v="2012-06-04T00:00:00" u="1"/>
        <d v="2014-05-08T00:00:00" u="1"/>
        <d v="2016-04-12T00:00:00" u="1"/>
        <d v="2018-03-16T00:00:00" u="1"/>
        <d v="2013-06-04T00:00:00" u="1"/>
        <d v="2015-05-08T00:00:00" u="1"/>
        <d v="2017-04-12T00:00:00" u="1"/>
        <d v="2016-05-08T00:00:00" u="1"/>
        <d v="2008-02-22T00:00:00" u="1"/>
        <d v="2010-01-26T00:00:00" u="1"/>
        <d v="2011-01-26T00:00:00" u="1"/>
        <d v="2008-03-18T00:00:00" u="1"/>
        <d v="2010-02-22T00:00:00" u="1"/>
        <d v="2011-02-22T00:00:00" u="1"/>
        <d v="2006-05-10T00:00:00" u="1"/>
        <d v="2010-03-18T00:00:00" u="1"/>
        <d v="2012-02-22T00:00:00" u="1"/>
        <d v="2007-05-10T00:00:00" u="1"/>
        <d v="2009-04-14T00:00:00" u="1"/>
        <d v="2011-03-18T00:00:00" u="1"/>
        <d v="2015-01-26T00:00:00" u="1"/>
        <d v="2006-06-06T00:00:00" u="1"/>
        <d v="2010-04-14T00:00:00" u="1"/>
        <d v="2016-01-26T00:00:00" u="1"/>
        <d v="2007-06-06T00:00:00" u="1"/>
        <d v="2011-04-14T00:00:00" u="1"/>
        <d v="2013-03-18T00:00:00" u="1"/>
        <d v="2017-01-26T00:00:00" u="1"/>
        <d v="2010-05-10T00:00:00" u="1"/>
        <d v="2014-03-18T00:00:00" u="1"/>
        <d v="2016-02-22T00:00:00" u="1"/>
        <d v="2018-01-26T00:00:00" u="1"/>
        <d v="2011-05-10T00:00:00" u="1"/>
        <d v="2015-03-18T00:00:00" u="1"/>
        <d v="2017-02-22T00:00:00" u="1"/>
        <d v="2008-07-02T00:00:00" u="1"/>
        <d v="2012-05-10T00:00:00" u="1"/>
        <d v="2014-04-14T00:00:00" u="1"/>
        <d v="2016-03-18T00:00:00" u="1"/>
        <d v="2009-07-02T00:00:00" u="1"/>
        <d v="2011-06-06T00:00:00" u="1"/>
        <d v="2015-04-14T00:00:00" u="1"/>
        <d v="2017-03-18T00:00:00" u="1"/>
        <d v="2010-07-02T00:00:00" u="1"/>
        <d v="2012-06-06T00:00:00" u="1"/>
        <d v="2016-04-14T00:00:00" u="1"/>
        <d v="2013-06-06T00:00:00" u="1"/>
        <d v="2015-05-10T00:00:00" u="1"/>
        <d v="2019-03-18T00:00:00" u="1"/>
        <d v="2012-07-02T00:00:00" u="1"/>
        <d v="2016-05-10T00:00:00" u="1"/>
        <d v="2013-07-02T00:00:00" u="1"/>
        <d v="2014-07-02T00:00:00" u="1"/>
        <d v="2018-05-10T00:00:00" u="1"/>
        <d v="2015-07-02T00:00:00" u="1"/>
        <d v="2017-06-06T00:00:00" u="1"/>
        <d v="2017-07-02T00:00:00" u="1"/>
        <d v="2018-07-02T00:00:00" u="1"/>
        <d v="2008-01-28T00:00:00" u="1"/>
        <d v="2009-01-28T00:00:00" u="1"/>
        <d v="2010-01-28T00:00:00" u="1"/>
        <d v="2009-02-24T00:00:00" u="1"/>
        <d v="2011-01-28T00:00:00" u="1"/>
        <d v="2010-02-24T00:00:00" u="1"/>
        <d v="2007-04-16T00:00:00" u="1"/>
        <d v="2011-02-24T00:00:00" u="1"/>
        <d v="2013-01-28T00:00:00" u="1"/>
        <d v="2012-02-24T00:00:00" u="1"/>
        <d v="2014-01-28T00:00:00" u="1"/>
        <d v="2009-04-16T00:00:00" u="1"/>
        <d v="2006-06-08T00:00:00" u="1"/>
        <d v="2008-05-12T00:00:00" u="1"/>
        <d v="2010-04-16T00:00:00" u="1"/>
        <d v="2012-03-20T00:00:00" u="1"/>
        <d v="2016-01-28T00:00:00" u="1"/>
        <d v="2009-05-12T00:00:00" u="1"/>
        <d v="2013-03-20T00:00:00" u="1"/>
        <d v="2015-02-24T00:00:00" u="1"/>
        <d v="2017-01-28T00:00:00" u="1"/>
        <d v="2010-05-12T00:00:00" u="1"/>
        <d v="2012-04-16T00:00:00" u="1"/>
        <d v="2014-03-20T00:00:00" u="1"/>
        <d v="2016-02-24T00:00:00" u="1"/>
        <d v="2007-07-04T00:00:00" u="1"/>
        <d v="2009-06-08T00:00:00" u="1"/>
        <d v="2011-05-12T00:00:00" u="1"/>
        <d v="2013-04-16T00:00:00" u="1"/>
        <d v="2008-07-04T00:00:00" u="1"/>
        <d v="2010-06-08T00:00:00" u="1"/>
        <d v="2012-05-12T00:00:00" u="1"/>
        <d v="2014-04-16T00:00:00" u="1"/>
        <d v="2011-06-08T00:00:00" u="1"/>
        <d v="2015-04-16T00:00:00" u="1"/>
        <d v="2017-03-20T00:00:00" u="1"/>
        <d v="2019-02-24T00:00:00" u="1"/>
        <d v="2012-06-08T00:00:00" u="1"/>
        <d v="2014-05-12T00:00:00" u="1"/>
        <d v="2011-07-04T00:00:00" u="1"/>
        <d v="2015-05-12T00:00:00" u="1"/>
        <d v="2012-07-04T00:00:00" u="1"/>
        <d v="2016-05-12T00:00:00" u="1"/>
        <d v="2018-04-16T00:00:00" u="1"/>
        <d v="2013-07-04T00:00:00" u="1"/>
        <d v="2015-06-08T00:00:00" u="1"/>
        <d v="2014-07-04T00:00:00" u="1"/>
        <d v="2016-06-08T00:00:00" u="1"/>
        <d v="2016-07-04T00:00:00" u="1"/>
        <d v="2017-07-04T00:00:00" u="1"/>
        <d v="2022-07-04T00:00:00" u="1"/>
        <d v="2009-01-30T00:00:00" u="1"/>
        <d v="2008-02-26T00:00:00" u="1"/>
        <d v="2010-01-30T00:00:00" u="1"/>
        <d v="2009-02-26T00:00:00" u="1"/>
        <d v="2006-04-18T00:00:00" u="1"/>
        <d v="2008-03-22T00:00:00" u="1"/>
        <d v="2010-02-26T00:00:00" u="1"/>
        <d v="2012-01-30T00:00:00" u="1"/>
        <d v="2007-04-18T00:00:00" u="1"/>
        <d v="2010-03-22T00:00:00" u="1"/>
        <d v="2014-01-30T00:00:00" u="1"/>
        <d v="2011-03-22T00:00:00" u="1"/>
        <d v="2013-02-26T00:00:00" u="1"/>
        <d v="2015-01-30T00:00:00" u="1"/>
        <d v="2008-05-14T00:00:00" u="1"/>
        <d v="2012-03-22T00:00:00" u="1"/>
        <d v="2014-02-26T00:00:00" u="1"/>
        <d v="2016-01-30T00:00:00" u="1"/>
        <d v="2009-05-14T00:00:00" u="1"/>
        <d v="2011-04-18T00:00:00" u="1"/>
        <d v="2015-02-26T00:00:00" u="1"/>
        <d v="2017-01-30T00:00:00" u="1"/>
        <d v="2008-06-10T00:00:00" u="1"/>
        <d v="2010-05-14T00:00:00" u="1"/>
        <d v="2012-04-18T00:00:00" u="1"/>
        <d v="2016-02-26T00:00:00" u="1"/>
        <d v="2007-07-06T00:00:00" u="1"/>
        <d v="2009-06-10T00:00:00" u="1"/>
        <d v="2013-04-18T00:00:00" u="1"/>
        <d v="2017-02-26T00:00:00" u="1"/>
        <d v="2010-06-10T00:00:00" u="1"/>
        <d v="2012-05-14T00:00:00" u="1"/>
        <d v="2016-03-22T00:00:00" u="1"/>
        <d v="2009-07-06T00:00:00" u="1"/>
        <d v="2013-05-14T00:00:00" u="1"/>
        <d v="2017-03-22T00:00:00" u="1"/>
        <d v="2010-07-06T00:00:00" u="1"/>
        <d v="2014-05-14T00:00:00" u="1"/>
        <d v="2016-04-18T00:00:00" u="1"/>
        <d v="2018-03-22T00:00:00" u="1"/>
        <d v="2011-07-06T00:00:00" u="1"/>
        <d v="2013-06-10T00:00:00" u="1"/>
        <d v="2015-05-14T00:00:00" u="1"/>
        <d v="2017-04-18T00:00:00" u="1"/>
        <d v="2010-08-02T00:00:00" u="1"/>
        <d v="2012-07-06T00:00:00" u="1"/>
        <d v="2014-06-10T00:00:00" u="1"/>
        <d v="2011-08-02T00:00:00" u="1"/>
        <d v="2015-06-10T00:00:00" u="1"/>
        <d v="2012-08-02T00:00:00" u="1"/>
        <d v="2018-05-14T00:00:00" u="1"/>
        <d v="2013-08-02T00:00:00" u="1"/>
        <d v="2016-07-06T00:00:00" u="1"/>
        <d v="2015-08-02T00:00:00" u="1"/>
        <d v="2016-08-02T00:00:00" u="1"/>
        <d v="2017-08-02T00:00:00" u="1"/>
        <d v="2022-08-02T00:00:00" u="1"/>
        <d v="2008-02-28T00:00:00" u="1"/>
        <d v="2005-04-20T00:00:00" u="1"/>
        <d v="2009-02-28T00:00:00" u="1"/>
        <d v="2010-02-28T00:00:00" u="1"/>
        <d v="2009-03-24T00:00:00" u="1"/>
        <d v="2011-02-28T00:00:00" u="1"/>
        <d v="2007-05-16T00:00:00" u="1"/>
        <d v="2011-03-24T00:00:00" u="1"/>
        <d v="2008-05-16T00:00:00" u="1"/>
        <d v="2010-04-20T00:00:00" u="1"/>
        <d v="2011-04-20T00:00:00" u="1"/>
        <d v="2013-03-24T00:00:00" u="1"/>
        <d v="2012-04-20T00:00:00" u="1"/>
        <d v="2014-03-24T00:00:00" u="1"/>
        <d v="2009-06-12T00:00:00" u="1"/>
        <d v="2011-05-16T00:00:00" u="1"/>
        <d v="2015-03-24T00:00:00" u="1"/>
        <d v="2006-08-04T00:00:00" u="1"/>
        <d v="2008-07-08T00:00:00" u="1"/>
        <d v="2009-07-08T00:00:00" u="1"/>
        <d v="2013-05-16T00:00:00" u="1"/>
        <d v="2015-04-20T00:00:00" u="1"/>
        <d v="2008-08-04T00:00:00" u="1"/>
        <d v="2010-07-08T00:00:00" u="1"/>
        <d v="2014-05-16T00:00:00" u="1"/>
        <d v="2016-04-20T00:00:00" u="1"/>
        <d v="2018-03-24T00:00:00" u="1"/>
        <d v="2009-08-04T00:00:00" u="1"/>
        <d v="2011-07-08T00:00:00" u="1"/>
        <d v="2013-06-12T00:00:00" u="1"/>
        <d v="2017-04-20T00:00:00" u="1"/>
        <d v="2010-08-04T00:00:00" u="1"/>
        <d v="2014-06-12T00:00:00" u="1"/>
        <d v="2016-05-16T00:00:00" u="1"/>
        <d v="2011-08-04T00:00:00" u="1"/>
        <d v="2013-07-08T00:00:00" u="1"/>
        <d v="2015-06-12T00:00:00" u="1"/>
        <d v="2014-07-08T00:00:00" u="1"/>
        <d v="2016-06-12T00:00:00" u="1"/>
        <d v="2018-05-16T00:00:00" u="1"/>
        <d v="2015-07-08T00:00:00" u="1"/>
        <d v="2016-07-08T00:00:00" u="1"/>
        <d v="2015-08-04T00:00:00" u="1"/>
        <d v="2018-07-08T00:00:00" u="1"/>
        <d v="2017-08-04T00:00:00" u="1"/>
        <d v="2008-03-26T00:00:00" u="1"/>
        <d v="2009-03-26T00:00:00" u="1"/>
        <d v="2010-03-26T00:00:00" u="1"/>
        <d v="2009-04-22T00:00:00" u="1"/>
        <d v="2010-04-22T00:00:00" u="1"/>
        <d v="2012-03-26T00:00:00" u="1"/>
        <d v="2007-06-14T00:00:00" u="1"/>
        <d v="2009-05-18T00:00:00" u="1"/>
        <d v="2013-03-26T00:00:00" u="1"/>
        <d v="2008-06-14T00:00:00" u="1"/>
        <d v="2010-05-18T00:00:00" u="1"/>
        <d v="2014-03-26T00:00:00" u="1"/>
        <d v="2007-07-10T00:00:00" u="1"/>
        <d v="2011-05-18T00:00:00" u="1"/>
        <d v="2013-04-22T00:00:00" u="1"/>
        <d v="2015-03-26T00:00:00" u="1"/>
        <d v="2008-07-10T00:00:00" u="1"/>
        <d v="2012-05-18T00:00:00" u="1"/>
        <d v="2014-04-22T00:00:00" u="1"/>
        <d v="2007-08-06T00:00:00" u="1"/>
        <d v="2009-07-10T00:00:00" u="1"/>
        <d v="2011-06-14T00:00:00" u="1"/>
        <d v="2015-04-22T00:00:00" u="1"/>
        <d v="2008-08-06T00:00:00" u="1"/>
        <d v="2012-06-14T00:00:00" u="1"/>
        <d v="2009-08-06T00:00:00" u="1"/>
        <d v="2013-06-14T00:00:00" u="1"/>
        <d v="2015-05-18T00:00:00" u="1"/>
        <d v="2017-04-22T00:00:00" u="1"/>
        <d v="2008-09-02T00:00:00" u="1"/>
        <d v="2010-08-06T00:00:00" u="1"/>
        <d v="2012-07-10T00:00:00" u="1"/>
        <d v="2016-05-18T00:00:00" u="1"/>
        <d v="2009-09-02T00:00:00" u="1"/>
        <d v="2013-07-10T00:00:00" u="1"/>
        <d v="2010-09-02T00:00:00" u="1"/>
        <d v="2012-08-06T00:00:00" u="1"/>
        <d v="2016-06-14T00:00:00" u="1"/>
        <d v="2011-09-02T00:00:00" u="1"/>
        <d v="2013-08-06T00:00:00" u="1"/>
        <d v="2015-07-10T00:00:00" u="1"/>
        <d v="2019-05-18T00:00:00" u="1"/>
        <d v="2012-09-02T00:00:00" u="1"/>
        <d v="2014-08-06T00:00:00" u="1"/>
        <d v="2016-07-10T00:00:00" u="1"/>
        <d v="2013-09-02T00:00:00" u="1"/>
        <d v="2017-07-10T00:00:00" u="1"/>
        <d v="2014-09-02T00:00:00" u="1"/>
        <d v="2015-09-02T00:00:00" u="1"/>
        <d v="2016-09-02T00:00:00" u="1"/>
        <d v="2017-09-02T00:00:00" u="1"/>
        <d v="2018-09-02T00:00:00" u="1"/>
        <d v="2008-04-24T00:00:00" u="1"/>
        <d v="2009-04-24T00:00:00" u="1"/>
        <d v="2011-03-28T00:00:00" u="1"/>
        <d v="2012-03-28T00:00:00" u="1"/>
        <d v="2006-07-12T00:00:00" u="1"/>
        <d v="2008-06-16T00:00:00" u="1"/>
        <d v="2010-05-20T00:00:00" u="1"/>
        <d v="2012-04-24T00:00:00" u="1"/>
        <d v="2014-03-28T00:00:00" u="1"/>
        <d v="2011-05-20T00:00:00" u="1"/>
        <d v="2010-06-16T00:00:00" u="1"/>
        <d v="2014-04-24T00:00:00" u="1"/>
        <d v="2016-03-28T00:00:00" u="1"/>
        <d v="2007-08-08T00:00:00" u="1"/>
        <d v="2011-06-16T00:00:00" u="1"/>
        <d v="2013-05-20T00:00:00" u="1"/>
        <d v="2015-04-24T00:00:00" u="1"/>
        <d v="2017-03-28T00:00:00" u="1"/>
        <d v="2008-08-08T00:00:00" u="1"/>
        <d v="2010-07-12T00:00:00" u="1"/>
        <d v="2014-05-20T00:00:00" u="1"/>
        <d v="2007-09-04T00:00:00" u="1"/>
        <d v="2015-05-20T00:00:00" u="1"/>
        <d v="2019-03-28T00:00:00" u="1"/>
        <d v="2008-09-04T00:00:00" u="1"/>
        <d v="2012-07-12T00:00:00" u="1"/>
        <d v="2014-06-16T00:00:00" u="1"/>
        <d v="2016-05-20T00:00:00" u="1"/>
        <d v="2018-04-24T00:00:00" u="1"/>
        <d v="2009-09-04T00:00:00" u="1"/>
        <d v="2011-08-08T00:00:00" u="1"/>
        <d v="2013-07-12T00:00:00" u="1"/>
        <d v="2015-06-16T00:00:00" u="1"/>
        <d v="2019-04-24T00:00:00" u="1"/>
        <d v="2012-08-08T00:00:00" u="1"/>
        <d v="2016-06-16T00:00:00" u="1"/>
        <d v="2013-08-08T00:00:00" u="1"/>
        <d v="2012-09-04T00:00:00" u="1"/>
        <d v="2014-08-08T00:00:00" u="1"/>
        <d v="2016-07-12T00:00:00" u="1"/>
        <d v="2014-09-04T00:00:00" u="1"/>
        <d v="2016-08-08T00:00:00" u="1"/>
        <d v="2016-09-04T00:00:00" u="1"/>
        <d v="2017-09-04T00:00:00" u="1"/>
        <d v="2022-09-04T00:00:00" u="1"/>
        <d v="2009-03-30T00:00:00" u="1"/>
        <d v="2011-03-30T00:00:00" u="1"/>
        <d v="2008-05-22T00:00:00" u="1"/>
        <d v="2010-04-26T00:00:00" u="1"/>
        <d v="2007-06-18T00:00:00" u="1"/>
        <d v="2009-05-22T00:00:00" u="1"/>
        <d v="2011-04-26T00:00:00" u="1"/>
        <d v="2008-06-18T00:00:00" u="1"/>
        <d v="2012-04-26T00:00:00" u="1"/>
        <d v="2009-06-18T00:00:00" u="1"/>
        <d v="2011-05-22T00:00:00" u="1"/>
        <d v="2013-04-26T00:00:00" u="1"/>
        <d v="2015-03-30T00:00:00" u="1"/>
        <d v="2008-07-14T00:00:00" u="1"/>
        <d v="2010-06-18T00:00:00" u="1"/>
        <d v="2012-05-22T00:00:00" u="1"/>
        <d v="2016-03-30T00:00:00" u="1"/>
        <d v="2007-08-10T00:00:00" u="1"/>
        <d v="2009-07-14T00:00:00" u="1"/>
        <d v="2017-03-30T00:00:00" u="1"/>
        <d v="2010-07-14T00:00:00" u="1"/>
        <d v="2012-06-18T00:00:00" u="1"/>
        <d v="2014-05-22T00:00:00" u="1"/>
        <d v="2016-04-26T00:00:00" u="1"/>
        <d v="2018-03-30T00:00:00" u="1"/>
        <d v="2007-09-06T00:00:00" u="1"/>
        <d v="2009-08-10T00:00:00" u="1"/>
        <d v="2011-07-14T00:00:00" u="1"/>
        <d v="2013-06-18T00:00:00" u="1"/>
        <d v="2015-05-22T00:00:00" u="1"/>
        <d v="2017-04-26T00:00:00" u="1"/>
        <d v="2010-08-10T00:00:00" u="1"/>
        <d v="2014-06-18T00:00:00" u="1"/>
        <d v="2007-10-02T00:00:00" u="1"/>
        <d v="2015-06-18T00:00:00" u="1"/>
        <d v="2017-05-22T00:00:00" u="1"/>
        <d v="2010-09-06T00:00:00" u="1"/>
        <d v="2012-08-10T00:00:00" u="1"/>
        <d v="2014-07-14T00:00:00" u="1"/>
        <d v="2009-10-02T00:00:00" u="1"/>
        <d v="2011-09-06T00:00:00" u="1"/>
        <d v="2015-07-14T00:00:00" u="1"/>
        <d v="2012-09-06T00:00:00" u="1"/>
        <d v="2016-07-14T00:00:00" u="1"/>
        <d v="2015-08-10T00:00:00" u="1"/>
        <d v="2012-10-02T00:00:00" u="1"/>
        <d v="2016-08-10T00:00:00" u="1"/>
        <d v="2013-10-02T00:00:00" u="1"/>
        <d v="2017-08-10T00:00:00" u="1"/>
        <d v="2014-10-02T00:00:00" u="1"/>
        <d v="2015-10-02T00:00:00" u="1"/>
        <d v="2016-10-02T00:00:00" u="1"/>
        <d v="2018-09-06T00:00:00" u="1"/>
        <d v="2017-10-02T00:00:00" u="1"/>
        <d v="2006-04-28T00:00:00" u="1"/>
        <d v="2005-06-20T00:00:00" u="1"/>
        <d v="2009-04-28T00:00:00" u="1"/>
        <d v="2010-04-28T00:00:00" u="1"/>
        <d v="2007-06-20T00:00:00" u="1"/>
        <d v="2011-04-28T00:00:00" u="1"/>
        <d v="2008-06-20T00:00:00" u="1"/>
        <d v="2010-05-24T00:00:00" u="1"/>
        <d v="2007-07-16T00:00:00" u="1"/>
        <d v="2011-05-24T00:00:00" u="1"/>
        <d v="2013-04-28T00:00:00" u="1"/>
        <d v="2008-07-16T00:00:00" u="1"/>
        <d v="2009-07-16T00:00:00" u="1"/>
        <d v="2011-06-20T00:00:00" u="1"/>
        <d v="2008-08-12T00:00:00" u="1"/>
        <d v="2010-07-16T00:00:00" u="1"/>
        <d v="2012-06-20T00:00:00" u="1"/>
        <d v="2016-04-28T00:00:00" u="1"/>
        <d v="2009-08-12T00:00:00" u="1"/>
        <d v="2013-06-20T00:00:00" u="1"/>
        <d v="2006-10-04T00:00:00" u="1"/>
        <d v="2008-09-08T00:00:00" u="1"/>
        <d v="2010-08-12T00:00:00" u="1"/>
        <d v="2012-07-16T00:00:00" u="1"/>
        <d v="2014-06-20T00:00:00" u="1"/>
        <d v="2016-05-24T00:00:00" u="1"/>
        <d v="2007-10-04T00:00:00" u="1"/>
        <d v="2009-09-08T00:00:00" u="1"/>
        <d v="2011-08-12T00:00:00" u="1"/>
        <d v="2013-07-16T00:00:00" u="1"/>
        <d v="2019-04-28T00:00:00" u="1"/>
        <d v="2010-09-08T00:00:00" u="1"/>
        <d v="2014-07-16T00:00:00" u="1"/>
        <d v="2018-05-24T00:00:00" u="1"/>
        <d v="2013-08-12T00:00:00" u="1"/>
        <d v="2015-07-16T00:00:00" u="1"/>
        <d v="2017-06-20T00:00:00" u="1"/>
        <d v="2010-10-04T00:00:00" u="1"/>
        <d v="2011-10-04T00:00:00" u="1"/>
        <d v="2012-10-04T00:00:00" u="1"/>
        <d v="2015-09-08T00:00:00" u="1"/>
        <d v="2016-09-08T00:00:00" u="1"/>
        <d v="2015-10-04T00:00:00" u="1"/>
        <d v="2016-10-04T00:00:00" u="1"/>
        <d v="2017-10-04T00:00:00" u="1"/>
        <d v="2007-04-30T00:00:00" u="1"/>
        <d v="2006-05-26T00:00:00" u="1"/>
        <d v="2008-04-30T00:00:00" u="1"/>
        <d v="2009-04-30T00:00:00" u="1"/>
        <d v="2010-04-30T00:00:00" u="1"/>
        <d v="2007-06-22T00:00:00" u="1"/>
        <d v="2009-05-26T00:00:00" u="1"/>
        <d v="2011-04-30T00:00:00" u="1"/>
        <d v="2010-05-26T00:00:00" u="1"/>
        <d v="2009-06-22T00:00:00" u="1"/>
        <d v="2011-05-26T00:00:00" u="1"/>
        <d v="2010-06-22T00:00:00" u="1"/>
        <d v="2011-06-22T00:00:00" u="1"/>
        <d v="2008-08-14T00:00:00" u="1"/>
        <d v="2012-06-22T00:00:00" u="1"/>
        <d v="2014-05-26T00:00:00" u="1"/>
        <d v="2009-08-14T00:00:00" u="1"/>
        <d v="2011-07-18T00:00:00" u="1"/>
        <d v="2015-05-26T00:00:00" u="1"/>
        <d v="2008-09-10T00:00:00" u="1"/>
        <d v="2012-07-18T00:00:00" u="1"/>
        <d v="2016-05-26T00:00:00" u="1"/>
        <d v="2009-09-10T00:00:00" u="1"/>
        <d v="2013-07-18T00:00:00" u="1"/>
        <d v="2015-06-22T00:00:00" u="1"/>
        <d v="2017-05-26T00:00:00" u="1"/>
        <d v="2008-10-06T00:00:00" u="1"/>
        <d v="2010-09-10T00:00:00" u="1"/>
        <d v="2012-08-14T00:00:00" u="1"/>
        <d v="2014-07-18T00:00:00" u="1"/>
        <d v="2009-10-06T00:00:00" u="1"/>
        <d v="2011-09-10T00:00:00" u="1"/>
        <d v="2015-07-18T00:00:00" u="1"/>
        <d v="2017-06-22T00:00:00" u="1"/>
        <d v="2019-05-26T00:00:00" u="1"/>
        <d v="2010-10-06T00:00:00" u="1"/>
        <d v="2012-09-10T00:00:00" u="1"/>
        <d v="2014-08-14T00:00:00" u="1"/>
        <d v="2016-07-18T00:00:00" u="1"/>
        <d v="2009-11-02T00:00:00" u="1"/>
        <d v="2011-10-06T00:00:00" u="1"/>
        <d v="2013-09-10T00:00:00" u="1"/>
        <d v="2015-08-14T00:00:00" u="1"/>
        <d v="2010-11-02T00:00:00" u="1"/>
        <d v="2011-11-02T00:00:00" u="1"/>
        <d v="2017-08-14T00:00:00" u="1"/>
        <d v="2012-11-02T00:00:00" u="1"/>
        <d v="2014-10-06T00:00:00" u="1"/>
        <d v="2018-08-14T00:00:00" u="1"/>
        <d v="2017-09-10T00:00:00" u="1"/>
        <d v="2014-11-02T00:00:00" u="1"/>
        <d v="2017-10-06T00:00:00" u="1"/>
        <d v="2016-11-02T00:00:00" u="1"/>
        <d v="2017-11-02T00:00:00" u="1"/>
        <d v="2022-11-02T00:00:00" u="1"/>
        <d v="2008-06-24T00:00:00" u="1"/>
        <d v="2010-05-28T00:00:00" u="1"/>
        <d v="2009-06-24T00:00:00" u="1"/>
        <d v="2006-08-16T00:00:00" u="1"/>
        <d v="2010-06-24T00:00:00" u="1"/>
        <d v="2012-05-28T00:00:00" u="1"/>
        <d v="2007-08-16T00:00:00" u="1"/>
        <d v="2009-07-20T00:00:00" u="1"/>
        <d v="2011-06-24T00:00:00" u="1"/>
        <d v="2013-05-28T00:00:00" u="1"/>
        <d v="2010-07-20T00:00:00" u="1"/>
        <d v="2014-05-28T00:00:00" u="1"/>
        <d v="2007-09-12T00:00:00" u="1"/>
        <d v="2013-06-24T00:00:00" u="1"/>
        <d v="2008-09-12T00:00:00" u="1"/>
        <d v="2010-08-16T00:00:00" u="1"/>
        <d v="2014-06-24T00:00:00" u="1"/>
        <d v="2007-10-08T00:00:00" u="1"/>
        <d v="2011-08-16T00:00:00" u="1"/>
        <d v="2015-06-24T00:00:00" u="1"/>
        <d v="2008-10-08T00:00:00" u="1"/>
        <d v="2012-08-16T00:00:00" u="1"/>
        <d v="2009-10-08T00:00:00" u="1"/>
        <d v="2011-09-12T00:00:00" u="1"/>
        <d v="2013-08-16T00:00:00" u="1"/>
        <d v="2015-07-20T00:00:00" u="1"/>
        <d v="2010-10-08T00:00:00" u="1"/>
        <d v="2012-09-12T00:00:00" u="1"/>
        <d v="2016-07-20T00:00:00" u="1"/>
        <d v="2018-06-24T00:00:00" u="1"/>
        <d v="2009-11-04T00:00:00" u="1"/>
        <d v="2013-09-12T00:00:00" u="1"/>
        <d v="2010-11-04T00:00:00" u="1"/>
        <d v="2012-10-08T00:00:00" u="1"/>
        <d v="2014-09-12T00:00:00" u="1"/>
        <d v="2016-08-16T00:00:00" u="1"/>
        <d v="2011-11-04T00:00:00" u="1"/>
        <d v="2017-08-16T00:00:00" u="1"/>
        <d v="2012-11-04T00:00:00" u="1"/>
        <d v="2014-10-08T00:00:00" u="1"/>
        <d v="2016-09-12T00:00:00" u="1"/>
        <d v="2013-11-04T00:00:00" u="1"/>
        <d v="2015-10-08T00:00:00" u="1"/>
        <d v="2017-09-12T00:00:00" u="1"/>
        <d v="2014-11-04T00:00:00" u="1"/>
        <d v="2015-11-04T00:00:00" u="1"/>
        <d v="2017-10-08T00:00:00" u="1"/>
        <d v="2016-11-04T00:00:00" u="1"/>
        <d v="2018-10-08T00:00:00" u="1"/>
        <d v="2018-11-04T00:00:00" u="1"/>
        <d v="2008-05-30T00:00:00" u="1"/>
        <d v="2009-05-30T00:00:00" u="1"/>
        <d v="2009-06-26T00:00:00" u="1"/>
        <d v="2011-05-30T00:00:00" u="1"/>
        <d v="2008-07-22T00:00:00" u="1"/>
        <d v="2012-05-30T00:00:00" u="1"/>
        <d v="2013-05-30T00:00:00" u="1"/>
        <d v="2008-08-18T00:00:00" u="1"/>
        <d v="2010-07-22T00:00:00" u="1"/>
        <d v="2012-06-26T00:00:00" u="1"/>
        <d v="2009-08-18T00:00:00" u="1"/>
        <d v="2011-07-22T00:00:00" u="1"/>
        <d v="2013-06-26T00:00:00" u="1"/>
        <d v="2006-10-10T00:00:00" u="1"/>
        <d v="2010-08-18T00:00:00" u="1"/>
        <d v="2016-05-30T00:00:00" u="1"/>
        <d v="2007-10-10T00:00:00" u="1"/>
        <d v="2009-09-14T00:00:00" u="1"/>
        <d v="2011-08-18T00:00:00" u="1"/>
        <d v="2015-06-26T00:00:00" u="1"/>
        <d v="2017-05-30T00:00:00" u="1"/>
        <d v="2006-11-06T00:00:00" u="1"/>
        <d v="2008-10-10T00:00:00" u="1"/>
        <d v="2010-09-14T00:00:00" u="1"/>
        <d v="2016-06-26T00:00:00" u="1"/>
        <d v="2007-11-06T00:00:00" u="1"/>
        <d v="2011-09-14T00:00:00" u="1"/>
        <d v="2013-08-18T00:00:00" u="1"/>
        <d v="2015-07-22T00:00:00" u="1"/>
        <d v="2017-06-26T00:00:00" u="1"/>
        <d v="2008-11-06T00:00:00" u="1"/>
        <d v="2012-09-14T00:00:00" u="1"/>
        <d v="2014-08-18T00:00:00" u="1"/>
        <d v="2020-05-30T00:00:00" u="1"/>
        <d v="2009-11-06T00:00:00" u="1"/>
        <d v="2011-10-10T00:00:00" u="1"/>
        <d v="2015-08-18T00:00:00" u="1"/>
        <d v="2008-12-02T00:00:00" u="1"/>
        <d v="2012-10-10T00:00:00" u="1"/>
        <d v="2016-08-18T00:00:00" u="1"/>
        <d v="2013-10-10T00:00:00" u="1"/>
        <d v="2015-09-14T00:00:00" u="1"/>
        <d v="2010-12-02T00:00:00" u="1"/>
        <d v="2012-11-06T00:00:00" u="1"/>
        <d v="2014-10-10T00:00:00" u="1"/>
        <d v="2016-09-14T00:00:00" u="1"/>
        <d v="2011-12-02T00:00:00" u="1"/>
        <d v="2013-11-06T00:00:00" u="1"/>
        <d v="2014-11-06T00:00:00" u="1"/>
        <d v="2018-09-14T00:00:00" u="1"/>
        <d v="2015-11-06T00:00:00" u="1"/>
        <d v="2017-10-10T00:00:00" u="1"/>
        <d v="2014-12-02T00:00:00" u="1"/>
        <d v="2016-11-06T00:00:00" u="1"/>
        <d v="2015-12-02T00:00:00" u="1"/>
        <d v="2016-12-02T00:00:00" u="1"/>
        <d v="2018-12-02T00:00:00" u="1"/>
        <d v="2022-12-02T00:00:00" u="1"/>
        <d v="2007-06-28T00:00:00" u="1"/>
        <d v="2006-07-24T00:00:00" u="1"/>
        <d v="2008-07-24T00:00:00" u="1"/>
        <d v="2010-06-28T00:00:00" u="1"/>
        <d v="2009-07-24T00:00:00" u="1"/>
        <d v="2011-06-28T00:00:00" u="1"/>
        <d v="2008-08-20T00:00:00" u="1"/>
        <d v="2009-08-20T00:00:00" u="1"/>
        <d v="2013-06-28T00:00:00" u="1"/>
        <d v="2008-09-16T00:00:00" u="1"/>
        <d v="2010-08-20T00:00:00" u="1"/>
        <d v="2009-09-16T00:00:00" u="1"/>
        <d v="2013-07-24T00:00:00" u="1"/>
        <d v="2010-09-16T00:00:00" u="1"/>
        <d v="2012-08-20T00:00:00" u="1"/>
        <d v="2016-06-28T00:00:00" u="1"/>
        <d v="2007-11-08T00:00:00" u="1"/>
        <d v="2009-10-12T00:00:00" u="1"/>
        <d v="2011-09-16T00:00:00" u="1"/>
        <d v="2014-08-20T00:00:00" u="1"/>
        <d v="2007-12-04T00:00:00" u="1"/>
        <d v="2013-09-16T00:00:00" u="1"/>
        <d v="2015-08-20T00:00:00" u="1"/>
        <d v="2017-07-24T00:00:00" u="1"/>
        <d v="2008-12-04T00:00:00" u="1"/>
        <d v="2010-11-08T00:00:00" u="1"/>
        <d v="2012-10-12T00:00:00" u="1"/>
        <d v="2014-09-16T00:00:00" u="1"/>
        <d v="2009-12-04T00:00:00" u="1"/>
        <d v="2011-11-08T00:00:00" u="1"/>
        <d v="2015-09-16T00:00:00" u="1"/>
        <d v="2019-07-24T00:00:00" u="1"/>
        <d v="2012-11-08T00:00:00" u="1"/>
        <d v="2013-11-08T00:00:00" u="1"/>
        <d v="2017-09-16T00:00:00" u="1"/>
        <d v="2012-12-04T00:00:00" u="1"/>
        <d v="2016-10-12T00:00:00" u="1"/>
        <d v="2018-09-16T00:00:00" u="1"/>
        <d v="2013-12-04T00:00:00" u="1"/>
        <d v="2014-12-04T00:00:00" u="1"/>
        <d v="2016-11-08T00:00:00" u="1"/>
        <d v="2015-12-04T00:00:00" u="1"/>
        <d v="2017-11-08T00:00:00" u="1"/>
        <d v="2016-12-04T00:00:00" u="1"/>
        <d v="2018-11-08T00:00:00" u="1"/>
        <d v="2007-06-30T00:00:00" u="1"/>
        <d v="2008-06-30T00:00:00" u="1"/>
        <d v="2009-06-30T00:00:00" u="1"/>
        <d v="2010-06-30T00:00:00" u="1"/>
        <d v="2010-07-26T00:00:00" u="1"/>
        <d v="2007-09-18T00:00:00" u="1"/>
        <d v="2009-08-22T00:00:00" u="1"/>
        <d v="2011-07-26T00:00:00" u="1"/>
        <d v="2012-07-26T00:00:00" u="1"/>
        <d v="2009-09-18T00:00:00" u="1"/>
        <d v="2011-08-22T00:00:00" u="1"/>
        <d v="2013-07-26T00:00:00" u="1"/>
        <d v="2008-10-14T00:00:00" u="1"/>
        <d v="2012-08-22T00:00:00" u="1"/>
        <d v="2009-10-14T00:00:00" u="1"/>
        <d v="2013-08-22T00:00:00" u="1"/>
        <d v="2015-07-26T00:00:00" u="1"/>
        <d v="2008-11-10T00:00:00" u="1"/>
        <d v="2010-10-14T00:00:00" u="1"/>
        <d v="2012-09-18T00:00:00" u="1"/>
        <d v="2014-08-22T00:00:00" u="1"/>
        <d v="2009-11-10T00:00:00" u="1"/>
        <d v="2011-10-14T00:00:00" u="1"/>
        <d v="2015-08-22T00:00:00" u="1"/>
        <d v="2017-07-26T00:00:00" u="1"/>
        <d v="2008-12-06T00:00:00" u="1"/>
        <d v="2010-11-10T00:00:00" u="1"/>
        <d v="2014-09-18T00:00:00" u="1"/>
        <d v="2016-08-22T00:00:00" u="1"/>
        <d v="2013-10-14T00:00:00" u="1"/>
        <d v="2015-09-18T00:00:00" u="1"/>
        <d v="2014-10-14T00:00:00" u="1"/>
        <d v="2018-08-22T00:00:00" u="1"/>
        <d v="2015-10-14T00:00:00" u="1"/>
        <d v="2014-11-10T00:00:00" u="1"/>
        <d v="2016-10-14T00:00:00" u="1"/>
        <d v="2015-11-10T00:00:00" u="1"/>
        <d v="2016-11-10T00:00:00" u="1"/>
        <d v="2018-10-14T00:00:00" u="1"/>
        <d v="2017-11-10T00:00:00" u="1"/>
        <d v="2016-12-06T00:00:00" u="1"/>
        <d v="2008-07-28T00:00:00" u="1"/>
        <d v="2007-09-20T00:00:00" u="1"/>
        <d v="2009-08-24T00:00:00" u="1"/>
        <d v="2006-10-16T00:00:00" u="1"/>
        <d v="2008-09-20T00:00:00" u="1"/>
        <d v="2010-08-24T00:00:00" u="1"/>
        <d v="2007-10-16T00:00:00" u="1"/>
        <d v="2008-10-16T00:00:00" u="1"/>
        <d v="2010-09-20T00:00:00" u="1"/>
        <d v="2012-08-24T00:00:00" u="1"/>
        <d v="2014-07-28T00:00:00" u="1"/>
        <d v="2007-11-12T00:00:00" u="1"/>
        <d v="2009-10-16T00:00:00" u="1"/>
        <d v="2011-09-20T00:00:00" u="1"/>
        <d v="2015-07-28T00:00:00" u="1"/>
        <d v="2008-11-12T00:00:00" u="1"/>
        <d v="2012-09-20T00:00:00" u="1"/>
        <d v="2009-11-12T00:00:00" u="1"/>
        <d v="2013-09-20T00:00:00" u="1"/>
        <d v="2015-08-24T00:00:00" u="1"/>
        <d v="2010-11-12T00:00:00" u="1"/>
        <d v="2012-10-16T00:00:00" u="1"/>
        <d v="2016-08-24T00:00:00" u="1"/>
        <d v="2018-07-28T00:00:00" u="1"/>
        <d v="2017-08-24T00:00:00" u="1"/>
        <d v="2012-11-12T00:00:00" u="1"/>
        <d v="2014-10-16T00:00:00" u="1"/>
        <d v="2016-09-20T00:00:00" u="1"/>
        <d v="2015-10-16T00:00:00" u="1"/>
        <d v="2017-09-20T00:00:00" u="1"/>
        <d v="2014-11-12T00:00:00" u="1"/>
        <d v="2015-11-12T00:00:00" u="1"/>
        <d v="2008-07-30T00:00:00" u="1"/>
        <d v="2009-07-30T00:00:00" u="1"/>
        <d v="2006-09-22T00:00:00" u="1"/>
        <d v="2008-08-26T00:00:00" u="1"/>
        <d v="2005-10-18T00:00:00" u="1"/>
        <d v="2009-08-26T00:00:00" u="1"/>
        <d v="2010-08-26T00:00:00" u="1"/>
        <d v="2007-10-18T00:00:00" u="1"/>
        <d v="2009-09-22T00:00:00" u="1"/>
        <d v="2011-08-26T00:00:00" u="1"/>
        <d v="2013-07-30T00:00:00" u="1"/>
        <d v="2010-09-22T00:00:00" u="1"/>
        <d v="2014-07-30T00:00:00" u="1"/>
        <d v="2007-11-14T00:00:00" u="1"/>
        <d v="2011-09-22T00:00:00" u="1"/>
        <d v="2013-08-26T00:00:00" u="1"/>
        <d v="2008-11-14T00:00:00" u="1"/>
        <d v="2010-10-18T00:00:00" u="1"/>
        <d v="2007-12-10T00:00:00" u="1"/>
        <d v="2011-10-18T00:00:00" u="1"/>
        <d v="2013-09-22T00:00:00" u="1"/>
        <d v="2015-08-26T00:00:00" u="1"/>
        <d v="2017-07-30T00:00:00" u="1"/>
        <d v="2008-12-10T00:00:00" u="1"/>
        <d v="2010-11-14T00:00:00" u="1"/>
        <d v="2012-10-18T00:00:00" u="1"/>
        <d v="2018-07-30T00:00:00" u="1"/>
        <d v="2009-12-10T00:00:00" u="1"/>
        <d v="2011-11-14T00:00:00" u="1"/>
        <d v="2013-10-18T00:00:00" u="1"/>
        <d v="2015-09-22T00:00:00" u="1"/>
        <d v="2010-12-10T00:00:00" u="1"/>
        <d v="2012-11-14T00:00:00" u="1"/>
        <d v="2014-10-18T00:00:00" u="1"/>
        <d v="2016-09-22T00:00:00" u="1"/>
        <d v="2011-12-10T00:00:00" u="1"/>
        <d v="2017-09-22T00:00:00" u="1"/>
        <d v="2012-12-10T00:00:00" u="1"/>
        <d v="2014-11-14T00:00:00" u="1"/>
        <d v="2016-10-18T00:00:00" u="1"/>
        <d v="2014-12-10T00:00:00" u="1"/>
        <d v="2016-11-14T00:00:00" u="1"/>
        <d v="2015-12-10T00:00:00" u="1"/>
        <d v="2018-11-14T00:00:00" u="1"/>
        <d v="2006-08-28T00:00:00" u="1"/>
        <d v="2007-08-28T00:00:00" u="1"/>
        <d v="2009-08-28T00:00:00" u="1"/>
        <d v="2008-09-24T00:00:00" u="1"/>
        <d v="2008-10-20T00:00:00" u="1"/>
        <d v="2010-09-24T00:00:00" u="1"/>
        <d v="2012-08-28T00:00:00" u="1"/>
        <d v="2007-11-16T00:00:00" u="1"/>
        <d v="2009-10-20T00:00:00" u="1"/>
        <d v="2010-10-20T00:00:00" u="1"/>
        <d v="2012-09-24T00:00:00" u="1"/>
        <d v="2007-12-12T00:00:00" u="1"/>
        <d v="2009-11-16T00:00:00" u="1"/>
        <d v="2011-10-20T00:00:00" u="1"/>
        <d v="2013-09-24T00:00:00" u="1"/>
        <d v="2015-08-28T00:00:00" u="1"/>
        <d v="2008-12-12T00:00:00" u="1"/>
        <d v="2010-11-16T00:00:00" u="1"/>
        <d v="2014-09-24T00:00:00" u="1"/>
        <d v="2011-11-16T00:00:00" u="1"/>
        <d v="2015-09-24T00:00:00" u="1"/>
        <d v="2012-11-16T00:00:00" u="1"/>
        <d v="2014-10-20T00:00:00" u="1"/>
        <d v="2015-10-20T00:00:00" u="1"/>
        <d v="2017-09-24T00:00:00" u="1"/>
        <d v="2012-12-12T00:00:00" u="1"/>
        <d v="2016-10-20T00:00:00" u="1"/>
        <d v="2018-09-24T00:00:00" u="1"/>
        <d v="2013-12-12T00:00:00" u="1"/>
        <d v="2015-11-16T00:00:00" u="1"/>
        <d v="2017-10-20T00:00:00" u="1"/>
        <d v="2016-11-16T00:00:00" u="1"/>
        <d v="2016-12-12T00:00:00" u="1"/>
        <d v="2017-12-12T00:00:00" u="1"/>
        <d v="2006-09-26T00:00:00" u="1"/>
        <d v="2011-08-30T00:00:00" u="1"/>
        <d v="2008-10-22T00:00:00" u="1"/>
        <d v="2012-08-30T00:00:00" u="1"/>
        <d v="2009-10-22T00:00:00" u="1"/>
        <d v="2011-09-26T00:00:00" u="1"/>
        <d v="2013-08-30T00:00:00" u="1"/>
        <d v="2008-11-18T00:00:00" u="1"/>
        <d v="2010-10-22T00:00:00" u="1"/>
        <d v="2012-09-26T00:00:00" u="1"/>
        <d v="2007-12-14T00:00:00" u="1"/>
        <d v="2009-11-18T00:00:00" u="1"/>
        <d v="2013-09-26T00:00:00" u="1"/>
        <d v="2010-11-18T00:00:00" u="1"/>
        <d v="2012-10-22T00:00:00" u="1"/>
        <d v="2014-09-26T00:00:00" u="1"/>
        <d v="2016-08-30T00:00:00" u="1"/>
        <d v="2011-11-18T00:00:00" u="1"/>
        <d v="2013-10-22T00:00:00" u="1"/>
        <d v="2017-08-30T00:00:00" u="1"/>
        <d v="2010-12-14T00:00:00" u="1"/>
        <d v="2016-09-26T00:00:00" u="1"/>
        <d v="2011-12-14T00:00:00" u="1"/>
        <d v="2013-11-18T00:00:00" u="1"/>
        <d v="2015-10-22T00:00:00" u="1"/>
        <d v="2012-12-14T00:00:00" u="1"/>
        <d v="2014-11-18T00:00:00" u="1"/>
        <d v="2016-10-22T00:00:00" u="1"/>
        <d v="2015-11-18T00:00:00" u="1"/>
        <d v="2018-10-22T00:00:00" u="1"/>
        <d v="2017-11-18T00:00:00" u="1"/>
        <d v="2016-12-14T00:00:00" u="1"/>
        <d v="2006-09-28T00:00:00" u="1"/>
        <d v="2009-09-28T00:00:00" u="1"/>
        <d v="2008-10-24T00:00:00" u="1"/>
        <d v="2010-09-28T00:00:00" u="1"/>
        <d v="2005-12-16T00:00:00" u="1"/>
        <d v="2007-11-20T00:00:00" u="1"/>
        <d v="2008-11-20T00:00:00" u="1"/>
        <d v="2012-09-28T00:00:00" u="1"/>
        <d v="2009-11-20T00:00:00" u="1"/>
        <d v="2011-10-24T00:00:00" u="1"/>
        <d v="2008-12-16T00:00:00" u="1"/>
        <d v="2012-10-24T00:00:00" u="1"/>
        <d v="2009-12-16T00:00:00" u="1"/>
        <d v="2015-09-28T00:00:00" u="1"/>
        <d v="2010-12-16T00:00:00" u="1"/>
        <d v="2012-11-20T00:00:00" u="1"/>
        <d v="2014-10-24T00:00:00" u="1"/>
        <d v="2016-09-28T00:00:00" u="1"/>
        <d v="2011-12-16T00:00:00" u="1"/>
        <d v="2013-11-20T00:00:00" u="1"/>
        <d v="2014-11-20T00:00:00" u="1"/>
        <d v="2016-10-24T00:00:00" u="1"/>
        <d v="2013-12-16T00:00:00" u="1"/>
        <d v="2015-11-20T00:00:00" u="1"/>
        <d v="2017-10-24T00:00:00" u="1"/>
        <d v="2014-12-16T00:00:00" u="1"/>
        <d v="2015-12-16T00:00:00" u="1"/>
        <d v="2016-12-16T00:00:00" u="1"/>
        <d v="2018-11-20T00:00:00" u="1"/>
        <d v="2007-09-30T00:00:00" u="1"/>
        <d v="2008-09-30T00:00:00" u="1"/>
        <d v="2009-09-30T00:00:00" u="1"/>
        <d v="2006-11-22T00:00:00" u="1"/>
        <d v="2010-09-30T00:00:00" u="1"/>
        <d v="2007-11-22T00:00:00" u="1"/>
        <d v="2009-10-26T00:00:00" u="1"/>
        <d v="2006-12-18T00:00:00" u="1"/>
        <d v="2010-10-26T00:00:00" u="1"/>
        <d v="2007-12-18T00:00:00" u="1"/>
        <d v="2011-10-26T00:00:00" u="1"/>
        <d v="2008-12-18T00:00:00" u="1"/>
        <d v="2012-10-26T00:00:00" u="1"/>
        <d v="2009-12-18T00:00:00" u="1"/>
        <d v="2010-12-18T00:00:00" u="1"/>
        <d v="2012-11-22T00:00:00" u="1"/>
        <d v="2014-10-26T00:00:00" u="1"/>
        <d v="2013-11-22T00:00:00" u="1"/>
        <d v="2015-10-26T00:00:00" u="1"/>
        <d v="2012-12-18T00:00:00" u="1"/>
        <d v="2013-12-18T00:00:00" u="1"/>
        <d v="2014-12-18T00:00:00" u="1"/>
        <d v="2016-11-22T00:00:00" u="1"/>
        <d v="2015-12-18T00:00:00" u="1"/>
        <d v="2016-12-18T00:00:00" u="1"/>
        <d v="2008-10-28T00:00:00" u="1"/>
        <d v="2006-12-20T00:00:00" u="1"/>
        <d v="2008-11-24T00:00:00" u="1"/>
        <d v="2010-10-28T00:00:00" u="1"/>
        <d v="2007-12-20T00:00:00" u="1"/>
        <d v="2009-11-24T00:00:00" u="1"/>
        <d v="2011-10-28T00:00:00" u="1"/>
        <d v="2008-12-20T00:00:00" u="1"/>
        <d v="2010-11-24T00:00:00" u="1"/>
        <d v="2011-11-24T00:00:00" u="1"/>
        <d v="2010-12-20T00:00:00" u="1"/>
        <d v="2014-10-28T00:00:00" u="1"/>
        <d v="2014-11-24T00:00:00" u="1"/>
        <d v="2016-10-28T00:00:00" u="1"/>
        <d v="2015-12-20T00:00:00" u="1"/>
        <d v="2016-12-20T00:00:00" u="1"/>
        <d v="2017-12-20T00:00:00" u="1"/>
        <d v="2008-01-01T00:00:00" u="1"/>
        <d v="2020-11-24T00:00:00" u="1"/>
        <d v="2009-01-01T00:00:00" u="1"/>
        <d v="2010-01-01T00:00:00" u="1"/>
        <d v="2020-12-20T00:00:00" u="1"/>
        <d v="2014-01-01T00:00:00" u="1"/>
        <d v="2017-01-01T00:00:00" u="1"/>
        <d v="2018-01-01T00:00:00" u="1"/>
        <d v="2019-01-01T00:00:00" u="1"/>
        <d v="2008-10-30T00:00:00" u="1"/>
        <d v="2009-10-30T00:00:00" u="1"/>
        <d v="2010-10-30T00:00:00" u="1"/>
        <d v="2009-11-26T00:00:00" u="1"/>
        <d v="2008-12-22T00:00:00" u="1"/>
        <d v="2010-11-26T00:00:00" u="1"/>
        <d v="2012-10-30T00:00:00" u="1"/>
        <d v="2010-12-22T00:00:00" u="1"/>
        <d v="2014-10-30T00:00:00" u="1"/>
        <d v="2011-12-22T00:00:00" u="1"/>
        <d v="2013-11-26T00:00:00" u="1"/>
        <d v="2015-10-30T00:00:00" u="1"/>
        <d v="2014-11-26T00:00:00" u="1"/>
        <d v="2013-12-22T00:00:00" u="1"/>
        <d v="2015-11-26T00:00:00" u="1"/>
        <d v="2014-12-22T00:00:00" u="1"/>
        <d v="2015-12-22T00:00:00" u="1"/>
        <d v="2017-11-26T00:00:00" u="1"/>
        <d v="2019-11-26T00:00:00" u="1"/>
        <d v="2008-01-03T00:00:00" u="1"/>
        <d v="2011-01-03T00:00:00" u="1"/>
        <d v="2012-01-03T00:00:00" u="1"/>
        <d v="2013-01-03T00:00:00" u="1"/>
        <d v="2014-01-03T00:00:00" u="1"/>
        <d v="2017-01-03T00:00:00" u="1"/>
        <d v="2018-01-03T00:00:00" u="1"/>
        <d v="2008-11-28T00:00:00" u="1"/>
        <d v="2011-11-28T00:00:00" u="1"/>
        <d v="2010-12-24T00:00:00" u="1"/>
        <d v="2013-11-28T00:00:00" u="1"/>
        <d v="2012-12-24T00:00:00" u="1"/>
        <d v="2014-11-28T00:00:00" u="1"/>
        <d v="2013-12-24T00:00:00" u="1"/>
        <d v="2014-12-24T00:00:00" u="1"/>
        <d v="2016-11-28T00:00:00" u="1"/>
        <d v="2007-01-05T00:00:00" u="1"/>
        <d v="2008-02-01T00:00:00" u="1"/>
        <d v="2010-01-05T00:00:00" u="1"/>
        <d v="2011-01-05T00:00:00" u="1"/>
        <d v="2010-02-01T00:00:00" u="1"/>
        <d v="2012-01-05T00:00:00" u="1"/>
        <d v="2011-02-01T00:00:00" u="1"/>
        <d v="2013-01-05T00:00:00" u="1"/>
        <d v="2013-02-01T00:00:00" u="1"/>
        <d v="2015-01-05T00:00:00" u="1"/>
        <d v="2016-02-01T00:00:00" u="1"/>
        <d v="2017-02-01T00:00:00" u="1"/>
        <d v="2018-02-01T00:00:00" u="1"/>
        <d v="2021-02-01T00:00:00" u="1"/>
        <d v="2022-02-01T00:00:00" u="1"/>
        <d v="2006-11-30T00:00:00" u="1"/>
        <d v="2007-11-30T00:00:00" u="1"/>
        <d v="2008-11-30T00:00:00" u="1"/>
        <d v="2009-11-30T00:00:00" u="1"/>
        <d v="2008-12-26T00:00:00" u="1"/>
        <d v="2010-11-30T00:00:00" u="1"/>
        <d v="2012-12-26T00:00:00" u="1"/>
        <d v="2008-01-07T00:00:00" u="1"/>
        <d v="2009-01-07T00:00:00" u="1"/>
        <d v="2010-01-07T00:00:00" u="1"/>
        <d v="2009-02-03T00:00:00" u="1"/>
        <d v="2011-01-07T00:00:00" u="1"/>
        <d v="2011-02-03T00:00:00" u="1"/>
        <d v="2013-01-07T00:00:00" u="1"/>
        <d v="2014-01-07T00:00:00" u="1"/>
        <d v="2015-01-07T00:00:00" u="1"/>
        <d v="2014-02-03T00:00:00" u="1"/>
        <d v="2016-01-07T00:00:00" u="1"/>
        <d v="2016-02-03T00:00:00" u="1"/>
        <d v="2017-02-03T00:00:00" u="1"/>
        <d v="2019-02-03T00:00:00" u="1"/>
        <d v="2009-12-28T00:00:00" u="1"/>
        <d v="2010-12-28T00:00:00" u="1"/>
        <d v="2011-12-28T00:00:00" u="1"/>
        <d v="2015-12-28T00:00:00" u="1"/>
        <d v="2017-12-28T00:00:00" u="1"/>
        <d v="2007-02-05T00:00:00" u="1"/>
        <d v="2009-01-09T00:00:00" u="1"/>
        <d v="2008-02-05T00:00:00" u="1"/>
        <d v="2009-02-05T00:00:00" u="1"/>
        <d v="2008-03-01T00:00:00" u="1"/>
        <d v="2010-02-05T00:00:00" u="1"/>
        <d v="2012-01-09T00:00:00" u="1"/>
        <d v="2013-01-09T00:00:00" u="1"/>
        <d v="2010-03-01T00:00:00" u="1"/>
        <d v="2012-02-05T00:00:00" u="1"/>
        <d v="2014-01-09T00:00:00" u="1"/>
        <d v="2011-03-01T00:00:00" u="1"/>
        <d v="2013-02-05T00:00:00" u="1"/>
        <d v="2012-03-01T00:00:00" u="1"/>
        <d v="2014-02-05T00:00:00" u="1"/>
        <d v="2013-03-01T00:00:00" u="1"/>
        <d v="2015-02-05T00:00:00" u="1"/>
        <d v="2017-01-09T00:00:00" u="1"/>
        <d v="2016-02-05T00:00:00" u="1"/>
        <d v="2018-01-09T00:00:00" u="1"/>
        <d v="2019-01-09T00:00:00" u="1"/>
        <d v="2016-03-01T00:00:00" u="1"/>
        <d v="2018-02-05T00:00:00" u="1"/>
        <d v="2020-01-09T00:00:00" u="1"/>
        <d v="2017-03-01T00:00:00" u="1"/>
        <d v="2022-03-01T00:00:00" u="1"/>
        <d v="2008-12-30T00:00:00" u="1"/>
        <d v="2009-12-30T00:00:00" u="1"/>
        <d v="2010-12-30T00:00:00" u="1"/>
        <d v="2011-12-30T00:00:00" u="1"/>
        <d v="2013-12-30T00:00:00" u="1"/>
        <d v="2015-12-30T00:00:00" u="1"/>
        <d v="2016-12-30T00:00:00" u="1"/>
        <d v="2005-02-07T00:00:00" u="1"/>
        <d v="2008-01-11T00:00:00" u="1"/>
        <d v="2009-01-11T00:00:00" u="1"/>
        <d v="2008-02-07T00:00:00" u="1"/>
        <d v="2010-01-11T00:00:00" u="1"/>
        <d v="2011-01-11T00:00:00" u="1"/>
        <d v="2008-03-03T00:00:00" u="1"/>
        <d v="2012-01-11T00:00:00" u="1"/>
        <d v="2009-03-03T00:00:00" u="1"/>
        <d v="2010-03-03T00:00:00" u="1"/>
        <d v="2012-02-07T00:00:00" u="1"/>
        <d v="2014-01-11T00:00:00" u="1"/>
        <d v="2011-03-03T00:00:00" u="1"/>
        <d v="2013-02-07T00:00:00" u="1"/>
        <d v="2016-01-11T00:00:00" u="1"/>
        <d v="2015-02-07T00:00:00" u="1"/>
        <d v="2017-01-11T00:00:00" u="1"/>
        <d v="2014-03-03T00:00:00" u="1"/>
        <d v="2018-01-11T00:00:00" u="1"/>
        <d v="2015-03-03T00:00:00" u="1"/>
        <d v="2017-02-07T00:00:00" u="1"/>
        <d v="2016-03-03T00:00:00" u="1"/>
        <d v="2017-03-03T00:00:00" u="1"/>
        <d v="2019-03-03T00:00:00" u="1"/>
        <d v="2009-01-13T00:00:00" u="1"/>
        <d v="2010-01-13T00:00:00" u="1"/>
        <d v="2009-02-09T00:00:00" u="1"/>
        <d v="2011-01-13T00:00:00" u="1"/>
        <d v="2008-03-05T00:00:00" u="1"/>
        <d v="2010-02-09T00:00:00" u="1"/>
        <d v="2012-01-13T00:00:00" u="1"/>
        <d v="2007-04-01T00:00:00" u="1"/>
        <d v="2009-03-05T00:00:00" u="1"/>
        <d v="2011-02-09T00:00:00" u="1"/>
        <d v="2008-04-01T00:00:00" u="1"/>
        <d v="2010-03-05T00:00:00" u="1"/>
        <d v="2012-02-09T00:00:00" u="1"/>
        <d v="2009-04-01T00:00:00" u="1"/>
        <d v="2011-03-05T00:00:00" u="1"/>
        <d v="2015-01-13T00:00:00" u="1"/>
        <d v="2010-04-01T00:00:00" u="1"/>
        <d v="2012-03-05T00:00:00" u="1"/>
        <d v="2016-01-13T00:00:00" u="1"/>
        <d v="2011-04-01T00:00:00" u="1"/>
        <d v="2013-03-05T00:00:00" u="1"/>
        <d v="2015-02-09T00:00:00" u="1"/>
        <d v="2017-01-13T00:00:00" u="1"/>
        <d v="2012-04-01T00:00:00" u="1"/>
        <d v="2014-03-05T00:00:00" u="1"/>
        <d v="2017-02-09T00:00:00" u="1"/>
        <d v="2014-04-01T00:00:00" u="1"/>
        <d v="2018-03-05T00:00:00" u="1"/>
        <d v="2017-04-01T00:00:00" u="1"/>
        <d v="2018-04-01T00:00:00" u="1"/>
        <d v="2020-04-01T00:00:00" u="1"/>
        <d v="2007-01-15T00:00:00" u="1"/>
        <d v="2009-01-15T00:00:00" u="1"/>
        <d v="2008-02-11T00:00:00" u="1"/>
        <d v="2010-01-15T00:00:00" u="1"/>
        <d v="2009-02-11T00:00:00" u="1"/>
        <d v="2008-03-07T00:00:00" u="1"/>
        <d v="2010-02-11T00:00:00" u="1"/>
        <d v="2011-02-11T00:00:00" u="1"/>
        <d v="2013-01-15T00:00:00" u="1"/>
        <d v="2008-04-03T00:00:00" u="1"/>
        <d v="2014-01-15T00:00:00" u="1"/>
        <d v="2009-04-03T00:00:00" u="1"/>
        <d v="2011-03-07T00:00:00" u="1"/>
        <d v="2013-02-11T00:00:00" u="1"/>
        <d v="2012-03-07T00:00:00" u="1"/>
        <d v="2014-02-11T00:00:00" u="1"/>
        <d v="2016-01-15T00:00:00" u="1"/>
        <d v="2013-03-07T00:00:00" u="1"/>
        <d v="2012-04-03T00:00:00" u="1"/>
        <d v="2016-02-11T00:00:00" u="1"/>
        <d v="2013-04-03T00:00:00" u="1"/>
        <d v="2019-01-15T00:00:00" u="1"/>
        <d v="2014-04-03T00:00:00" u="1"/>
        <d v="2016-03-07T00:00:00" u="1"/>
        <d v="2017-03-07T00:00:00" u="1"/>
        <d v="2018-03-07T00:00:00" u="1"/>
        <d v="2017-04-03T00:00:00" u="1"/>
        <d v="2018-04-03T00:00:00" u="1"/>
        <d v="2008-01-17T00:00:00" u="1"/>
        <d v="2005-03-09T00:00:00" u="1"/>
        <d v="2007-02-13T00:00:00" u="1"/>
        <d v="2008-02-13T00:00:00" u="1"/>
        <d v="2007-03-09T00:00:00" u="1"/>
        <d v="2009-02-13T00:00:00" u="1"/>
        <d v="2011-01-17T00:00:00" u="1"/>
        <d v="2012-01-17T00:00:00" u="1"/>
        <d v="2009-03-09T00:00:00" u="1"/>
        <d v="2013-01-17T00:00:00" u="1"/>
        <d v="2010-03-09T00:00:00" u="1"/>
        <d v="2012-02-13T00:00:00" u="1"/>
        <d v="2014-01-17T00:00:00" u="1"/>
        <d v="2007-05-01T00:00:00" u="1"/>
        <d v="2011-03-09T00:00:00" u="1"/>
        <d v="2013-02-13T00:00:00" u="1"/>
        <d v="2008-05-01T00:00:00" u="1"/>
        <d v="2012-03-09T00:00:00" u="1"/>
        <d v="2014-02-13T00:00:00" u="1"/>
        <d v="2009-05-01T00:00:00" u="1"/>
        <d v="2011-04-05T00:00:00" u="1"/>
        <d v="2015-02-13T00:00:00" u="1"/>
        <d v="2017-01-17T00:00:00" u="1"/>
        <d v="2010-05-01T00:00:00" u="1"/>
        <d v="2014-03-09T00:00:00" u="1"/>
        <d v="2018-01-17T00:00:00" u="1"/>
        <d v="2013-04-05T00:00:00" u="1"/>
        <d v="2015-03-09T00:00:00" u="1"/>
        <d v="2017-02-13T00:00:00" u="1"/>
        <d v="2012-05-01T00:00:00" u="1"/>
        <d v="2014-04-05T00:00:00" u="1"/>
        <d v="2016-03-09T00:00:00" u="1"/>
        <d v="2018-02-13T00:00:00" u="1"/>
        <d v="2016-04-05T00:00:00" u="1"/>
        <d v="2016-05-01T00:00:00" u="1"/>
        <d v="2017-05-01T00:00:00" u="1"/>
        <d v="2018-05-01T00:00:00" u="1"/>
        <d v="2006-02-15T00:00:00" u="1"/>
        <d v="2005-03-11T00:00:00" u="1"/>
        <d v="2007-02-15T00:00:00" u="1"/>
        <d v="2009-01-19T00:00:00" u="1"/>
        <d v="2010-01-19T00:00:00" u="1"/>
        <d v="2006-04-07T00:00:00" u="1"/>
        <d v="2008-03-11T00:00:00" u="1"/>
        <d v="2010-02-15T00:00:00" u="1"/>
        <d v="2012-01-19T00:00:00" u="1"/>
        <d v="2009-03-11T00:00:00" u="1"/>
        <d v="2011-02-15T00:00:00" u="1"/>
        <d v="2006-05-03T00:00:00" u="1"/>
        <d v="2008-04-07T00:00:00" u="1"/>
        <d v="2010-03-11T00:00:00" u="1"/>
        <d v="2012-02-15T00:00:00" u="1"/>
        <d v="2009-04-07T00:00:00" u="1"/>
        <d v="2011-03-11T00:00:00" u="1"/>
        <d v="2013-02-15T00:00:00" u="1"/>
        <d v="2015-01-19T00:00:00" u="1"/>
        <d v="2010-04-07T00:00:00" u="1"/>
        <d v="2014-02-15T00:00:00" u="1"/>
        <d v="2016-01-19T00:00:00" u="1"/>
        <d v="2011-04-07T00:00:00" u="1"/>
        <d v="2013-03-11T00:00:00" u="1"/>
        <d v="2017-01-19T00:00:00" u="1"/>
        <d v="2010-05-03T00:00:00" u="1"/>
        <d v="2014-03-11T00:00:00" u="1"/>
        <d v="2016-02-15T00:00:00" u="1"/>
        <d v="2011-05-03T00:00:00" u="1"/>
        <d v="2015-03-11T00:00:00" u="1"/>
        <d v="2017-02-15T00:00:00" u="1"/>
        <d v="2012-05-03T00:00:00" u="1"/>
        <d v="2014-04-07T00:00:00" u="1"/>
        <d v="2016-03-11T00:00:00" u="1"/>
        <d v="2018-02-15T00:00:00" u="1"/>
        <d v="2013-05-03T00:00:00" u="1"/>
        <d v="2015-04-07T00:00:00" u="1"/>
        <d v="2016-04-07T00:00:00" u="1"/>
        <d v="2017-04-07T00:00:00" u="1"/>
        <d v="2016-05-03T00:00:00" u="1"/>
        <d v="2017-05-03T00:00:00" u="1"/>
        <d v="2018-05-03T00:00:00" u="1"/>
        <d v="2020-05-03T00:00:00" u="1"/>
        <d v="2008-01-21T00:00:00" u="1"/>
        <d v="2009-01-21T00:00:00" u="1"/>
        <d v="2010-01-21T00:00:00" u="1"/>
        <d v="2007-03-13T00:00:00" u="1"/>
        <d v="2009-02-17T00:00:00" u="1"/>
        <d v="2011-01-21T00:00:00" u="1"/>
        <d v="2008-03-13T00:00:00" u="1"/>
        <d v="2010-02-17T00:00:00" u="1"/>
        <d v="2009-03-13T00:00:00" u="1"/>
        <d v="2011-02-17T00:00:00" u="1"/>
        <d v="2008-04-09T00:00:00" u="1"/>
        <d v="2012-02-17T00:00:00" u="1"/>
        <d v="2014-01-21T00:00:00" u="1"/>
        <d v="2009-04-09T00:00:00" u="1"/>
        <d v="2011-03-13T00:00:00" u="1"/>
        <d v="2013-02-17T00:00:00" u="1"/>
        <d v="2015-01-21T00:00:00" u="1"/>
        <d v="2008-05-05T00:00:00" u="1"/>
        <d v="2010-04-09T00:00:00" u="1"/>
        <d v="2012-03-13T00:00:00" u="1"/>
        <d v="2014-02-17T00:00:00" u="1"/>
        <d v="2016-01-21T00:00:00" u="1"/>
        <d v="2007-06-01T00:00:00" u="1"/>
        <d v="2009-05-05T00:00:00" u="1"/>
        <d v="2011-04-09T00:00:00" u="1"/>
        <d v="2013-03-13T00:00:00" u="1"/>
        <d v="2015-02-17T00:00:00" u="1"/>
        <d v="2010-05-05T00:00:00" u="1"/>
        <d v="2014-03-13T00:00:00" u="1"/>
        <d v="2016-02-17T00:00:00" u="1"/>
        <d v="2009-06-01T00:00:00" u="1"/>
        <d v="2011-05-05T00:00:00" u="1"/>
        <d v="2013-04-09T00:00:00" u="1"/>
        <d v="2015-03-13T00:00:00" u="1"/>
        <d v="2017-02-17T00:00:00" u="1"/>
        <d v="2010-06-01T00:00:00" u="1"/>
        <d v="2014-04-09T00:00:00" u="1"/>
        <d v="2011-06-01T00:00:00" u="1"/>
        <d v="2015-04-09T00:00:00" u="1"/>
        <d v="2017-03-13T00:00:00" u="1"/>
        <d v="2012-06-01T00:00:00" u="1"/>
        <d v="2014-05-05T00:00:00" u="1"/>
        <d v="2015-05-05T00:00:00" u="1"/>
        <d v="2015-06-01T00:00:00" u="1"/>
        <d v="2017-05-05T00:00:00" u="1"/>
        <d v="2017-06-01T00:00:00" u="1"/>
        <d v="2007-02-19T00:00:00" u="1"/>
        <d v="2009-01-23T00:00:00" u="1"/>
        <d v="2009-02-19T00:00:00" u="1"/>
        <d v="2010-02-19T00:00:00" u="1"/>
        <d v="2012-01-23T00:00:00" u="1"/>
        <d v="2013-01-23T00:00:00" u="1"/>
        <d v="2008-04-11T00:00:00" u="1"/>
        <d v="2010-03-15T00:00:00" u="1"/>
        <d v="2012-02-19T00:00:00" u="1"/>
        <d v="2014-01-23T00:00:00" u="1"/>
        <d v="2013-02-19T00:00:00" u="1"/>
        <d v="2015-01-23T00:00:00" u="1"/>
        <d v="2008-05-07T00:00:00" u="1"/>
        <d v="2014-02-19T00:00:00" u="1"/>
        <d v="2009-05-07T00:00:00" u="1"/>
        <d v="2011-04-11T00:00:00" u="1"/>
        <d v="2017-01-23T00:00:00" u="1"/>
        <d v="2008-06-03T00:00:00" u="1"/>
        <d v="2012-04-11T00:00:00" u="1"/>
        <d v="2016-02-19T00:00:00" u="1"/>
        <d v="2018-01-23T00:00:00" u="1"/>
        <d v="2009-06-03T00:00:00" u="1"/>
        <d v="2013-04-11T00:00:00" u="1"/>
        <d v="2015-03-15T00:00:00" u="1"/>
        <d v="2017-02-19T00:00:00" u="1"/>
        <d v="2019-01-23T00:00:00" u="1"/>
        <d v="2010-06-03T00:00:00" u="1"/>
        <d v="2012-05-07T00:00:00" u="1"/>
        <d v="2014-04-11T00:00:00" u="1"/>
        <d v="2016-03-15T00:00:00" u="1"/>
        <d v="2011-06-03T00:00:00" u="1"/>
        <d v="2013-05-07T00:00:00" u="1"/>
        <d v="2017-03-15T00:00:00" u="1"/>
        <d v="2014-05-07T00:00:00" u="1"/>
        <d v="2016-04-11T00:00:00" u="1"/>
        <d v="2013-06-03T00:00:00" u="1"/>
        <d v="2014-06-03T00:00:00" u="1"/>
        <d v="2018-04-11T00:00:00" u="1"/>
        <d v="2015-06-03T00:00:00" u="1"/>
        <d v="2018-06-03T00:00:00" u="1"/>
        <d v="2009-01-25T00:00:00" u="1"/>
        <d v="2008-02-21T00:00:00" u="1"/>
        <d v="2010-01-25T00:00:00" u="1"/>
        <d v="2012-01-25T00:00:00" u="1"/>
        <d v="2009-03-17T00:00:00" u="1"/>
        <d v="2011-02-21T00:00:00" u="1"/>
        <d v="2013-01-25T00:00:00" u="1"/>
        <d v="2012-02-21T00:00:00" u="1"/>
        <d v="2014-01-25T00:00:00" u="1"/>
        <d v="2009-04-13T00:00:00" u="1"/>
        <d v="2011-03-17T00:00:00" u="1"/>
        <d v="2013-02-21T00:00:00" u="1"/>
        <d v="2015-01-25T00:00:00" u="1"/>
        <d v="2006-06-05T00:00:00" u="1"/>
        <d v="2008-05-09T00:00:00" u="1"/>
        <d v="2014-02-21T00:00:00" u="1"/>
        <d v="2011-04-13T00:00:00" u="1"/>
        <d v="2015-02-21T00:00:00" u="1"/>
        <d v="2008-06-05T00:00:00" u="1"/>
        <d v="2012-04-13T00:00:00" u="1"/>
        <d v="2014-03-17T00:00:00" u="1"/>
        <d v="2018-01-25T00:00:00" u="1"/>
        <d v="2007-07-01T00:00:00" u="1"/>
        <d v="2009-06-05T00:00:00" u="1"/>
        <d v="2011-05-09T00:00:00" u="1"/>
        <d v="2013-04-13T00:00:00" u="1"/>
        <d v="2015-03-17T00:00:00" u="1"/>
        <d v="2017-02-21T00:00:00" u="1"/>
        <d v="2008-07-01T00:00:00" u="1"/>
        <d v="2016-03-17T00:00:00" u="1"/>
        <d v="2013-05-09T00:00:00" u="1"/>
        <d v="2015-04-13T00:00:00" u="1"/>
        <d v="2021-01-25T00:00:00" u="1"/>
        <d v="2010-07-01T00:00:00" u="1"/>
        <d v="2012-06-05T00:00:00" u="1"/>
        <d v="2014-05-09T00:00:00" u="1"/>
        <d v="2016-04-13T00:00:00" u="1"/>
        <d v="2018-03-17T00:00:00" u="1"/>
        <d v="2011-07-01T00:00:00" u="1"/>
        <d v="2013-06-05T00:00:00" u="1"/>
        <d v="2012-07-01T00:00:00" u="1"/>
        <d v="2014-06-05T00:00:00" u="1"/>
        <d v="2016-05-09T00:00:00" u="1"/>
        <d v="2013-07-01T00:00:00" u="1"/>
        <d v="2015-06-05T00:00:00" u="1"/>
        <d v="2014-07-01T00:00:00" u="1"/>
        <d v="2016-06-05T00:00:00" u="1"/>
        <d v="2018-05-09T00:00:00" u="1"/>
        <d v="2015-07-01T00:00:00" u="1"/>
        <d v="2016-07-01T00:00:00" u="1"/>
        <d v="2017-07-01T00:00:00" u="1"/>
        <d v="2018-07-01T00:00:00" u="1"/>
        <d v="2010-01-27T00:00:00" u="1"/>
        <d v="2007-03-19T00:00:00" u="1"/>
        <d v="2009-02-23T00:00:00" u="1"/>
        <d v="2011-01-27T00:00:00" u="1"/>
        <d v="2008-03-19T00:00:00" u="1"/>
        <d v="2010-02-23T00:00:00" u="1"/>
        <d v="2012-01-27T00:00:00" u="1"/>
        <d v="2009-03-19T00:00:00" u="1"/>
        <d v="2011-02-23T00:00:00" u="1"/>
        <d v="2008-04-15T00:00:00" u="1"/>
        <d v="2010-03-19T00:00:00" u="1"/>
        <d v="2012-02-23T00:00:00" u="1"/>
        <d v="2014-01-27T00:00:00" u="1"/>
        <d v="2009-04-15T00:00:00" u="1"/>
        <d v="2015-01-27T00:00:00" u="1"/>
        <d v="2010-04-15T00:00:00" u="1"/>
        <d v="2012-03-19T00:00:00" u="1"/>
        <d v="2016-01-27T00:00:00" u="1"/>
        <d v="2007-06-07T00:00:00" u="1"/>
        <d v="2009-05-11T00:00:00" u="1"/>
        <d v="2011-04-15T00:00:00" u="1"/>
        <d v="2013-03-19T00:00:00" u="1"/>
        <d v="2015-02-23T00:00:00" u="1"/>
        <d v="2010-05-11T00:00:00" u="1"/>
        <d v="2012-04-15T00:00:00" u="1"/>
        <d v="2014-03-19T00:00:00" u="1"/>
        <d v="2016-02-23T00:00:00" u="1"/>
        <d v="2011-05-11T00:00:00" u="1"/>
        <d v="2013-04-15T00:00:00" u="1"/>
        <d v="2015-03-19T00:00:00" u="1"/>
        <d v="2017-02-23T00:00:00" u="1"/>
        <d v="2008-07-03T00:00:00" u="1"/>
        <d v="2010-06-07T00:00:00" u="1"/>
        <d v="2012-05-11T00:00:00" u="1"/>
        <d v="2014-04-15T00:00:00" u="1"/>
        <d v="2016-03-19T00:00:00" u="1"/>
        <d v="2018-02-23T00:00:00" u="1"/>
        <d v="2011-06-07T00:00:00" u="1"/>
        <d v="2015-04-15T00:00:00" u="1"/>
        <d v="2017-03-19T00:00:00" u="1"/>
        <d v="2012-06-07T00:00:00" u="1"/>
        <d v="2016-04-15T00:00:00" u="1"/>
        <d v="2018-03-19T00:00:00" u="1"/>
        <d v="2013-06-07T00:00:00" u="1"/>
        <d v="2015-05-11T00:00:00" u="1"/>
        <d v="2012-07-03T00:00:00" u="1"/>
        <d v="2016-05-11T00:00:00" u="1"/>
        <d v="2013-07-03T00:00:00" u="1"/>
        <d v="2014-07-03T00:00:00" u="1"/>
        <d v="2016-06-07T00:00:00" u="1"/>
        <d v="2015-07-03T00:00:00" u="1"/>
        <d v="2017-06-07T00:00:00" u="1"/>
        <d v="2017-07-03T00:00:00" u="1"/>
        <d v="2019-07-03T00:00:00" u="1"/>
        <d v="2008-01-29T00:00:00" u="1"/>
        <d v="2009-01-29T00:00:00" u="1"/>
        <d v="2010-01-29T00:00:00" u="1"/>
        <d v="2009-02-25T00:00:00" u="1"/>
        <d v="2008-03-21T00:00:00" u="1"/>
        <d v="2010-02-25T00:00:00" u="1"/>
        <d v="2007-04-17T00:00:00" u="1"/>
        <d v="2011-02-25T00:00:00" u="1"/>
        <d v="2013-01-29T00:00:00" u="1"/>
        <d v="2008-04-17T00:00:00" u="1"/>
        <d v="2009-04-17T00:00:00" u="1"/>
        <d v="2011-03-21T00:00:00" u="1"/>
        <d v="2013-02-25T00:00:00" u="1"/>
        <d v="2015-01-29T00:00:00" u="1"/>
        <d v="2008-05-13T00:00:00" u="1"/>
        <d v="2014-02-25T00:00:00" u="1"/>
        <d v="2009-05-13T00:00:00" u="1"/>
        <d v="2013-03-21T00:00:00" u="1"/>
        <d v="2015-02-25T00:00:00" u="1"/>
        <d v="2017-01-29T00:00:00" u="1"/>
        <d v="2006-07-05T00:00:00" u="1"/>
        <d v="2008-06-09T00:00:00" u="1"/>
        <d v="2010-05-13T00:00:00" u="1"/>
        <d v="2012-04-17T00:00:00" u="1"/>
        <d v="2014-03-21T00:00:00" u="1"/>
        <d v="2007-07-05T00:00:00" u="1"/>
        <d v="2009-06-09T00:00:00" u="1"/>
        <d v="2011-05-13T00:00:00" u="1"/>
        <d v="2013-04-17T00:00:00" u="1"/>
        <d v="2017-02-25T00:00:00" u="1"/>
        <d v="2010-06-09T00:00:00" u="1"/>
        <d v="2016-03-21T00:00:00" u="1"/>
        <d v="2007-08-01T00:00:00" u="1"/>
        <d v="2011-06-09T00:00:00" u="1"/>
        <d v="2013-05-13T00:00:00" u="1"/>
        <d v="2017-03-21T00:00:00" u="1"/>
        <d v="2019-02-25T00:00:00" u="1"/>
        <d v="2008-08-01T00:00:00" u="1"/>
        <d v="2010-07-05T00:00:00" u="1"/>
        <d v="2016-04-17T00:00:00" u="1"/>
        <d v="2009-08-01T00:00:00" u="1"/>
        <d v="2011-07-05T00:00:00" u="1"/>
        <d v="2010-08-01T00:00:00" u="1"/>
        <d v="2012-07-05T00:00:00" u="1"/>
        <d v="2014-06-09T00:00:00" u="1"/>
        <d v="2011-08-01T00:00:00" u="1"/>
        <d v="2013-07-05T00:00:00" u="1"/>
        <d v="2015-06-09T00:00:00" u="1"/>
        <d v="2016-06-09T00:00:00" u="1"/>
        <d v="2013-08-01T00:00:00" u="1"/>
        <d v="2014-08-01T00:00:00" u="1"/>
        <d v="2016-07-05T00:00:00" u="1"/>
        <d v="2018-06-09T00:00:00" u="1"/>
        <d v="2016-08-01T00:00:00" u="1"/>
        <d v="2017-08-01T00:00:00" u="1"/>
        <d v="2018-08-01T00:00:00" u="1"/>
        <d v="2019-08-01T00:00:00" u="1"/>
        <d v="2020-08-01T00:00:00" u="1"/>
        <d v="2008-01-31T00:00:00" u="1"/>
        <d v="2007-02-27T00:00:00" u="1"/>
        <d v="2009-01-31T00:00:00" u="1"/>
        <d v="2010-01-31T00:00:00" u="1"/>
        <d v="2009-02-27T00:00:00" u="1"/>
        <d v="2011-01-31T00:00:00" u="1"/>
        <d v="2009-03-23T00:00:00" u="1"/>
        <d v="2010-03-23T00:00:00" u="1"/>
        <d v="2012-02-27T00:00:00" u="1"/>
        <d v="2011-03-23T00:00:00" u="1"/>
        <d v="2013-02-27T00:00:00" u="1"/>
        <d v="2008-05-15T00:00:00" u="1"/>
        <d v="2010-04-19T00:00:00" u="1"/>
        <d v="2014-02-27T00:00:00" u="1"/>
        <d v="2009-05-15T00:00:00" u="1"/>
        <d v="2011-04-19T00:00:00" u="1"/>
        <d v="2015-02-27T00:00:00" u="1"/>
        <d v="2008-06-11T00:00:00" u="1"/>
        <d v="2012-04-19T00:00:00" u="1"/>
        <d v="2009-06-11T00:00:00" u="1"/>
        <d v="2015-03-23T00:00:00" u="1"/>
        <d v="2017-02-27T00:00:00" u="1"/>
        <d v="2008-07-07T00:00:00" u="1"/>
        <d v="2010-06-11T00:00:00" u="1"/>
        <d v="2012-05-15T00:00:00" u="1"/>
        <d v="2016-03-23T00:00:00" u="1"/>
        <d v="2018-02-27T00:00:00" u="1"/>
        <d v="2009-07-07T00:00:00" u="1"/>
        <d v="2013-05-15T00:00:00" u="1"/>
        <d v="2017-03-23T00:00:00" u="1"/>
        <d v="2010-07-07T00:00:00" u="1"/>
        <d v="2012-06-11T00:00:00" u="1"/>
        <d v="2014-05-15T00:00:00" u="1"/>
        <d v="2009-08-03T00:00:00" u="1"/>
        <d v="2011-07-07T00:00:00" u="1"/>
        <d v="2013-06-11T00:00:00" u="1"/>
        <d v="2015-05-15T00:00:00" u="1"/>
        <d v="2017-04-19T00:00:00" u="1"/>
        <d v="2010-08-03T00:00:00" u="1"/>
        <d v="2016-05-15T00:00:00" u="1"/>
        <d v="2011-08-03T00:00:00" u="1"/>
        <d v="2013-07-07T00:00:00" u="1"/>
        <d v="2015-06-11T00:00:00" u="1"/>
        <d v="2012-08-03T00:00:00" u="1"/>
        <d v="2014-07-07T00:00:00" u="1"/>
        <d v="2015-07-07T00:00:00" u="1"/>
        <d v="2014-08-03T00:00:00" u="1"/>
        <d v="2016-07-07T00:00:00" u="1"/>
        <d v="2015-08-03T00:00:00" u="1"/>
        <d v="2016-08-03T00:00:00" u="1"/>
        <d v="2017-08-03T00:00:00" u="1"/>
        <d v="2008-02-29T00:00:00" u="1"/>
        <d v="2008-03-25T00:00:00" u="1"/>
        <d v="2009-03-25T00:00:00" u="1"/>
        <d v="2008-04-21T00:00:00" u="1"/>
        <d v="2010-03-25T00:00:00" u="1"/>
        <d v="2007-05-17T00:00:00" u="1"/>
        <d v="2009-04-21T00:00:00" u="1"/>
        <d v="2011-03-25T00:00:00" u="1"/>
        <d v="2006-06-13T00:00:00" u="1"/>
        <d v="2010-04-21T00:00:00" u="1"/>
        <d v="2013-03-25T00:00:00" u="1"/>
        <d v="2010-05-17T00:00:00" u="1"/>
        <d v="2014-03-25T00:00:00" u="1"/>
        <d v="2011-05-17T00:00:00" u="1"/>
        <d v="2015-03-25T00:00:00" u="1"/>
        <d v="2008-07-09T00:00:00" u="1"/>
        <d v="2012-05-17T00:00:00" u="1"/>
        <d v="2009-07-09T00:00:00" u="1"/>
        <d v="2011-06-13T00:00:00" u="1"/>
        <d v="2015-04-21T00:00:00" u="1"/>
        <d v="2017-03-25T00:00:00" u="1"/>
        <d v="2008-08-05T00:00:00" u="1"/>
        <d v="2010-07-09T00:00:00" u="1"/>
        <d v="2012-06-13T00:00:00" u="1"/>
        <d v="2018-03-25T00:00:00" u="1"/>
        <d v="2007-09-01T00:00:00" u="1"/>
        <d v="2009-08-05T00:00:00" u="1"/>
        <d v="2013-06-13T00:00:00" u="1"/>
        <d v="2015-05-17T00:00:00" u="1"/>
        <d v="2017-04-21T00:00:00" u="1"/>
        <d v="2019-03-25T00:00:00" u="1"/>
        <d v="2010-08-05T00:00:00" u="1"/>
        <d v="2012-07-09T00:00:00" u="1"/>
        <d v="2016-05-17T00:00:00" u="1"/>
        <d v="2009-09-01T00:00:00" u="1"/>
        <d v="2010-09-01T00:00:00" u="1"/>
        <d v="2014-07-09T00:00:00" u="1"/>
        <d v="2016-06-13T00:00:00" u="1"/>
        <d v="2011-09-01T00:00:00" u="1"/>
        <d v="2013-08-05T00:00:00" u="1"/>
        <d v="2015-07-09T00:00:00" u="1"/>
        <d v="2014-08-05T00:00:00" u="1"/>
        <d v="2015-08-05T00:00:00" u="1"/>
        <d v="2017-07-09T00:00:00" u="1"/>
        <d v="2014-09-01T00:00:00" u="1"/>
        <d v="2016-08-05T00:00:00" u="1"/>
        <d v="2015-09-01T00:00:00" u="1"/>
        <d v="2017-08-05T00:00:00" u="1"/>
        <d v="2016-09-01T00:00:00" u="1"/>
        <d v="2018-09-01T00:00:00" u="1"/>
        <d v="2019-09-01T00:00:00" u="1"/>
        <d v="2007-03-27T00:00:00" u="1"/>
        <d v="2008-03-27T00:00:00" u="1"/>
        <d v="2009-03-27T00:00:00" u="1"/>
        <d v="2008-04-23T00:00:00" u="1"/>
        <d v="2006-06-15T00:00:00" u="1"/>
        <d v="2008-05-19T00:00:00" u="1"/>
        <d v="2010-04-23T00:00:00" u="1"/>
        <d v="2012-03-27T00:00:00" u="1"/>
        <d v="2007-06-15T00:00:00" u="1"/>
        <d v="2009-05-19T00:00:00" u="1"/>
        <d v="2013-03-27T00:00:00" u="1"/>
        <d v="2012-04-23T00:00:00" u="1"/>
        <d v="2009-06-15T00:00:00" u="1"/>
        <d v="2011-05-19T00:00:00" u="1"/>
        <d v="2013-04-23T00:00:00" u="1"/>
        <d v="2015-03-27T00:00:00" u="1"/>
        <d v="2004-09-03T00:00:00" u="1"/>
        <d v="2008-07-11T00:00:00" u="1"/>
        <d v="2010-06-15T00:00:00" u="1"/>
        <d v="2014-04-23T00:00:00" u="1"/>
        <d v="2007-08-07T00:00:00" u="1"/>
        <d v="2011-06-15T00:00:00" u="1"/>
        <d v="2017-03-27T00:00:00" u="1"/>
        <d v="2008-08-07T00:00:00" u="1"/>
        <d v="2012-06-15T00:00:00" u="1"/>
        <d v="2014-05-19T00:00:00" u="1"/>
        <d v="2016-04-23T00:00:00" u="1"/>
        <d v="2009-08-07T00:00:00" u="1"/>
        <d v="2011-07-11T00:00:00" u="1"/>
        <d v="2015-05-19T00:00:00" u="1"/>
        <d v="2008-09-03T00:00:00" u="1"/>
        <d v="2012-07-11T00:00:00" u="1"/>
        <d v="2016-05-19T00:00:00" u="1"/>
        <d v="2018-04-23T00:00:00" u="1"/>
        <d v="2009-09-03T00:00:00" u="1"/>
        <d v="2013-07-11T00:00:00" u="1"/>
        <d v="2017-05-19T00:00:00" u="1"/>
        <d v="2012-08-07T00:00:00" u="1"/>
        <d v="2014-07-11T00:00:00" u="1"/>
        <d v="2016-06-15T00:00:00" u="1"/>
        <d v="2012-09-03T00:00:00" u="1"/>
        <d v="2014-08-07T00:00:00" u="1"/>
        <d v="2016-07-11T00:00:00" u="1"/>
        <d v="2013-09-03T00:00:00" u="1"/>
        <d v="2015-08-07T00:00:00" u="1"/>
        <d v="2017-07-11T00:00:00" u="1"/>
        <d v="2014-09-03T00:00:00" u="1"/>
        <d v="2017-08-07T00:00:00" u="1"/>
        <d v="2018-08-07T00:00:00" u="1"/>
        <d v="2017-09-03T00:00:00" u="1"/>
        <d v="2007-03-29T00:00:00" u="1"/>
        <d v="2010-03-29T00:00:00" u="1"/>
        <d v="2011-03-29T00:00:00" u="1"/>
        <d v="2008-05-21T00:00:00" u="1"/>
        <d v="2012-03-29T00:00:00" u="1"/>
        <d v="2009-05-21T00:00:00" u="1"/>
        <d v="2011-04-25T00:00:00" u="1"/>
        <d v="2008-06-17T00:00:00" u="1"/>
        <d v="2010-05-21T00:00:00" u="1"/>
        <d v="2012-04-25T00:00:00" u="1"/>
        <d v="2007-07-13T00:00:00" u="1"/>
        <d v="2009-06-17T00:00:00" u="1"/>
        <d v="2011-05-21T00:00:00" u="1"/>
        <d v="2013-04-25T00:00:00" u="1"/>
        <d v="2006-08-09T00:00:00" u="1"/>
        <d v="2010-06-17T00:00:00" u="1"/>
        <d v="2012-05-21T00:00:00" u="1"/>
        <d v="2014-04-25T00:00:00" u="1"/>
        <d v="2016-03-29T00:00:00" u="1"/>
        <d v="2007-08-09T00:00:00" u="1"/>
        <d v="2009-07-13T00:00:00" u="1"/>
        <d v="2011-06-17T00:00:00" u="1"/>
        <d v="2013-05-21T00:00:00" u="1"/>
        <d v="2015-04-25T00:00:00" u="1"/>
        <d v="2017-03-29T00:00:00" u="1"/>
        <d v="2006-09-05T00:00:00" u="1"/>
        <d v="2010-07-13T00:00:00" u="1"/>
        <d v="2014-05-21T00:00:00" u="1"/>
        <d v="2016-04-25T00:00:00" u="1"/>
        <d v="2007-09-05T00:00:00" u="1"/>
        <d v="2011-07-13T00:00:00" u="1"/>
        <d v="2015-05-21T00:00:00" u="1"/>
        <d v="2017-04-25T00:00:00" u="1"/>
        <d v="2008-09-05T00:00:00" u="1"/>
        <d v="2010-08-09T00:00:00" u="1"/>
        <d v="2012-07-13T00:00:00" u="1"/>
        <d v="2014-06-17T00:00:00" u="1"/>
        <d v="2007-10-01T00:00:00" u="1"/>
        <d v="2009-09-05T00:00:00" u="1"/>
        <d v="2011-08-09T00:00:00" u="1"/>
        <d v="2015-06-17T00:00:00" u="1"/>
        <d v="2017-05-21T00:00:00" u="1"/>
        <d v="2008-10-01T00:00:00" u="1"/>
        <d v="2012-08-09T00:00:00" u="1"/>
        <d v="2016-06-17T00:00:00" u="1"/>
        <d v="2009-10-01T00:00:00" u="1"/>
        <d v="2011-09-05T00:00:00" u="1"/>
        <d v="2013-08-09T00:00:00" u="1"/>
        <d v="2015-07-13T00:00:00" u="1"/>
        <d v="2010-10-01T00:00:00" u="1"/>
        <d v="2012-09-05T00:00:00" u="1"/>
        <d v="2014-08-09T00:00:00" u="1"/>
        <d v="2016-07-13T00:00:00" u="1"/>
        <d v="2018-06-17T00:00:00" u="1"/>
        <d v="2013-09-05T00:00:00" u="1"/>
        <d v="2012-10-01T00:00:00" u="1"/>
        <d v="2016-08-09T00:00:00" u="1"/>
        <d v="2018-07-13T00:00:00" u="1"/>
        <d v="2017-08-09T00:00:00" u="1"/>
        <d v="2014-10-01T00:00:00" u="1"/>
        <d v="2016-09-05T00:00:00" u="1"/>
        <d v="2015-10-01T00:00:00" u="1"/>
        <d v="2016-10-01T00:00:00" u="1"/>
        <d v="2019-10-01T00:00:00" u="1"/>
        <d v="2022-10-01T00:00:00" u="1"/>
        <d v="2008-03-31T00:00:00" u="1"/>
        <d v="2009-03-31T00:00:00" u="1"/>
        <d v="2006-05-23T00:00:00" u="1"/>
        <d v="2010-03-31T00:00:00" u="1"/>
        <d v="2009-04-27T00:00:00" u="1"/>
        <d v="2011-03-31T00:00:00" u="1"/>
        <d v="2006-06-19T00:00:00" u="1"/>
        <d v="2008-05-23T00:00:00" u="1"/>
        <d v="2010-04-27T00:00:00" u="1"/>
        <d v="2011-04-27T00:00:00" u="1"/>
        <d v="2008-06-19T00:00:00" u="1"/>
        <d v="2012-04-27T00:00:00" u="1"/>
        <d v="2009-06-19T00:00:00" u="1"/>
        <d v="2006-08-11T00:00:00" u="1"/>
        <d v="2008-07-15T00:00:00" u="1"/>
        <d v="2012-05-23T00:00:00" u="1"/>
        <d v="2009-07-15T00:00:00" u="1"/>
        <d v="2011-06-19T00:00:00" u="1"/>
        <d v="2015-04-27T00:00:00" u="1"/>
        <d v="2012-06-19T00:00:00" u="1"/>
        <d v="2016-04-27T00:00:00" u="1"/>
        <d v="2007-09-07T00:00:00" u="1"/>
        <d v="2009-08-11T00:00:00" u="1"/>
        <d v="2011-07-15T00:00:00" u="1"/>
        <d v="2017-04-27T00:00:00" u="1"/>
        <d v="2010-08-11T00:00:00" u="1"/>
        <d v="2014-06-19T00:00:00" u="1"/>
        <d v="2016-05-23T00:00:00" u="1"/>
        <d v="2009-09-07T00:00:00" u="1"/>
        <d v="2011-08-11T00:00:00" u="1"/>
        <d v="2013-07-15T00:00:00" u="1"/>
        <d v="2015-06-19T00:00:00" u="1"/>
        <d v="2017-05-23T00:00:00" u="1"/>
        <d v="2008-10-03T00:00:00" u="1"/>
        <d v="2010-09-07T00:00:00" u="1"/>
        <d v="2014-07-15T00:00:00" u="1"/>
        <d v="2018-05-23T00:00:00" u="1"/>
        <d v="2011-09-07T00:00:00" u="1"/>
        <d v="2015-07-15T00:00:00" u="1"/>
        <d v="2017-06-19T00:00:00" u="1"/>
        <d v="2012-09-07T00:00:00" u="1"/>
        <d v="2014-08-11T00:00:00" u="1"/>
        <d v="2011-10-03T00:00:00" u="1"/>
        <d v="2015-08-11T00:00:00" u="1"/>
        <d v="2017-07-15T00:00:00" u="1"/>
        <d v="2012-10-03T00:00:00" u="1"/>
        <d v="2016-08-11T00:00:00" u="1"/>
        <d v="2013-10-03T00:00:00" u="1"/>
        <d v="2015-09-07T00:00:00" u="1"/>
        <d v="2014-10-03T00:00:00" u="1"/>
        <d v="2016-09-07T00:00:00" u="1"/>
        <d v="2017-09-07T00:00:00" u="1"/>
        <d v="2016-10-03T00:00:00" u="1"/>
        <d v="2008-04-29T00:00:00" u="1"/>
        <d v="2009-04-29T00:00:00" u="1"/>
        <d v="2007-06-21T00:00:00" u="1"/>
        <d v="2009-05-25T00:00:00" u="1"/>
        <d v="2008-06-21T00:00:00" u="1"/>
        <d v="2007-07-17T00:00:00" u="1"/>
        <d v="2011-05-25T00:00:00" u="1"/>
        <d v="2013-04-29T00:00:00" u="1"/>
        <d v="2008-07-17T00:00:00" u="1"/>
        <d v="2010-06-21T00:00:00" u="1"/>
        <d v="2012-05-25T00:00:00" u="1"/>
        <d v="2014-04-29T00:00:00" u="1"/>
        <d v="2009-07-17T00:00:00" u="1"/>
        <d v="2011-06-21T00:00:00" u="1"/>
        <d v="2015-04-29T00:00:00" u="1"/>
        <d v="2008-08-13T00:00:00" u="1"/>
        <d v="2016-04-29T00:00:00" u="1"/>
        <d v="2009-08-13T00:00:00" u="1"/>
        <d v="2013-06-21T00:00:00" u="1"/>
        <d v="2015-05-25T00:00:00" u="1"/>
        <d v="2006-10-05T00:00:00" u="1"/>
        <d v="2008-09-09T00:00:00" u="1"/>
        <d v="2012-07-17T00:00:00" u="1"/>
        <d v="2016-05-25T00:00:00" u="1"/>
        <d v="2009-09-09T00:00:00" u="1"/>
        <d v="2013-07-17T00:00:00" u="1"/>
        <d v="2017-05-25T00:00:00" u="1"/>
        <d v="2010-09-09T00:00:00" u="1"/>
        <d v="2012-08-13T00:00:00" u="1"/>
        <d v="2014-07-17T00:00:00" u="1"/>
        <d v="2016-06-21T00:00:00" u="1"/>
        <d v="2007-11-01T00:00:00" u="1"/>
        <d v="2009-10-05T00:00:00" u="1"/>
        <d v="2011-09-09T00:00:00" u="1"/>
        <d v="2013-08-13T00:00:00" u="1"/>
        <d v="2015-07-17T00:00:00" u="1"/>
        <d v="2017-06-21T00:00:00" u="1"/>
        <d v="2008-11-01T00:00:00" u="1"/>
        <d v="2010-10-05T00:00:00" u="1"/>
        <d v="2014-08-13T00:00:00" u="1"/>
        <d v="2016-07-17T00:00:00" u="1"/>
        <d v="2009-11-01T00:00:00" u="1"/>
        <d v="2011-10-05T00:00:00" u="1"/>
        <d v="2013-09-09T00:00:00" u="1"/>
        <d v="2017-07-17T00:00:00" u="1"/>
        <d v="2010-11-01T00:00:00" u="1"/>
        <d v="2012-10-05T00:00:00" u="1"/>
        <d v="2014-09-09T00:00:00" u="1"/>
        <d v="2016-08-13T00:00:00" u="1"/>
        <d v="2015-09-09T00:00:00" u="1"/>
        <d v="2016-09-09T00:00:00" u="1"/>
        <d v="2017-09-09T00:00:00" u="1"/>
        <d v="2016-10-05T00:00:00" u="1"/>
        <d v="2018-09-09T00:00:00" u="1"/>
        <d v="2016-11-01T00:00:00" u="1"/>
        <d v="2017-11-01T00:00:00" u="1"/>
        <d v="2020-11-01T00:00:00" u="1"/>
        <d v="2007-05-27T00:00:00" u="1"/>
        <d v="2008-05-27T00:00:00" u="1"/>
        <d v="2007-06-23T00:00:00" u="1"/>
        <d v="2009-05-27T00:00:00" u="1"/>
        <d v="2008-06-23T00:00:00" u="1"/>
        <d v="2010-05-27T00:00:00" u="1"/>
        <d v="2009-06-23T00:00:00" u="1"/>
        <d v="2010-06-23T00:00:00" u="1"/>
        <d v="2011-06-23T00:00:00" u="1"/>
        <d v="2013-05-27T00:00:00" u="1"/>
        <d v="2006-09-11T00:00:00" u="1"/>
        <d v="2010-07-19T00:00:00" u="1"/>
        <d v="2014-05-27T00:00:00" u="1"/>
        <d v="2011-07-19T00:00:00" u="1"/>
        <d v="2015-05-27T00:00:00" u="1"/>
        <d v="2008-09-11T00:00:00" u="1"/>
        <d v="2012-07-19T00:00:00" u="1"/>
        <d v="2014-06-23T00:00:00" u="1"/>
        <d v="2009-09-11T00:00:00" u="1"/>
        <d v="2013-07-19T00:00:00" u="1"/>
        <d v="2008-10-07T00:00:00" u="1"/>
        <d v="2014-07-19T00:00:00" u="1"/>
        <d v="2016-06-23T00:00:00" u="1"/>
        <d v="2009-10-07T00:00:00" u="1"/>
        <d v="2013-08-15T00:00:00" u="1"/>
        <d v="2015-07-19T00:00:00" u="1"/>
        <d v="2008-11-03T00:00:00" u="1"/>
        <d v="2010-10-07T00:00:00" u="1"/>
        <d v="2012-09-11T00:00:00" u="1"/>
        <d v="2009-11-03T00:00:00" u="1"/>
        <d v="2011-10-07T00:00:00" u="1"/>
        <d v="2017-07-19T00:00:00" u="1"/>
        <d v="2010-11-03T00:00:00" u="1"/>
        <d v="2014-09-11T00:00:00" u="1"/>
        <d v="2016-08-15T00:00:00" u="1"/>
        <d v="2011-11-03T00:00:00" u="1"/>
        <d v="2013-10-07T00:00:00" u="1"/>
        <d v="2015-09-11T00:00:00" u="1"/>
        <d v="2017-08-15T00:00:00" u="1"/>
        <d v="2016-09-11T00:00:00" u="1"/>
        <d v="2015-10-07T00:00:00" u="1"/>
        <d v="2017-09-11T00:00:00" u="1"/>
        <d v="2014-11-03T00:00:00" u="1"/>
        <d v="2016-10-07T00:00:00" u="1"/>
        <d v="2015-11-03T00:00:00" u="1"/>
        <d v="2016-11-03T00:00:00" u="1"/>
        <d v="2018-10-07T00:00:00" u="1"/>
        <d v="2007-05-29T00:00:00" u="1"/>
        <d v="2008-06-25T00:00:00" u="1"/>
        <d v="2007-07-21T00:00:00" u="1"/>
        <d v="2009-06-25T00:00:00" u="1"/>
        <d v="2006-08-17T00:00:00" u="1"/>
        <d v="2010-06-25T00:00:00" u="1"/>
        <d v="2007-08-17T00:00:00" u="1"/>
        <d v="2009-07-21T00:00:00" u="1"/>
        <d v="2013-05-29T00:00:00" u="1"/>
        <d v="2010-07-21T00:00:00" u="1"/>
        <d v="2012-06-25T00:00:00" u="1"/>
        <d v="2014-05-29T00:00:00" u="1"/>
        <d v="2007-09-13T00:00:00" u="1"/>
        <d v="2009-08-17T00:00:00" u="1"/>
        <d v="2011-07-21T00:00:00" u="1"/>
        <d v="2013-06-25T00:00:00" u="1"/>
        <d v="2015-05-29T00:00:00" u="1"/>
        <d v="2010-08-17T00:00:00" u="1"/>
        <d v="2014-06-25T00:00:00" u="1"/>
        <d v="2007-10-09T00:00:00" u="1"/>
        <d v="2015-06-25T00:00:00" u="1"/>
        <d v="2010-09-13T00:00:00" u="1"/>
        <d v="2012-08-17T00:00:00" u="1"/>
        <d v="2014-07-21T00:00:00" u="1"/>
        <d v="2007-11-05T00:00:00" u="1"/>
        <d v="2009-10-09T00:00:00" u="1"/>
        <d v="2011-09-13T00:00:00" u="1"/>
        <d v="2015-07-21T00:00:00" u="1"/>
        <d v="2017-06-25T00:00:00" u="1"/>
        <d v="2012-09-13T00:00:00" u="1"/>
        <d v="2014-08-17T00:00:00" u="1"/>
        <d v="2007-12-01T00:00:00" u="1"/>
        <d v="2009-11-05T00:00:00" u="1"/>
        <d v="2013-09-13T00:00:00" u="1"/>
        <d v="2015-08-17T00:00:00" u="1"/>
        <d v="2019-06-25T00:00:00" u="1"/>
        <d v="2008-12-01T00:00:00" u="1"/>
        <d v="2010-11-05T00:00:00" u="1"/>
        <d v="2012-10-09T00:00:00" u="1"/>
        <d v="2016-08-17T00:00:00" u="1"/>
        <d v="2018-07-21T00:00:00" u="1"/>
        <d v="2009-12-01T00:00:00" u="1"/>
        <d v="2013-10-09T00:00:00" u="1"/>
        <d v="2017-08-17T00:00:00" u="1"/>
        <d v="2010-12-01T00:00:00" u="1"/>
        <d v="2012-11-05T00:00:00" u="1"/>
        <d v="2014-10-09T00:00:00" u="1"/>
        <d v="2011-12-01T00:00:00" u="1"/>
        <d v="2015-10-09T00:00:00" u="1"/>
        <d v="2014-11-05T00:00:00" u="1"/>
        <d v="2017-10-09T00:00:00" u="1"/>
        <d v="2014-12-01T00:00:00" u="1"/>
        <d v="2015-12-01T00:00:00" u="1"/>
        <d v="2016-12-01T00:00:00" u="1"/>
        <d v="2018-11-05T00:00:00" u="1"/>
        <d v="2017-12-01T00:00:00" u="1"/>
        <d v="2019-11-05T00:00:00" u="1"/>
        <d v="2019-12-01T00:00:00" u="1"/>
        <d v="2006-06-27T00:00:00" u="1"/>
        <d v="2008-05-31T00:00:00" u="1"/>
        <d v="2007-06-27T00:00:00" u="1"/>
        <d v="2009-05-31T00:00:00" u="1"/>
        <d v="2008-06-27T00:00:00" u="1"/>
        <d v="2010-05-31T00:00:00" u="1"/>
        <d v="2007-07-23T00:00:00" u="1"/>
        <d v="2011-05-31T00:00:00" u="1"/>
        <d v="2008-07-23T00:00:00" u="1"/>
        <d v="2011-06-27T00:00:00" u="1"/>
        <d v="2008-08-19T00:00:00" u="1"/>
        <d v="2012-06-27T00:00:00" u="1"/>
        <d v="2013-06-27T00:00:00" u="1"/>
        <d v="2008-09-15T00:00:00" u="1"/>
        <d v="2010-08-19T00:00:00" u="1"/>
        <d v="2012-07-23T00:00:00" u="1"/>
        <d v="2014-06-27T00:00:00" u="1"/>
        <d v="2007-10-11T00:00:00" u="1"/>
        <d v="2009-09-15T00:00:00" u="1"/>
        <d v="2014-07-23T00:00:00" u="1"/>
        <d v="2016-06-27T00:00:00" u="1"/>
        <d v="2007-11-07T00:00:00" u="1"/>
        <d v="2013-08-19T00:00:00" u="1"/>
        <d v="2015-07-23T00:00:00" u="1"/>
        <d v="2017-06-27T00:00:00" u="1"/>
        <d v="2008-11-07T00:00:00" u="1"/>
        <d v="2010-10-11T00:00:00" u="1"/>
        <d v="2014-08-19T00:00:00" u="1"/>
        <d v="2016-07-23T00:00:00" u="1"/>
        <d v="2015-08-19T00:00:00" u="1"/>
        <d v="2017-07-23T00:00:00" u="1"/>
        <d v="2012-10-11T00:00:00" u="1"/>
        <d v="2014-09-15T00:00:00" u="1"/>
        <d v="2009-12-03T00:00:00" u="1"/>
        <d v="2011-11-07T00:00:00" u="1"/>
        <d v="2015-09-15T00:00:00" u="1"/>
        <d v="2010-12-03T00:00:00" u="1"/>
        <d v="2012-11-07T00:00:00" u="1"/>
        <d v="2016-09-15T00:00:00" u="1"/>
        <d v="2013-11-07T00:00:00" u="1"/>
        <d v="2012-12-03T00:00:00" u="1"/>
        <d v="2016-10-11T00:00:00" u="1"/>
        <d v="2013-12-03T00:00:00" u="1"/>
        <d v="2014-12-03T00:00:00" u="1"/>
        <d v="2017-12-03T00:00:00" u="1"/>
        <d v="2019-12-03T00:00:00" u="1"/>
        <d v="2009-06-29T00:00:00" u="1"/>
        <d v="2008-07-25T00:00:00" u="1"/>
        <d v="2010-06-29T00:00:00" u="1"/>
        <d v="2007-08-21T00:00:00" u="1"/>
        <d v="2011-06-29T00:00:00" u="1"/>
        <d v="2012-06-29T00:00:00" u="1"/>
        <d v="2007-09-17T00:00:00" u="1"/>
        <d v="2009-08-21T00:00:00" u="1"/>
        <d v="2011-07-25T00:00:00" u="1"/>
        <d v="2008-09-17T00:00:00" u="1"/>
        <d v="2012-07-25T00:00:00" u="1"/>
        <d v="2009-09-17T00:00:00" u="1"/>
        <d v="2013-07-25T00:00:00" u="1"/>
        <d v="2015-06-29T00:00:00" u="1"/>
        <d v="2006-11-09T00:00:00" u="1"/>
        <d v="2014-07-25T00:00:00" u="1"/>
        <d v="2016-06-29T00:00:00" u="1"/>
        <d v="2007-11-09T00:00:00" u="1"/>
        <d v="2009-10-13T00:00:00" u="1"/>
        <d v="2013-08-21T00:00:00" u="1"/>
        <d v="2017-06-29T00:00:00" u="1"/>
        <d v="2006-12-05T00:00:00" u="1"/>
        <d v="2010-10-13T00:00:00" u="1"/>
        <d v="2012-09-17T00:00:00" u="1"/>
        <d v="2014-08-21T00:00:00" u="1"/>
        <d v="2016-07-25T00:00:00" u="1"/>
        <d v="2007-12-05T00:00:00" u="1"/>
        <d v="2009-11-09T00:00:00" u="1"/>
        <d v="2011-10-13T00:00:00" u="1"/>
        <d v="2013-09-17T00:00:00" u="1"/>
        <d v="2015-08-21T00:00:00" u="1"/>
        <d v="2017-07-25T00:00:00" u="1"/>
        <d v="2008-12-05T00:00:00" u="1"/>
        <d v="2014-09-17T00:00:00" u="1"/>
        <d v="2011-11-09T00:00:00" u="1"/>
        <d v="2013-10-13T00:00:00" u="1"/>
        <d v="2015-09-17T00:00:00" u="1"/>
        <d v="2012-11-09T00:00:00" u="1"/>
        <d v="2014-10-13T00:00:00" u="1"/>
        <d v="2011-12-05T00:00:00" u="1"/>
        <d v="2015-10-13T00:00:00" u="1"/>
        <d v="2012-12-05T00:00:00" u="1"/>
        <d v="2016-10-13T00:00:00" u="1"/>
        <d v="2015-11-09T00:00:00" u="1"/>
        <d v="2014-12-05T00:00:00" u="1"/>
        <d v="2016-11-09T00:00:00" u="1"/>
        <d v="2017-11-09T00:00:00" u="1"/>
        <d v="2016-12-05T00:00:00" u="1"/>
        <d v="2018-11-09T00:00:00" u="1"/>
        <d v="2018-12-05T00:00:00" u="1"/>
        <d v="2006-07-27T00:00:00" u="1"/>
        <d v="2005-08-23T00:00:00" u="1"/>
        <d v="2007-08-23T00:00:00" u="1"/>
        <d v="2009-07-27T00:00:00" u="1"/>
        <d v="2008-08-23T00:00:00" u="1"/>
        <d v="2010-07-27T00:00:00" u="1"/>
        <d v="2008-09-19T00:00:00" u="1"/>
        <d v="2010-08-23T00:00:00" u="1"/>
        <d v="2012-07-27T00:00:00" u="1"/>
        <d v="2011-08-23T00:00:00" u="1"/>
        <d v="2008-10-15T00:00:00" u="1"/>
        <d v="2012-08-23T00:00:00" u="1"/>
        <d v="2009-10-15T00:00:00" u="1"/>
        <d v="2011-09-19T00:00:00" u="1"/>
        <d v="2015-07-27T00:00:00" u="1"/>
        <d v="2008-11-11T00:00:00" u="1"/>
        <d v="2014-08-23T00:00:00" u="1"/>
        <d v="2016-07-27T00:00:00" u="1"/>
        <d v="2007-12-07T00:00:00" u="1"/>
        <d v="2009-11-11T00:00:00" u="1"/>
        <d v="2017-07-27T00:00:00" u="1"/>
        <d v="2010-11-11T00:00:00" u="1"/>
        <d v="2012-10-15T00:00:00" u="1"/>
        <d v="2014-09-19T00:00:00" u="1"/>
        <d v="2016-08-23T00:00:00" u="1"/>
        <d v="2011-11-11T00:00:00" u="1"/>
        <d v="2013-10-15T00:00:00" u="1"/>
        <d v="2017-08-23T00:00:00" u="1"/>
        <d v="2010-12-07T00:00:00" u="1"/>
        <d v="2011-12-07T00:00:00" u="1"/>
        <d v="2013-11-11T00:00:00" u="1"/>
        <d v="2015-10-15T00:00:00" u="1"/>
        <d v="2012-12-07T00:00:00" u="1"/>
        <d v="2014-11-11T00:00:00" u="1"/>
        <d v="2016-11-11T00:00:00" u="1"/>
        <d v="2018-10-15T00:00:00" u="1"/>
        <d v="2017-11-11T00:00:00" u="1"/>
        <d v="2005-08-25T00:00:00" u="1"/>
        <d v="2009-07-29T00:00:00" u="1"/>
        <d v="2008-08-25T00:00:00" u="1"/>
        <d v="2010-07-29T00:00:00" u="1"/>
        <d v="2007-09-21T00:00:00" u="1"/>
        <d v="2011-07-29T00:00:00" u="1"/>
        <d v="2006-10-17T00:00:00" u="1"/>
        <d v="2010-08-25T00:00:00" u="1"/>
        <d v="2009-09-21T00:00:00" u="1"/>
        <d v="2011-08-25T00:00:00" u="1"/>
        <d v="2013-07-29T00:00:00" u="1"/>
        <d v="2008-10-17T00:00:00" u="1"/>
        <d v="2010-09-21T00:00:00" u="1"/>
        <d v="2011-09-21T00:00:00" u="1"/>
        <d v="2013-08-25T00:00:00" u="1"/>
        <d v="2008-11-13T00:00:00" u="1"/>
        <d v="2014-08-25T00:00:00" u="1"/>
        <d v="2016-07-29T00:00:00" u="1"/>
        <d v="2009-11-13T00:00:00" u="1"/>
        <d v="2011-10-17T00:00:00" u="1"/>
        <d v="2015-08-25T00:00:00" u="1"/>
        <d v="2008-12-09T00:00:00" u="1"/>
        <d v="2012-10-17T00:00:00" u="1"/>
        <d v="2016-08-25T00:00:00" u="1"/>
        <d v="2009-12-09T00:00:00" u="1"/>
        <d v="2013-10-17T00:00:00" u="1"/>
        <d v="2015-09-21T00:00:00" u="1"/>
        <d v="2010-12-09T00:00:00" u="1"/>
        <d v="2012-11-13T00:00:00" u="1"/>
        <d v="2014-10-17T00:00:00" u="1"/>
        <d v="2016-09-21T00:00:00" u="1"/>
        <d v="2011-12-09T00:00:00" u="1"/>
        <d v="2013-11-13T00:00:00" u="1"/>
        <d v="2019-08-25T00:00:00" u="1"/>
        <d v="2014-11-13T00:00:00" u="1"/>
        <d v="2016-10-17T00:00:00" u="1"/>
        <d v="2013-12-09T00:00:00" u="1"/>
        <d v="2015-11-13T00:00:00" u="1"/>
        <d v="2016-11-13T00:00:00" u="1"/>
        <d v="2015-12-09T00:00:00" u="1"/>
        <d v="2017-11-13T00:00:00" u="1"/>
        <d v="2016-12-09T00:00:00" u="1"/>
        <d v="2008-07-31T00:00:00" u="1"/>
        <d v="2007-08-27T00:00:00" u="1"/>
        <d v="2009-07-31T00:00:00" u="1"/>
        <d v="2008-08-27T00:00:00" u="1"/>
        <d v="2010-07-31T00:00:00" u="1"/>
        <d v="2006-10-19T00:00:00" u="1"/>
        <d v="2008-09-23T00:00:00" u="1"/>
        <d v="2010-08-27T00:00:00" u="1"/>
        <d v="2009-09-23T00:00:00" u="1"/>
        <d v="2010-09-23T00:00:00" u="1"/>
        <d v="2012-08-27T00:00:00" u="1"/>
        <d v="2007-11-15T00:00:00" u="1"/>
        <d v="2009-10-19T00:00:00" u="1"/>
        <d v="2011-09-23T00:00:00" u="1"/>
        <d v="2013-08-27T00:00:00" u="1"/>
        <d v="2006-12-11T00:00:00" u="1"/>
        <d v="2008-11-15T00:00:00" u="1"/>
        <d v="2010-10-19T00:00:00" u="1"/>
        <d v="2007-12-11T00:00:00" u="1"/>
        <d v="2011-10-19T00:00:00" u="1"/>
        <d v="2013-09-23T00:00:00" u="1"/>
        <d v="2015-08-27T00:00:00" u="1"/>
        <d v="2008-12-11T00:00:00" u="1"/>
        <d v="2010-11-15T00:00:00" u="1"/>
        <d v="2014-09-23T00:00:00" u="1"/>
        <d v="2009-12-11T00:00:00" u="1"/>
        <d v="2011-11-15T00:00:00" u="1"/>
        <d v="2013-10-19T00:00:00" u="1"/>
        <d v="2015-09-23T00:00:00" u="1"/>
        <d v="2012-11-15T00:00:00" u="1"/>
        <d v="2016-09-23T00:00:00" u="1"/>
        <d v="2013-11-15T00:00:00" u="1"/>
        <d v="2015-10-19T00:00:00" u="1"/>
        <d v="2017-09-23T00:00:00" u="1"/>
        <d v="2012-12-11T00:00:00" u="1"/>
        <d v="2016-10-19T00:00:00" u="1"/>
        <d v="2013-12-11T00:00:00" u="1"/>
        <d v="2014-12-11T00:00:00" u="1"/>
        <d v="2016-11-15T00:00:00" u="1"/>
        <d v="2015-12-11T00:00:00" u="1"/>
        <d v="2017-11-15T00:00:00" u="1"/>
        <d v="2018-12-11T00:00:00" u="1"/>
        <d v="2007-08-29T00:00:00" u="1"/>
        <d v="2008-08-29T00:00:00" u="1"/>
        <d v="2009-08-29T00:00:00" u="1"/>
        <d v="2008-09-25T00:00:00" u="1"/>
        <d v="2007-10-21T00:00:00" u="1"/>
        <d v="2009-09-25T00:00:00" u="1"/>
        <d v="2011-08-29T00:00:00" u="1"/>
        <d v="2008-10-21T00:00:00" u="1"/>
        <d v="2012-08-29T00:00:00" u="1"/>
        <d v="2006-12-13T00:00:00" u="1"/>
        <d v="2008-11-17T00:00:00" u="1"/>
        <d v="2010-10-21T00:00:00" u="1"/>
        <d v="2014-08-29T00:00:00" u="1"/>
        <d v="2007-12-13T00:00:00" u="1"/>
        <d v="2009-11-17T00:00:00" u="1"/>
        <d v="2011-10-21T00:00:00" u="1"/>
        <d v="2013-09-25T00:00:00" u="1"/>
        <d v="2008-12-13T00:00:00" u="1"/>
        <d v="2010-11-17T00:00:00" u="1"/>
        <d v="2014-09-25T00:00:00" u="1"/>
        <d v="2016-08-29T00:00:00" u="1"/>
        <d v="2011-11-17T00:00:00" u="1"/>
        <d v="2013-10-21T00:00:00" u="1"/>
        <d v="2015-09-25T00:00:00" u="1"/>
        <d v="2010-12-13T00:00:00" u="1"/>
        <d v="2014-10-21T00:00:00" u="1"/>
        <d v="2011-12-13T00:00:00" u="1"/>
        <d v="2015-10-21T00:00:00" u="1"/>
        <d v="2017-09-25T00:00:00" u="1"/>
        <d v="2012-12-13T00:00:00" u="1"/>
        <d v="2014-11-17T00:00:00" u="1"/>
        <d v="2013-12-13T00:00:00" u="1"/>
        <d v="2015-11-17T00:00:00" u="1"/>
        <d v="2016-11-17T00:00:00" u="1"/>
        <d v="2017-11-17T00:00:00" u="1"/>
        <d v="2016-12-13T00:00:00" u="1"/>
        <d v="2017-12-13T00:00:00" u="1"/>
        <d v="2007-08-31T00:00:00" u="1"/>
        <d v="2008-08-31T00:00:00" u="1"/>
        <d v="2007-09-27T00:00:00" u="1"/>
        <d v="2009-08-31T00:00:00" u="1"/>
        <d v="2010-08-31T00:00:00" u="1"/>
        <d v="2007-10-23T00:00:00" u="1"/>
        <d v="2010-09-27T00:00:00" u="1"/>
        <d v="2009-10-23T00:00:00" u="1"/>
        <d v="2011-09-27T00:00:00" u="1"/>
        <d v="2008-11-19T00:00:00" u="1"/>
        <d v="2008-12-15T00:00:00" u="1"/>
        <d v="2010-11-19T00:00:00" u="1"/>
        <d v="2012-10-23T00:00:00" u="1"/>
        <d v="2009-12-15T00:00:00" u="1"/>
        <d v="2013-10-23T00:00:00" u="1"/>
        <d v="2010-12-15T00:00:00" u="1"/>
        <d v="2012-11-19T00:00:00" u="1"/>
        <d v="2014-10-23T00:00:00" u="1"/>
        <d v="2011-12-15T00:00:00" u="1"/>
        <d v="2013-11-19T00:00:00" u="1"/>
        <d v="2015-10-23T00:00:00" u="1"/>
        <d v="2014-11-19T00:00:00" u="1"/>
        <d v="2015-11-19T00:00:00" u="1"/>
        <d v="2017-10-23T00:00:00" u="1"/>
        <d v="2014-12-15T00:00:00" u="1"/>
        <d v="2015-12-15T00:00:00" u="1"/>
        <d v="2019-10-23T00:00:00" u="1"/>
        <d v="2016-12-15T00:00:00" u="1"/>
        <d v="2017-12-15T00:00:00" u="1"/>
      </sharedItems>
    </cacheField>
    <cacheField name="Consumo Activa" numFmtId="0">
      <sharedItems containsMixedTypes="1" containsNumber="1" containsInteger="1" minValue="0" maxValue="113"/>
    </cacheField>
    <cacheField name="Promedio Activa" numFmtId="1">
      <sharedItems containsMixedTypes="1" containsNumber="1" minValue="0" maxValue="3.3235294117647061"/>
    </cacheField>
    <cacheField name="Consumo Reactiva" numFmtId="1">
      <sharedItems containsMixedTypes="1" containsNumber="1" containsInteger="1" minValue="0" maxValue="0"/>
    </cacheField>
    <cacheField name="Promedio Reactiva" numFmtId="1">
      <sharedItems containsMixedTypes="1" containsNumber="1" containsInteger="1" minValue="0" maxValue="0"/>
    </cacheField>
    <cacheField name="Cargo abono total" numFmtId="1">
      <sharedItems containsMixedTypes="1" containsNumber="1" containsInteger="1" minValue="0" maxValue="0"/>
    </cacheField>
    <cacheField name="Pérdidas Total" numFmtId="1">
      <sharedItems containsMixedTypes="1" containsNumber="1" containsInteger="1" minValue="0" maxValue="0"/>
    </cacheField>
    <cacheField name="Maxímetro" numFmtId="1">
      <sharedItems containsMixedTypes="1" containsNumber="1" containsInteger="1" minValue="0" maxValue="0"/>
    </cacheField>
    <cacheField name="Lectura" numFmtId="1">
      <sharedItems/>
    </cacheField>
    <cacheField name="Fuente" numFmtId="1">
      <sharedItems/>
    </cacheField>
    <cacheField name="Año" numFmtId="1">
      <sharedItems containsMixedTypes="1" containsNumber="1" containsInteger="1" minValue="1900" maxValue="2025" count="24">
        <n v="2018"/>
        <n v="2019"/>
        <n v="2020"/>
        <n v="2021"/>
        <n v="2022"/>
        <n v="2023"/>
        <n v="2024"/>
        <n v="2025"/>
        <s v=""/>
        <n v="1900" u="1"/>
        <n v="2016" u="1"/>
        <n v="2017" u="1"/>
        <n v="2011" u="1"/>
        <n v="2012" u="1"/>
        <n v="2013" u="1"/>
        <n v="2014" u="1"/>
        <n v="2015" u="1"/>
        <n v="2008" u="1"/>
        <n v="2006" u="1"/>
        <n v="2004" u="1"/>
        <n v="2009" u="1"/>
        <n v="2007" u="1"/>
        <n v="2005" u="1"/>
        <n v="2010" u="1"/>
      </sharedItems>
    </cacheField>
    <cacheField name="Mes" numFmtId="1">
      <sharedItems containsMixedTypes="1" containsNumber="1" containsInteger="1" minValue="1" maxValue="12" count="25">
        <s v="enero"/>
        <s v="febrero"/>
        <s v="marzo"/>
        <s v="abril"/>
        <s v="mayo"/>
        <s v="junio"/>
        <s v="julio"/>
        <s v="agosto"/>
        <s v="septiembre"/>
        <s v="octubre"/>
        <s v="noviembre"/>
        <s v="diciembre"/>
        <s v=""/>
        <n v="5" u="1"/>
        <n v="2" u="1"/>
        <n v="6" u="1"/>
        <n v="7" u="1"/>
        <n v="1" u="1"/>
        <n v="3" u="1"/>
        <n v="8" u="1"/>
        <n v="9" u="1"/>
        <n v="10" u="1"/>
        <n v="11" u="1"/>
        <n v="4" u="1"/>
        <n v="12" u="1"/>
      </sharedItems>
    </cacheField>
    <cacheField name="Energía Total Reconstruida" numFmtId="1">
      <sharedItems containsMixedTypes="1" containsNumber="1" containsInteger="1" minValue="0" maxValue="1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ncarnacion Ceballos Ponce" refreshedDate="45961.437208912037" createdVersion="3" refreshedVersion="8" minRefreshableVersion="3" recordCount="198" xr:uid="{00000000-000A-0000-FFFF-FFFFA1000000}">
  <cacheSource type="worksheet">
    <worksheetSource ref="A2:R200" sheet="Listado"/>
  </cacheSource>
  <cacheFields count="19">
    <cacheField name="Contrato" numFmtId="0">
      <sharedItems containsMixedTypes="1" containsNumber="1" containsInteger="1" minValue="97067967539" maxValue="500018185086"/>
    </cacheField>
    <cacheField name="Secuencial factura" numFmtId="0">
      <sharedItems containsMixedTypes="1" containsNumber="1" containsInteger="1" minValue="0" maxValue="0"/>
    </cacheField>
    <cacheField name="Fecha Inicio" numFmtId="14">
      <sharedItems containsDate="1" containsMixedTypes="1" minDate="2018-01-08T00:00:00" maxDate="2025-08-12T00:00:00"/>
    </cacheField>
    <cacheField name="Fecha fin" numFmtId="14">
      <sharedItems containsDate="1" containsMixedTypes="1" minDate="2018-02-06T00:00:00" maxDate="2025-09-09T00:00:00"/>
    </cacheField>
    <cacheField name="Consumo Activa" numFmtId="0">
      <sharedItems containsMixedTypes="1" containsNumber="1" containsInteger="1" minValue="0" maxValue="113"/>
    </cacheField>
    <cacheField name="Promedio Activa" numFmtId="1">
      <sharedItems containsMixedTypes="1" containsNumber="1" minValue="0" maxValue="3.3235294117647061"/>
    </cacheField>
    <cacheField name="Consumo Reactiva" numFmtId="1">
      <sharedItems containsMixedTypes="1" containsNumber="1" containsInteger="1" minValue="0" maxValue="0"/>
    </cacheField>
    <cacheField name="Promedio Reactiva" numFmtId="1">
      <sharedItems containsMixedTypes="1" containsNumber="1" containsInteger="1" minValue="0" maxValue="0"/>
    </cacheField>
    <cacheField name="Cargo abono total" numFmtId="1">
      <sharedItems containsMixedTypes="1" containsNumber="1" containsInteger="1" minValue="0" maxValue="0"/>
    </cacheField>
    <cacheField name="Pérdidas Total" numFmtId="1">
      <sharedItems containsMixedTypes="1" containsNumber="1" containsInteger="1" minValue="0" maxValue="0"/>
    </cacheField>
    <cacheField name="Maxímetro" numFmtId="1">
      <sharedItems containsMixedTypes="1" containsNumber="1" containsInteger="1" minValue="0" maxValue="0"/>
    </cacheField>
    <cacheField name="Lectura" numFmtId="1">
      <sharedItems/>
    </cacheField>
    <cacheField name="Fuente" numFmtId="1">
      <sharedItems/>
    </cacheField>
    <cacheField name="Año" numFmtId="1">
      <sharedItems containsMixedTypes="1" containsNumber="1" containsInteger="1" minValue="1900" maxValue="2025" count="24">
        <n v="2018"/>
        <n v="2019"/>
        <n v="2020"/>
        <n v="2021"/>
        <n v="2022"/>
        <n v="2023"/>
        <n v="2024"/>
        <n v="2025"/>
        <s v=""/>
        <n v="1900" u="1"/>
        <n v="2016" u="1"/>
        <n v="2017" u="1"/>
        <n v="2011" u="1"/>
        <n v="2012" u="1"/>
        <n v="2013" u="1"/>
        <n v="2014" u="1"/>
        <n v="2015" u="1"/>
        <n v="2008" u="1"/>
        <n v="2006" u="1"/>
        <n v="2004" u="1"/>
        <n v="2009" u="1"/>
        <n v="2007" u="1"/>
        <n v="2005" u="1"/>
        <n v="2010" u="1"/>
      </sharedItems>
    </cacheField>
    <cacheField name="Mes" numFmtId="1">
      <sharedItems containsMixedTypes="1" containsNumber="1" containsInteger="1" minValue="1" maxValue="12" count="25">
        <s v="enero"/>
        <s v="febrero"/>
        <s v="marzo"/>
        <s v="abril"/>
        <s v="mayo"/>
        <s v="junio"/>
        <s v="julio"/>
        <s v="agosto"/>
        <s v="septiembre"/>
        <s v="octubre"/>
        <s v="noviembre"/>
        <s v="diciembre"/>
        <s v=""/>
        <n v="5" u="1"/>
        <n v="2" u="1"/>
        <n v="6" u="1"/>
        <n v="7" u="1"/>
        <n v="1" u="1"/>
        <n v="3" u="1"/>
        <n v="8" u="1"/>
        <n v="9" u="1"/>
        <n v="10" u="1"/>
        <n v="11" u="1"/>
        <n v="4" u="1"/>
        <n v="12" u="1"/>
      </sharedItems>
    </cacheField>
    <cacheField name="Energía Total Reconstruida" numFmtId="1">
      <sharedItems containsMixedTypes="1" containsNumber="1" containsInteger="1" minValue="0" maxValue="113"/>
    </cacheField>
    <cacheField name="Días" numFmtId="1">
      <sharedItems containsMixedTypes="1" containsNumber="1" containsInteger="1" minValue="1" maxValue="61"/>
    </cacheField>
    <cacheField name="Consumo promedio ciclo" numFmtId="1">
      <sharedItems containsMixedTypes="1" containsNumber="1" minValue="0" maxValue="3.4242424242424243"/>
    </cacheField>
    <cacheField name="Promedio consumo por día" numFmtId="0" formula="'Consumo Activa'/Días" databaseField="0"/>
  </cacheFields>
  <extLst>
    <ext xmlns:x14="http://schemas.microsoft.com/office/spreadsheetml/2009/9/main" uri="{725AE2AE-9491-48be-B2B4-4EB974FC3084}">
      <x14:pivotCacheDefinition pivotCacheId="3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8">
  <r>
    <n v="97067967539"/>
    <n v="0"/>
    <d v="2018-01-08T00:00:00"/>
    <x v="0"/>
    <n v="9"/>
    <n v="0.3"/>
    <n v="0"/>
    <n v="0"/>
    <n v="0"/>
    <n v="0"/>
    <n v="0"/>
    <s v="REAL"/>
    <s v="-"/>
    <x v="0"/>
    <x v="0"/>
    <n v="9"/>
    <n v="29"/>
    <n v="0.31034482758620691"/>
    <n v="0.31034482758620691"/>
    <n v="0"/>
    <n v="9"/>
    <s v="-"/>
    <s v="-"/>
    <s v="-"/>
    <s v="-"/>
    <s v="-"/>
    <n v="0"/>
    <n v="9"/>
  </r>
  <r>
    <n v="97067967539"/>
    <n v="0"/>
    <d v="2018-02-07T00:00:00"/>
    <x v="1"/>
    <n v="4"/>
    <n v="0.14285714285714285"/>
    <n v="0"/>
    <n v="0"/>
    <n v="0"/>
    <n v="0"/>
    <n v="0"/>
    <s v="REAL"/>
    <s v="-"/>
    <x v="0"/>
    <x v="1"/>
    <n v="4"/>
    <n v="27"/>
    <n v="0.14814814814814814"/>
    <n v="0.14814814814814814"/>
    <n v="0"/>
    <n v="4"/>
    <s v="-"/>
    <s v="-"/>
    <s v="-"/>
    <s v="-"/>
    <s v="-"/>
    <n v="0"/>
    <n v="4"/>
  </r>
  <r>
    <n v="97067967539"/>
    <n v="0"/>
    <d v="2018-03-07T00:00:00"/>
    <x v="2"/>
    <n v="2"/>
    <n v="6.6666666666666666E-2"/>
    <n v="0"/>
    <n v="0"/>
    <n v="0"/>
    <n v="0"/>
    <n v="0"/>
    <s v="REAL"/>
    <s v="-"/>
    <x v="0"/>
    <x v="2"/>
    <n v="2"/>
    <n v="29"/>
    <n v="6.8965517241379309E-2"/>
    <n v="6.8965517241379309E-2"/>
    <n v="0"/>
    <n v="2"/>
    <s v="-"/>
    <s v="-"/>
    <s v="-"/>
    <s v="-"/>
    <s v="-"/>
    <n v="0"/>
    <n v="2"/>
  </r>
  <r>
    <n v="97067967539"/>
    <n v="0"/>
    <d v="2018-04-06T00:00:00"/>
    <x v="3"/>
    <n v="3"/>
    <n v="9.375E-2"/>
    <n v="0"/>
    <n v="0"/>
    <n v="0"/>
    <n v="0"/>
    <n v="0"/>
    <s v="REAL"/>
    <s v="-"/>
    <x v="0"/>
    <x v="3"/>
    <n v="3"/>
    <n v="31"/>
    <n v="9.6774193548387094E-2"/>
    <n v="9.6774193548387094E-2"/>
    <n v="0"/>
    <n v="3"/>
    <s v="-"/>
    <s v="-"/>
    <s v="-"/>
    <s v="-"/>
    <s v="-"/>
    <n v="0"/>
    <n v="3"/>
  </r>
  <r>
    <n v="97067967539"/>
    <n v="0"/>
    <d v="2018-05-08T00:00:00"/>
    <x v="4"/>
    <n v="3"/>
    <n v="0.1"/>
    <n v="0"/>
    <n v="0"/>
    <n v="0"/>
    <n v="0"/>
    <n v="0"/>
    <s v="REAL"/>
    <s v="-"/>
    <x v="0"/>
    <x v="4"/>
    <n v="3"/>
    <n v="29"/>
    <n v="0.10344827586206896"/>
    <n v="0.10344827586206896"/>
    <n v="0"/>
    <n v="3"/>
    <s v="-"/>
    <s v="-"/>
    <s v="-"/>
    <s v="-"/>
    <s v="-"/>
    <n v="0"/>
    <n v="3"/>
  </r>
  <r>
    <n v="97067967539"/>
    <n v="0"/>
    <d v="2018-06-07T00:00:00"/>
    <x v="5"/>
    <n v="2"/>
    <n v="6.6666666666666666E-2"/>
    <n v="0"/>
    <n v="0"/>
    <n v="0"/>
    <n v="0"/>
    <n v="0"/>
    <s v="REAL"/>
    <s v="-"/>
    <x v="0"/>
    <x v="5"/>
    <n v="2"/>
    <n v="29"/>
    <n v="6.8965517241379309E-2"/>
    <n v="6.8965517241379309E-2"/>
    <n v="0"/>
    <n v="2"/>
    <s v="-"/>
    <s v="-"/>
    <s v="-"/>
    <s v="-"/>
    <s v="-"/>
    <n v="0"/>
    <n v="2"/>
  </r>
  <r>
    <n v="97067967539"/>
    <n v="0"/>
    <d v="2018-07-07T00:00:00"/>
    <x v="6"/>
    <n v="2"/>
    <n v="6.4516129032258063E-2"/>
    <n v="0"/>
    <n v="0"/>
    <n v="0"/>
    <n v="0"/>
    <n v="0"/>
    <s v="REAL"/>
    <s v="-"/>
    <x v="0"/>
    <x v="6"/>
    <n v="2"/>
    <n v="30"/>
    <n v="6.6666666666666666E-2"/>
    <n v="6.6666666666666666E-2"/>
    <n v="0"/>
    <n v="2"/>
    <s v="-"/>
    <s v="-"/>
    <s v="-"/>
    <s v="-"/>
    <s v="-"/>
    <n v="0"/>
    <n v="2"/>
  </r>
  <r>
    <n v="97067967539"/>
    <n v="0"/>
    <d v="2018-08-07T00:00:00"/>
    <x v="7"/>
    <n v="0"/>
    <n v="0"/>
    <n v="0"/>
    <n v="0"/>
    <n v="0"/>
    <n v="0"/>
    <n v="0"/>
    <s v="REAL"/>
    <s v="-"/>
    <x v="0"/>
    <x v="7"/>
    <n v="0"/>
    <n v="27"/>
    <n v="0"/>
    <n v="0"/>
    <n v="0"/>
    <n v="0"/>
    <s v="-"/>
    <s v="-"/>
    <s v="-"/>
    <s v="-"/>
    <s v="-"/>
    <n v="0"/>
    <n v="0"/>
  </r>
  <r>
    <n v="97067967539"/>
    <n v="0"/>
    <d v="2018-09-04T00:00:00"/>
    <x v="8"/>
    <n v="0"/>
    <n v="0"/>
    <n v="0"/>
    <n v="0"/>
    <n v="0"/>
    <n v="0"/>
    <n v="0"/>
    <s v="REAL"/>
    <s v="Cálculo del saldo ATR por diferencia de lecturas"/>
    <x v="0"/>
    <x v="8"/>
    <n v="0"/>
    <n v="28"/>
    <n v="0"/>
    <n v="0"/>
    <n v="0"/>
    <n v="0"/>
    <s v="-"/>
    <s v="-"/>
    <s v="-"/>
    <s v="-"/>
    <s v="-"/>
    <n v="0"/>
    <n v="0"/>
  </r>
  <r>
    <n v="97067967539"/>
    <n v="0"/>
    <d v="2018-10-03T00:00:00"/>
    <x v="9"/>
    <n v="0"/>
    <n v="0"/>
    <n v="0"/>
    <n v="0"/>
    <n v="0"/>
    <n v="0"/>
    <n v="0"/>
    <s v="REAL"/>
    <s v="Cálculo del saldo ATR por diferencia de lecturas"/>
    <x v="0"/>
    <x v="9"/>
    <n v="0"/>
    <n v="34"/>
    <n v="0"/>
    <n v="0"/>
    <n v="0"/>
    <n v="0"/>
    <s v="-"/>
    <s v="-"/>
    <s v="-"/>
    <s v="-"/>
    <s v="-"/>
    <n v="0"/>
    <n v="0"/>
  </r>
  <r>
    <n v="97067967539"/>
    <n v="0"/>
    <d v="2018-11-07T00:00:00"/>
    <x v="10"/>
    <n v="0"/>
    <n v="0"/>
    <n v="0"/>
    <n v="0"/>
    <n v="0"/>
    <n v="0"/>
    <n v="0"/>
    <s v="REAL"/>
    <s v="Cálculo del saldo ATR por diferencia de lecturas"/>
    <x v="0"/>
    <x v="10"/>
    <n v="0"/>
    <n v="27"/>
    <n v="0"/>
    <n v="0"/>
    <n v="0"/>
    <n v="0"/>
    <s v="-"/>
    <s v="-"/>
    <s v="-"/>
    <s v="-"/>
    <s v="-"/>
    <n v="0"/>
    <n v="0"/>
  </r>
  <r>
    <n v="97067967539"/>
    <n v="0"/>
    <d v="2018-12-05T00:00:00"/>
    <x v="11"/>
    <n v="0"/>
    <n v="0"/>
    <n v="0"/>
    <n v="0"/>
    <n v="0"/>
    <n v="0"/>
    <n v="0"/>
    <s v="REAL"/>
    <s v="Cálculo del saldo ATR por diferencia de lecturas"/>
    <x v="0"/>
    <x v="11"/>
    <n v="0"/>
    <n v="33"/>
    <n v="0"/>
    <n v="0"/>
    <n v="0"/>
    <n v="0"/>
    <s v="-"/>
    <s v="-"/>
    <s v="-"/>
    <s v="-"/>
    <s v="-"/>
    <n v="0"/>
    <n v="0"/>
  </r>
  <r>
    <n v="97067967539"/>
    <n v="0"/>
    <d v="2019-01-08T00:00:00"/>
    <x v="12"/>
    <n v="0"/>
    <n v="0"/>
    <n v="0"/>
    <n v="0"/>
    <n v="0"/>
    <n v="0"/>
    <n v="0"/>
    <s v="REAL"/>
    <s v="Cálculo del saldo ATR por diferencia de lecturas"/>
    <x v="1"/>
    <x v="0"/>
    <n v="0"/>
    <n v="27"/>
    <n v="0"/>
    <n v="0"/>
    <n v="0"/>
    <n v="0"/>
    <s v="-"/>
    <s v="-"/>
    <s v="-"/>
    <s v="-"/>
    <s v="-"/>
    <n v="0"/>
    <n v="0"/>
  </r>
  <r>
    <n v="97067967539"/>
    <n v="0"/>
    <d v="2019-02-05T00:00:00"/>
    <x v="13"/>
    <n v="0"/>
    <n v="0"/>
    <n v="0"/>
    <n v="0"/>
    <n v="0"/>
    <n v="0"/>
    <n v="0"/>
    <s v="REAL"/>
    <s v="Cálculo del saldo ATR por diferencia de lecturas"/>
    <x v="1"/>
    <x v="1"/>
    <n v="0"/>
    <n v="28"/>
    <n v="0"/>
    <n v="0"/>
    <n v="0"/>
    <n v="0"/>
    <s v="-"/>
    <s v="-"/>
    <s v="-"/>
    <s v="-"/>
    <s v="-"/>
    <n v="0"/>
    <n v="0"/>
  </r>
  <r>
    <n v="97067967539"/>
    <n v="0"/>
    <d v="2019-03-06T00:00:00"/>
    <x v="14"/>
    <n v="0"/>
    <n v="0"/>
    <n v="0"/>
    <n v="0"/>
    <n v="0"/>
    <n v="0"/>
    <n v="0"/>
    <s v="REAL"/>
    <s v="Cálculo del saldo ATR por diferencia de lecturas"/>
    <x v="1"/>
    <x v="2"/>
    <n v="0"/>
    <n v="26"/>
    <n v="0"/>
    <n v="0"/>
    <n v="0"/>
    <n v="0"/>
    <s v="-"/>
    <s v="-"/>
    <s v="-"/>
    <s v="-"/>
    <s v="-"/>
    <n v="0"/>
    <n v="0"/>
  </r>
  <r>
    <n v="97067967539"/>
    <n v="0"/>
    <d v="2019-04-02T00:00:00"/>
    <x v="15"/>
    <n v="0"/>
    <n v="0"/>
    <n v="0"/>
    <n v="0"/>
    <n v="0"/>
    <n v="0"/>
    <n v="0"/>
    <s v="REAL"/>
    <s v="Cálculo del saldo ATR por diferencia de lecturas"/>
    <x v="1"/>
    <x v="3"/>
    <n v="0"/>
    <n v="32"/>
    <n v="0"/>
    <n v="0"/>
    <n v="0"/>
    <n v="0"/>
    <s v="-"/>
    <s v="-"/>
    <s v="-"/>
    <s v="-"/>
    <s v="-"/>
    <n v="0"/>
    <n v="0"/>
  </r>
  <r>
    <n v="97067967539"/>
    <n v="0"/>
    <d v="2019-05-05T00:00:00"/>
    <x v="16"/>
    <n v="0"/>
    <n v="0"/>
    <n v="0"/>
    <n v="0"/>
    <n v="0"/>
    <n v="0"/>
    <n v="0"/>
    <s v="REAL"/>
    <s v="Cálculo del saldo ATR por diferencia de lecturas"/>
    <x v="1"/>
    <x v="4"/>
    <n v="0"/>
    <n v="30"/>
    <n v="0"/>
    <n v="0"/>
    <n v="0"/>
    <n v="0"/>
    <s v="-"/>
    <s v="-"/>
    <s v="-"/>
    <s v="-"/>
    <s v="-"/>
    <n v="0"/>
    <n v="0"/>
  </r>
  <r>
    <n v="97067967539"/>
    <n v="0"/>
    <d v="2019-06-05T00:00:00"/>
    <x v="17"/>
    <n v="0"/>
    <n v="0"/>
    <n v="0"/>
    <n v="0"/>
    <n v="0"/>
    <n v="0"/>
    <n v="0"/>
    <s v="REAL"/>
    <s v="Cálculo del saldo ATR por diferencia de lecturas"/>
    <x v="1"/>
    <x v="5"/>
    <n v="0"/>
    <n v="27"/>
    <n v="0"/>
    <n v="0"/>
    <n v="0"/>
    <n v="0"/>
    <s v="-"/>
    <s v="-"/>
    <s v="-"/>
    <s v="-"/>
    <s v="-"/>
    <n v="0"/>
    <n v="0"/>
  </r>
  <r>
    <n v="97067967539"/>
    <n v="0"/>
    <d v="2019-07-03T00:00:00"/>
    <x v="18"/>
    <n v="2"/>
    <n v="6.0606060606060608E-2"/>
    <n v="0"/>
    <n v="0"/>
    <n v="0"/>
    <n v="0"/>
    <n v="0"/>
    <s v="REAL"/>
    <s v="Cálculo del saldo ATR por diferencia de lecturas"/>
    <x v="1"/>
    <x v="6"/>
    <n v="2"/>
    <n v="32"/>
    <n v="6.25E-2"/>
    <n v="6.25E-2"/>
    <n v="0"/>
    <n v="2"/>
    <s v="-"/>
    <s v="-"/>
    <s v="-"/>
    <s v="-"/>
    <s v="-"/>
    <n v="0"/>
    <n v="2"/>
  </r>
  <r>
    <n v="97067967539"/>
    <n v="0"/>
    <d v="2019-08-05T00:00:00"/>
    <x v="19"/>
    <n v="0"/>
    <n v="0"/>
    <n v="0"/>
    <n v="0"/>
    <n v="0"/>
    <n v="0"/>
    <n v="0"/>
    <s v="REAL"/>
    <s v="Cálculo del saldo ATR por diferencia de lecturas"/>
    <x v="1"/>
    <x v="7"/>
    <n v="0"/>
    <n v="28"/>
    <n v="0"/>
    <n v="0"/>
    <n v="0"/>
    <n v="0"/>
    <s v="-"/>
    <s v="-"/>
    <s v="-"/>
    <s v="-"/>
    <s v="-"/>
    <n v="0"/>
    <n v="0"/>
  </r>
  <r>
    <n v="97067967539"/>
    <n v="0"/>
    <d v="2019-09-03T00:00:00"/>
    <x v="20"/>
    <n v="0"/>
    <n v="0"/>
    <n v="0"/>
    <n v="0"/>
    <n v="0"/>
    <n v="0"/>
    <n v="0"/>
    <s v="REAL"/>
    <s v="Cálculo del saldo ATR por diferencia de lecturas"/>
    <x v="1"/>
    <x v="8"/>
    <n v="0"/>
    <n v="29"/>
    <n v="0"/>
    <n v="0"/>
    <n v="0"/>
    <n v="0"/>
    <s v="-"/>
    <s v="-"/>
    <s v="-"/>
    <s v="-"/>
    <s v="-"/>
    <n v="0"/>
    <n v="0"/>
  </r>
  <r>
    <n v="97067967539"/>
    <n v="0"/>
    <d v="2019-10-03T00:00:00"/>
    <x v="21"/>
    <n v="0"/>
    <n v="0"/>
    <n v="0"/>
    <n v="0"/>
    <n v="0"/>
    <n v="0"/>
    <n v="0"/>
    <s v="REAL"/>
    <s v="Cálculo del saldo ATR por diferencia de lecturas"/>
    <x v="1"/>
    <x v="9"/>
    <n v="0"/>
    <n v="32"/>
    <n v="0"/>
    <n v="0"/>
    <n v="0"/>
    <n v="0"/>
    <s v="-"/>
    <s v="-"/>
    <s v="-"/>
    <s v="-"/>
    <s v="-"/>
    <n v="0"/>
    <n v="0"/>
  </r>
  <r>
    <n v="97067967539"/>
    <n v="0"/>
    <d v="2019-11-05T00:00:00"/>
    <x v="22"/>
    <n v="0"/>
    <n v="0"/>
    <n v="0"/>
    <n v="0"/>
    <n v="0"/>
    <n v="0"/>
    <n v="0"/>
    <s v="REAL"/>
    <s v="Cálculo del saldo ATR por diferencia de lecturas"/>
    <x v="1"/>
    <x v="10"/>
    <n v="0"/>
    <n v="27"/>
    <n v="0"/>
    <n v="0"/>
    <n v="0"/>
    <n v="0"/>
    <s v="-"/>
    <s v="-"/>
    <s v="-"/>
    <s v="-"/>
    <s v="-"/>
    <n v="0"/>
    <n v="0"/>
  </r>
  <r>
    <n v="97067967539"/>
    <n v="0"/>
    <d v="2019-12-03T00:00:00"/>
    <x v="23"/>
    <n v="0"/>
    <n v="0"/>
    <n v="0"/>
    <n v="0"/>
    <n v="0"/>
    <n v="0"/>
    <n v="0"/>
    <s v="REAL"/>
    <s v="Cálculo del saldo ATR por diferencia de lecturas"/>
    <x v="1"/>
    <x v="11"/>
    <n v="0"/>
    <n v="34"/>
    <n v="0"/>
    <n v="0"/>
    <n v="0"/>
    <n v="0"/>
    <s v="-"/>
    <s v="-"/>
    <s v="-"/>
    <s v="-"/>
    <s v="-"/>
    <n v="0"/>
    <n v="0"/>
  </r>
  <r>
    <n v="97067967539"/>
    <n v="0"/>
    <d v="2020-01-07T00:00:00"/>
    <x v="24"/>
    <n v="0"/>
    <n v="0"/>
    <n v="0"/>
    <n v="0"/>
    <n v="0"/>
    <n v="0"/>
    <n v="0"/>
    <s v="REAL"/>
    <s v="Cálculo del saldo ATR por diferencia de lecturas"/>
    <x v="2"/>
    <x v="0"/>
    <n v="0"/>
    <n v="27"/>
    <n v="0"/>
    <n v="0"/>
    <n v="0"/>
    <n v="0"/>
    <s v="-"/>
    <s v="-"/>
    <s v="-"/>
    <s v="-"/>
    <s v="-"/>
    <n v="0"/>
    <n v="0"/>
  </r>
  <r>
    <n v="97067967539"/>
    <n v="0"/>
    <d v="2020-02-04T00:00:00"/>
    <x v="25"/>
    <n v="0"/>
    <n v="0"/>
    <n v="0"/>
    <n v="0"/>
    <n v="0"/>
    <n v="0"/>
    <n v="0"/>
    <s v="REAL"/>
    <s v="Cálculo del saldo ATR por diferencia de lecturas"/>
    <x v="2"/>
    <x v="1"/>
    <n v="0"/>
    <n v="27"/>
    <n v="0"/>
    <n v="0"/>
    <n v="0"/>
    <n v="0"/>
    <s v="-"/>
    <s v="-"/>
    <s v="-"/>
    <s v="-"/>
    <s v="-"/>
    <n v="0"/>
    <n v="0"/>
  </r>
  <r>
    <n v="97067967539"/>
    <n v="0"/>
    <d v="2020-03-03T00:00:00"/>
    <x v="26"/>
    <n v="0"/>
    <n v="0"/>
    <n v="0"/>
    <n v="0"/>
    <n v="0"/>
    <n v="0"/>
    <n v="0"/>
    <s v="REAL"/>
    <s v="Cálculo del saldo ATR por diferencia de lecturas"/>
    <x v="2"/>
    <x v="2"/>
    <n v="0"/>
    <n v="32"/>
    <n v="0"/>
    <n v="0"/>
    <n v="0"/>
    <n v="0"/>
    <s v="-"/>
    <s v="-"/>
    <s v="-"/>
    <s v="-"/>
    <s v="-"/>
    <n v="0"/>
    <n v="0"/>
  </r>
  <r>
    <n v="97067967539"/>
    <n v="0"/>
    <d v="2020-04-05T00:00:00"/>
    <x v="27"/>
    <n v="0"/>
    <n v="0"/>
    <n v="0"/>
    <n v="0"/>
    <n v="0"/>
    <n v="0"/>
    <n v="0"/>
    <s v="REAL"/>
    <s v="Cálculo del saldo ATR por diferencia de lecturas"/>
    <x v="2"/>
    <x v="3"/>
    <n v="0"/>
    <n v="30"/>
    <n v="0"/>
    <n v="0"/>
    <n v="0"/>
    <n v="0"/>
    <s v="-"/>
    <s v="-"/>
    <s v="-"/>
    <s v="-"/>
    <s v="-"/>
    <n v="0"/>
    <n v="0"/>
  </r>
  <r>
    <n v="97067967539"/>
    <n v="0"/>
    <d v="2020-05-06T00:00:00"/>
    <x v="28"/>
    <n v="0"/>
    <n v="0"/>
    <n v="0"/>
    <n v="0"/>
    <n v="0"/>
    <n v="0"/>
    <n v="0"/>
    <s v="REAL"/>
    <s v="Cálculo del saldo ATR por diferencia de lecturas"/>
    <x v="2"/>
    <x v="4"/>
    <n v="0"/>
    <n v="27"/>
    <n v="0"/>
    <n v="0"/>
    <n v="0"/>
    <n v="0"/>
    <s v="-"/>
    <s v="-"/>
    <s v="-"/>
    <s v="-"/>
    <s v="-"/>
    <n v="0"/>
    <n v="0"/>
  </r>
  <r>
    <n v="97067967539"/>
    <n v="0"/>
    <d v="2020-06-03T00:00:00"/>
    <x v="29"/>
    <n v="0"/>
    <n v="0"/>
    <n v="0"/>
    <n v="0"/>
    <n v="0"/>
    <n v="0"/>
    <n v="0"/>
    <s v="REAL"/>
    <s v="Cálculo del saldo ATR por diferencia de lecturas"/>
    <x v="2"/>
    <x v="5"/>
    <n v="0"/>
    <n v="32"/>
    <n v="0"/>
    <n v="0"/>
    <n v="0"/>
    <n v="0"/>
    <s v="-"/>
    <s v="-"/>
    <s v="-"/>
    <s v="-"/>
    <s v="-"/>
    <n v="0"/>
    <n v="0"/>
  </r>
  <r>
    <n v="97067967539"/>
    <n v="0"/>
    <d v="2020-07-06T00:00:00"/>
    <x v="30"/>
    <n v="0"/>
    <n v="0"/>
    <n v="0"/>
    <n v="0"/>
    <n v="0"/>
    <n v="0"/>
    <n v="0"/>
    <s v="REAL"/>
    <s v="Cálculo del saldo ATR por diferencia de lecturas"/>
    <x v="2"/>
    <x v="6"/>
    <n v="0"/>
    <n v="29"/>
    <n v="0"/>
    <n v="0"/>
    <n v="0"/>
    <n v="0"/>
    <s v="-"/>
    <s v="-"/>
    <s v="-"/>
    <s v="-"/>
    <s v="-"/>
    <n v="0"/>
    <n v="0"/>
  </r>
  <r>
    <n v="97067967539"/>
    <n v="0"/>
    <d v="2020-08-05T00:00:00"/>
    <x v="31"/>
    <n v="0"/>
    <n v="0"/>
    <n v="0"/>
    <n v="0"/>
    <n v="0"/>
    <n v="0"/>
    <n v="0"/>
    <s v="REAL"/>
    <s v="Cálculo del saldo ATR por diferencia de lecturas"/>
    <x v="2"/>
    <x v="7"/>
    <n v="0"/>
    <n v="28"/>
    <n v="0"/>
    <n v="0"/>
    <n v="0"/>
    <n v="0"/>
    <s v="-"/>
    <s v="-"/>
    <s v="-"/>
    <s v="-"/>
    <s v="-"/>
    <n v="0"/>
    <n v="0"/>
  </r>
  <r>
    <n v="97067967539"/>
    <n v="0"/>
    <d v="2020-09-03T00:00:00"/>
    <x v="32"/>
    <n v="0"/>
    <n v="0"/>
    <n v="0"/>
    <n v="0"/>
    <n v="0"/>
    <n v="0"/>
    <n v="0"/>
    <s v="REAL"/>
    <s v="Cálculo del saldo ATR por diferencia de lecturas"/>
    <x v="2"/>
    <x v="8"/>
    <n v="0"/>
    <n v="31"/>
    <n v="0"/>
    <n v="0"/>
    <n v="0"/>
    <n v="0"/>
    <s v="-"/>
    <s v="-"/>
    <s v="-"/>
    <s v="-"/>
    <s v="-"/>
    <n v="0"/>
    <n v="0"/>
  </r>
  <r>
    <n v="97067967539"/>
    <n v="0"/>
    <d v="2020-10-05T00:00:00"/>
    <x v="33"/>
    <n v="0"/>
    <n v="0"/>
    <n v="0"/>
    <n v="0"/>
    <n v="0"/>
    <n v="0"/>
    <n v="0"/>
    <s v="REAL"/>
    <s v="Cálculo del saldo ATR por diferencia de lecturas"/>
    <x v="2"/>
    <x v="9"/>
    <n v="0"/>
    <n v="31"/>
    <n v="0"/>
    <n v="0"/>
    <n v="0"/>
    <n v="0"/>
    <s v="-"/>
    <s v="-"/>
    <s v="-"/>
    <s v="-"/>
    <s v="-"/>
    <n v="0"/>
    <n v="0"/>
  </r>
  <r>
    <n v="97067967539"/>
    <n v="0"/>
    <d v="2020-11-06T00:00:00"/>
    <x v="34"/>
    <n v="0"/>
    <n v="0"/>
    <n v="0"/>
    <n v="0"/>
    <n v="0"/>
    <n v="0"/>
    <n v="0"/>
    <s v="REAL"/>
    <s v="Cálculo del saldo ATR por diferencia de lecturas"/>
    <x v="2"/>
    <x v="10"/>
    <n v="0"/>
    <n v="27"/>
    <n v="0"/>
    <n v="0"/>
    <n v="0"/>
    <n v="0"/>
    <s v="-"/>
    <s v="-"/>
    <s v="-"/>
    <s v="-"/>
    <s v="-"/>
    <n v="0"/>
    <n v="0"/>
  </r>
  <r>
    <n v="97067967539"/>
    <n v="0"/>
    <d v="2020-12-04T00:00:00"/>
    <x v="35"/>
    <n v="0"/>
    <n v="0"/>
    <n v="0"/>
    <n v="0"/>
    <n v="0"/>
    <n v="0"/>
    <n v="0"/>
    <s v="REAL"/>
    <s v="Cálculo del saldo ATR por diferencia de lecturas"/>
    <x v="2"/>
    <x v="11"/>
    <n v="0"/>
    <n v="34"/>
    <n v="0"/>
    <n v="0"/>
    <n v="0"/>
    <n v="0"/>
    <s v="-"/>
    <s v="-"/>
    <s v="-"/>
    <s v="-"/>
    <s v="-"/>
    <n v="0"/>
    <n v="0"/>
  </r>
  <r>
    <n v="97067967539"/>
    <n v="0"/>
    <d v="2021-01-08T00:00:00"/>
    <x v="36"/>
    <n v="0"/>
    <n v="0"/>
    <n v="0"/>
    <n v="0"/>
    <n v="0"/>
    <n v="0"/>
    <n v="0"/>
    <s v="REAL"/>
    <s v="Cálculo del saldo ATR por diferencia de lecturas"/>
    <x v="3"/>
    <x v="0"/>
    <n v="0"/>
    <n v="26"/>
    <n v="0"/>
    <n v="0"/>
    <n v="0"/>
    <n v="0"/>
    <s v="-"/>
    <s v="-"/>
    <s v="-"/>
    <s v="-"/>
    <s v="-"/>
    <n v="0"/>
    <n v="0"/>
  </r>
  <r>
    <n v="97067967539"/>
    <n v="0"/>
    <d v="2021-02-04T00:00:00"/>
    <x v="37"/>
    <n v="0"/>
    <n v="0"/>
    <n v="0"/>
    <n v="0"/>
    <n v="0"/>
    <n v="0"/>
    <n v="0"/>
    <s v="REAL"/>
    <s v="Cálculo del saldo ATR por diferencia de lecturas"/>
    <x v="3"/>
    <x v="1"/>
    <n v="0"/>
    <n v="28"/>
    <n v="0"/>
    <n v="0"/>
    <n v="0"/>
    <n v="0"/>
    <s v="-"/>
    <s v="-"/>
    <s v="-"/>
    <s v="-"/>
    <s v="-"/>
    <n v="0"/>
    <n v="0"/>
  </r>
  <r>
    <n v="97067967539"/>
    <n v="0"/>
    <d v="2021-03-05T00:00:00"/>
    <x v="38"/>
    <n v="113"/>
    <n v="3.3235294117647061"/>
    <n v="0"/>
    <n v="0"/>
    <n v="0"/>
    <n v="0"/>
    <n v="0"/>
    <s v="REAL"/>
    <s v="Cálculo del saldo ATR por diferencia de lecturas"/>
    <x v="3"/>
    <x v="2"/>
    <n v="113"/>
    <n v="33"/>
    <n v="3.4242424242424243"/>
    <n v="3.4242424242424243"/>
    <n v="0"/>
    <n v="113"/>
    <s v="-"/>
    <s v="-"/>
    <s v="-"/>
    <s v="-"/>
    <s v="-"/>
    <n v="0"/>
    <n v="113"/>
  </r>
  <r>
    <n v="97067967539"/>
    <n v="0"/>
    <d v="2021-04-08T00:00:00"/>
    <x v="39"/>
    <n v="0"/>
    <n v="0"/>
    <n v="0"/>
    <n v="0"/>
    <n v="0"/>
    <n v="0"/>
    <n v="0"/>
    <s v="ESTIMATED"/>
    <s v="Estimación de saldo ATR en base a consumo histórico año anterior (BOE 4 jun 2015 apartado 6.3.2.b)"/>
    <x v="3"/>
    <x v="3"/>
    <n v="0"/>
    <n v="27"/>
    <n v="0"/>
    <n v="0"/>
    <n v="0"/>
    <n v="0"/>
    <s v="-"/>
    <s v="-"/>
    <s v="-"/>
    <s v="-"/>
    <s v="-"/>
    <n v="0"/>
    <n v="0"/>
  </r>
  <r>
    <n v="97067967539"/>
    <n v="0"/>
    <d v="2021-05-06T00:00:00"/>
    <x v="40"/>
    <n v="0"/>
    <n v="0"/>
    <n v="0"/>
    <n v="0"/>
    <n v="0"/>
    <n v="0"/>
    <n v="0"/>
    <s v="REAL"/>
    <s v="Cálculo del saldo ATR por diferencia de lecturas"/>
    <x v="3"/>
    <x v="4"/>
    <n v="0"/>
    <n v="25"/>
    <n v="0"/>
    <n v="0"/>
    <n v="0"/>
    <n v="0"/>
    <s v="-"/>
    <s v="-"/>
    <s v="-"/>
    <s v="-"/>
    <s v="-"/>
    <n v="0"/>
    <n v="0"/>
  </r>
  <r>
    <n v="97067967539"/>
    <n v="0"/>
    <d v="2021-06-01T00:00:00"/>
    <x v="41"/>
    <n v="0"/>
    <n v="0"/>
    <n v="0"/>
    <n v="0"/>
    <n v="0"/>
    <n v="0"/>
    <n v="0"/>
    <s v="REAL"/>
    <s v="Cálculo del saldo ATR por diferencia de lecturas"/>
    <x v="3"/>
    <x v="5"/>
    <n v="0"/>
    <n v="33"/>
    <n v="0"/>
    <n v="0"/>
    <n v="0"/>
    <n v="0"/>
    <n v="0"/>
    <n v="0"/>
    <s v="-"/>
    <s v="-"/>
    <s v="-"/>
    <n v="0"/>
    <n v="0"/>
  </r>
  <r>
    <n v="97067967539"/>
    <n v="0"/>
    <d v="2021-07-05T00:00:00"/>
    <x v="42"/>
    <n v="0"/>
    <n v="0"/>
    <n v="0"/>
    <n v="0"/>
    <n v="0"/>
    <n v="0"/>
    <n v="0"/>
    <s v="REAL"/>
    <s v="Cálculo del saldo ATR por diferencia de lecturas"/>
    <x v="3"/>
    <x v="6"/>
    <n v="0"/>
    <n v="29"/>
    <n v="0"/>
    <n v="0"/>
    <n v="0"/>
    <n v="0"/>
    <n v="0"/>
    <n v="0"/>
    <s v="-"/>
    <s v="-"/>
    <s v="-"/>
    <n v="0"/>
    <n v="0"/>
  </r>
  <r>
    <n v="97067967539"/>
    <n v="0"/>
    <d v="2021-08-04T00:00:00"/>
    <x v="43"/>
    <n v="1"/>
    <n v="3.125E-2"/>
    <n v="0"/>
    <n v="0"/>
    <n v="0"/>
    <n v="0"/>
    <n v="0"/>
    <s v="REAL"/>
    <s v="Cálculo del saldo ATR por diferencia de lecturas"/>
    <x v="3"/>
    <x v="7"/>
    <n v="1"/>
    <n v="31"/>
    <n v="3.2258064516129031E-2"/>
    <n v="3.2258064516129031E-2"/>
    <n v="0"/>
    <n v="0"/>
    <n v="0"/>
    <n v="1"/>
    <s v="-"/>
    <s v="-"/>
    <s v="-"/>
    <n v="0"/>
    <n v="1"/>
  </r>
  <r>
    <n v="97067967539"/>
    <n v="0"/>
    <d v="2021-09-05T00:00:00"/>
    <x v="44"/>
    <n v="1"/>
    <n v="3.3333333333333333E-2"/>
    <n v="0"/>
    <n v="0"/>
    <n v="0"/>
    <n v="0"/>
    <n v="0"/>
    <s v="REAL"/>
    <s v="Cálculo del saldo ATR por diferencia de lecturas"/>
    <x v="3"/>
    <x v="8"/>
    <n v="1"/>
    <n v="29"/>
    <n v="3.4482758620689655E-2"/>
    <n v="3.4482758620689655E-2"/>
    <n v="0"/>
    <n v="0"/>
    <n v="0"/>
    <n v="1"/>
    <s v="-"/>
    <s v="-"/>
    <s v="-"/>
    <n v="0"/>
    <n v="1"/>
  </r>
  <r>
    <n v="97067967539"/>
    <n v="0"/>
    <d v="2021-10-05T00:00:00"/>
    <x v="45"/>
    <n v="0"/>
    <n v="0"/>
    <n v="0"/>
    <n v="0"/>
    <n v="0"/>
    <n v="0"/>
    <n v="0"/>
    <s v="REAL"/>
    <s v="Cálculo del saldo ATR por diferencia de lecturas"/>
    <x v="3"/>
    <x v="9"/>
    <n v="0"/>
    <n v="28"/>
    <n v="0"/>
    <n v="0"/>
    <n v="0"/>
    <n v="0"/>
    <n v="0"/>
    <n v="0"/>
    <s v="-"/>
    <s v="-"/>
    <s v="-"/>
    <n v="0"/>
    <n v="0"/>
  </r>
  <r>
    <n v="97067967539"/>
    <n v="0"/>
    <d v="2021-11-03T00:00:00"/>
    <x v="46"/>
    <n v="0"/>
    <n v="0"/>
    <n v="0"/>
    <n v="0"/>
    <n v="0"/>
    <n v="0"/>
    <n v="0"/>
    <s v="REAL"/>
    <s v="Cálculo del saldo ATR por diferencia de lecturas"/>
    <x v="3"/>
    <x v="10"/>
    <n v="0"/>
    <n v="27"/>
    <n v="0"/>
    <n v="0"/>
    <n v="0"/>
    <n v="0"/>
    <n v="0"/>
    <n v="0"/>
    <s v="-"/>
    <s v="-"/>
    <s v="-"/>
    <n v="0"/>
    <n v="0"/>
  </r>
  <r>
    <n v="500008272897"/>
    <n v="0"/>
    <d v="2021-12-01T00:00:00"/>
    <x v="47"/>
    <n v="0"/>
    <n v="0"/>
    <n v="0"/>
    <n v="0"/>
    <n v="0"/>
    <n v="0"/>
    <n v="0"/>
    <s v="REAL"/>
    <s v="Cálculo del saldo ATR por diferencia de lecturas"/>
    <x v="3"/>
    <x v="11"/>
    <n v="0"/>
    <n v="30"/>
    <n v="0"/>
    <n v="0"/>
    <n v="0"/>
    <n v="0"/>
    <n v="0"/>
    <n v="0"/>
    <s v="-"/>
    <s v="-"/>
    <s v="-"/>
    <n v="0"/>
    <n v="0"/>
  </r>
  <r>
    <n v="500008272897"/>
    <n v="0"/>
    <d v="2022-01-01T00:00:00"/>
    <x v="48"/>
    <n v="17"/>
    <n v="0.56666666666666665"/>
    <n v="0"/>
    <n v="0"/>
    <n v="0"/>
    <n v="0"/>
    <n v="0"/>
    <s v="REAL"/>
    <s v="Cálculo del saldo ATR por diferencia de lecturas"/>
    <x v="4"/>
    <x v="0"/>
    <n v="17"/>
    <n v="29"/>
    <n v="0.58620689655172409"/>
    <n v="0.58620689655172409"/>
    <n v="0"/>
    <n v="4"/>
    <n v="4"/>
    <n v="9"/>
    <s v="-"/>
    <s v="-"/>
    <s v="-"/>
    <n v="0"/>
    <n v="17"/>
  </r>
  <r>
    <n v="500008272897"/>
    <n v="0"/>
    <d v="2022-01-31T00:00:00"/>
    <x v="49"/>
    <n v="47"/>
    <n v="1.8076923076923077"/>
    <n v="0"/>
    <n v="0"/>
    <n v="0"/>
    <n v="0"/>
    <n v="0"/>
    <s v="REAL"/>
    <s v="Cálculo del saldo ATR por diferencia de lecturas"/>
    <x v="4"/>
    <x v="0"/>
    <n v="47"/>
    <n v="25"/>
    <n v="1.88"/>
    <n v="1.88"/>
    <n v="0"/>
    <n v="12"/>
    <n v="12"/>
    <n v="23"/>
    <s v="-"/>
    <s v="-"/>
    <s v="-"/>
    <n v="0"/>
    <n v="47"/>
  </r>
  <r>
    <n v="500008272897"/>
    <n v="0"/>
    <d v="2022-02-26T00:00:00"/>
    <x v="50"/>
    <n v="0"/>
    <n v="0"/>
    <n v="0"/>
    <n v="0"/>
    <n v="0"/>
    <n v="0"/>
    <n v="0"/>
    <s v="REAL"/>
    <s v="Cálculo del saldo ATR por diferencia de lecturas"/>
    <x v="4"/>
    <x v="1"/>
    <n v="0"/>
    <n v="5"/>
    <n v="0"/>
    <n v="0"/>
    <n v="0"/>
    <n v="0"/>
    <n v="0"/>
    <n v="0"/>
    <s v="-"/>
    <s v="-"/>
    <s v="-"/>
    <n v="0"/>
    <n v="0"/>
  </r>
  <r>
    <n v="500009141130"/>
    <n v="0"/>
    <d v="2022-03-04T00:00:00"/>
    <x v="51"/>
    <n v="3"/>
    <n v="0.1"/>
    <n v="0"/>
    <n v="0"/>
    <n v="0"/>
    <n v="0"/>
    <n v="0"/>
    <s v="REAL"/>
    <s v="Cálculo del saldo ATR por diferencia de lecturas"/>
    <x v="4"/>
    <x v="2"/>
    <n v="3"/>
    <n v="29"/>
    <n v="0.10344827586206896"/>
    <n v="0.10344827586206896"/>
    <n v="0"/>
    <n v="1"/>
    <n v="1"/>
    <n v="1"/>
    <s v="-"/>
    <s v="-"/>
    <s v="-"/>
    <n v="0"/>
    <n v="3"/>
  </r>
  <r>
    <n v="500009141130"/>
    <n v="0"/>
    <d v="2022-04-03T00:00:00"/>
    <x v="52"/>
    <n v="1"/>
    <n v="3.3333333333333333E-2"/>
    <n v="0"/>
    <n v="0"/>
    <n v="0"/>
    <n v="0"/>
    <n v="0"/>
    <s v="REAL"/>
    <s v="Cálculo del saldo ATR por diferencia de lecturas"/>
    <x v="4"/>
    <x v="3"/>
    <n v="1"/>
    <n v="29"/>
    <n v="3.4482758620689655E-2"/>
    <n v="3.4482758620689655E-2"/>
    <n v="0"/>
    <n v="0"/>
    <n v="0"/>
    <n v="1"/>
    <s v="-"/>
    <s v="-"/>
    <s v="-"/>
    <n v="0"/>
    <n v="1"/>
  </r>
  <r>
    <n v="500009141130"/>
    <n v="0"/>
    <d v="2022-05-03T00:00:00"/>
    <x v="53"/>
    <n v="0"/>
    <n v="0"/>
    <n v="0"/>
    <n v="0"/>
    <n v="0"/>
    <n v="0"/>
    <n v="0"/>
    <s v="REAL"/>
    <s v="Cálculo del saldo ATR por diferencia de lecturas"/>
    <x v="4"/>
    <x v="4"/>
    <n v="0"/>
    <n v="25"/>
    <n v="0"/>
    <n v="0"/>
    <n v="0"/>
    <n v="0"/>
    <n v="0"/>
    <n v="0"/>
    <s v="-"/>
    <s v="-"/>
    <s v="-"/>
    <n v="0"/>
    <n v="0"/>
  </r>
  <r>
    <n v="500009141130"/>
    <n v="0"/>
    <d v="2022-05-29T00:00:00"/>
    <x v="54"/>
    <n v="0"/>
    <n v="0"/>
    <n v="0"/>
    <n v="0"/>
    <n v="0"/>
    <n v="0"/>
    <n v="0"/>
    <s v="REAL"/>
    <s v="Cálculo del saldo ATR por diferencia de lecturas"/>
    <x v="4"/>
    <x v="4"/>
    <n v="0"/>
    <n v="34"/>
    <n v="0"/>
    <n v="0"/>
    <n v="0"/>
    <n v="0"/>
    <n v="0"/>
    <n v="0"/>
    <s v="-"/>
    <s v="-"/>
    <s v="-"/>
    <n v="0"/>
    <n v="0"/>
  </r>
  <r>
    <n v="500009141130"/>
    <n v="0"/>
    <d v="2022-07-03T00:00:00"/>
    <x v="55"/>
    <n v="0"/>
    <n v="0"/>
    <n v="0"/>
    <n v="0"/>
    <n v="0"/>
    <n v="0"/>
    <n v="0"/>
    <s v="REAL"/>
    <s v="Saldo ATR calculado a partir de la CCH Val"/>
    <x v="4"/>
    <x v="6"/>
    <n v="0"/>
    <n v="22"/>
    <n v="0"/>
    <n v="0"/>
    <n v="0"/>
    <n v="0"/>
    <n v="0"/>
    <n v="0"/>
    <s v="-"/>
    <s v="-"/>
    <s v="-"/>
    <n v="0"/>
    <n v="0"/>
  </r>
  <r>
    <n v="500010411584"/>
    <n v="0"/>
    <d v="2022-07-26T00:00:00"/>
    <x v="56"/>
    <n v="0"/>
    <n v="0"/>
    <n v="0"/>
    <n v="0"/>
    <n v="0"/>
    <n v="0"/>
    <n v="0"/>
    <s v="REAL"/>
    <s v="Cálculo del saldo ATR por diferencia de lecturas"/>
    <x v="4"/>
    <x v="6"/>
    <n v="0"/>
    <n v="25"/>
    <n v="0"/>
    <n v="0"/>
    <n v="0"/>
    <n v="0"/>
    <n v="0"/>
    <n v="0"/>
    <s v="-"/>
    <s v="-"/>
    <s v="-"/>
    <n v="0"/>
    <n v="0"/>
  </r>
  <r>
    <n v="500010411584"/>
    <n v="0"/>
    <d v="2022-08-21T00:00:00"/>
    <x v="57"/>
    <n v="8"/>
    <n v="0.23529411764705882"/>
    <n v="0"/>
    <n v="0"/>
    <n v="0"/>
    <n v="0"/>
    <n v="0"/>
    <s v="REAL"/>
    <s v="Cálculo del saldo ATR por diferencia de lecturas"/>
    <x v="4"/>
    <x v="7"/>
    <n v="8"/>
    <n v="33"/>
    <n v="0.24242424242424243"/>
    <n v="0.24242424242424243"/>
    <n v="0"/>
    <n v="4"/>
    <n v="2"/>
    <n v="2"/>
    <s v="-"/>
    <s v="-"/>
    <s v="-"/>
    <n v="0"/>
    <n v="8"/>
  </r>
  <r>
    <n v="500010930025"/>
    <n v="0"/>
    <d v="2022-09-24T00:00:00"/>
    <x v="58"/>
    <n v="0"/>
    <n v="0"/>
    <n v="0"/>
    <n v="0"/>
    <n v="0"/>
    <n v="0"/>
    <n v="0"/>
    <s v="ESTIMATED"/>
    <s v="Estimación de saldo ATR en base a consumo histórico año anterior (BOE 4 jun 2015 apartado 6.3.2.b)"/>
    <x v="4"/>
    <x v="8"/>
    <n v="0"/>
    <n v="29"/>
    <n v="0"/>
    <n v="0"/>
    <n v="0"/>
    <n v="0"/>
    <n v="0"/>
    <n v="0"/>
    <s v="-"/>
    <s v="-"/>
    <s v="-"/>
    <n v="0"/>
    <n v="0"/>
  </r>
  <r>
    <n v="500010930025"/>
    <n v="0"/>
    <d v="2022-11-21T00:00:00"/>
    <x v="59"/>
    <n v="0"/>
    <n v="0"/>
    <n v="0"/>
    <n v="0"/>
    <n v="0"/>
    <n v="0"/>
    <n v="0"/>
    <s v="ESTIMATED"/>
    <s v="Estimación de saldo ATR en base a consumo histórico año anterior (BOE 4 jun 2015 apartado 6.3.2.b)"/>
    <x v="4"/>
    <x v="10"/>
    <n v="0"/>
    <n v="31"/>
    <n v="0"/>
    <n v="0"/>
    <n v="0"/>
    <n v="0"/>
    <n v="0"/>
    <n v="0"/>
    <s v="-"/>
    <s v="-"/>
    <s v="-"/>
    <n v="0"/>
    <n v="0"/>
  </r>
  <r>
    <n v="500010930025"/>
    <n v="0"/>
    <d v="2023-01-23T00:00:00"/>
    <x v="60"/>
    <n v="0"/>
    <n v="0"/>
    <n v="0"/>
    <n v="0"/>
    <n v="0"/>
    <n v="0"/>
    <n v="0"/>
    <s v="REAL"/>
    <s v="Cálculo del saldo ATR por diferencia de lecturas"/>
    <x v="5"/>
    <x v="0"/>
    <n v="0"/>
    <n v="24"/>
    <n v="0"/>
    <n v="0"/>
    <n v="0"/>
    <n v="0"/>
    <n v="0"/>
    <n v="0"/>
    <s v="-"/>
    <s v="-"/>
    <s v="-"/>
    <n v="0"/>
    <n v="0"/>
  </r>
  <r>
    <n v="500010930025"/>
    <n v="0"/>
    <d v="2023-02-17T00:00:00"/>
    <x v="61"/>
    <n v="0"/>
    <n v="0"/>
    <n v="0"/>
    <n v="0"/>
    <n v="0"/>
    <n v="0"/>
    <n v="0"/>
    <s v="REAL"/>
    <s v="Cálculo del saldo ATR por diferencia de lecturas"/>
    <x v="5"/>
    <x v="1"/>
    <n v="0"/>
    <n v="28"/>
    <n v="0"/>
    <n v="0"/>
    <n v="0"/>
    <n v="0"/>
    <n v="0"/>
    <n v="0"/>
    <s v="-"/>
    <s v="-"/>
    <s v="-"/>
    <n v="0"/>
    <n v="0"/>
  </r>
  <r>
    <n v="500010930025"/>
    <n v="0"/>
    <d v="2023-03-18T00:00:00"/>
    <x v="62"/>
    <n v="0"/>
    <n v="0"/>
    <n v="0"/>
    <n v="0"/>
    <n v="0"/>
    <n v="0"/>
    <n v="0"/>
    <s v="REAL"/>
    <s v="Cálculo del saldo ATR por diferencia de lecturas"/>
    <x v="5"/>
    <x v="2"/>
    <n v="0"/>
    <n v="34"/>
    <n v="0"/>
    <n v="0"/>
    <n v="0"/>
    <n v="0"/>
    <n v="0"/>
    <n v="0"/>
    <s v="-"/>
    <s v="-"/>
    <s v="-"/>
    <n v="0"/>
    <n v="0"/>
  </r>
  <r>
    <n v="500010930025"/>
    <n v="0"/>
    <d v="2023-04-22T00:00:00"/>
    <x v="63"/>
    <n v="0"/>
    <n v="0"/>
    <n v="0"/>
    <n v="0"/>
    <n v="0"/>
    <n v="0"/>
    <n v="0"/>
    <s v="REAL"/>
    <s v="Cálculo del saldo ATR por diferencia de lecturas"/>
    <x v="5"/>
    <x v="3"/>
    <n v="0"/>
    <n v="24"/>
    <n v="0"/>
    <n v="0"/>
    <n v="0"/>
    <n v="0"/>
    <n v="0"/>
    <n v="0"/>
    <s v="-"/>
    <s v="-"/>
    <s v="-"/>
    <n v="0"/>
    <n v="0"/>
  </r>
  <r>
    <n v="500010930025"/>
    <n v="0"/>
    <d v="2023-05-17T00:00:00"/>
    <x v="64"/>
    <n v="0"/>
    <n v="0"/>
    <n v="0"/>
    <n v="0"/>
    <n v="0"/>
    <n v="0"/>
    <n v="0"/>
    <s v="REAL"/>
    <s v="Cálculo del saldo ATR por diferencia de lecturas"/>
    <x v="5"/>
    <x v="4"/>
    <n v="0"/>
    <n v="31"/>
    <n v="0"/>
    <n v="0"/>
    <n v="0"/>
    <n v="0"/>
    <n v="0"/>
    <n v="0"/>
    <s v="-"/>
    <s v="-"/>
    <s v="-"/>
    <n v="0"/>
    <n v="0"/>
  </r>
  <r>
    <n v="500010930025"/>
    <n v="0"/>
    <d v="2023-06-18T00:00:00"/>
    <x v="65"/>
    <n v="0"/>
    <n v="0"/>
    <n v="0"/>
    <n v="0"/>
    <n v="0"/>
    <n v="0"/>
    <n v="0"/>
    <s v="REAL"/>
    <s v="Cálculo del saldo ATR por diferencia de lecturas"/>
    <x v="5"/>
    <x v="5"/>
    <n v="0"/>
    <n v="1"/>
    <n v="0"/>
    <n v="0"/>
    <n v="0"/>
    <n v="0"/>
    <n v="0"/>
    <n v="0"/>
    <s v="-"/>
    <s v="-"/>
    <s v="-"/>
    <n v="0"/>
    <n v="0"/>
  </r>
  <r>
    <n v="500010930025"/>
    <n v="0"/>
    <d v="2023-06-20T00:00:00"/>
    <x v="66"/>
    <n v="0"/>
    <n v="0"/>
    <n v="0"/>
    <n v="0"/>
    <n v="0"/>
    <n v="0"/>
    <n v="0"/>
    <s v="REAL"/>
    <s v="Cálculo del saldo ATR por diferencia de lecturas"/>
    <x v="5"/>
    <x v="5"/>
    <n v="0"/>
    <n v="61"/>
    <n v="0"/>
    <n v="0"/>
    <n v="0"/>
    <n v="0"/>
    <n v="0"/>
    <n v="0"/>
    <s v="-"/>
    <s v="-"/>
    <s v="-"/>
    <n v="0"/>
    <n v="0"/>
  </r>
  <r>
    <n v="500010930025"/>
    <n v="0"/>
    <d v="2023-08-21T00:00:00"/>
    <x v="67"/>
    <n v="0"/>
    <n v="0"/>
    <n v="0"/>
    <n v="0"/>
    <n v="0"/>
    <n v="0"/>
    <n v="0"/>
    <s v="REAL"/>
    <s v="Cálculo del saldo ATR por diferencia de lecturas"/>
    <x v="5"/>
    <x v="7"/>
    <n v="0"/>
    <n v="25"/>
    <n v="0"/>
    <n v="0"/>
    <n v="0"/>
    <n v="0"/>
    <n v="0"/>
    <n v="0"/>
    <s v="-"/>
    <s v="-"/>
    <s v="-"/>
    <n v="0"/>
    <n v="0"/>
  </r>
  <r>
    <n v="500010930025"/>
    <n v="0"/>
    <d v="2023-09-16T00:00:00"/>
    <x v="68"/>
    <n v="0"/>
    <n v="0"/>
    <n v="0"/>
    <n v="0"/>
    <n v="0"/>
    <n v="0"/>
    <n v="0"/>
    <s v="REAL"/>
    <s v="Cálculo del saldo ATR por diferencia de lecturas"/>
    <x v="5"/>
    <x v="8"/>
    <n v="0"/>
    <n v="34"/>
    <n v="0"/>
    <n v="0"/>
    <n v="0"/>
    <n v="0"/>
    <n v="0"/>
    <n v="0"/>
    <s v="-"/>
    <s v="-"/>
    <s v="-"/>
    <n v="0"/>
    <n v="0"/>
  </r>
  <r>
    <n v="500010930025"/>
    <n v="0"/>
    <d v="2023-10-21T00:00:00"/>
    <x v="69"/>
    <n v="0"/>
    <n v="0"/>
    <n v="0"/>
    <n v="0"/>
    <n v="0"/>
    <n v="0"/>
    <n v="0"/>
    <s v="REAL"/>
    <s v="Cálculo del saldo ATR por diferencia de lecturas"/>
    <x v="5"/>
    <x v="9"/>
    <n v="0"/>
    <n v="34"/>
    <n v="0"/>
    <n v="0"/>
    <n v="0"/>
    <n v="0"/>
    <n v="0"/>
    <n v="0"/>
    <s v="-"/>
    <s v="-"/>
    <s v="-"/>
    <n v="0"/>
    <n v="0"/>
  </r>
  <r>
    <n v="500010930025"/>
    <n v="0"/>
    <d v="2023-11-25T00:00:00"/>
    <x v="70"/>
    <n v="0"/>
    <n v="0"/>
    <n v="0"/>
    <n v="0"/>
    <n v="0"/>
    <n v="0"/>
    <n v="0"/>
    <s v="REAL"/>
    <s v="Cálculo del saldo ATR por diferencia de lecturas"/>
    <x v="5"/>
    <x v="10"/>
    <n v="0"/>
    <n v="25"/>
    <n v="0"/>
    <n v="0"/>
    <n v="0"/>
    <n v="0"/>
    <n v="0"/>
    <n v="0"/>
    <s v="-"/>
    <s v="-"/>
    <s v="-"/>
    <n v="0"/>
    <n v="0"/>
  </r>
  <r>
    <n v="500010930025"/>
    <n v="0"/>
    <d v="2023-12-21T00:00:00"/>
    <x v="71"/>
    <n v="0"/>
    <n v="0"/>
    <n v="0"/>
    <n v="0"/>
    <n v="0"/>
    <n v="0"/>
    <n v="0"/>
    <s v="REAL"/>
    <s v="Cálculo del saldo ATR por diferencia de lecturas"/>
    <x v="5"/>
    <x v="11"/>
    <n v="0"/>
    <n v="30"/>
    <n v="0"/>
    <n v="0"/>
    <n v="0"/>
    <n v="0"/>
    <n v="0"/>
    <n v="0"/>
    <s v="-"/>
    <s v="-"/>
    <s v="-"/>
    <n v="0"/>
    <n v="0"/>
  </r>
  <r>
    <n v="500010930025"/>
    <n v="0"/>
    <d v="2024-01-21T00:00:00"/>
    <x v="72"/>
    <n v="0"/>
    <n v="0"/>
    <n v="0"/>
    <n v="0"/>
    <n v="0"/>
    <n v="0"/>
    <n v="0"/>
    <s v="REAL"/>
    <s v="Cálculo del saldo ATR por diferencia de lecturas"/>
    <x v="6"/>
    <x v="0"/>
    <n v="0"/>
    <n v="29"/>
    <n v="0"/>
    <n v="0"/>
    <n v="0"/>
    <n v="0"/>
    <n v="0"/>
    <n v="0"/>
    <s v="-"/>
    <s v="-"/>
    <s v="-"/>
    <n v="0"/>
    <n v="0"/>
  </r>
  <r>
    <n v="500010930025"/>
    <n v="0"/>
    <d v="2024-02-20T00:00:00"/>
    <x v="73"/>
    <n v="0"/>
    <n v="0"/>
    <n v="0"/>
    <n v="0"/>
    <n v="0"/>
    <n v="0"/>
    <n v="0"/>
    <s v="REAL"/>
    <s v="Cálculo del saldo ATR por diferencia de lecturas"/>
    <x v="6"/>
    <x v="1"/>
    <n v="0"/>
    <n v="21"/>
    <n v="0"/>
    <n v="0"/>
    <n v="0"/>
    <n v="0"/>
    <n v="0"/>
    <n v="0"/>
    <s v="-"/>
    <s v="-"/>
    <s v="-"/>
    <n v="0"/>
    <n v="0"/>
  </r>
  <r>
    <n v="500010930025"/>
    <n v="0"/>
    <d v="2024-03-13T00:00:00"/>
    <x v="74"/>
    <n v="0"/>
    <n v="0"/>
    <n v="0"/>
    <n v="0"/>
    <n v="0"/>
    <n v="0"/>
    <n v="0"/>
    <s v="REAL"/>
    <s v="Saldo ATR calculado a partir de la CCH Val"/>
    <x v="6"/>
    <x v="2"/>
    <n v="0"/>
    <n v="36"/>
    <n v="0"/>
    <n v="0"/>
    <n v="0"/>
    <n v="0"/>
    <n v="0"/>
    <n v="0"/>
    <s v="-"/>
    <s v="-"/>
    <s v="-"/>
    <n v="0"/>
    <n v="0"/>
  </r>
  <r>
    <n v="500010930025"/>
    <n v="0"/>
    <d v="2024-04-19T00:00:00"/>
    <x v="75"/>
    <n v="0"/>
    <n v="0"/>
    <n v="0"/>
    <n v="0"/>
    <n v="0"/>
    <n v="0"/>
    <n v="0"/>
    <s v="ESTIMATED"/>
    <s v="Consumo 0"/>
    <x v="6"/>
    <x v="3"/>
    <n v="0"/>
    <n v="32"/>
    <n v="0"/>
    <n v="0"/>
    <n v="0"/>
    <n v="0"/>
    <n v="0"/>
    <n v="0"/>
    <s v="-"/>
    <s v="-"/>
    <s v="-"/>
    <n v="0"/>
    <n v="0"/>
  </r>
  <r>
    <n v="500010930025"/>
    <n v="0"/>
    <d v="2024-06-16T00:00:00"/>
    <x v="76"/>
    <n v="0"/>
    <n v="0"/>
    <n v="0"/>
    <n v="0"/>
    <n v="0"/>
    <n v="0"/>
    <n v="0"/>
    <s v="ESTIMATED"/>
    <s v="Consumo 0"/>
    <x v="6"/>
    <x v="5"/>
    <n v="0"/>
    <n v="32"/>
    <n v="0"/>
    <n v="0"/>
    <n v="0"/>
    <n v="0"/>
    <n v="0"/>
    <n v="0"/>
    <s v="-"/>
    <s v="-"/>
    <s v="-"/>
    <n v="0"/>
    <n v="0"/>
  </r>
  <r>
    <n v="500010930025"/>
    <n v="0"/>
    <d v="2024-08-20T00:00:00"/>
    <x v="77"/>
    <n v="0"/>
    <n v="0"/>
    <n v="0"/>
    <n v="0"/>
    <n v="0"/>
    <n v="0"/>
    <n v="0"/>
    <s v="REAL"/>
    <s v="Cálculo del saldo ATR por diferencia de lecturas"/>
    <x v="6"/>
    <x v="7"/>
    <n v="0"/>
    <n v="29"/>
    <n v="0"/>
    <n v="0"/>
    <n v="0"/>
    <n v="0"/>
    <n v="0"/>
    <n v="0"/>
    <s v="-"/>
    <s v="-"/>
    <s v="-"/>
    <n v="0"/>
    <n v="0"/>
  </r>
  <r>
    <n v="500010930025"/>
    <n v="0"/>
    <d v="2024-09-19T00:00:00"/>
    <x v="78"/>
    <n v="0"/>
    <n v="0"/>
    <n v="0"/>
    <n v="0"/>
    <n v="0"/>
    <n v="0"/>
    <n v="0"/>
    <s v="REAL"/>
    <s v="Cálculo del saldo ATR por diferencia de lecturas"/>
    <x v="6"/>
    <x v="8"/>
    <n v="0"/>
    <n v="29"/>
    <n v="0"/>
    <n v="0"/>
    <n v="0"/>
    <n v="0"/>
    <n v="0"/>
    <n v="0"/>
    <s v="-"/>
    <s v="-"/>
    <s v="-"/>
    <n v="0"/>
    <n v="0"/>
  </r>
  <r>
    <n v="500010930025"/>
    <n v="0"/>
    <d v="2024-10-19T00:00:00"/>
    <x v="79"/>
    <n v="0"/>
    <n v="0"/>
    <n v="0"/>
    <n v="0"/>
    <n v="0"/>
    <n v="0"/>
    <n v="0"/>
    <s v="REAL"/>
    <s v="Cálculo del saldo ATR por diferencia de lecturas"/>
    <x v="6"/>
    <x v="9"/>
    <n v="0"/>
    <n v="27"/>
    <n v="0"/>
    <n v="0"/>
    <n v="0"/>
    <n v="0"/>
    <n v="0"/>
    <n v="0"/>
    <s v="-"/>
    <s v="-"/>
    <s v="-"/>
    <n v="0"/>
    <n v="0"/>
  </r>
  <r>
    <n v="500018185086"/>
    <n v="0"/>
    <d v="2024-11-16T00:00:00"/>
    <x v="80"/>
    <n v="13"/>
    <n v="0.44827586206896552"/>
    <n v="0"/>
    <n v="0"/>
    <n v="0"/>
    <n v="0"/>
    <n v="0"/>
    <s v="REAL"/>
    <s v="Cálculo del saldo ATR por diferencia de lecturas"/>
    <x v="6"/>
    <x v="10"/>
    <n v="13"/>
    <n v="28"/>
    <n v="0.4642857142857143"/>
    <n v="0.4642857142857143"/>
    <n v="0"/>
    <n v="4"/>
    <n v="3"/>
    <n v="6"/>
    <s v="-"/>
    <s v="-"/>
    <s v="-"/>
    <n v="0"/>
    <n v="13"/>
  </r>
  <r>
    <n v="500018185086"/>
    <n v="0"/>
    <d v="2024-12-15T00:00:00"/>
    <x v="81"/>
    <n v="12"/>
    <n v="0.4"/>
    <n v="0"/>
    <n v="0"/>
    <n v="0"/>
    <n v="0"/>
    <n v="0"/>
    <s v="REAL"/>
    <s v="Cálculo del saldo ATR por diferencia de lecturas"/>
    <x v="6"/>
    <x v="11"/>
    <n v="12"/>
    <n v="29"/>
    <n v="0.41379310344827586"/>
    <n v="0.41379310344827586"/>
    <n v="0"/>
    <n v="3"/>
    <n v="3"/>
    <n v="6"/>
    <s v="-"/>
    <s v="-"/>
    <s v="-"/>
    <n v="0"/>
    <n v="12"/>
  </r>
  <r>
    <n v="500018185086"/>
    <n v="0"/>
    <d v="2025-01-14T00:00:00"/>
    <x v="82"/>
    <n v="12"/>
    <n v="0.46153846153846156"/>
    <n v="0"/>
    <n v="0"/>
    <n v="0"/>
    <n v="0"/>
    <n v="0"/>
    <s v="REAL"/>
    <s v="Cálculo del saldo ATR por diferencia de lecturas"/>
    <x v="7"/>
    <x v="0"/>
    <n v="12"/>
    <n v="25"/>
    <n v="0.48"/>
    <n v="0.48"/>
    <n v="0"/>
    <n v="3"/>
    <n v="3"/>
    <n v="6"/>
    <s v="-"/>
    <s v="-"/>
    <s v="-"/>
    <n v="0"/>
    <n v="12"/>
  </r>
  <r>
    <n v="500018185086"/>
    <n v="0"/>
    <d v="2025-02-09T00:00:00"/>
    <x v="83"/>
    <n v="16"/>
    <n v="0.5161290322580645"/>
    <n v="0"/>
    <n v="0"/>
    <n v="0"/>
    <n v="0"/>
    <n v="0"/>
    <s v="REAL"/>
    <s v="Cálculo del saldo ATR por diferencia de lecturas"/>
    <x v="7"/>
    <x v="1"/>
    <n v="16"/>
    <n v="30"/>
    <n v="0.53333333333333333"/>
    <n v="0.53333333333333333"/>
    <n v="0"/>
    <n v="4"/>
    <n v="4"/>
    <n v="8"/>
    <s v="-"/>
    <s v="-"/>
    <s v="-"/>
    <n v="0"/>
    <n v="16"/>
  </r>
  <r>
    <n v="500018185086"/>
    <n v="0"/>
    <d v="2025-03-12T00:00:00"/>
    <x v="84"/>
    <n v="15"/>
    <n v="0.5357142857142857"/>
    <n v="0"/>
    <n v="0"/>
    <n v="0"/>
    <n v="0"/>
    <n v="0"/>
    <s v="REAL"/>
    <s v="Cálculo del saldo ATR por diferencia de lecturas"/>
    <x v="7"/>
    <x v="2"/>
    <n v="15"/>
    <n v="27"/>
    <n v="0.55555555555555558"/>
    <n v="0.55555555555555558"/>
    <n v="0"/>
    <n v="4"/>
    <n v="4"/>
    <n v="7"/>
    <s v="-"/>
    <s v="-"/>
    <s v="-"/>
    <n v="0"/>
    <n v="15"/>
  </r>
  <r>
    <n v="500018185086"/>
    <n v="0"/>
    <d v="2025-04-09T00:00:00"/>
    <x v="85"/>
    <n v="13"/>
    <n v="0.39393939393939392"/>
    <n v="0"/>
    <n v="0"/>
    <n v="0"/>
    <n v="0"/>
    <n v="0"/>
    <s v="REAL"/>
    <s v="Cálculo del saldo ATR por diferencia de lecturas"/>
    <x v="7"/>
    <x v="3"/>
    <n v="13"/>
    <n v="32"/>
    <n v="0.40625"/>
    <n v="0.40625"/>
    <n v="0"/>
    <n v="3"/>
    <n v="3"/>
    <n v="7"/>
    <s v="-"/>
    <s v="-"/>
    <s v="-"/>
    <n v="0"/>
    <n v="13"/>
  </r>
  <r>
    <n v="500018185086"/>
    <n v="0"/>
    <d v="2025-05-12T00:00:00"/>
    <x v="86"/>
    <n v="10"/>
    <n v="0.33333333333333331"/>
    <n v="0"/>
    <n v="0"/>
    <n v="0"/>
    <n v="0"/>
    <n v="0"/>
    <s v="REAL"/>
    <s v="Cálculo del saldo ATR por diferencia de lecturas"/>
    <x v="7"/>
    <x v="4"/>
    <n v="10"/>
    <n v="29"/>
    <n v="0.34482758620689657"/>
    <n v="0.34482758620689657"/>
    <n v="0"/>
    <n v="3"/>
    <n v="3"/>
    <n v="4"/>
    <s v="-"/>
    <s v="-"/>
    <s v="-"/>
    <n v="0"/>
    <n v="10"/>
  </r>
  <r>
    <n v="500018185086"/>
    <n v="0"/>
    <d v="2025-06-11T00:00:00"/>
    <x v="87"/>
    <n v="9"/>
    <n v="0.36"/>
    <n v="0"/>
    <n v="0"/>
    <n v="0"/>
    <n v="0"/>
    <n v="0"/>
    <s v="REAL"/>
    <s v="Cálculo del saldo ATR por diferencia de lecturas"/>
    <x v="7"/>
    <x v="5"/>
    <n v="9"/>
    <n v="24"/>
    <n v="0.375"/>
    <n v="0.375"/>
    <n v="0"/>
    <n v="2"/>
    <n v="2"/>
    <n v="5"/>
    <s v="-"/>
    <s v="-"/>
    <s v="-"/>
    <n v="0"/>
    <n v="9"/>
  </r>
  <r>
    <n v="500018185086"/>
    <n v="0"/>
    <d v="2025-07-06T00:00:00"/>
    <x v="88"/>
    <n v="16"/>
    <n v="0.44444444444444442"/>
    <n v="0"/>
    <n v="0"/>
    <n v="0"/>
    <n v="0"/>
    <n v="0"/>
    <s v="REAL"/>
    <s v="Cálculo del saldo ATR por diferencia de lecturas"/>
    <x v="7"/>
    <x v="6"/>
    <n v="16"/>
    <n v="35"/>
    <n v="0.45714285714285713"/>
    <n v="0.45714285714285713"/>
    <n v="0"/>
    <n v="4"/>
    <n v="4"/>
    <n v="8"/>
    <s v="-"/>
    <s v="-"/>
    <s v="-"/>
    <n v="0"/>
    <n v="16"/>
  </r>
  <r>
    <n v="500018185086"/>
    <n v="0"/>
    <d v="2025-08-11T00:00:00"/>
    <x v="89"/>
    <n v="15"/>
    <n v="0.51724137931034486"/>
    <n v="0"/>
    <n v="0"/>
    <n v="0"/>
    <n v="0"/>
    <n v="0"/>
    <s v="REAL"/>
    <s v="Cálculo del saldo ATR por diferencia de lecturas"/>
    <x v="7"/>
    <x v="7"/>
    <n v="15"/>
    <n v="28"/>
    <n v="0.5357142857142857"/>
    <n v="0.5357142857142857"/>
    <n v="0"/>
    <n v="4"/>
    <n v="4"/>
    <n v="7"/>
    <s v="-"/>
    <s v="-"/>
    <s v="-"/>
    <n v="0"/>
    <n v="15"/>
  </r>
  <r>
    <s v=""/>
    <s v=""/>
    <s v=""/>
    <x v="90"/>
    <s v=""/>
    <s v=""/>
    <s v=""/>
    <s v=""/>
    <s v=""/>
    <s v=""/>
    <s v=""/>
    <s v=""/>
    <s v=""/>
    <x v="8"/>
    <x v="12"/>
    <s v=""/>
    <s v=""/>
    <s v=""/>
    <s v=""/>
    <s v=""/>
    <s v=""/>
    <s v=""/>
    <s v=""/>
    <s v=""/>
    <s v=""/>
    <s v=""/>
    <s v=""/>
    <s v=""/>
  </r>
  <r>
    <s v=""/>
    <s v=""/>
    <s v=""/>
    <x v="90"/>
    <s v=""/>
    <s v=""/>
    <s v=""/>
    <s v=""/>
    <s v=""/>
    <s v=""/>
    <s v=""/>
    <s v=""/>
    <s v=""/>
    <x v="8"/>
    <x v="12"/>
    <s v=""/>
    <s v=""/>
    <s v=""/>
    <s v=""/>
    <s v=""/>
    <s v=""/>
    <s v=""/>
    <s v=""/>
    <s v=""/>
    <s v=""/>
    <s v=""/>
    <s v=""/>
    <s v=""/>
  </r>
  <r>
    <s v=""/>
    <s v=""/>
    <s v=""/>
    <x v="90"/>
    <s v=""/>
    <s v=""/>
    <s v=""/>
    <s v=""/>
    <s v=""/>
    <s v=""/>
    <s v=""/>
    <s v=""/>
    <s v=""/>
    <x v="8"/>
    <x v="12"/>
    <s v=""/>
    <s v=""/>
    <s v=""/>
    <s v=""/>
    <s v=""/>
    <s v=""/>
    <s v=""/>
    <s v=""/>
    <s v=""/>
    <s v=""/>
    <s v=""/>
    <s v=""/>
    <s v=""/>
  </r>
  <r>
    <s v=""/>
    <s v=""/>
    <s v=""/>
    <x v="90"/>
    <s v=""/>
    <s v=""/>
    <s v=""/>
    <s v=""/>
    <s v=""/>
    <s v=""/>
    <s v=""/>
    <s v=""/>
    <s v=""/>
    <x v="8"/>
    <x v="12"/>
    <s v=""/>
    <s v=""/>
    <s v=""/>
    <s v=""/>
    <s v=""/>
    <s v=""/>
    <s v=""/>
    <s v=""/>
    <s v=""/>
    <s v=""/>
    <s v=""/>
    <s v=""/>
    <s v=""/>
  </r>
  <r>
    <s v=""/>
    <s v=""/>
    <s v=""/>
    <x v="90"/>
    <s v=""/>
    <s v=""/>
    <s v=""/>
    <s v=""/>
    <s v=""/>
    <s v=""/>
    <s v=""/>
    <s v=""/>
    <s v=""/>
    <x v="8"/>
    <x v="12"/>
    <s v=""/>
    <s v=""/>
    <s v=""/>
    <s v=""/>
    <s v=""/>
    <s v=""/>
    <s v=""/>
    <s v=""/>
    <s v=""/>
    <s v=""/>
    <s v=""/>
    <s v=""/>
    <s v=""/>
  </r>
  <r>
    <s v=""/>
    <s v=""/>
    <s v=""/>
    <x v="90"/>
    <s v=""/>
    <s v=""/>
    <s v=""/>
    <s v=""/>
    <s v=""/>
    <s v=""/>
    <s v=""/>
    <s v=""/>
    <s v=""/>
    <x v="8"/>
    <x v="12"/>
    <s v=""/>
    <s v=""/>
    <s v=""/>
    <s v=""/>
    <s v=""/>
    <s v=""/>
    <s v=""/>
    <s v=""/>
    <s v=""/>
    <s v=""/>
    <s v=""/>
    <s v=""/>
    <s v=""/>
  </r>
  <r>
    <s v=""/>
    <s v=""/>
    <s v=""/>
    <x v="90"/>
    <s v=""/>
    <s v=""/>
    <s v=""/>
    <s v=""/>
    <s v=""/>
    <s v=""/>
    <s v=""/>
    <s v=""/>
    <s v=""/>
    <x v="8"/>
    <x v="12"/>
    <s v=""/>
    <s v=""/>
    <s v=""/>
    <s v=""/>
    <s v=""/>
    <s v=""/>
    <s v=""/>
    <s v=""/>
    <s v=""/>
    <s v=""/>
    <s v=""/>
    <s v=""/>
    <s v=""/>
  </r>
  <r>
    <s v=""/>
    <s v=""/>
    <s v=""/>
    <x v="90"/>
    <s v=""/>
    <s v=""/>
    <s v=""/>
    <s v=""/>
    <s v=""/>
    <s v=""/>
    <s v=""/>
    <s v=""/>
    <s v=""/>
    <x v="8"/>
    <x v="12"/>
    <s v=""/>
    <s v=""/>
    <s v=""/>
    <s v=""/>
    <s v=""/>
    <s v=""/>
    <s v=""/>
    <s v=""/>
    <s v=""/>
    <s v=""/>
    <s v=""/>
    <s v=""/>
    <s v=""/>
  </r>
  <r>
    <s v=""/>
    <s v=""/>
    <s v=""/>
    <x v="90"/>
    <s v=""/>
    <s v=""/>
    <s v=""/>
    <s v=""/>
    <s v=""/>
    <s v=""/>
    <s v=""/>
    <s v=""/>
    <s v=""/>
    <x v="8"/>
    <x v="12"/>
    <s v=""/>
    <s v=""/>
    <s v=""/>
    <s v=""/>
    <s v=""/>
    <s v=""/>
    <s v=""/>
    <s v=""/>
    <s v=""/>
    <s v=""/>
    <s v=""/>
    <s v=""/>
    <s v=""/>
  </r>
  <r>
    <s v=""/>
    <s v=""/>
    <s v=""/>
    <x v="90"/>
    <s v=""/>
    <s v=""/>
    <s v=""/>
    <s v=""/>
    <s v=""/>
    <s v=""/>
    <s v=""/>
    <s v=""/>
    <s v=""/>
    <x v="8"/>
    <x v="12"/>
    <s v=""/>
    <s v=""/>
    <s v=""/>
    <s v=""/>
    <s v=""/>
    <s v=""/>
    <s v=""/>
    <s v=""/>
    <s v=""/>
    <s v=""/>
    <s v=""/>
    <s v=""/>
    <s v=""/>
  </r>
  <r>
    <s v=""/>
    <s v=""/>
    <s v=""/>
    <x v="90"/>
    <s v=""/>
    <s v=""/>
    <s v=""/>
    <s v=""/>
    <s v=""/>
    <s v=""/>
    <s v=""/>
    <s v=""/>
    <s v=""/>
    <x v="8"/>
    <x v="12"/>
    <s v=""/>
    <s v=""/>
    <s v=""/>
    <s v=""/>
    <s v=""/>
    <s v=""/>
    <s v=""/>
    <s v=""/>
    <s v=""/>
    <s v=""/>
    <s v=""/>
    <s v=""/>
    <s v=""/>
  </r>
  <r>
    <s v=""/>
    <s v=""/>
    <s v=""/>
    <x v="90"/>
    <s v=""/>
    <s v=""/>
    <s v=""/>
    <s v=""/>
    <s v=""/>
    <s v=""/>
    <s v=""/>
    <s v=""/>
    <s v=""/>
    <x v="8"/>
    <x v="12"/>
    <s v=""/>
    <s v=""/>
    <s v=""/>
    <s v=""/>
    <s v=""/>
    <s v=""/>
    <s v=""/>
    <s v=""/>
    <s v=""/>
    <s v=""/>
    <s v=""/>
    <s v=""/>
    <s v=""/>
  </r>
  <r>
    <s v=""/>
    <s v=""/>
    <s v=""/>
    <x v="90"/>
    <s v=""/>
    <s v=""/>
    <s v=""/>
    <s v=""/>
    <s v=""/>
    <s v=""/>
    <s v=""/>
    <s v=""/>
    <s v=""/>
    <x v="8"/>
    <x v="12"/>
    <s v=""/>
    <s v=""/>
    <s v=""/>
    <s v=""/>
    <s v=""/>
    <s v=""/>
    <s v=""/>
    <s v=""/>
    <s v=""/>
    <s v=""/>
    <s v=""/>
    <s v=""/>
    <s v=""/>
  </r>
  <r>
    <s v=""/>
    <s v=""/>
    <s v=""/>
    <x v="90"/>
    <s v=""/>
    <s v=""/>
    <s v=""/>
    <s v=""/>
    <s v=""/>
    <s v=""/>
    <s v=""/>
    <s v=""/>
    <s v=""/>
    <x v="8"/>
    <x v="12"/>
    <s v=""/>
    <s v=""/>
    <s v=""/>
    <s v=""/>
    <s v=""/>
    <s v=""/>
    <s v=""/>
    <s v=""/>
    <s v=""/>
    <s v=""/>
    <s v=""/>
    <s v=""/>
    <s v=""/>
  </r>
  <r>
    <s v=""/>
    <s v=""/>
    <s v=""/>
    <x v="90"/>
    <s v=""/>
    <s v=""/>
    <s v=""/>
    <s v=""/>
    <s v=""/>
    <s v=""/>
    <s v=""/>
    <s v=""/>
    <s v=""/>
    <x v="8"/>
    <x v="12"/>
    <s v=""/>
    <s v=""/>
    <s v=""/>
    <s v=""/>
    <s v=""/>
    <s v=""/>
    <s v=""/>
    <s v=""/>
    <s v=""/>
    <s v=""/>
    <s v=""/>
    <s v=""/>
    <s v=""/>
  </r>
  <r>
    <s v=""/>
    <s v=""/>
    <s v=""/>
    <x v="90"/>
    <s v=""/>
    <s v=""/>
    <s v=""/>
    <s v=""/>
    <s v=""/>
    <s v=""/>
    <s v=""/>
    <s v=""/>
    <s v=""/>
    <x v="8"/>
    <x v="12"/>
    <s v=""/>
    <s v=""/>
    <s v=""/>
    <s v=""/>
    <s v=""/>
    <s v=""/>
    <s v=""/>
    <s v=""/>
    <s v=""/>
    <s v=""/>
    <s v=""/>
    <s v=""/>
    <s v=""/>
  </r>
  <r>
    <s v=""/>
    <s v=""/>
    <s v=""/>
    <x v="90"/>
    <s v=""/>
    <s v=""/>
    <s v=""/>
    <s v=""/>
    <s v=""/>
    <s v=""/>
    <s v=""/>
    <s v=""/>
    <s v=""/>
    <x v="8"/>
    <x v="12"/>
    <s v=""/>
    <s v=""/>
    <s v=""/>
    <s v=""/>
    <s v=""/>
    <s v=""/>
    <s v=""/>
    <s v=""/>
    <s v=""/>
    <s v=""/>
    <s v=""/>
    <s v=""/>
    <s v=""/>
  </r>
  <r>
    <s v=""/>
    <s v=""/>
    <s v=""/>
    <x v="90"/>
    <s v=""/>
    <s v=""/>
    <s v=""/>
    <s v=""/>
    <s v=""/>
    <s v=""/>
    <s v=""/>
    <s v=""/>
    <s v=""/>
    <x v="8"/>
    <x v="12"/>
    <s v=""/>
    <s v=""/>
    <s v=""/>
    <s v=""/>
    <s v=""/>
    <s v=""/>
    <s v=""/>
    <s v=""/>
    <s v=""/>
    <s v=""/>
    <s v=""/>
    <s v=""/>
    <s v=""/>
  </r>
  <r>
    <s v=""/>
    <s v=""/>
    <s v=""/>
    <x v="90"/>
    <s v=""/>
    <s v=""/>
    <s v=""/>
    <s v=""/>
    <s v=""/>
    <s v=""/>
    <s v=""/>
    <s v=""/>
    <s v=""/>
    <x v="8"/>
    <x v="12"/>
    <s v=""/>
    <s v=""/>
    <s v=""/>
    <s v=""/>
    <s v=""/>
    <s v=""/>
    <s v=""/>
    <s v=""/>
    <s v=""/>
    <s v=""/>
    <s v=""/>
    <s v=""/>
    <s v=""/>
  </r>
  <r>
    <s v=""/>
    <s v=""/>
    <s v=""/>
    <x v="90"/>
    <s v=""/>
    <s v=""/>
    <s v=""/>
    <s v=""/>
    <s v=""/>
    <s v=""/>
    <s v=""/>
    <s v=""/>
    <s v=""/>
    <x v="8"/>
    <x v="12"/>
    <s v=""/>
    <s v=""/>
    <s v=""/>
    <s v=""/>
    <s v=""/>
    <s v=""/>
    <s v=""/>
    <s v=""/>
    <s v=""/>
    <s v=""/>
    <s v=""/>
    <s v=""/>
    <s v=""/>
  </r>
  <r>
    <s v=""/>
    <s v=""/>
    <s v=""/>
    <x v="90"/>
    <s v=""/>
    <s v=""/>
    <s v=""/>
    <s v=""/>
    <s v=""/>
    <s v=""/>
    <s v=""/>
    <s v=""/>
    <s v=""/>
    <x v="8"/>
    <x v="12"/>
    <s v=""/>
    <s v=""/>
    <s v=""/>
    <s v=""/>
    <s v=""/>
    <s v=""/>
    <s v=""/>
    <s v=""/>
    <s v=""/>
    <s v=""/>
    <s v=""/>
    <s v=""/>
    <s v=""/>
  </r>
  <r>
    <s v=""/>
    <s v=""/>
    <s v=""/>
    <x v="90"/>
    <s v=""/>
    <s v=""/>
    <s v=""/>
    <s v=""/>
    <s v=""/>
    <s v=""/>
    <s v=""/>
    <s v=""/>
    <s v=""/>
    <x v="8"/>
    <x v="12"/>
    <s v=""/>
    <s v=""/>
    <s v=""/>
    <s v=""/>
    <s v=""/>
    <s v=""/>
    <s v=""/>
    <s v=""/>
    <s v=""/>
    <s v=""/>
    <s v=""/>
    <s v=""/>
    <s v=""/>
  </r>
  <r>
    <s v=""/>
    <s v=""/>
    <s v=""/>
    <x v="90"/>
    <s v=""/>
    <s v=""/>
    <s v=""/>
    <s v=""/>
    <s v=""/>
    <s v=""/>
    <s v=""/>
    <s v=""/>
    <s v=""/>
    <x v="8"/>
    <x v="12"/>
    <s v=""/>
    <s v=""/>
    <s v=""/>
    <s v=""/>
    <s v=""/>
    <s v=""/>
    <s v=""/>
    <s v=""/>
    <s v=""/>
    <s v=""/>
    <s v=""/>
    <s v=""/>
    <s v=""/>
  </r>
  <r>
    <s v=""/>
    <s v=""/>
    <s v=""/>
    <x v="90"/>
    <s v=""/>
    <s v=""/>
    <s v=""/>
    <s v=""/>
    <s v=""/>
    <s v=""/>
    <s v=""/>
    <s v=""/>
    <s v=""/>
    <x v="8"/>
    <x v="12"/>
    <s v=""/>
    <s v=""/>
    <s v=""/>
    <s v=""/>
    <s v=""/>
    <s v=""/>
    <s v=""/>
    <s v=""/>
    <s v=""/>
    <s v=""/>
    <s v=""/>
    <s v=""/>
    <s v=""/>
  </r>
  <r>
    <s v=""/>
    <s v=""/>
    <s v=""/>
    <x v="90"/>
    <s v=""/>
    <s v=""/>
    <s v=""/>
    <s v=""/>
    <s v=""/>
    <s v=""/>
    <s v=""/>
    <s v=""/>
    <s v=""/>
    <x v="8"/>
    <x v="12"/>
    <s v=""/>
    <s v=""/>
    <s v=""/>
    <s v=""/>
    <s v=""/>
    <s v=""/>
    <s v=""/>
    <s v=""/>
    <s v=""/>
    <s v=""/>
    <s v=""/>
    <s v=""/>
    <s v=""/>
  </r>
  <r>
    <s v=""/>
    <s v=""/>
    <s v=""/>
    <x v="90"/>
    <s v=""/>
    <s v=""/>
    <s v=""/>
    <s v=""/>
    <s v=""/>
    <s v=""/>
    <s v=""/>
    <s v=""/>
    <s v=""/>
    <x v="8"/>
    <x v="12"/>
    <s v=""/>
    <s v=""/>
    <s v=""/>
    <s v=""/>
    <s v=""/>
    <s v=""/>
    <s v=""/>
    <s v=""/>
    <s v=""/>
    <s v=""/>
    <s v=""/>
    <s v=""/>
    <s v=""/>
  </r>
  <r>
    <s v=""/>
    <s v=""/>
    <s v=""/>
    <x v="90"/>
    <s v=""/>
    <s v=""/>
    <s v=""/>
    <s v=""/>
    <s v=""/>
    <s v=""/>
    <s v=""/>
    <s v=""/>
    <s v=""/>
    <x v="8"/>
    <x v="12"/>
    <s v=""/>
    <s v=""/>
    <s v=""/>
    <s v=""/>
    <s v=""/>
    <s v=""/>
    <s v=""/>
    <s v=""/>
    <s v=""/>
    <s v=""/>
    <s v=""/>
    <s v=""/>
    <s v=""/>
  </r>
  <r>
    <s v=""/>
    <s v=""/>
    <s v=""/>
    <x v="90"/>
    <s v=""/>
    <s v=""/>
    <s v=""/>
    <s v=""/>
    <s v=""/>
    <s v=""/>
    <s v=""/>
    <s v=""/>
    <s v=""/>
    <x v="8"/>
    <x v="12"/>
    <s v=""/>
    <s v=""/>
    <s v=""/>
    <s v=""/>
    <s v=""/>
    <s v=""/>
    <s v=""/>
    <s v=""/>
    <s v=""/>
    <s v=""/>
    <s v=""/>
    <s v=""/>
    <s v=""/>
  </r>
  <r>
    <s v=""/>
    <s v=""/>
    <s v=""/>
    <x v="90"/>
    <s v=""/>
    <s v=""/>
    <s v=""/>
    <s v=""/>
    <s v=""/>
    <s v=""/>
    <s v=""/>
    <s v=""/>
    <s v=""/>
    <x v="8"/>
    <x v="12"/>
    <s v=""/>
    <s v=""/>
    <s v=""/>
    <s v=""/>
    <s v=""/>
    <s v=""/>
    <s v=""/>
    <s v=""/>
    <s v=""/>
    <s v=""/>
    <s v=""/>
    <s v=""/>
    <s v=""/>
  </r>
  <r>
    <s v=""/>
    <s v=""/>
    <s v=""/>
    <x v="90"/>
    <s v=""/>
    <s v=""/>
    <s v=""/>
    <s v=""/>
    <s v=""/>
    <s v=""/>
    <s v=""/>
    <s v=""/>
    <s v=""/>
    <x v="8"/>
    <x v="12"/>
    <s v=""/>
    <s v=""/>
    <s v=""/>
    <s v=""/>
    <s v=""/>
    <s v=""/>
    <s v=""/>
    <s v=""/>
    <s v=""/>
    <s v=""/>
    <s v=""/>
    <s v=""/>
    <s v=""/>
  </r>
  <r>
    <s v=""/>
    <s v=""/>
    <s v=""/>
    <x v="90"/>
    <s v=""/>
    <s v=""/>
    <s v=""/>
    <s v=""/>
    <s v=""/>
    <s v=""/>
    <s v=""/>
    <s v=""/>
    <s v=""/>
    <x v="8"/>
    <x v="12"/>
    <s v=""/>
    <s v=""/>
    <s v=""/>
    <s v=""/>
    <s v=""/>
    <s v=""/>
    <s v=""/>
    <s v=""/>
    <s v=""/>
    <s v=""/>
    <s v=""/>
    <s v=""/>
    <s v=""/>
  </r>
  <r>
    <s v=""/>
    <s v=""/>
    <s v=""/>
    <x v="90"/>
    <s v=""/>
    <s v=""/>
    <s v=""/>
    <s v=""/>
    <s v=""/>
    <s v=""/>
    <s v=""/>
    <s v=""/>
    <s v=""/>
    <x v="8"/>
    <x v="12"/>
    <s v=""/>
    <s v=""/>
    <s v=""/>
    <s v=""/>
    <s v=""/>
    <s v=""/>
    <s v=""/>
    <s v=""/>
    <s v=""/>
    <s v=""/>
    <s v=""/>
    <s v=""/>
    <s v=""/>
  </r>
  <r>
    <s v=""/>
    <s v=""/>
    <s v=""/>
    <x v="90"/>
    <s v=""/>
    <s v=""/>
    <s v=""/>
    <s v=""/>
    <s v=""/>
    <s v=""/>
    <s v=""/>
    <s v=""/>
    <s v=""/>
    <x v="8"/>
    <x v="12"/>
    <s v=""/>
    <s v=""/>
    <s v=""/>
    <s v=""/>
    <s v=""/>
    <s v=""/>
    <s v=""/>
    <s v=""/>
    <s v=""/>
    <s v=""/>
    <s v=""/>
    <s v=""/>
    <s v=""/>
  </r>
  <r>
    <s v=""/>
    <s v=""/>
    <s v=""/>
    <x v="90"/>
    <s v=""/>
    <s v=""/>
    <s v=""/>
    <s v=""/>
    <s v=""/>
    <s v=""/>
    <s v=""/>
    <s v=""/>
    <s v=""/>
    <x v="8"/>
    <x v="12"/>
    <s v=""/>
    <s v=""/>
    <s v=""/>
    <s v=""/>
    <s v=""/>
    <s v=""/>
    <s v=""/>
    <s v=""/>
    <s v=""/>
    <s v=""/>
    <s v=""/>
    <s v=""/>
    <s v=""/>
  </r>
  <r>
    <s v=""/>
    <s v=""/>
    <s v=""/>
    <x v="90"/>
    <s v=""/>
    <s v=""/>
    <s v=""/>
    <s v=""/>
    <s v=""/>
    <s v=""/>
    <s v=""/>
    <s v=""/>
    <s v=""/>
    <x v="8"/>
    <x v="12"/>
    <s v=""/>
    <s v=""/>
    <s v=""/>
    <s v=""/>
    <s v=""/>
    <s v=""/>
    <s v=""/>
    <s v=""/>
    <s v=""/>
    <s v=""/>
    <s v=""/>
    <s v=""/>
    <s v=""/>
  </r>
  <r>
    <s v=""/>
    <s v=""/>
    <s v=""/>
    <x v="90"/>
    <s v=""/>
    <s v=""/>
    <s v=""/>
    <s v=""/>
    <s v=""/>
    <s v=""/>
    <s v=""/>
    <s v=""/>
    <s v=""/>
    <x v="8"/>
    <x v="12"/>
    <s v=""/>
    <s v=""/>
    <s v=""/>
    <s v=""/>
    <s v=""/>
    <s v=""/>
    <s v=""/>
    <s v=""/>
    <s v=""/>
    <s v=""/>
    <s v=""/>
    <s v=""/>
    <s v=""/>
  </r>
  <r>
    <s v=""/>
    <s v=""/>
    <s v=""/>
    <x v="90"/>
    <s v=""/>
    <s v=""/>
    <s v=""/>
    <s v=""/>
    <s v=""/>
    <s v=""/>
    <s v=""/>
    <s v=""/>
    <s v=""/>
    <x v="8"/>
    <x v="12"/>
    <s v=""/>
    <s v=""/>
    <s v=""/>
    <s v=""/>
    <s v=""/>
    <s v=""/>
    <s v=""/>
    <s v=""/>
    <s v=""/>
    <s v=""/>
    <s v=""/>
    <s v=""/>
    <s v=""/>
  </r>
  <r>
    <s v=""/>
    <s v=""/>
    <s v=""/>
    <x v="90"/>
    <s v=""/>
    <s v=""/>
    <s v=""/>
    <s v=""/>
    <s v=""/>
    <s v=""/>
    <s v=""/>
    <s v=""/>
    <s v=""/>
    <x v="8"/>
    <x v="12"/>
    <s v=""/>
    <s v=""/>
    <s v=""/>
    <s v=""/>
    <s v=""/>
    <s v=""/>
    <s v=""/>
    <s v=""/>
    <s v=""/>
    <s v=""/>
    <s v=""/>
    <s v=""/>
    <s v=""/>
  </r>
  <r>
    <s v=""/>
    <s v=""/>
    <s v=""/>
    <x v="90"/>
    <s v=""/>
    <s v=""/>
    <s v=""/>
    <s v=""/>
    <s v=""/>
    <s v=""/>
    <s v=""/>
    <s v=""/>
    <s v=""/>
    <x v="8"/>
    <x v="12"/>
    <s v=""/>
    <s v=""/>
    <s v=""/>
    <s v=""/>
    <s v=""/>
    <s v=""/>
    <s v=""/>
    <s v=""/>
    <s v=""/>
    <s v=""/>
    <s v=""/>
    <s v=""/>
    <s v=""/>
  </r>
  <r>
    <s v=""/>
    <s v=""/>
    <s v=""/>
    <x v="90"/>
    <s v=""/>
    <s v=""/>
    <s v=""/>
    <s v=""/>
    <s v=""/>
    <s v=""/>
    <s v=""/>
    <s v=""/>
    <s v=""/>
    <x v="8"/>
    <x v="12"/>
    <s v=""/>
    <s v=""/>
    <s v=""/>
    <s v=""/>
    <s v=""/>
    <s v=""/>
    <s v=""/>
    <s v=""/>
    <s v=""/>
    <s v=""/>
    <s v=""/>
    <s v=""/>
    <s v=""/>
  </r>
  <r>
    <s v=""/>
    <s v=""/>
    <s v=""/>
    <x v="90"/>
    <s v=""/>
    <s v=""/>
    <s v=""/>
    <s v=""/>
    <s v=""/>
    <s v=""/>
    <s v=""/>
    <s v=""/>
    <s v=""/>
    <x v="8"/>
    <x v="12"/>
    <s v=""/>
    <s v=""/>
    <s v=""/>
    <s v=""/>
    <s v=""/>
    <s v=""/>
    <s v=""/>
    <s v=""/>
    <s v=""/>
    <s v=""/>
    <s v=""/>
    <s v=""/>
    <s v=""/>
  </r>
  <r>
    <s v=""/>
    <s v=""/>
    <s v=""/>
    <x v="90"/>
    <s v=""/>
    <s v=""/>
    <s v=""/>
    <s v=""/>
    <s v=""/>
    <s v=""/>
    <s v=""/>
    <s v=""/>
    <s v=""/>
    <x v="8"/>
    <x v="12"/>
    <s v=""/>
    <s v=""/>
    <s v=""/>
    <s v=""/>
    <s v=""/>
    <s v=""/>
    <s v=""/>
    <s v=""/>
    <s v=""/>
    <s v=""/>
    <s v=""/>
    <s v=""/>
    <s v=""/>
  </r>
  <r>
    <s v=""/>
    <s v=""/>
    <s v=""/>
    <x v="90"/>
    <s v=""/>
    <s v=""/>
    <s v=""/>
    <s v=""/>
    <s v=""/>
    <s v=""/>
    <s v=""/>
    <s v=""/>
    <s v=""/>
    <x v="8"/>
    <x v="12"/>
    <s v=""/>
    <s v=""/>
    <s v=""/>
    <s v=""/>
    <s v=""/>
    <s v=""/>
    <s v=""/>
    <s v=""/>
    <s v=""/>
    <s v=""/>
    <s v=""/>
    <s v=""/>
    <s v=""/>
  </r>
  <r>
    <s v=""/>
    <s v=""/>
    <s v=""/>
    <x v="90"/>
    <s v=""/>
    <s v=""/>
    <s v=""/>
    <s v=""/>
    <s v=""/>
    <s v=""/>
    <s v=""/>
    <s v=""/>
    <s v=""/>
    <x v="8"/>
    <x v="12"/>
    <s v=""/>
    <s v=""/>
    <s v=""/>
    <s v=""/>
    <s v=""/>
    <s v=""/>
    <s v=""/>
    <s v=""/>
    <s v=""/>
    <s v=""/>
    <s v=""/>
    <s v=""/>
    <s v=""/>
  </r>
  <r>
    <s v=""/>
    <s v=""/>
    <s v=""/>
    <x v="90"/>
    <s v=""/>
    <s v=""/>
    <s v=""/>
    <s v=""/>
    <s v=""/>
    <s v=""/>
    <s v=""/>
    <s v=""/>
    <s v=""/>
    <x v="8"/>
    <x v="12"/>
    <s v=""/>
    <s v=""/>
    <s v=""/>
    <s v=""/>
    <s v=""/>
    <s v=""/>
    <s v=""/>
    <s v=""/>
    <s v=""/>
    <s v=""/>
    <s v=""/>
    <s v=""/>
    <s v=""/>
  </r>
  <r>
    <s v=""/>
    <s v=""/>
    <s v=""/>
    <x v="90"/>
    <s v=""/>
    <s v=""/>
    <s v=""/>
    <s v=""/>
    <s v=""/>
    <s v=""/>
    <s v=""/>
    <s v=""/>
    <s v=""/>
    <x v="8"/>
    <x v="12"/>
    <s v=""/>
    <s v=""/>
    <s v=""/>
    <s v=""/>
    <s v=""/>
    <s v=""/>
    <s v=""/>
    <s v=""/>
    <s v=""/>
    <s v=""/>
    <s v=""/>
    <s v=""/>
    <s v=""/>
  </r>
  <r>
    <s v=""/>
    <s v=""/>
    <s v=""/>
    <x v="90"/>
    <s v=""/>
    <s v=""/>
    <s v=""/>
    <s v=""/>
    <s v=""/>
    <s v=""/>
    <s v=""/>
    <s v=""/>
    <s v=""/>
    <x v="8"/>
    <x v="12"/>
    <s v=""/>
    <s v=""/>
    <s v=""/>
    <s v=""/>
    <s v=""/>
    <s v=""/>
    <s v=""/>
    <s v=""/>
    <s v=""/>
    <s v=""/>
    <s v=""/>
    <s v=""/>
    <s v=""/>
  </r>
  <r>
    <s v=""/>
    <s v=""/>
    <s v=""/>
    <x v="90"/>
    <s v=""/>
    <s v=""/>
    <s v=""/>
    <s v=""/>
    <s v=""/>
    <s v=""/>
    <s v=""/>
    <s v=""/>
    <s v=""/>
    <x v="8"/>
    <x v="12"/>
    <s v=""/>
    <s v=""/>
    <s v=""/>
    <s v=""/>
    <s v=""/>
    <s v=""/>
    <s v=""/>
    <s v=""/>
    <s v=""/>
    <s v=""/>
    <s v=""/>
    <s v=""/>
    <s v=""/>
  </r>
  <r>
    <s v=""/>
    <s v=""/>
    <s v=""/>
    <x v="90"/>
    <s v=""/>
    <s v=""/>
    <s v=""/>
    <s v=""/>
    <s v=""/>
    <s v=""/>
    <s v=""/>
    <s v=""/>
    <s v=""/>
    <x v="8"/>
    <x v="12"/>
    <s v=""/>
    <s v=""/>
    <s v=""/>
    <s v=""/>
    <s v=""/>
    <s v=""/>
    <s v=""/>
    <s v=""/>
    <s v=""/>
    <s v=""/>
    <s v=""/>
    <s v=""/>
    <s v=""/>
  </r>
  <r>
    <s v=""/>
    <s v=""/>
    <s v=""/>
    <x v="90"/>
    <s v=""/>
    <s v=""/>
    <s v=""/>
    <s v=""/>
    <s v=""/>
    <s v=""/>
    <s v=""/>
    <s v=""/>
    <s v=""/>
    <x v="8"/>
    <x v="12"/>
    <s v=""/>
    <s v=""/>
    <s v=""/>
    <s v=""/>
    <s v=""/>
    <s v=""/>
    <s v=""/>
    <s v=""/>
    <s v=""/>
    <s v=""/>
    <s v=""/>
    <s v=""/>
    <s v=""/>
  </r>
  <r>
    <s v=""/>
    <s v=""/>
    <s v=""/>
    <x v="90"/>
    <s v=""/>
    <s v=""/>
    <s v=""/>
    <s v=""/>
    <s v=""/>
    <s v=""/>
    <s v=""/>
    <s v=""/>
    <s v=""/>
    <x v="8"/>
    <x v="12"/>
    <s v=""/>
    <s v=""/>
    <s v=""/>
    <s v=""/>
    <s v=""/>
    <s v=""/>
    <s v=""/>
    <s v=""/>
    <s v=""/>
    <s v=""/>
    <s v=""/>
    <s v=""/>
    <s v=""/>
  </r>
  <r>
    <s v=""/>
    <s v=""/>
    <s v=""/>
    <x v="90"/>
    <s v=""/>
    <s v=""/>
    <s v=""/>
    <s v=""/>
    <s v=""/>
    <s v=""/>
    <s v=""/>
    <s v=""/>
    <s v=""/>
    <x v="8"/>
    <x v="12"/>
    <s v=""/>
    <s v=""/>
    <s v=""/>
    <s v=""/>
    <s v=""/>
    <s v=""/>
    <s v=""/>
    <s v=""/>
    <s v=""/>
    <s v=""/>
    <s v=""/>
    <s v=""/>
    <s v=""/>
  </r>
  <r>
    <s v=""/>
    <s v=""/>
    <s v=""/>
    <x v="90"/>
    <s v=""/>
    <s v=""/>
    <s v=""/>
    <s v=""/>
    <s v=""/>
    <s v=""/>
    <s v=""/>
    <s v=""/>
    <s v=""/>
    <x v="8"/>
    <x v="12"/>
    <s v=""/>
    <s v=""/>
    <s v=""/>
    <s v=""/>
    <s v=""/>
    <s v=""/>
    <s v=""/>
    <s v=""/>
    <s v=""/>
    <s v=""/>
    <s v=""/>
    <s v=""/>
    <s v=""/>
  </r>
  <r>
    <s v=""/>
    <s v=""/>
    <s v=""/>
    <x v="90"/>
    <s v=""/>
    <s v=""/>
    <s v=""/>
    <s v=""/>
    <s v=""/>
    <s v=""/>
    <s v=""/>
    <s v=""/>
    <s v=""/>
    <x v="8"/>
    <x v="12"/>
    <s v=""/>
    <s v=""/>
    <s v=""/>
    <s v=""/>
    <s v=""/>
    <s v=""/>
    <s v=""/>
    <s v=""/>
    <s v=""/>
    <s v=""/>
    <s v=""/>
    <s v=""/>
    <s v=""/>
  </r>
  <r>
    <s v=""/>
    <s v=""/>
    <s v=""/>
    <x v="90"/>
    <s v=""/>
    <s v=""/>
    <s v=""/>
    <s v=""/>
    <s v=""/>
    <s v=""/>
    <s v=""/>
    <s v=""/>
    <s v=""/>
    <x v="8"/>
    <x v="12"/>
    <s v=""/>
    <s v=""/>
    <s v=""/>
    <s v=""/>
    <s v=""/>
    <s v=""/>
    <s v=""/>
    <s v=""/>
    <s v=""/>
    <s v=""/>
    <s v=""/>
    <s v=""/>
    <s v=""/>
  </r>
  <r>
    <s v=""/>
    <s v=""/>
    <s v=""/>
    <x v="90"/>
    <s v=""/>
    <s v=""/>
    <s v=""/>
    <s v=""/>
    <s v=""/>
    <s v=""/>
    <s v=""/>
    <s v=""/>
    <s v=""/>
    <x v="8"/>
    <x v="12"/>
    <s v=""/>
    <s v=""/>
    <s v=""/>
    <s v=""/>
    <s v=""/>
    <s v=""/>
    <s v=""/>
    <s v=""/>
    <s v=""/>
    <s v=""/>
    <s v=""/>
    <s v=""/>
    <s v=""/>
  </r>
  <r>
    <s v=""/>
    <s v=""/>
    <s v=""/>
    <x v="90"/>
    <s v=""/>
    <s v=""/>
    <s v=""/>
    <s v=""/>
    <s v=""/>
    <s v=""/>
    <s v=""/>
    <s v=""/>
    <s v=""/>
    <x v="8"/>
    <x v="12"/>
    <s v=""/>
    <s v=""/>
    <s v=""/>
    <s v=""/>
    <s v=""/>
    <s v=""/>
    <s v=""/>
    <s v=""/>
    <s v=""/>
    <s v=""/>
    <s v=""/>
    <s v=""/>
    <s v=""/>
  </r>
  <r>
    <s v=""/>
    <s v=""/>
    <s v=""/>
    <x v="90"/>
    <s v=""/>
    <s v=""/>
    <s v=""/>
    <s v=""/>
    <s v=""/>
    <s v=""/>
    <s v=""/>
    <s v=""/>
    <s v=""/>
    <x v="8"/>
    <x v="12"/>
    <s v=""/>
    <s v=""/>
    <s v=""/>
    <s v=""/>
    <s v=""/>
    <s v=""/>
    <s v=""/>
    <s v=""/>
    <s v=""/>
    <s v=""/>
    <s v=""/>
    <s v=""/>
    <s v=""/>
  </r>
  <r>
    <s v=""/>
    <s v=""/>
    <s v=""/>
    <x v="90"/>
    <s v=""/>
    <s v=""/>
    <s v=""/>
    <s v=""/>
    <s v=""/>
    <s v=""/>
    <s v=""/>
    <s v=""/>
    <s v=""/>
    <x v="8"/>
    <x v="12"/>
    <s v=""/>
    <s v=""/>
    <s v=""/>
    <s v=""/>
    <s v=""/>
    <s v=""/>
    <s v=""/>
    <s v=""/>
    <s v=""/>
    <s v=""/>
    <s v=""/>
    <s v=""/>
    <s v=""/>
  </r>
  <r>
    <s v=""/>
    <s v=""/>
    <s v=""/>
    <x v="90"/>
    <s v=""/>
    <s v=""/>
    <s v=""/>
    <s v=""/>
    <s v=""/>
    <s v=""/>
    <s v=""/>
    <s v=""/>
    <s v=""/>
    <x v="8"/>
    <x v="12"/>
    <s v=""/>
    <s v=""/>
    <s v=""/>
    <s v=""/>
    <s v=""/>
    <s v=""/>
    <s v=""/>
    <s v=""/>
    <s v=""/>
    <s v=""/>
    <s v=""/>
    <s v=""/>
    <s v=""/>
  </r>
  <r>
    <s v=""/>
    <s v=""/>
    <s v=""/>
    <x v="90"/>
    <s v=""/>
    <s v=""/>
    <s v=""/>
    <s v=""/>
    <s v=""/>
    <s v=""/>
    <s v=""/>
    <s v=""/>
    <s v=""/>
    <x v="8"/>
    <x v="12"/>
    <s v=""/>
    <s v=""/>
    <s v=""/>
    <s v=""/>
    <s v=""/>
    <s v=""/>
    <s v=""/>
    <s v=""/>
    <s v=""/>
    <s v=""/>
    <s v=""/>
    <s v=""/>
    <s v=""/>
  </r>
  <r>
    <s v=""/>
    <s v=""/>
    <s v=""/>
    <x v="90"/>
    <s v=""/>
    <s v=""/>
    <s v=""/>
    <s v=""/>
    <s v=""/>
    <s v=""/>
    <s v=""/>
    <s v=""/>
    <s v=""/>
    <x v="8"/>
    <x v="12"/>
    <s v=""/>
    <s v=""/>
    <s v=""/>
    <s v=""/>
    <s v=""/>
    <s v=""/>
    <s v=""/>
    <s v=""/>
    <s v=""/>
    <s v=""/>
    <s v=""/>
    <s v=""/>
    <s v=""/>
  </r>
  <r>
    <s v=""/>
    <s v=""/>
    <s v=""/>
    <x v="90"/>
    <s v=""/>
    <s v=""/>
    <s v=""/>
    <s v=""/>
    <s v=""/>
    <s v=""/>
    <s v=""/>
    <s v=""/>
    <s v=""/>
    <x v="8"/>
    <x v="12"/>
    <s v=""/>
    <s v=""/>
    <s v=""/>
    <s v=""/>
    <s v=""/>
    <s v=""/>
    <s v=""/>
    <s v=""/>
    <s v=""/>
    <s v=""/>
    <s v=""/>
    <s v=""/>
    <s v=""/>
  </r>
  <r>
    <s v=""/>
    <s v=""/>
    <s v=""/>
    <x v="90"/>
    <s v=""/>
    <s v=""/>
    <s v=""/>
    <s v=""/>
    <s v=""/>
    <s v=""/>
    <s v=""/>
    <s v=""/>
    <s v=""/>
    <x v="8"/>
    <x v="12"/>
    <s v=""/>
    <s v=""/>
    <s v=""/>
    <s v=""/>
    <s v=""/>
    <s v=""/>
    <s v=""/>
    <s v=""/>
    <s v=""/>
    <s v=""/>
    <s v=""/>
    <s v=""/>
    <s v=""/>
  </r>
  <r>
    <s v=""/>
    <s v=""/>
    <s v=""/>
    <x v="90"/>
    <s v=""/>
    <s v=""/>
    <s v=""/>
    <s v=""/>
    <s v=""/>
    <s v=""/>
    <s v=""/>
    <s v=""/>
    <s v=""/>
    <x v="8"/>
    <x v="12"/>
    <s v=""/>
    <s v=""/>
    <s v=""/>
    <s v=""/>
    <s v=""/>
    <s v=""/>
    <s v=""/>
    <s v=""/>
    <s v=""/>
    <s v=""/>
    <s v=""/>
    <s v=""/>
    <s v=""/>
  </r>
  <r>
    <s v=""/>
    <s v=""/>
    <s v=""/>
    <x v="90"/>
    <s v=""/>
    <s v=""/>
    <s v=""/>
    <s v=""/>
    <s v=""/>
    <s v=""/>
    <s v=""/>
    <s v=""/>
    <s v=""/>
    <x v="8"/>
    <x v="12"/>
    <s v=""/>
    <s v=""/>
    <s v=""/>
    <s v=""/>
    <s v=""/>
    <s v=""/>
    <s v=""/>
    <s v=""/>
    <s v=""/>
    <s v=""/>
    <s v=""/>
    <s v=""/>
    <s v=""/>
  </r>
  <r>
    <s v=""/>
    <s v=""/>
    <s v=""/>
    <x v="90"/>
    <s v=""/>
    <s v=""/>
    <s v=""/>
    <s v=""/>
    <s v=""/>
    <s v=""/>
    <s v=""/>
    <s v=""/>
    <s v=""/>
    <x v="8"/>
    <x v="12"/>
    <s v=""/>
    <s v=""/>
    <s v=""/>
    <s v=""/>
    <s v=""/>
    <s v=""/>
    <s v=""/>
    <s v=""/>
    <s v=""/>
    <s v=""/>
    <s v=""/>
    <s v=""/>
    <s v=""/>
  </r>
  <r>
    <s v=""/>
    <s v=""/>
    <s v=""/>
    <x v="90"/>
    <s v=""/>
    <s v=""/>
    <s v=""/>
    <s v=""/>
    <s v=""/>
    <s v=""/>
    <s v=""/>
    <s v=""/>
    <s v=""/>
    <x v="8"/>
    <x v="12"/>
    <s v=""/>
    <s v=""/>
    <s v=""/>
    <s v=""/>
    <s v=""/>
    <s v=""/>
    <s v=""/>
    <s v=""/>
    <s v=""/>
    <s v=""/>
    <s v=""/>
    <s v=""/>
    <s v=""/>
  </r>
  <r>
    <s v=""/>
    <s v=""/>
    <s v=""/>
    <x v="90"/>
    <s v=""/>
    <s v=""/>
    <s v=""/>
    <s v=""/>
    <s v=""/>
    <s v=""/>
    <s v=""/>
    <s v=""/>
    <s v=""/>
    <x v="8"/>
    <x v="12"/>
    <s v=""/>
    <s v=""/>
    <s v=""/>
    <s v=""/>
    <s v=""/>
    <s v=""/>
    <s v=""/>
    <s v=""/>
    <s v=""/>
    <s v=""/>
    <s v=""/>
    <s v=""/>
    <s v=""/>
  </r>
  <r>
    <s v=""/>
    <s v=""/>
    <s v=""/>
    <x v="90"/>
    <s v=""/>
    <s v=""/>
    <s v=""/>
    <s v=""/>
    <s v=""/>
    <s v=""/>
    <s v=""/>
    <s v=""/>
    <s v=""/>
    <x v="8"/>
    <x v="12"/>
    <s v=""/>
    <s v=""/>
    <s v=""/>
    <s v=""/>
    <s v=""/>
    <s v=""/>
    <s v=""/>
    <s v=""/>
    <s v=""/>
    <s v=""/>
    <s v=""/>
    <s v=""/>
    <s v=""/>
  </r>
  <r>
    <s v=""/>
    <s v=""/>
    <s v=""/>
    <x v="90"/>
    <s v=""/>
    <s v=""/>
    <s v=""/>
    <s v=""/>
    <s v=""/>
    <s v=""/>
    <s v=""/>
    <s v=""/>
    <s v=""/>
    <x v="8"/>
    <x v="12"/>
    <s v=""/>
    <s v=""/>
    <s v=""/>
    <s v=""/>
    <s v=""/>
    <s v=""/>
    <s v=""/>
    <s v=""/>
    <s v=""/>
    <s v=""/>
    <s v=""/>
    <s v=""/>
    <s v=""/>
  </r>
  <r>
    <s v=""/>
    <s v=""/>
    <s v=""/>
    <x v="90"/>
    <s v=""/>
    <s v=""/>
    <s v=""/>
    <s v=""/>
    <s v=""/>
    <s v=""/>
    <s v=""/>
    <s v=""/>
    <s v=""/>
    <x v="8"/>
    <x v="12"/>
    <s v=""/>
    <s v=""/>
    <s v=""/>
    <s v=""/>
    <s v=""/>
    <s v=""/>
    <s v=""/>
    <s v=""/>
    <s v=""/>
    <s v=""/>
    <s v=""/>
    <s v=""/>
    <s v=""/>
  </r>
  <r>
    <s v=""/>
    <s v=""/>
    <s v=""/>
    <x v="90"/>
    <s v=""/>
    <s v=""/>
    <s v=""/>
    <s v=""/>
    <s v=""/>
    <s v=""/>
    <s v=""/>
    <s v=""/>
    <s v=""/>
    <x v="8"/>
    <x v="12"/>
    <s v=""/>
    <s v=""/>
    <s v=""/>
    <s v=""/>
    <s v=""/>
    <s v=""/>
    <s v=""/>
    <s v=""/>
    <s v=""/>
    <s v=""/>
    <s v=""/>
    <s v=""/>
    <s v=""/>
  </r>
  <r>
    <s v=""/>
    <s v=""/>
    <s v=""/>
    <x v="90"/>
    <s v=""/>
    <s v=""/>
    <s v=""/>
    <s v=""/>
    <s v=""/>
    <s v=""/>
    <s v=""/>
    <s v=""/>
    <s v=""/>
    <x v="8"/>
    <x v="12"/>
    <s v=""/>
    <s v=""/>
    <s v=""/>
    <s v=""/>
    <s v=""/>
    <s v=""/>
    <s v=""/>
    <s v=""/>
    <s v=""/>
    <s v=""/>
    <s v=""/>
    <s v=""/>
    <s v=""/>
  </r>
  <r>
    <s v=""/>
    <s v=""/>
    <s v=""/>
    <x v="90"/>
    <s v=""/>
    <s v=""/>
    <s v=""/>
    <s v=""/>
    <s v=""/>
    <s v=""/>
    <s v=""/>
    <s v=""/>
    <s v=""/>
    <x v="8"/>
    <x v="12"/>
    <s v=""/>
    <s v=""/>
    <s v=""/>
    <s v=""/>
    <s v=""/>
    <s v=""/>
    <s v=""/>
    <s v=""/>
    <s v=""/>
    <s v=""/>
    <s v=""/>
    <s v=""/>
    <s v=""/>
  </r>
  <r>
    <s v=""/>
    <s v=""/>
    <s v=""/>
    <x v="90"/>
    <s v=""/>
    <s v=""/>
    <s v=""/>
    <s v=""/>
    <s v=""/>
    <s v=""/>
    <s v=""/>
    <s v=""/>
    <s v=""/>
    <x v="8"/>
    <x v="12"/>
    <s v=""/>
    <s v=""/>
    <s v=""/>
    <s v=""/>
    <s v=""/>
    <s v=""/>
    <s v=""/>
    <s v=""/>
    <s v=""/>
    <s v=""/>
    <s v=""/>
    <s v=""/>
    <s v=""/>
  </r>
  <r>
    <s v=""/>
    <s v=""/>
    <s v=""/>
    <x v="90"/>
    <s v=""/>
    <s v=""/>
    <s v=""/>
    <s v=""/>
    <s v=""/>
    <s v=""/>
    <s v=""/>
    <s v=""/>
    <s v=""/>
    <x v="8"/>
    <x v="12"/>
    <s v=""/>
    <s v=""/>
    <s v=""/>
    <s v=""/>
    <s v=""/>
    <s v=""/>
    <s v=""/>
    <s v=""/>
    <s v=""/>
    <s v=""/>
    <s v=""/>
    <s v=""/>
    <s v=""/>
  </r>
  <r>
    <s v=""/>
    <s v=""/>
    <s v=""/>
    <x v="90"/>
    <s v=""/>
    <s v=""/>
    <s v=""/>
    <s v=""/>
    <s v=""/>
    <s v=""/>
    <s v=""/>
    <s v=""/>
    <s v=""/>
    <x v="8"/>
    <x v="12"/>
    <s v=""/>
    <s v=""/>
    <s v=""/>
    <s v=""/>
    <s v=""/>
    <s v=""/>
    <s v=""/>
    <s v=""/>
    <s v=""/>
    <s v=""/>
    <s v=""/>
    <s v=""/>
    <s v=""/>
  </r>
  <r>
    <s v=""/>
    <s v=""/>
    <s v=""/>
    <x v="90"/>
    <s v=""/>
    <s v=""/>
    <s v=""/>
    <s v=""/>
    <s v=""/>
    <s v=""/>
    <s v=""/>
    <s v=""/>
    <s v=""/>
    <x v="8"/>
    <x v="12"/>
    <s v=""/>
    <s v=""/>
    <s v=""/>
    <s v=""/>
    <s v=""/>
    <s v=""/>
    <s v=""/>
    <s v=""/>
    <s v=""/>
    <s v=""/>
    <s v=""/>
    <s v=""/>
    <s v=""/>
  </r>
  <r>
    <s v=""/>
    <s v=""/>
    <s v=""/>
    <x v="90"/>
    <s v=""/>
    <s v=""/>
    <s v=""/>
    <s v=""/>
    <s v=""/>
    <s v=""/>
    <s v=""/>
    <s v=""/>
    <s v=""/>
    <x v="8"/>
    <x v="12"/>
    <s v=""/>
    <s v=""/>
    <s v=""/>
    <s v=""/>
    <s v=""/>
    <s v=""/>
    <s v=""/>
    <s v=""/>
    <s v=""/>
    <s v=""/>
    <s v=""/>
    <s v=""/>
    <s v=""/>
  </r>
  <r>
    <s v=""/>
    <s v=""/>
    <s v=""/>
    <x v="90"/>
    <s v=""/>
    <s v=""/>
    <s v=""/>
    <s v=""/>
    <s v=""/>
    <s v=""/>
    <s v=""/>
    <s v=""/>
    <s v=""/>
    <x v="8"/>
    <x v="12"/>
    <s v=""/>
    <s v=""/>
    <s v=""/>
    <s v=""/>
    <s v=""/>
    <s v=""/>
    <s v=""/>
    <s v=""/>
    <s v=""/>
    <s v=""/>
    <s v=""/>
    <s v=""/>
    <s v=""/>
  </r>
  <r>
    <s v=""/>
    <s v=""/>
    <s v=""/>
    <x v="90"/>
    <s v=""/>
    <s v=""/>
    <s v=""/>
    <s v=""/>
    <s v=""/>
    <s v=""/>
    <s v=""/>
    <s v=""/>
    <s v=""/>
    <x v="8"/>
    <x v="12"/>
    <s v=""/>
    <s v=""/>
    <s v=""/>
    <s v=""/>
    <s v=""/>
    <s v=""/>
    <s v=""/>
    <s v=""/>
    <s v=""/>
    <s v=""/>
    <s v=""/>
    <s v=""/>
    <s v=""/>
  </r>
  <r>
    <s v=""/>
    <s v=""/>
    <s v=""/>
    <x v="90"/>
    <s v=""/>
    <s v=""/>
    <s v=""/>
    <s v=""/>
    <s v=""/>
    <s v=""/>
    <s v=""/>
    <s v=""/>
    <s v=""/>
    <x v="8"/>
    <x v="12"/>
    <s v=""/>
    <s v=""/>
    <s v=""/>
    <s v=""/>
    <s v=""/>
    <s v=""/>
    <s v=""/>
    <s v=""/>
    <s v=""/>
    <s v=""/>
    <s v=""/>
    <s v=""/>
    <s v=""/>
  </r>
  <r>
    <s v=""/>
    <s v=""/>
    <s v=""/>
    <x v="90"/>
    <s v=""/>
    <s v=""/>
    <s v=""/>
    <s v=""/>
    <s v=""/>
    <s v=""/>
    <s v=""/>
    <s v=""/>
    <s v=""/>
    <x v="8"/>
    <x v="12"/>
    <s v=""/>
    <s v=""/>
    <s v=""/>
    <s v=""/>
    <s v=""/>
    <s v=""/>
    <s v=""/>
    <s v=""/>
    <s v=""/>
    <s v=""/>
    <s v=""/>
    <s v=""/>
    <s v=""/>
  </r>
  <r>
    <s v=""/>
    <s v=""/>
    <s v=""/>
    <x v="90"/>
    <s v=""/>
    <s v=""/>
    <s v=""/>
    <s v=""/>
    <s v=""/>
    <s v=""/>
    <s v=""/>
    <s v=""/>
    <s v=""/>
    <x v="8"/>
    <x v="12"/>
    <s v=""/>
    <s v=""/>
    <s v=""/>
    <s v=""/>
    <s v=""/>
    <s v=""/>
    <s v=""/>
    <s v=""/>
    <s v=""/>
    <s v=""/>
    <s v=""/>
    <s v=""/>
    <s v=""/>
  </r>
  <r>
    <s v=""/>
    <s v=""/>
    <s v=""/>
    <x v="90"/>
    <s v=""/>
    <s v=""/>
    <s v=""/>
    <s v=""/>
    <s v=""/>
    <s v=""/>
    <s v=""/>
    <s v=""/>
    <s v=""/>
    <x v="8"/>
    <x v="12"/>
    <s v=""/>
    <s v=""/>
    <s v=""/>
    <s v=""/>
    <s v=""/>
    <s v=""/>
    <s v=""/>
    <s v=""/>
    <s v=""/>
    <s v=""/>
    <s v=""/>
    <s v=""/>
    <s v=""/>
  </r>
  <r>
    <s v=""/>
    <s v=""/>
    <s v=""/>
    <x v="90"/>
    <s v=""/>
    <s v=""/>
    <s v=""/>
    <s v=""/>
    <s v=""/>
    <s v=""/>
    <s v=""/>
    <s v=""/>
    <s v=""/>
    <x v="8"/>
    <x v="12"/>
    <s v=""/>
    <s v=""/>
    <s v=""/>
    <s v=""/>
    <s v=""/>
    <s v=""/>
    <s v=""/>
    <s v=""/>
    <s v=""/>
    <s v=""/>
    <s v=""/>
    <s v=""/>
    <s v=""/>
  </r>
  <r>
    <s v=""/>
    <s v=""/>
    <s v=""/>
    <x v="90"/>
    <s v=""/>
    <s v=""/>
    <s v=""/>
    <s v=""/>
    <s v=""/>
    <s v=""/>
    <s v=""/>
    <s v=""/>
    <s v=""/>
    <x v="8"/>
    <x v="12"/>
    <s v=""/>
    <s v=""/>
    <s v=""/>
    <s v=""/>
    <s v=""/>
    <s v=""/>
    <s v=""/>
    <s v=""/>
    <s v=""/>
    <s v=""/>
    <s v=""/>
    <s v=""/>
    <s v=""/>
  </r>
  <r>
    <s v=""/>
    <s v=""/>
    <s v=""/>
    <x v="90"/>
    <s v=""/>
    <s v=""/>
    <s v=""/>
    <s v=""/>
    <s v=""/>
    <s v=""/>
    <s v=""/>
    <s v=""/>
    <s v=""/>
    <x v="8"/>
    <x v="12"/>
    <s v=""/>
    <s v=""/>
    <s v=""/>
    <s v=""/>
    <s v=""/>
    <s v=""/>
    <s v=""/>
    <s v=""/>
    <s v=""/>
    <s v=""/>
    <s v=""/>
    <s v=""/>
    <s v=""/>
  </r>
  <r>
    <s v=""/>
    <s v=""/>
    <s v=""/>
    <x v="90"/>
    <s v=""/>
    <s v=""/>
    <s v=""/>
    <s v=""/>
    <s v=""/>
    <s v=""/>
    <s v=""/>
    <s v=""/>
    <s v=""/>
    <x v="8"/>
    <x v="12"/>
    <s v=""/>
    <s v=""/>
    <s v=""/>
    <s v=""/>
    <s v=""/>
    <s v=""/>
    <s v=""/>
    <s v=""/>
    <s v=""/>
    <s v=""/>
    <s v=""/>
    <s v=""/>
    <s v=""/>
  </r>
  <r>
    <s v=""/>
    <s v=""/>
    <s v=""/>
    <x v="90"/>
    <s v=""/>
    <s v=""/>
    <s v=""/>
    <s v=""/>
    <s v=""/>
    <s v=""/>
    <s v=""/>
    <s v=""/>
    <s v=""/>
    <x v="8"/>
    <x v="12"/>
    <s v=""/>
    <s v=""/>
    <s v=""/>
    <s v=""/>
    <s v=""/>
    <s v=""/>
    <s v=""/>
    <s v=""/>
    <s v=""/>
    <s v=""/>
    <s v=""/>
    <s v=""/>
    <s v=""/>
  </r>
  <r>
    <s v=""/>
    <s v=""/>
    <s v=""/>
    <x v="90"/>
    <s v=""/>
    <s v=""/>
    <s v=""/>
    <s v=""/>
    <s v=""/>
    <s v=""/>
    <s v=""/>
    <s v=""/>
    <s v=""/>
    <x v="8"/>
    <x v="12"/>
    <s v=""/>
    <s v=""/>
    <s v=""/>
    <s v=""/>
    <s v=""/>
    <s v=""/>
    <s v=""/>
    <s v=""/>
    <s v=""/>
    <s v=""/>
    <s v=""/>
    <s v=""/>
    <s v=""/>
  </r>
  <r>
    <s v=""/>
    <s v=""/>
    <s v=""/>
    <x v="90"/>
    <s v=""/>
    <s v=""/>
    <s v=""/>
    <s v=""/>
    <s v=""/>
    <s v=""/>
    <s v=""/>
    <s v=""/>
    <s v=""/>
    <x v="8"/>
    <x v="12"/>
    <s v=""/>
    <s v=""/>
    <s v=""/>
    <s v=""/>
    <s v=""/>
    <s v=""/>
    <s v=""/>
    <s v=""/>
    <s v=""/>
    <s v=""/>
    <s v=""/>
    <s v=""/>
    <s v=""/>
  </r>
  <r>
    <s v=""/>
    <s v=""/>
    <s v=""/>
    <x v="90"/>
    <s v=""/>
    <s v=""/>
    <s v=""/>
    <s v=""/>
    <s v=""/>
    <s v=""/>
    <s v=""/>
    <s v=""/>
    <s v=""/>
    <x v="8"/>
    <x v="12"/>
    <s v=""/>
    <s v=""/>
    <s v=""/>
    <s v=""/>
    <s v=""/>
    <s v=""/>
    <s v=""/>
    <s v=""/>
    <s v=""/>
    <s v=""/>
    <s v=""/>
    <s v=""/>
    <s v=""/>
  </r>
  <r>
    <s v=""/>
    <s v=""/>
    <s v=""/>
    <x v="90"/>
    <s v=""/>
    <s v=""/>
    <s v=""/>
    <s v=""/>
    <s v=""/>
    <s v=""/>
    <s v=""/>
    <s v=""/>
    <s v=""/>
    <x v="8"/>
    <x v="12"/>
    <s v=""/>
    <s v=""/>
    <s v=""/>
    <s v=""/>
    <s v=""/>
    <s v=""/>
    <s v=""/>
    <s v=""/>
    <s v=""/>
    <s v=""/>
    <s v=""/>
    <s v=""/>
    <s v=""/>
  </r>
  <r>
    <s v=""/>
    <s v=""/>
    <s v=""/>
    <x v="90"/>
    <s v=""/>
    <s v=""/>
    <s v=""/>
    <s v=""/>
    <s v=""/>
    <s v=""/>
    <s v=""/>
    <s v=""/>
    <s v=""/>
    <x v="8"/>
    <x v="12"/>
    <s v=""/>
    <s v=""/>
    <s v=""/>
    <s v=""/>
    <s v=""/>
    <s v=""/>
    <s v=""/>
    <s v=""/>
    <s v=""/>
    <s v=""/>
    <s v=""/>
    <s v=""/>
    <s v=""/>
  </r>
  <r>
    <s v=""/>
    <s v=""/>
    <s v=""/>
    <x v="90"/>
    <s v=""/>
    <s v=""/>
    <s v=""/>
    <s v=""/>
    <s v=""/>
    <s v=""/>
    <s v=""/>
    <s v=""/>
    <s v=""/>
    <x v="8"/>
    <x v="12"/>
    <s v=""/>
    <s v=""/>
    <s v=""/>
    <s v=""/>
    <s v=""/>
    <s v=""/>
    <s v=""/>
    <s v=""/>
    <s v=""/>
    <s v=""/>
    <s v=""/>
    <s v=""/>
    <s v=""/>
  </r>
  <r>
    <s v=""/>
    <s v=""/>
    <s v=""/>
    <x v="90"/>
    <s v=""/>
    <s v=""/>
    <s v=""/>
    <s v=""/>
    <s v=""/>
    <s v=""/>
    <s v=""/>
    <s v=""/>
    <s v=""/>
    <x v="8"/>
    <x v="12"/>
    <s v=""/>
    <s v=""/>
    <s v=""/>
    <s v=""/>
    <s v=""/>
    <s v=""/>
    <s v=""/>
    <s v=""/>
    <s v=""/>
    <s v=""/>
    <s v=""/>
    <s v=""/>
    <s v=""/>
  </r>
  <r>
    <s v=""/>
    <s v=""/>
    <s v=""/>
    <x v="90"/>
    <s v=""/>
    <s v=""/>
    <s v=""/>
    <s v=""/>
    <s v=""/>
    <s v=""/>
    <s v=""/>
    <s v=""/>
    <s v=""/>
    <x v="8"/>
    <x v="12"/>
    <s v=""/>
    <s v=""/>
    <s v=""/>
    <s v=""/>
    <s v=""/>
    <s v=""/>
    <s v=""/>
    <s v=""/>
    <s v=""/>
    <s v=""/>
    <s v=""/>
    <s v=""/>
    <s v=""/>
  </r>
  <r>
    <s v=""/>
    <s v=""/>
    <s v=""/>
    <x v="90"/>
    <s v=""/>
    <s v=""/>
    <s v=""/>
    <s v=""/>
    <s v=""/>
    <s v=""/>
    <s v=""/>
    <s v=""/>
    <s v=""/>
    <x v="8"/>
    <x v="12"/>
    <s v=""/>
    <s v=""/>
    <s v=""/>
    <s v=""/>
    <s v=""/>
    <s v=""/>
    <s v=""/>
    <s v=""/>
    <s v=""/>
    <s v=""/>
    <s v=""/>
    <s v=""/>
    <s v=""/>
  </r>
  <r>
    <s v=""/>
    <s v=""/>
    <s v=""/>
    <x v="90"/>
    <s v=""/>
    <s v=""/>
    <s v=""/>
    <s v=""/>
    <s v=""/>
    <s v=""/>
    <s v=""/>
    <s v=""/>
    <s v=""/>
    <x v="8"/>
    <x v="12"/>
    <s v=""/>
    <s v=""/>
    <s v=""/>
    <s v=""/>
    <s v=""/>
    <s v=""/>
    <s v=""/>
    <s v=""/>
    <s v=""/>
    <s v=""/>
    <s v=""/>
    <s v=""/>
    <s v=""/>
  </r>
  <r>
    <s v=""/>
    <s v=""/>
    <s v=""/>
    <x v="90"/>
    <s v=""/>
    <s v=""/>
    <s v=""/>
    <s v=""/>
    <s v=""/>
    <s v=""/>
    <s v=""/>
    <s v=""/>
    <s v=""/>
    <x v="8"/>
    <x v="12"/>
    <s v=""/>
    <s v=""/>
    <s v=""/>
    <s v=""/>
    <s v=""/>
    <s v=""/>
    <s v=""/>
    <s v=""/>
    <s v=""/>
    <s v=""/>
    <s v=""/>
    <s v=""/>
    <s v=""/>
  </r>
  <r>
    <s v=""/>
    <s v=""/>
    <s v=""/>
    <x v="90"/>
    <s v=""/>
    <s v=""/>
    <s v=""/>
    <s v=""/>
    <s v=""/>
    <s v=""/>
    <s v=""/>
    <s v=""/>
    <s v=""/>
    <x v="8"/>
    <x v="12"/>
    <s v=""/>
    <s v=""/>
    <s v=""/>
    <s v=""/>
    <s v=""/>
    <s v=""/>
    <s v=""/>
    <s v=""/>
    <s v=""/>
    <s v=""/>
    <s v=""/>
    <s v=""/>
    <s v=""/>
  </r>
  <r>
    <s v=""/>
    <s v=""/>
    <s v=""/>
    <x v="90"/>
    <s v=""/>
    <s v=""/>
    <s v=""/>
    <s v=""/>
    <s v=""/>
    <s v=""/>
    <s v=""/>
    <s v=""/>
    <s v=""/>
    <x v="8"/>
    <x v="12"/>
    <s v=""/>
    <s v=""/>
    <s v=""/>
    <s v=""/>
    <s v=""/>
    <s v=""/>
    <s v=""/>
    <s v=""/>
    <s v=""/>
    <s v=""/>
    <s v=""/>
    <s v=""/>
    <s v=""/>
  </r>
  <r>
    <s v=""/>
    <s v=""/>
    <s v=""/>
    <x v="90"/>
    <s v=""/>
    <s v=""/>
    <s v=""/>
    <s v=""/>
    <s v=""/>
    <s v=""/>
    <s v=""/>
    <s v=""/>
    <s v=""/>
    <x v="8"/>
    <x v="12"/>
    <s v=""/>
    <s v=""/>
    <s v=""/>
    <s v=""/>
    <s v=""/>
    <s v=""/>
    <s v=""/>
    <s v=""/>
    <s v=""/>
    <s v=""/>
    <s v=""/>
    <s v=""/>
    <s v=""/>
  </r>
  <r>
    <s v=""/>
    <s v=""/>
    <s v=""/>
    <x v="90"/>
    <s v=""/>
    <s v=""/>
    <s v=""/>
    <s v=""/>
    <s v=""/>
    <s v=""/>
    <s v=""/>
    <s v=""/>
    <s v=""/>
    <x v="8"/>
    <x v="12"/>
    <s v=""/>
    <s v=""/>
    <s v=""/>
    <s v=""/>
    <s v=""/>
    <s v=""/>
    <s v=""/>
    <s v=""/>
    <s v=""/>
    <s v=""/>
    <s v=""/>
    <s v=""/>
    <s v=""/>
  </r>
  <r>
    <s v=""/>
    <s v=""/>
    <s v=""/>
    <x v="90"/>
    <s v=""/>
    <s v=""/>
    <s v=""/>
    <s v=""/>
    <s v=""/>
    <s v=""/>
    <s v=""/>
    <s v=""/>
    <s v=""/>
    <x v="8"/>
    <x v="12"/>
    <s v=""/>
    <s v=""/>
    <s v=""/>
    <s v=""/>
    <s v=""/>
    <s v=""/>
    <s v=""/>
    <s v=""/>
    <s v=""/>
    <s v=""/>
    <s v=""/>
    <s v=""/>
    <s v=""/>
  </r>
  <r>
    <s v=""/>
    <s v=""/>
    <s v=""/>
    <x v="90"/>
    <s v=""/>
    <s v=""/>
    <s v=""/>
    <s v=""/>
    <s v=""/>
    <s v=""/>
    <s v=""/>
    <s v=""/>
    <s v=""/>
    <x v="8"/>
    <x v="12"/>
    <s v=""/>
    <s v=""/>
    <s v=""/>
    <s v=""/>
    <s v=""/>
    <s v=""/>
    <s v=""/>
    <s v=""/>
    <s v=""/>
    <s v=""/>
    <s v=""/>
    <s v=""/>
    <s v="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8">
  <r>
    <n v="97067967539"/>
    <n v="0"/>
    <d v="2018-01-08T00:00:00"/>
    <x v="0"/>
    <n v="9"/>
    <n v="0.3"/>
    <n v="0"/>
    <n v="0"/>
    <n v="0"/>
    <n v="0"/>
    <n v="0"/>
    <s v="REAL"/>
    <s v="-"/>
    <x v="0"/>
    <x v="0"/>
    <n v="9"/>
  </r>
  <r>
    <n v="97067967539"/>
    <n v="0"/>
    <d v="2018-02-07T00:00:00"/>
    <x v="1"/>
    <n v="4"/>
    <n v="0.14285714285714285"/>
    <n v="0"/>
    <n v="0"/>
    <n v="0"/>
    <n v="0"/>
    <n v="0"/>
    <s v="REAL"/>
    <s v="-"/>
    <x v="0"/>
    <x v="1"/>
    <n v="4"/>
  </r>
  <r>
    <n v="97067967539"/>
    <n v="0"/>
    <d v="2018-03-07T00:00:00"/>
    <x v="2"/>
    <n v="2"/>
    <n v="6.6666666666666666E-2"/>
    <n v="0"/>
    <n v="0"/>
    <n v="0"/>
    <n v="0"/>
    <n v="0"/>
    <s v="REAL"/>
    <s v="-"/>
    <x v="0"/>
    <x v="2"/>
    <n v="2"/>
  </r>
  <r>
    <n v="97067967539"/>
    <n v="0"/>
    <d v="2018-04-06T00:00:00"/>
    <x v="3"/>
    <n v="3"/>
    <n v="9.375E-2"/>
    <n v="0"/>
    <n v="0"/>
    <n v="0"/>
    <n v="0"/>
    <n v="0"/>
    <s v="REAL"/>
    <s v="-"/>
    <x v="0"/>
    <x v="3"/>
    <n v="3"/>
  </r>
  <r>
    <n v="97067967539"/>
    <n v="0"/>
    <d v="2018-05-08T00:00:00"/>
    <x v="4"/>
    <n v="3"/>
    <n v="0.1"/>
    <n v="0"/>
    <n v="0"/>
    <n v="0"/>
    <n v="0"/>
    <n v="0"/>
    <s v="REAL"/>
    <s v="-"/>
    <x v="0"/>
    <x v="4"/>
    <n v="3"/>
  </r>
  <r>
    <n v="97067967539"/>
    <n v="0"/>
    <d v="2018-06-07T00:00:00"/>
    <x v="5"/>
    <n v="2"/>
    <n v="6.6666666666666666E-2"/>
    <n v="0"/>
    <n v="0"/>
    <n v="0"/>
    <n v="0"/>
    <n v="0"/>
    <s v="REAL"/>
    <s v="-"/>
    <x v="0"/>
    <x v="5"/>
    <n v="2"/>
  </r>
  <r>
    <n v="97067967539"/>
    <n v="0"/>
    <d v="2018-07-07T00:00:00"/>
    <x v="6"/>
    <n v="2"/>
    <n v="6.4516129032258063E-2"/>
    <n v="0"/>
    <n v="0"/>
    <n v="0"/>
    <n v="0"/>
    <n v="0"/>
    <s v="REAL"/>
    <s v="-"/>
    <x v="0"/>
    <x v="6"/>
    <n v="2"/>
  </r>
  <r>
    <n v="97067967539"/>
    <n v="0"/>
    <d v="2018-08-07T00:00:00"/>
    <x v="7"/>
    <n v="0"/>
    <n v="0"/>
    <n v="0"/>
    <n v="0"/>
    <n v="0"/>
    <n v="0"/>
    <n v="0"/>
    <s v="REAL"/>
    <s v="-"/>
    <x v="0"/>
    <x v="7"/>
    <n v="0"/>
  </r>
  <r>
    <n v="97067967539"/>
    <n v="0"/>
    <d v="2018-09-04T00:00:00"/>
    <x v="8"/>
    <n v="0"/>
    <n v="0"/>
    <n v="0"/>
    <n v="0"/>
    <n v="0"/>
    <n v="0"/>
    <n v="0"/>
    <s v="REAL"/>
    <s v="Cálculo del saldo ATR por diferencia de lecturas"/>
    <x v="0"/>
    <x v="8"/>
    <n v="0"/>
  </r>
  <r>
    <n v="97067967539"/>
    <n v="0"/>
    <d v="2018-10-03T00:00:00"/>
    <x v="9"/>
    <n v="0"/>
    <n v="0"/>
    <n v="0"/>
    <n v="0"/>
    <n v="0"/>
    <n v="0"/>
    <n v="0"/>
    <s v="REAL"/>
    <s v="Cálculo del saldo ATR por diferencia de lecturas"/>
    <x v="0"/>
    <x v="9"/>
    <n v="0"/>
  </r>
  <r>
    <n v="97067967539"/>
    <n v="0"/>
    <d v="2018-11-07T00:00:00"/>
    <x v="10"/>
    <n v="0"/>
    <n v="0"/>
    <n v="0"/>
    <n v="0"/>
    <n v="0"/>
    <n v="0"/>
    <n v="0"/>
    <s v="REAL"/>
    <s v="Cálculo del saldo ATR por diferencia de lecturas"/>
    <x v="0"/>
    <x v="10"/>
    <n v="0"/>
  </r>
  <r>
    <n v="97067967539"/>
    <n v="0"/>
    <d v="2018-12-05T00:00:00"/>
    <x v="11"/>
    <n v="0"/>
    <n v="0"/>
    <n v="0"/>
    <n v="0"/>
    <n v="0"/>
    <n v="0"/>
    <n v="0"/>
    <s v="REAL"/>
    <s v="Cálculo del saldo ATR por diferencia de lecturas"/>
    <x v="0"/>
    <x v="11"/>
    <n v="0"/>
  </r>
  <r>
    <n v="97067967539"/>
    <n v="0"/>
    <d v="2019-01-08T00:00:00"/>
    <x v="12"/>
    <n v="0"/>
    <n v="0"/>
    <n v="0"/>
    <n v="0"/>
    <n v="0"/>
    <n v="0"/>
    <n v="0"/>
    <s v="REAL"/>
    <s v="Cálculo del saldo ATR por diferencia de lecturas"/>
    <x v="1"/>
    <x v="0"/>
    <n v="0"/>
  </r>
  <r>
    <n v="97067967539"/>
    <n v="0"/>
    <d v="2019-02-05T00:00:00"/>
    <x v="13"/>
    <n v="0"/>
    <n v="0"/>
    <n v="0"/>
    <n v="0"/>
    <n v="0"/>
    <n v="0"/>
    <n v="0"/>
    <s v="REAL"/>
    <s v="Cálculo del saldo ATR por diferencia de lecturas"/>
    <x v="1"/>
    <x v="1"/>
    <n v="0"/>
  </r>
  <r>
    <n v="97067967539"/>
    <n v="0"/>
    <d v="2019-03-06T00:00:00"/>
    <x v="14"/>
    <n v="0"/>
    <n v="0"/>
    <n v="0"/>
    <n v="0"/>
    <n v="0"/>
    <n v="0"/>
    <n v="0"/>
    <s v="REAL"/>
    <s v="Cálculo del saldo ATR por diferencia de lecturas"/>
    <x v="1"/>
    <x v="2"/>
    <n v="0"/>
  </r>
  <r>
    <n v="97067967539"/>
    <n v="0"/>
    <d v="2019-04-02T00:00:00"/>
    <x v="15"/>
    <n v="0"/>
    <n v="0"/>
    <n v="0"/>
    <n v="0"/>
    <n v="0"/>
    <n v="0"/>
    <n v="0"/>
    <s v="REAL"/>
    <s v="Cálculo del saldo ATR por diferencia de lecturas"/>
    <x v="1"/>
    <x v="3"/>
    <n v="0"/>
  </r>
  <r>
    <n v="97067967539"/>
    <n v="0"/>
    <d v="2019-05-05T00:00:00"/>
    <x v="16"/>
    <n v="0"/>
    <n v="0"/>
    <n v="0"/>
    <n v="0"/>
    <n v="0"/>
    <n v="0"/>
    <n v="0"/>
    <s v="REAL"/>
    <s v="Cálculo del saldo ATR por diferencia de lecturas"/>
    <x v="1"/>
    <x v="4"/>
    <n v="0"/>
  </r>
  <r>
    <n v="97067967539"/>
    <n v="0"/>
    <d v="2019-06-05T00:00:00"/>
    <x v="17"/>
    <n v="0"/>
    <n v="0"/>
    <n v="0"/>
    <n v="0"/>
    <n v="0"/>
    <n v="0"/>
    <n v="0"/>
    <s v="REAL"/>
    <s v="Cálculo del saldo ATR por diferencia de lecturas"/>
    <x v="1"/>
    <x v="5"/>
    <n v="0"/>
  </r>
  <r>
    <n v="97067967539"/>
    <n v="0"/>
    <d v="2019-07-03T00:00:00"/>
    <x v="18"/>
    <n v="2"/>
    <n v="6.0606060606060608E-2"/>
    <n v="0"/>
    <n v="0"/>
    <n v="0"/>
    <n v="0"/>
    <n v="0"/>
    <s v="REAL"/>
    <s v="Cálculo del saldo ATR por diferencia de lecturas"/>
    <x v="1"/>
    <x v="6"/>
    <n v="2"/>
  </r>
  <r>
    <n v="97067967539"/>
    <n v="0"/>
    <d v="2019-08-05T00:00:00"/>
    <x v="19"/>
    <n v="0"/>
    <n v="0"/>
    <n v="0"/>
    <n v="0"/>
    <n v="0"/>
    <n v="0"/>
    <n v="0"/>
    <s v="REAL"/>
    <s v="Cálculo del saldo ATR por diferencia de lecturas"/>
    <x v="1"/>
    <x v="7"/>
    <n v="0"/>
  </r>
  <r>
    <n v="97067967539"/>
    <n v="0"/>
    <d v="2019-09-03T00:00:00"/>
    <x v="20"/>
    <n v="0"/>
    <n v="0"/>
    <n v="0"/>
    <n v="0"/>
    <n v="0"/>
    <n v="0"/>
    <n v="0"/>
    <s v="REAL"/>
    <s v="Cálculo del saldo ATR por diferencia de lecturas"/>
    <x v="1"/>
    <x v="8"/>
    <n v="0"/>
  </r>
  <r>
    <n v="97067967539"/>
    <n v="0"/>
    <d v="2019-10-03T00:00:00"/>
    <x v="21"/>
    <n v="0"/>
    <n v="0"/>
    <n v="0"/>
    <n v="0"/>
    <n v="0"/>
    <n v="0"/>
    <n v="0"/>
    <s v="REAL"/>
    <s v="Cálculo del saldo ATR por diferencia de lecturas"/>
    <x v="1"/>
    <x v="9"/>
    <n v="0"/>
  </r>
  <r>
    <n v="97067967539"/>
    <n v="0"/>
    <d v="2019-11-05T00:00:00"/>
    <x v="22"/>
    <n v="0"/>
    <n v="0"/>
    <n v="0"/>
    <n v="0"/>
    <n v="0"/>
    <n v="0"/>
    <n v="0"/>
    <s v="REAL"/>
    <s v="Cálculo del saldo ATR por diferencia de lecturas"/>
    <x v="1"/>
    <x v="10"/>
    <n v="0"/>
  </r>
  <r>
    <n v="97067967539"/>
    <n v="0"/>
    <d v="2019-12-03T00:00:00"/>
    <x v="23"/>
    <n v="0"/>
    <n v="0"/>
    <n v="0"/>
    <n v="0"/>
    <n v="0"/>
    <n v="0"/>
    <n v="0"/>
    <s v="REAL"/>
    <s v="Cálculo del saldo ATR por diferencia de lecturas"/>
    <x v="1"/>
    <x v="11"/>
    <n v="0"/>
  </r>
  <r>
    <n v="97067967539"/>
    <n v="0"/>
    <d v="2020-01-07T00:00:00"/>
    <x v="24"/>
    <n v="0"/>
    <n v="0"/>
    <n v="0"/>
    <n v="0"/>
    <n v="0"/>
    <n v="0"/>
    <n v="0"/>
    <s v="REAL"/>
    <s v="Cálculo del saldo ATR por diferencia de lecturas"/>
    <x v="2"/>
    <x v="0"/>
    <n v="0"/>
  </r>
  <r>
    <n v="97067967539"/>
    <n v="0"/>
    <d v="2020-02-04T00:00:00"/>
    <x v="25"/>
    <n v="0"/>
    <n v="0"/>
    <n v="0"/>
    <n v="0"/>
    <n v="0"/>
    <n v="0"/>
    <n v="0"/>
    <s v="REAL"/>
    <s v="Cálculo del saldo ATR por diferencia de lecturas"/>
    <x v="2"/>
    <x v="1"/>
    <n v="0"/>
  </r>
  <r>
    <n v="97067967539"/>
    <n v="0"/>
    <d v="2020-03-03T00:00:00"/>
    <x v="26"/>
    <n v="0"/>
    <n v="0"/>
    <n v="0"/>
    <n v="0"/>
    <n v="0"/>
    <n v="0"/>
    <n v="0"/>
    <s v="REAL"/>
    <s v="Cálculo del saldo ATR por diferencia de lecturas"/>
    <x v="2"/>
    <x v="2"/>
    <n v="0"/>
  </r>
  <r>
    <n v="97067967539"/>
    <n v="0"/>
    <d v="2020-04-05T00:00:00"/>
    <x v="27"/>
    <n v="0"/>
    <n v="0"/>
    <n v="0"/>
    <n v="0"/>
    <n v="0"/>
    <n v="0"/>
    <n v="0"/>
    <s v="REAL"/>
    <s v="Cálculo del saldo ATR por diferencia de lecturas"/>
    <x v="2"/>
    <x v="3"/>
    <n v="0"/>
  </r>
  <r>
    <n v="97067967539"/>
    <n v="0"/>
    <d v="2020-05-06T00:00:00"/>
    <x v="28"/>
    <n v="0"/>
    <n v="0"/>
    <n v="0"/>
    <n v="0"/>
    <n v="0"/>
    <n v="0"/>
    <n v="0"/>
    <s v="REAL"/>
    <s v="Cálculo del saldo ATR por diferencia de lecturas"/>
    <x v="2"/>
    <x v="4"/>
    <n v="0"/>
  </r>
  <r>
    <n v="97067967539"/>
    <n v="0"/>
    <d v="2020-06-03T00:00:00"/>
    <x v="29"/>
    <n v="0"/>
    <n v="0"/>
    <n v="0"/>
    <n v="0"/>
    <n v="0"/>
    <n v="0"/>
    <n v="0"/>
    <s v="REAL"/>
    <s v="Cálculo del saldo ATR por diferencia de lecturas"/>
    <x v="2"/>
    <x v="5"/>
    <n v="0"/>
  </r>
  <r>
    <n v="97067967539"/>
    <n v="0"/>
    <d v="2020-07-06T00:00:00"/>
    <x v="30"/>
    <n v="0"/>
    <n v="0"/>
    <n v="0"/>
    <n v="0"/>
    <n v="0"/>
    <n v="0"/>
    <n v="0"/>
    <s v="REAL"/>
    <s v="Cálculo del saldo ATR por diferencia de lecturas"/>
    <x v="2"/>
    <x v="6"/>
    <n v="0"/>
  </r>
  <r>
    <n v="97067967539"/>
    <n v="0"/>
    <d v="2020-08-05T00:00:00"/>
    <x v="31"/>
    <n v="0"/>
    <n v="0"/>
    <n v="0"/>
    <n v="0"/>
    <n v="0"/>
    <n v="0"/>
    <n v="0"/>
    <s v="REAL"/>
    <s v="Cálculo del saldo ATR por diferencia de lecturas"/>
    <x v="2"/>
    <x v="7"/>
    <n v="0"/>
  </r>
  <r>
    <n v="97067967539"/>
    <n v="0"/>
    <d v="2020-09-03T00:00:00"/>
    <x v="32"/>
    <n v="0"/>
    <n v="0"/>
    <n v="0"/>
    <n v="0"/>
    <n v="0"/>
    <n v="0"/>
    <n v="0"/>
    <s v="REAL"/>
    <s v="Cálculo del saldo ATR por diferencia de lecturas"/>
    <x v="2"/>
    <x v="8"/>
    <n v="0"/>
  </r>
  <r>
    <n v="97067967539"/>
    <n v="0"/>
    <d v="2020-10-05T00:00:00"/>
    <x v="33"/>
    <n v="0"/>
    <n v="0"/>
    <n v="0"/>
    <n v="0"/>
    <n v="0"/>
    <n v="0"/>
    <n v="0"/>
    <s v="REAL"/>
    <s v="Cálculo del saldo ATR por diferencia de lecturas"/>
    <x v="2"/>
    <x v="9"/>
    <n v="0"/>
  </r>
  <r>
    <n v="97067967539"/>
    <n v="0"/>
    <d v="2020-11-06T00:00:00"/>
    <x v="34"/>
    <n v="0"/>
    <n v="0"/>
    <n v="0"/>
    <n v="0"/>
    <n v="0"/>
    <n v="0"/>
    <n v="0"/>
    <s v="REAL"/>
    <s v="Cálculo del saldo ATR por diferencia de lecturas"/>
    <x v="2"/>
    <x v="10"/>
    <n v="0"/>
  </r>
  <r>
    <n v="97067967539"/>
    <n v="0"/>
    <d v="2020-12-04T00:00:00"/>
    <x v="35"/>
    <n v="0"/>
    <n v="0"/>
    <n v="0"/>
    <n v="0"/>
    <n v="0"/>
    <n v="0"/>
    <n v="0"/>
    <s v="REAL"/>
    <s v="Cálculo del saldo ATR por diferencia de lecturas"/>
    <x v="2"/>
    <x v="11"/>
    <n v="0"/>
  </r>
  <r>
    <n v="97067967539"/>
    <n v="0"/>
    <d v="2021-01-08T00:00:00"/>
    <x v="36"/>
    <n v="0"/>
    <n v="0"/>
    <n v="0"/>
    <n v="0"/>
    <n v="0"/>
    <n v="0"/>
    <n v="0"/>
    <s v="REAL"/>
    <s v="Cálculo del saldo ATR por diferencia de lecturas"/>
    <x v="3"/>
    <x v="0"/>
    <n v="0"/>
  </r>
  <r>
    <n v="97067967539"/>
    <n v="0"/>
    <d v="2021-02-04T00:00:00"/>
    <x v="37"/>
    <n v="0"/>
    <n v="0"/>
    <n v="0"/>
    <n v="0"/>
    <n v="0"/>
    <n v="0"/>
    <n v="0"/>
    <s v="REAL"/>
    <s v="Cálculo del saldo ATR por diferencia de lecturas"/>
    <x v="3"/>
    <x v="1"/>
    <n v="0"/>
  </r>
  <r>
    <n v="97067967539"/>
    <n v="0"/>
    <d v="2021-03-05T00:00:00"/>
    <x v="38"/>
    <n v="113"/>
    <n v="3.3235294117647061"/>
    <n v="0"/>
    <n v="0"/>
    <n v="0"/>
    <n v="0"/>
    <n v="0"/>
    <s v="REAL"/>
    <s v="Cálculo del saldo ATR por diferencia de lecturas"/>
    <x v="3"/>
    <x v="2"/>
    <n v="113"/>
  </r>
  <r>
    <n v="97067967539"/>
    <n v="0"/>
    <d v="2021-04-08T00:00:00"/>
    <x v="39"/>
    <n v="0"/>
    <n v="0"/>
    <n v="0"/>
    <n v="0"/>
    <n v="0"/>
    <n v="0"/>
    <n v="0"/>
    <s v="ESTIMATED"/>
    <s v="Estimación de saldo ATR en base a consumo histórico año anterior (BOE 4 jun 2015 apartado 6.3.2.b)"/>
    <x v="3"/>
    <x v="3"/>
    <n v="0"/>
  </r>
  <r>
    <n v="97067967539"/>
    <n v="0"/>
    <d v="2021-05-06T00:00:00"/>
    <x v="40"/>
    <n v="0"/>
    <n v="0"/>
    <n v="0"/>
    <n v="0"/>
    <n v="0"/>
    <n v="0"/>
    <n v="0"/>
    <s v="REAL"/>
    <s v="Cálculo del saldo ATR por diferencia de lecturas"/>
    <x v="3"/>
    <x v="4"/>
    <n v="0"/>
  </r>
  <r>
    <n v="97067967539"/>
    <n v="0"/>
    <d v="2021-06-01T00:00:00"/>
    <x v="41"/>
    <n v="0"/>
    <n v="0"/>
    <n v="0"/>
    <n v="0"/>
    <n v="0"/>
    <n v="0"/>
    <n v="0"/>
    <s v="REAL"/>
    <s v="Cálculo del saldo ATR por diferencia de lecturas"/>
    <x v="3"/>
    <x v="5"/>
    <n v="0"/>
  </r>
  <r>
    <n v="97067967539"/>
    <n v="0"/>
    <d v="2021-07-05T00:00:00"/>
    <x v="42"/>
    <n v="0"/>
    <n v="0"/>
    <n v="0"/>
    <n v="0"/>
    <n v="0"/>
    <n v="0"/>
    <n v="0"/>
    <s v="REAL"/>
    <s v="Cálculo del saldo ATR por diferencia de lecturas"/>
    <x v="3"/>
    <x v="6"/>
    <n v="0"/>
  </r>
  <r>
    <n v="97067967539"/>
    <n v="0"/>
    <d v="2021-08-04T00:00:00"/>
    <x v="43"/>
    <n v="1"/>
    <n v="3.125E-2"/>
    <n v="0"/>
    <n v="0"/>
    <n v="0"/>
    <n v="0"/>
    <n v="0"/>
    <s v="REAL"/>
    <s v="Cálculo del saldo ATR por diferencia de lecturas"/>
    <x v="3"/>
    <x v="7"/>
    <n v="1"/>
  </r>
  <r>
    <n v="97067967539"/>
    <n v="0"/>
    <d v="2021-09-05T00:00:00"/>
    <x v="44"/>
    <n v="1"/>
    <n v="3.3333333333333333E-2"/>
    <n v="0"/>
    <n v="0"/>
    <n v="0"/>
    <n v="0"/>
    <n v="0"/>
    <s v="REAL"/>
    <s v="Cálculo del saldo ATR por diferencia de lecturas"/>
    <x v="3"/>
    <x v="8"/>
    <n v="1"/>
  </r>
  <r>
    <n v="97067967539"/>
    <n v="0"/>
    <d v="2021-10-05T00:00:00"/>
    <x v="45"/>
    <n v="0"/>
    <n v="0"/>
    <n v="0"/>
    <n v="0"/>
    <n v="0"/>
    <n v="0"/>
    <n v="0"/>
    <s v="REAL"/>
    <s v="Cálculo del saldo ATR por diferencia de lecturas"/>
    <x v="3"/>
    <x v="9"/>
    <n v="0"/>
  </r>
  <r>
    <n v="97067967539"/>
    <n v="0"/>
    <d v="2021-11-03T00:00:00"/>
    <x v="46"/>
    <n v="0"/>
    <n v="0"/>
    <n v="0"/>
    <n v="0"/>
    <n v="0"/>
    <n v="0"/>
    <n v="0"/>
    <s v="REAL"/>
    <s v="Cálculo del saldo ATR por diferencia de lecturas"/>
    <x v="3"/>
    <x v="10"/>
    <n v="0"/>
  </r>
  <r>
    <n v="500008272897"/>
    <n v="0"/>
    <d v="2021-12-01T00:00:00"/>
    <x v="47"/>
    <n v="0"/>
    <n v="0"/>
    <n v="0"/>
    <n v="0"/>
    <n v="0"/>
    <n v="0"/>
    <n v="0"/>
    <s v="REAL"/>
    <s v="Cálculo del saldo ATR por diferencia de lecturas"/>
    <x v="3"/>
    <x v="11"/>
    <n v="0"/>
  </r>
  <r>
    <n v="500008272897"/>
    <n v="0"/>
    <d v="2022-01-01T00:00:00"/>
    <x v="48"/>
    <n v="17"/>
    <n v="0.56666666666666665"/>
    <n v="0"/>
    <n v="0"/>
    <n v="0"/>
    <n v="0"/>
    <n v="0"/>
    <s v="REAL"/>
    <s v="Cálculo del saldo ATR por diferencia de lecturas"/>
    <x v="4"/>
    <x v="0"/>
    <n v="17"/>
  </r>
  <r>
    <n v="500008272897"/>
    <n v="0"/>
    <d v="2022-01-31T00:00:00"/>
    <x v="49"/>
    <n v="47"/>
    <n v="1.8076923076923077"/>
    <n v="0"/>
    <n v="0"/>
    <n v="0"/>
    <n v="0"/>
    <n v="0"/>
    <s v="REAL"/>
    <s v="Cálculo del saldo ATR por diferencia de lecturas"/>
    <x v="4"/>
    <x v="0"/>
    <n v="47"/>
  </r>
  <r>
    <n v="500008272897"/>
    <n v="0"/>
    <d v="2022-02-26T00:00:00"/>
    <x v="50"/>
    <n v="0"/>
    <n v="0"/>
    <n v="0"/>
    <n v="0"/>
    <n v="0"/>
    <n v="0"/>
    <n v="0"/>
    <s v="REAL"/>
    <s v="Cálculo del saldo ATR por diferencia de lecturas"/>
    <x v="4"/>
    <x v="1"/>
    <n v="0"/>
  </r>
  <r>
    <n v="500009141130"/>
    <n v="0"/>
    <d v="2022-03-04T00:00:00"/>
    <x v="51"/>
    <n v="3"/>
    <n v="0.1"/>
    <n v="0"/>
    <n v="0"/>
    <n v="0"/>
    <n v="0"/>
    <n v="0"/>
    <s v="REAL"/>
    <s v="Cálculo del saldo ATR por diferencia de lecturas"/>
    <x v="4"/>
    <x v="2"/>
    <n v="3"/>
  </r>
  <r>
    <n v="500009141130"/>
    <n v="0"/>
    <d v="2022-04-03T00:00:00"/>
    <x v="52"/>
    <n v="1"/>
    <n v="3.3333333333333333E-2"/>
    <n v="0"/>
    <n v="0"/>
    <n v="0"/>
    <n v="0"/>
    <n v="0"/>
    <s v="REAL"/>
    <s v="Cálculo del saldo ATR por diferencia de lecturas"/>
    <x v="4"/>
    <x v="3"/>
    <n v="1"/>
  </r>
  <r>
    <n v="500009141130"/>
    <n v="0"/>
    <d v="2022-05-03T00:00:00"/>
    <x v="53"/>
    <n v="0"/>
    <n v="0"/>
    <n v="0"/>
    <n v="0"/>
    <n v="0"/>
    <n v="0"/>
    <n v="0"/>
    <s v="REAL"/>
    <s v="Cálculo del saldo ATR por diferencia de lecturas"/>
    <x v="4"/>
    <x v="4"/>
    <n v="0"/>
  </r>
  <r>
    <n v="500009141130"/>
    <n v="0"/>
    <d v="2022-05-29T00:00:00"/>
    <x v="54"/>
    <n v="0"/>
    <n v="0"/>
    <n v="0"/>
    <n v="0"/>
    <n v="0"/>
    <n v="0"/>
    <n v="0"/>
    <s v="REAL"/>
    <s v="Cálculo del saldo ATR por diferencia de lecturas"/>
    <x v="4"/>
    <x v="4"/>
    <n v="0"/>
  </r>
  <r>
    <n v="500009141130"/>
    <n v="0"/>
    <d v="2022-07-03T00:00:00"/>
    <x v="55"/>
    <n v="0"/>
    <n v="0"/>
    <n v="0"/>
    <n v="0"/>
    <n v="0"/>
    <n v="0"/>
    <n v="0"/>
    <s v="REAL"/>
    <s v="Saldo ATR calculado a partir de la CCH Val"/>
    <x v="4"/>
    <x v="6"/>
    <n v="0"/>
  </r>
  <r>
    <n v="500010411584"/>
    <n v="0"/>
    <d v="2022-07-26T00:00:00"/>
    <x v="56"/>
    <n v="0"/>
    <n v="0"/>
    <n v="0"/>
    <n v="0"/>
    <n v="0"/>
    <n v="0"/>
    <n v="0"/>
    <s v="REAL"/>
    <s v="Cálculo del saldo ATR por diferencia de lecturas"/>
    <x v="4"/>
    <x v="6"/>
    <n v="0"/>
  </r>
  <r>
    <n v="500010411584"/>
    <n v="0"/>
    <d v="2022-08-21T00:00:00"/>
    <x v="57"/>
    <n v="8"/>
    <n v="0.23529411764705882"/>
    <n v="0"/>
    <n v="0"/>
    <n v="0"/>
    <n v="0"/>
    <n v="0"/>
    <s v="REAL"/>
    <s v="Cálculo del saldo ATR por diferencia de lecturas"/>
    <x v="4"/>
    <x v="7"/>
    <n v="8"/>
  </r>
  <r>
    <n v="500010930025"/>
    <n v="0"/>
    <d v="2022-09-24T00:00:00"/>
    <x v="58"/>
    <n v="0"/>
    <n v="0"/>
    <n v="0"/>
    <n v="0"/>
    <n v="0"/>
    <n v="0"/>
    <n v="0"/>
    <s v="ESTIMATED"/>
    <s v="Estimación de saldo ATR en base a consumo histórico año anterior (BOE 4 jun 2015 apartado 6.3.2.b)"/>
    <x v="4"/>
    <x v="8"/>
    <n v="0"/>
  </r>
  <r>
    <n v="500010930025"/>
    <n v="0"/>
    <d v="2022-11-21T00:00:00"/>
    <x v="59"/>
    <n v="0"/>
    <n v="0"/>
    <n v="0"/>
    <n v="0"/>
    <n v="0"/>
    <n v="0"/>
    <n v="0"/>
    <s v="ESTIMATED"/>
    <s v="Estimación de saldo ATR en base a consumo histórico año anterior (BOE 4 jun 2015 apartado 6.3.2.b)"/>
    <x v="4"/>
    <x v="10"/>
    <n v="0"/>
  </r>
  <r>
    <n v="500010930025"/>
    <n v="0"/>
    <d v="2023-01-23T00:00:00"/>
    <x v="60"/>
    <n v="0"/>
    <n v="0"/>
    <n v="0"/>
    <n v="0"/>
    <n v="0"/>
    <n v="0"/>
    <n v="0"/>
    <s v="REAL"/>
    <s v="Cálculo del saldo ATR por diferencia de lecturas"/>
    <x v="5"/>
    <x v="0"/>
    <n v="0"/>
  </r>
  <r>
    <n v="500010930025"/>
    <n v="0"/>
    <d v="2023-02-17T00:00:00"/>
    <x v="61"/>
    <n v="0"/>
    <n v="0"/>
    <n v="0"/>
    <n v="0"/>
    <n v="0"/>
    <n v="0"/>
    <n v="0"/>
    <s v="REAL"/>
    <s v="Cálculo del saldo ATR por diferencia de lecturas"/>
    <x v="5"/>
    <x v="1"/>
    <n v="0"/>
  </r>
  <r>
    <n v="500010930025"/>
    <n v="0"/>
    <d v="2023-03-18T00:00:00"/>
    <x v="62"/>
    <n v="0"/>
    <n v="0"/>
    <n v="0"/>
    <n v="0"/>
    <n v="0"/>
    <n v="0"/>
    <n v="0"/>
    <s v="REAL"/>
    <s v="Cálculo del saldo ATR por diferencia de lecturas"/>
    <x v="5"/>
    <x v="2"/>
    <n v="0"/>
  </r>
  <r>
    <n v="500010930025"/>
    <n v="0"/>
    <d v="2023-04-22T00:00:00"/>
    <x v="63"/>
    <n v="0"/>
    <n v="0"/>
    <n v="0"/>
    <n v="0"/>
    <n v="0"/>
    <n v="0"/>
    <n v="0"/>
    <s v="REAL"/>
    <s v="Cálculo del saldo ATR por diferencia de lecturas"/>
    <x v="5"/>
    <x v="3"/>
    <n v="0"/>
  </r>
  <r>
    <n v="500010930025"/>
    <n v="0"/>
    <d v="2023-05-17T00:00:00"/>
    <x v="64"/>
    <n v="0"/>
    <n v="0"/>
    <n v="0"/>
    <n v="0"/>
    <n v="0"/>
    <n v="0"/>
    <n v="0"/>
    <s v="REAL"/>
    <s v="Cálculo del saldo ATR por diferencia de lecturas"/>
    <x v="5"/>
    <x v="4"/>
    <n v="0"/>
  </r>
  <r>
    <n v="500010930025"/>
    <n v="0"/>
    <d v="2023-06-18T00:00:00"/>
    <x v="65"/>
    <n v="0"/>
    <n v="0"/>
    <n v="0"/>
    <n v="0"/>
    <n v="0"/>
    <n v="0"/>
    <n v="0"/>
    <s v="REAL"/>
    <s v="Cálculo del saldo ATR por diferencia de lecturas"/>
    <x v="5"/>
    <x v="5"/>
    <n v="0"/>
  </r>
  <r>
    <n v="500010930025"/>
    <n v="0"/>
    <d v="2023-06-20T00:00:00"/>
    <x v="66"/>
    <n v="0"/>
    <n v="0"/>
    <n v="0"/>
    <n v="0"/>
    <n v="0"/>
    <n v="0"/>
    <n v="0"/>
    <s v="REAL"/>
    <s v="Cálculo del saldo ATR por diferencia de lecturas"/>
    <x v="5"/>
    <x v="5"/>
    <n v="0"/>
  </r>
  <r>
    <n v="500010930025"/>
    <n v="0"/>
    <d v="2023-08-21T00:00:00"/>
    <x v="67"/>
    <n v="0"/>
    <n v="0"/>
    <n v="0"/>
    <n v="0"/>
    <n v="0"/>
    <n v="0"/>
    <n v="0"/>
    <s v="REAL"/>
    <s v="Cálculo del saldo ATR por diferencia de lecturas"/>
    <x v="5"/>
    <x v="7"/>
    <n v="0"/>
  </r>
  <r>
    <n v="500010930025"/>
    <n v="0"/>
    <d v="2023-09-16T00:00:00"/>
    <x v="68"/>
    <n v="0"/>
    <n v="0"/>
    <n v="0"/>
    <n v="0"/>
    <n v="0"/>
    <n v="0"/>
    <n v="0"/>
    <s v="REAL"/>
    <s v="Cálculo del saldo ATR por diferencia de lecturas"/>
    <x v="5"/>
    <x v="8"/>
    <n v="0"/>
  </r>
  <r>
    <n v="500010930025"/>
    <n v="0"/>
    <d v="2023-10-21T00:00:00"/>
    <x v="69"/>
    <n v="0"/>
    <n v="0"/>
    <n v="0"/>
    <n v="0"/>
    <n v="0"/>
    <n v="0"/>
    <n v="0"/>
    <s v="REAL"/>
    <s v="Cálculo del saldo ATR por diferencia de lecturas"/>
    <x v="5"/>
    <x v="9"/>
    <n v="0"/>
  </r>
  <r>
    <n v="500010930025"/>
    <n v="0"/>
    <d v="2023-11-25T00:00:00"/>
    <x v="70"/>
    <n v="0"/>
    <n v="0"/>
    <n v="0"/>
    <n v="0"/>
    <n v="0"/>
    <n v="0"/>
    <n v="0"/>
    <s v="REAL"/>
    <s v="Cálculo del saldo ATR por diferencia de lecturas"/>
    <x v="5"/>
    <x v="10"/>
    <n v="0"/>
  </r>
  <r>
    <n v="500010930025"/>
    <n v="0"/>
    <d v="2023-12-21T00:00:00"/>
    <x v="71"/>
    <n v="0"/>
    <n v="0"/>
    <n v="0"/>
    <n v="0"/>
    <n v="0"/>
    <n v="0"/>
    <n v="0"/>
    <s v="REAL"/>
    <s v="Cálculo del saldo ATR por diferencia de lecturas"/>
    <x v="5"/>
    <x v="11"/>
    <n v="0"/>
  </r>
  <r>
    <n v="500010930025"/>
    <n v="0"/>
    <d v="2024-01-21T00:00:00"/>
    <x v="72"/>
    <n v="0"/>
    <n v="0"/>
    <n v="0"/>
    <n v="0"/>
    <n v="0"/>
    <n v="0"/>
    <n v="0"/>
    <s v="REAL"/>
    <s v="Cálculo del saldo ATR por diferencia de lecturas"/>
    <x v="6"/>
    <x v="0"/>
    <n v="0"/>
  </r>
  <r>
    <n v="500010930025"/>
    <n v="0"/>
    <d v="2024-02-20T00:00:00"/>
    <x v="73"/>
    <n v="0"/>
    <n v="0"/>
    <n v="0"/>
    <n v="0"/>
    <n v="0"/>
    <n v="0"/>
    <n v="0"/>
    <s v="REAL"/>
    <s v="Cálculo del saldo ATR por diferencia de lecturas"/>
    <x v="6"/>
    <x v="1"/>
    <n v="0"/>
  </r>
  <r>
    <n v="500010930025"/>
    <n v="0"/>
    <d v="2024-03-13T00:00:00"/>
    <x v="74"/>
    <n v="0"/>
    <n v="0"/>
    <n v="0"/>
    <n v="0"/>
    <n v="0"/>
    <n v="0"/>
    <n v="0"/>
    <s v="REAL"/>
    <s v="Saldo ATR calculado a partir de la CCH Val"/>
    <x v="6"/>
    <x v="2"/>
    <n v="0"/>
  </r>
  <r>
    <n v="500010930025"/>
    <n v="0"/>
    <d v="2024-04-19T00:00:00"/>
    <x v="75"/>
    <n v="0"/>
    <n v="0"/>
    <n v="0"/>
    <n v="0"/>
    <n v="0"/>
    <n v="0"/>
    <n v="0"/>
    <s v="ESTIMATED"/>
    <s v="Consumo 0"/>
    <x v="6"/>
    <x v="3"/>
    <n v="0"/>
  </r>
  <r>
    <n v="500010930025"/>
    <n v="0"/>
    <d v="2024-06-16T00:00:00"/>
    <x v="76"/>
    <n v="0"/>
    <n v="0"/>
    <n v="0"/>
    <n v="0"/>
    <n v="0"/>
    <n v="0"/>
    <n v="0"/>
    <s v="ESTIMATED"/>
    <s v="Consumo 0"/>
    <x v="6"/>
    <x v="5"/>
    <n v="0"/>
  </r>
  <r>
    <n v="500010930025"/>
    <n v="0"/>
    <d v="2024-08-20T00:00:00"/>
    <x v="77"/>
    <n v="0"/>
    <n v="0"/>
    <n v="0"/>
    <n v="0"/>
    <n v="0"/>
    <n v="0"/>
    <n v="0"/>
    <s v="REAL"/>
    <s v="Cálculo del saldo ATR por diferencia de lecturas"/>
    <x v="6"/>
    <x v="7"/>
    <n v="0"/>
  </r>
  <r>
    <n v="500010930025"/>
    <n v="0"/>
    <d v="2024-09-19T00:00:00"/>
    <x v="78"/>
    <n v="0"/>
    <n v="0"/>
    <n v="0"/>
    <n v="0"/>
    <n v="0"/>
    <n v="0"/>
    <n v="0"/>
    <s v="REAL"/>
    <s v="Cálculo del saldo ATR por diferencia de lecturas"/>
    <x v="6"/>
    <x v="8"/>
    <n v="0"/>
  </r>
  <r>
    <n v="500010930025"/>
    <n v="0"/>
    <d v="2024-10-19T00:00:00"/>
    <x v="79"/>
    <n v="0"/>
    <n v="0"/>
    <n v="0"/>
    <n v="0"/>
    <n v="0"/>
    <n v="0"/>
    <n v="0"/>
    <s v="REAL"/>
    <s v="Cálculo del saldo ATR por diferencia de lecturas"/>
    <x v="6"/>
    <x v="9"/>
    <n v="0"/>
  </r>
  <r>
    <n v="500018185086"/>
    <n v="0"/>
    <d v="2024-11-16T00:00:00"/>
    <x v="80"/>
    <n v="13"/>
    <n v="0.44827586206896552"/>
    <n v="0"/>
    <n v="0"/>
    <n v="0"/>
    <n v="0"/>
    <n v="0"/>
    <s v="REAL"/>
    <s v="Cálculo del saldo ATR por diferencia de lecturas"/>
    <x v="6"/>
    <x v="10"/>
    <n v="13"/>
  </r>
  <r>
    <n v="500018185086"/>
    <n v="0"/>
    <d v="2024-12-15T00:00:00"/>
    <x v="81"/>
    <n v="12"/>
    <n v="0.4"/>
    <n v="0"/>
    <n v="0"/>
    <n v="0"/>
    <n v="0"/>
    <n v="0"/>
    <s v="REAL"/>
    <s v="Cálculo del saldo ATR por diferencia de lecturas"/>
    <x v="6"/>
    <x v="11"/>
    <n v="12"/>
  </r>
  <r>
    <n v="500018185086"/>
    <n v="0"/>
    <d v="2025-01-14T00:00:00"/>
    <x v="82"/>
    <n v="12"/>
    <n v="0.46153846153846156"/>
    <n v="0"/>
    <n v="0"/>
    <n v="0"/>
    <n v="0"/>
    <n v="0"/>
    <s v="REAL"/>
    <s v="Cálculo del saldo ATR por diferencia de lecturas"/>
    <x v="7"/>
    <x v="0"/>
    <n v="12"/>
  </r>
  <r>
    <n v="500018185086"/>
    <n v="0"/>
    <d v="2025-02-09T00:00:00"/>
    <x v="83"/>
    <n v="16"/>
    <n v="0.5161290322580645"/>
    <n v="0"/>
    <n v="0"/>
    <n v="0"/>
    <n v="0"/>
    <n v="0"/>
    <s v="REAL"/>
    <s v="Cálculo del saldo ATR por diferencia de lecturas"/>
    <x v="7"/>
    <x v="1"/>
    <n v="16"/>
  </r>
  <r>
    <n v="500018185086"/>
    <n v="0"/>
    <d v="2025-03-12T00:00:00"/>
    <x v="84"/>
    <n v="15"/>
    <n v="0.5357142857142857"/>
    <n v="0"/>
    <n v="0"/>
    <n v="0"/>
    <n v="0"/>
    <n v="0"/>
    <s v="REAL"/>
    <s v="Cálculo del saldo ATR por diferencia de lecturas"/>
    <x v="7"/>
    <x v="2"/>
    <n v="15"/>
  </r>
  <r>
    <n v="500018185086"/>
    <n v="0"/>
    <d v="2025-04-09T00:00:00"/>
    <x v="85"/>
    <n v="13"/>
    <n v="0.39393939393939392"/>
    <n v="0"/>
    <n v="0"/>
    <n v="0"/>
    <n v="0"/>
    <n v="0"/>
    <s v="REAL"/>
    <s v="Cálculo del saldo ATR por diferencia de lecturas"/>
    <x v="7"/>
    <x v="3"/>
    <n v="13"/>
  </r>
  <r>
    <n v="500018185086"/>
    <n v="0"/>
    <d v="2025-05-12T00:00:00"/>
    <x v="86"/>
    <n v="10"/>
    <n v="0.33333333333333331"/>
    <n v="0"/>
    <n v="0"/>
    <n v="0"/>
    <n v="0"/>
    <n v="0"/>
    <s v="REAL"/>
    <s v="Cálculo del saldo ATR por diferencia de lecturas"/>
    <x v="7"/>
    <x v="4"/>
    <n v="10"/>
  </r>
  <r>
    <n v="500018185086"/>
    <n v="0"/>
    <d v="2025-06-11T00:00:00"/>
    <x v="87"/>
    <n v="9"/>
    <n v="0.36"/>
    <n v="0"/>
    <n v="0"/>
    <n v="0"/>
    <n v="0"/>
    <n v="0"/>
    <s v="REAL"/>
    <s v="Cálculo del saldo ATR por diferencia de lecturas"/>
    <x v="7"/>
    <x v="5"/>
    <n v="9"/>
  </r>
  <r>
    <n v="500018185086"/>
    <n v="0"/>
    <d v="2025-07-06T00:00:00"/>
    <x v="88"/>
    <n v="16"/>
    <n v="0.44444444444444442"/>
    <n v="0"/>
    <n v="0"/>
    <n v="0"/>
    <n v="0"/>
    <n v="0"/>
    <s v="REAL"/>
    <s v="Cálculo del saldo ATR por diferencia de lecturas"/>
    <x v="7"/>
    <x v="6"/>
    <n v="16"/>
  </r>
  <r>
    <n v="500018185086"/>
    <n v="0"/>
    <d v="2025-08-11T00:00:00"/>
    <x v="89"/>
    <n v="15"/>
    <n v="0.51724137931034486"/>
    <n v="0"/>
    <n v="0"/>
    <n v="0"/>
    <n v="0"/>
    <n v="0"/>
    <s v="REAL"/>
    <s v="Cálculo del saldo ATR por diferencia de lecturas"/>
    <x v="7"/>
    <x v="7"/>
    <n v="15"/>
  </r>
  <r>
    <s v=""/>
    <s v=""/>
    <s v=""/>
    <x v="90"/>
    <s v=""/>
    <s v=""/>
    <s v=""/>
    <s v=""/>
    <s v=""/>
    <s v=""/>
    <s v=""/>
    <s v=""/>
    <s v=""/>
    <x v="8"/>
    <x v="12"/>
    <s v=""/>
  </r>
  <r>
    <s v=""/>
    <s v=""/>
    <s v=""/>
    <x v="90"/>
    <s v=""/>
    <s v=""/>
    <s v=""/>
    <s v=""/>
    <s v=""/>
    <s v=""/>
    <s v=""/>
    <s v=""/>
    <s v=""/>
    <x v="8"/>
    <x v="12"/>
    <s v=""/>
  </r>
  <r>
    <s v=""/>
    <s v=""/>
    <s v=""/>
    <x v="90"/>
    <s v=""/>
    <s v=""/>
    <s v=""/>
    <s v=""/>
    <s v=""/>
    <s v=""/>
    <s v=""/>
    <s v=""/>
    <s v=""/>
    <x v="8"/>
    <x v="12"/>
    <s v=""/>
  </r>
  <r>
    <s v=""/>
    <s v=""/>
    <s v=""/>
    <x v="90"/>
    <s v=""/>
    <s v=""/>
    <s v=""/>
    <s v=""/>
    <s v=""/>
    <s v=""/>
    <s v=""/>
    <s v=""/>
    <s v=""/>
    <x v="8"/>
    <x v="12"/>
    <s v=""/>
  </r>
  <r>
    <s v=""/>
    <s v=""/>
    <s v=""/>
    <x v="90"/>
    <s v=""/>
    <s v=""/>
    <s v=""/>
    <s v=""/>
    <s v=""/>
    <s v=""/>
    <s v=""/>
    <s v=""/>
    <s v=""/>
    <x v="8"/>
    <x v="12"/>
    <s v=""/>
  </r>
  <r>
    <s v=""/>
    <s v=""/>
    <s v=""/>
    <x v="90"/>
    <s v=""/>
    <s v=""/>
    <s v=""/>
    <s v=""/>
    <s v=""/>
    <s v=""/>
    <s v=""/>
    <s v=""/>
    <s v=""/>
    <x v="8"/>
    <x v="12"/>
    <s v=""/>
  </r>
  <r>
    <s v=""/>
    <s v=""/>
    <s v=""/>
    <x v="90"/>
    <s v=""/>
    <s v=""/>
    <s v=""/>
    <s v=""/>
    <s v=""/>
    <s v=""/>
    <s v=""/>
    <s v=""/>
    <s v=""/>
    <x v="8"/>
    <x v="12"/>
    <s v=""/>
  </r>
  <r>
    <s v=""/>
    <s v=""/>
    <s v=""/>
    <x v="90"/>
    <s v=""/>
    <s v=""/>
    <s v=""/>
    <s v=""/>
    <s v=""/>
    <s v=""/>
    <s v=""/>
    <s v=""/>
    <s v=""/>
    <x v="8"/>
    <x v="12"/>
    <s v=""/>
  </r>
  <r>
    <s v=""/>
    <s v=""/>
    <s v=""/>
    <x v="90"/>
    <s v=""/>
    <s v=""/>
    <s v=""/>
    <s v=""/>
    <s v=""/>
    <s v=""/>
    <s v=""/>
    <s v=""/>
    <s v=""/>
    <x v="8"/>
    <x v="12"/>
    <s v=""/>
  </r>
  <r>
    <s v=""/>
    <s v=""/>
    <s v=""/>
    <x v="90"/>
    <s v=""/>
    <s v=""/>
    <s v=""/>
    <s v=""/>
    <s v=""/>
    <s v=""/>
    <s v=""/>
    <s v=""/>
    <s v=""/>
    <x v="8"/>
    <x v="12"/>
    <s v=""/>
  </r>
  <r>
    <s v=""/>
    <s v=""/>
    <s v=""/>
    <x v="90"/>
    <s v=""/>
    <s v=""/>
    <s v=""/>
    <s v=""/>
    <s v=""/>
    <s v=""/>
    <s v=""/>
    <s v=""/>
    <s v=""/>
    <x v="8"/>
    <x v="12"/>
    <s v=""/>
  </r>
  <r>
    <s v=""/>
    <s v=""/>
    <s v=""/>
    <x v="90"/>
    <s v=""/>
    <s v=""/>
    <s v=""/>
    <s v=""/>
    <s v=""/>
    <s v=""/>
    <s v=""/>
    <s v=""/>
    <s v=""/>
    <x v="8"/>
    <x v="12"/>
    <s v=""/>
  </r>
  <r>
    <s v=""/>
    <s v=""/>
    <s v=""/>
    <x v="90"/>
    <s v=""/>
    <s v=""/>
    <s v=""/>
    <s v=""/>
    <s v=""/>
    <s v=""/>
    <s v=""/>
    <s v=""/>
    <s v=""/>
    <x v="8"/>
    <x v="12"/>
    <s v=""/>
  </r>
  <r>
    <s v=""/>
    <s v=""/>
    <s v=""/>
    <x v="90"/>
    <s v=""/>
    <s v=""/>
    <s v=""/>
    <s v=""/>
    <s v=""/>
    <s v=""/>
    <s v=""/>
    <s v=""/>
    <s v=""/>
    <x v="8"/>
    <x v="12"/>
    <s v=""/>
  </r>
  <r>
    <s v=""/>
    <s v=""/>
    <s v=""/>
    <x v="90"/>
    <s v=""/>
    <s v=""/>
    <s v=""/>
    <s v=""/>
    <s v=""/>
    <s v=""/>
    <s v=""/>
    <s v=""/>
    <s v=""/>
    <x v="8"/>
    <x v="12"/>
    <s v=""/>
  </r>
  <r>
    <s v=""/>
    <s v=""/>
    <s v=""/>
    <x v="90"/>
    <s v=""/>
    <s v=""/>
    <s v=""/>
    <s v=""/>
    <s v=""/>
    <s v=""/>
    <s v=""/>
    <s v=""/>
    <s v=""/>
    <x v="8"/>
    <x v="12"/>
    <s v=""/>
  </r>
  <r>
    <s v=""/>
    <s v=""/>
    <s v=""/>
    <x v="90"/>
    <s v=""/>
    <s v=""/>
    <s v=""/>
    <s v=""/>
    <s v=""/>
    <s v=""/>
    <s v=""/>
    <s v=""/>
    <s v=""/>
    <x v="8"/>
    <x v="12"/>
    <s v=""/>
  </r>
  <r>
    <s v=""/>
    <s v=""/>
    <s v=""/>
    <x v="90"/>
    <s v=""/>
    <s v=""/>
    <s v=""/>
    <s v=""/>
    <s v=""/>
    <s v=""/>
    <s v=""/>
    <s v=""/>
    <s v=""/>
    <x v="8"/>
    <x v="12"/>
    <s v=""/>
  </r>
  <r>
    <s v=""/>
    <s v=""/>
    <s v=""/>
    <x v="90"/>
    <s v=""/>
    <s v=""/>
    <s v=""/>
    <s v=""/>
    <s v=""/>
    <s v=""/>
    <s v=""/>
    <s v=""/>
    <s v=""/>
    <x v="8"/>
    <x v="12"/>
    <s v=""/>
  </r>
  <r>
    <s v=""/>
    <s v=""/>
    <s v=""/>
    <x v="90"/>
    <s v=""/>
    <s v=""/>
    <s v=""/>
    <s v=""/>
    <s v=""/>
    <s v=""/>
    <s v=""/>
    <s v=""/>
    <s v=""/>
    <x v="8"/>
    <x v="12"/>
    <s v=""/>
  </r>
  <r>
    <s v=""/>
    <s v=""/>
    <s v=""/>
    <x v="90"/>
    <s v=""/>
    <s v=""/>
    <s v=""/>
    <s v=""/>
    <s v=""/>
    <s v=""/>
    <s v=""/>
    <s v=""/>
    <s v=""/>
    <x v="8"/>
    <x v="12"/>
    <s v=""/>
  </r>
  <r>
    <s v=""/>
    <s v=""/>
    <s v=""/>
    <x v="90"/>
    <s v=""/>
    <s v=""/>
    <s v=""/>
    <s v=""/>
    <s v=""/>
    <s v=""/>
    <s v=""/>
    <s v=""/>
    <s v=""/>
    <x v="8"/>
    <x v="12"/>
    <s v=""/>
  </r>
  <r>
    <s v=""/>
    <s v=""/>
    <s v=""/>
    <x v="90"/>
    <s v=""/>
    <s v=""/>
    <s v=""/>
    <s v=""/>
    <s v=""/>
    <s v=""/>
    <s v=""/>
    <s v=""/>
    <s v=""/>
    <x v="8"/>
    <x v="12"/>
    <s v=""/>
  </r>
  <r>
    <s v=""/>
    <s v=""/>
    <s v=""/>
    <x v="90"/>
    <s v=""/>
    <s v=""/>
    <s v=""/>
    <s v=""/>
    <s v=""/>
    <s v=""/>
    <s v=""/>
    <s v=""/>
    <s v=""/>
    <x v="8"/>
    <x v="12"/>
    <s v=""/>
  </r>
  <r>
    <s v=""/>
    <s v=""/>
    <s v=""/>
    <x v="90"/>
    <s v=""/>
    <s v=""/>
    <s v=""/>
    <s v=""/>
    <s v=""/>
    <s v=""/>
    <s v=""/>
    <s v=""/>
    <s v=""/>
    <x v="8"/>
    <x v="12"/>
    <s v=""/>
  </r>
  <r>
    <s v=""/>
    <s v=""/>
    <s v=""/>
    <x v="90"/>
    <s v=""/>
    <s v=""/>
    <s v=""/>
    <s v=""/>
    <s v=""/>
    <s v=""/>
    <s v=""/>
    <s v=""/>
    <s v=""/>
    <x v="8"/>
    <x v="12"/>
    <s v=""/>
  </r>
  <r>
    <s v=""/>
    <s v=""/>
    <s v=""/>
    <x v="90"/>
    <s v=""/>
    <s v=""/>
    <s v=""/>
    <s v=""/>
    <s v=""/>
    <s v=""/>
    <s v=""/>
    <s v=""/>
    <s v=""/>
    <x v="8"/>
    <x v="12"/>
    <s v=""/>
  </r>
  <r>
    <s v=""/>
    <s v=""/>
    <s v=""/>
    <x v="90"/>
    <s v=""/>
    <s v=""/>
    <s v=""/>
    <s v=""/>
    <s v=""/>
    <s v=""/>
    <s v=""/>
    <s v=""/>
    <s v=""/>
    <x v="8"/>
    <x v="12"/>
    <s v=""/>
  </r>
  <r>
    <s v=""/>
    <s v=""/>
    <s v=""/>
    <x v="90"/>
    <s v=""/>
    <s v=""/>
    <s v=""/>
    <s v=""/>
    <s v=""/>
    <s v=""/>
    <s v=""/>
    <s v=""/>
    <s v=""/>
    <x v="8"/>
    <x v="12"/>
    <s v=""/>
  </r>
  <r>
    <s v=""/>
    <s v=""/>
    <s v=""/>
    <x v="90"/>
    <s v=""/>
    <s v=""/>
    <s v=""/>
    <s v=""/>
    <s v=""/>
    <s v=""/>
    <s v=""/>
    <s v=""/>
    <s v=""/>
    <x v="8"/>
    <x v="12"/>
    <s v=""/>
  </r>
  <r>
    <s v=""/>
    <s v=""/>
    <s v=""/>
    <x v="90"/>
    <s v=""/>
    <s v=""/>
    <s v=""/>
    <s v=""/>
    <s v=""/>
    <s v=""/>
    <s v=""/>
    <s v=""/>
    <s v=""/>
    <x v="8"/>
    <x v="12"/>
    <s v=""/>
  </r>
  <r>
    <s v=""/>
    <s v=""/>
    <s v=""/>
    <x v="90"/>
    <s v=""/>
    <s v=""/>
    <s v=""/>
    <s v=""/>
    <s v=""/>
    <s v=""/>
    <s v=""/>
    <s v=""/>
    <s v=""/>
    <x v="8"/>
    <x v="12"/>
    <s v=""/>
  </r>
  <r>
    <s v=""/>
    <s v=""/>
    <s v=""/>
    <x v="90"/>
    <s v=""/>
    <s v=""/>
    <s v=""/>
    <s v=""/>
    <s v=""/>
    <s v=""/>
    <s v=""/>
    <s v=""/>
    <s v=""/>
    <x v="8"/>
    <x v="12"/>
    <s v=""/>
  </r>
  <r>
    <s v=""/>
    <s v=""/>
    <s v=""/>
    <x v="90"/>
    <s v=""/>
    <s v=""/>
    <s v=""/>
    <s v=""/>
    <s v=""/>
    <s v=""/>
    <s v=""/>
    <s v=""/>
    <s v=""/>
    <x v="8"/>
    <x v="12"/>
    <s v=""/>
  </r>
  <r>
    <s v=""/>
    <s v=""/>
    <s v=""/>
    <x v="90"/>
    <s v=""/>
    <s v=""/>
    <s v=""/>
    <s v=""/>
    <s v=""/>
    <s v=""/>
    <s v=""/>
    <s v=""/>
    <s v=""/>
    <x v="8"/>
    <x v="12"/>
    <s v=""/>
  </r>
  <r>
    <s v=""/>
    <s v=""/>
    <s v=""/>
    <x v="90"/>
    <s v=""/>
    <s v=""/>
    <s v=""/>
    <s v=""/>
    <s v=""/>
    <s v=""/>
    <s v=""/>
    <s v=""/>
    <s v=""/>
    <x v="8"/>
    <x v="12"/>
    <s v=""/>
  </r>
  <r>
    <s v=""/>
    <s v=""/>
    <s v=""/>
    <x v="90"/>
    <s v=""/>
    <s v=""/>
    <s v=""/>
    <s v=""/>
    <s v=""/>
    <s v=""/>
    <s v=""/>
    <s v=""/>
    <s v=""/>
    <x v="8"/>
    <x v="12"/>
    <s v=""/>
  </r>
  <r>
    <s v=""/>
    <s v=""/>
    <s v=""/>
    <x v="90"/>
    <s v=""/>
    <s v=""/>
    <s v=""/>
    <s v=""/>
    <s v=""/>
    <s v=""/>
    <s v=""/>
    <s v=""/>
    <s v=""/>
    <x v="8"/>
    <x v="12"/>
    <s v=""/>
  </r>
  <r>
    <s v=""/>
    <s v=""/>
    <s v=""/>
    <x v="90"/>
    <s v=""/>
    <s v=""/>
    <s v=""/>
    <s v=""/>
    <s v=""/>
    <s v=""/>
    <s v=""/>
    <s v=""/>
    <s v=""/>
    <x v="8"/>
    <x v="12"/>
    <s v=""/>
  </r>
  <r>
    <s v=""/>
    <s v=""/>
    <s v=""/>
    <x v="90"/>
    <s v=""/>
    <s v=""/>
    <s v=""/>
    <s v=""/>
    <s v=""/>
    <s v=""/>
    <s v=""/>
    <s v=""/>
    <s v=""/>
    <x v="8"/>
    <x v="12"/>
    <s v=""/>
  </r>
  <r>
    <s v=""/>
    <s v=""/>
    <s v=""/>
    <x v="90"/>
    <s v=""/>
    <s v=""/>
    <s v=""/>
    <s v=""/>
    <s v=""/>
    <s v=""/>
    <s v=""/>
    <s v=""/>
    <s v=""/>
    <x v="8"/>
    <x v="12"/>
    <s v=""/>
  </r>
  <r>
    <s v=""/>
    <s v=""/>
    <s v=""/>
    <x v="90"/>
    <s v=""/>
    <s v=""/>
    <s v=""/>
    <s v=""/>
    <s v=""/>
    <s v=""/>
    <s v=""/>
    <s v=""/>
    <s v=""/>
    <x v="8"/>
    <x v="12"/>
    <s v=""/>
  </r>
  <r>
    <s v=""/>
    <s v=""/>
    <s v=""/>
    <x v="90"/>
    <s v=""/>
    <s v=""/>
    <s v=""/>
    <s v=""/>
    <s v=""/>
    <s v=""/>
    <s v=""/>
    <s v=""/>
    <s v=""/>
    <x v="8"/>
    <x v="12"/>
    <s v=""/>
  </r>
  <r>
    <s v=""/>
    <s v=""/>
    <s v=""/>
    <x v="90"/>
    <s v=""/>
    <s v=""/>
    <s v=""/>
    <s v=""/>
    <s v=""/>
    <s v=""/>
    <s v=""/>
    <s v=""/>
    <s v=""/>
    <x v="8"/>
    <x v="12"/>
    <s v=""/>
  </r>
  <r>
    <s v=""/>
    <s v=""/>
    <s v=""/>
    <x v="90"/>
    <s v=""/>
    <s v=""/>
    <s v=""/>
    <s v=""/>
    <s v=""/>
    <s v=""/>
    <s v=""/>
    <s v=""/>
    <s v=""/>
    <x v="8"/>
    <x v="12"/>
    <s v=""/>
  </r>
  <r>
    <s v=""/>
    <s v=""/>
    <s v=""/>
    <x v="90"/>
    <s v=""/>
    <s v=""/>
    <s v=""/>
    <s v=""/>
    <s v=""/>
    <s v=""/>
    <s v=""/>
    <s v=""/>
    <s v=""/>
    <x v="8"/>
    <x v="12"/>
    <s v=""/>
  </r>
  <r>
    <s v=""/>
    <s v=""/>
    <s v=""/>
    <x v="90"/>
    <s v=""/>
    <s v=""/>
    <s v=""/>
    <s v=""/>
    <s v=""/>
    <s v=""/>
    <s v=""/>
    <s v=""/>
    <s v=""/>
    <x v="8"/>
    <x v="12"/>
    <s v=""/>
  </r>
  <r>
    <s v=""/>
    <s v=""/>
    <s v=""/>
    <x v="90"/>
    <s v=""/>
    <s v=""/>
    <s v=""/>
    <s v=""/>
    <s v=""/>
    <s v=""/>
    <s v=""/>
    <s v=""/>
    <s v=""/>
    <x v="8"/>
    <x v="12"/>
    <s v=""/>
  </r>
  <r>
    <s v=""/>
    <s v=""/>
    <s v=""/>
    <x v="90"/>
    <s v=""/>
    <s v=""/>
    <s v=""/>
    <s v=""/>
    <s v=""/>
    <s v=""/>
    <s v=""/>
    <s v=""/>
    <s v=""/>
    <x v="8"/>
    <x v="12"/>
    <s v=""/>
  </r>
  <r>
    <s v=""/>
    <s v=""/>
    <s v=""/>
    <x v="90"/>
    <s v=""/>
    <s v=""/>
    <s v=""/>
    <s v=""/>
    <s v=""/>
    <s v=""/>
    <s v=""/>
    <s v=""/>
    <s v=""/>
    <x v="8"/>
    <x v="12"/>
    <s v=""/>
  </r>
  <r>
    <s v=""/>
    <s v=""/>
    <s v=""/>
    <x v="90"/>
    <s v=""/>
    <s v=""/>
    <s v=""/>
    <s v=""/>
    <s v=""/>
    <s v=""/>
    <s v=""/>
    <s v=""/>
    <s v=""/>
    <x v="8"/>
    <x v="12"/>
    <s v=""/>
  </r>
  <r>
    <s v=""/>
    <s v=""/>
    <s v=""/>
    <x v="90"/>
    <s v=""/>
    <s v=""/>
    <s v=""/>
    <s v=""/>
    <s v=""/>
    <s v=""/>
    <s v=""/>
    <s v=""/>
    <s v=""/>
    <x v="8"/>
    <x v="12"/>
    <s v=""/>
  </r>
  <r>
    <s v=""/>
    <s v=""/>
    <s v=""/>
    <x v="90"/>
    <s v=""/>
    <s v=""/>
    <s v=""/>
    <s v=""/>
    <s v=""/>
    <s v=""/>
    <s v=""/>
    <s v=""/>
    <s v=""/>
    <x v="8"/>
    <x v="12"/>
    <s v=""/>
  </r>
  <r>
    <s v=""/>
    <s v=""/>
    <s v=""/>
    <x v="90"/>
    <s v=""/>
    <s v=""/>
    <s v=""/>
    <s v=""/>
    <s v=""/>
    <s v=""/>
    <s v=""/>
    <s v=""/>
    <s v=""/>
    <x v="8"/>
    <x v="12"/>
    <s v=""/>
  </r>
  <r>
    <s v=""/>
    <s v=""/>
    <s v=""/>
    <x v="90"/>
    <s v=""/>
    <s v=""/>
    <s v=""/>
    <s v=""/>
    <s v=""/>
    <s v=""/>
    <s v=""/>
    <s v=""/>
    <s v=""/>
    <x v="8"/>
    <x v="12"/>
    <s v=""/>
  </r>
  <r>
    <s v=""/>
    <s v=""/>
    <s v=""/>
    <x v="90"/>
    <s v=""/>
    <s v=""/>
    <s v=""/>
    <s v=""/>
    <s v=""/>
    <s v=""/>
    <s v=""/>
    <s v=""/>
    <s v=""/>
    <x v="8"/>
    <x v="12"/>
    <s v=""/>
  </r>
  <r>
    <s v=""/>
    <s v=""/>
    <s v=""/>
    <x v="90"/>
    <s v=""/>
    <s v=""/>
    <s v=""/>
    <s v=""/>
    <s v=""/>
    <s v=""/>
    <s v=""/>
    <s v=""/>
    <s v=""/>
    <x v="8"/>
    <x v="12"/>
    <s v=""/>
  </r>
  <r>
    <s v=""/>
    <s v=""/>
    <s v=""/>
    <x v="90"/>
    <s v=""/>
    <s v=""/>
    <s v=""/>
    <s v=""/>
    <s v=""/>
    <s v=""/>
    <s v=""/>
    <s v=""/>
    <s v=""/>
    <x v="8"/>
    <x v="12"/>
    <s v=""/>
  </r>
  <r>
    <s v=""/>
    <s v=""/>
    <s v=""/>
    <x v="90"/>
    <s v=""/>
    <s v=""/>
    <s v=""/>
    <s v=""/>
    <s v=""/>
    <s v=""/>
    <s v=""/>
    <s v=""/>
    <s v=""/>
    <x v="8"/>
    <x v="12"/>
    <s v=""/>
  </r>
  <r>
    <s v=""/>
    <s v=""/>
    <s v=""/>
    <x v="90"/>
    <s v=""/>
    <s v=""/>
    <s v=""/>
    <s v=""/>
    <s v=""/>
    <s v=""/>
    <s v=""/>
    <s v=""/>
    <s v=""/>
    <x v="8"/>
    <x v="12"/>
    <s v=""/>
  </r>
  <r>
    <s v=""/>
    <s v=""/>
    <s v=""/>
    <x v="90"/>
    <s v=""/>
    <s v=""/>
    <s v=""/>
    <s v=""/>
    <s v=""/>
    <s v=""/>
    <s v=""/>
    <s v=""/>
    <s v=""/>
    <x v="8"/>
    <x v="12"/>
    <s v=""/>
  </r>
  <r>
    <s v=""/>
    <s v=""/>
    <s v=""/>
    <x v="90"/>
    <s v=""/>
    <s v=""/>
    <s v=""/>
    <s v=""/>
    <s v=""/>
    <s v=""/>
    <s v=""/>
    <s v=""/>
    <s v=""/>
    <x v="8"/>
    <x v="12"/>
    <s v=""/>
  </r>
  <r>
    <s v=""/>
    <s v=""/>
    <s v=""/>
    <x v="90"/>
    <s v=""/>
    <s v=""/>
    <s v=""/>
    <s v=""/>
    <s v=""/>
    <s v=""/>
    <s v=""/>
    <s v=""/>
    <s v=""/>
    <x v="8"/>
    <x v="12"/>
    <s v=""/>
  </r>
  <r>
    <s v=""/>
    <s v=""/>
    <s v=""/>
    <x v="90"/>
    <s v=""/>
    <s v=""/>
    <s v=""/>
    <s v=""/>
    <s v=""/>
    <s v=""/>
    <s v=""/>
    <s v=""/>
    <s v=""/>
    <x v="8"/>
    <x v="12"/>
    <s v=""/>
  </r>
  <r>
    <s v=""/>
    <s v=""/>
    <s v=""/>
    <x v="90"/>
    <s v=""/>
    <s v=""/>
    <s v=""/>
    <s v=""/>
    <s v=""/>
    <s v=""/>
    <s v=""/>
    <s v=""/>
    <s v=""/>
    <x v="8"/>
    <x v="12"/>
    <s v=""/>
  </r>
  <r>
    <s v=""/>
    <s v=""/>
    <s v=""/>
    <x v="90"/>
    <s v=""/>
    <s v=""/>
    <s v=""/>
    <s v=""/>
    <s v=""/>
    <s v=""/>
    <s v=""/>
    <s v=""/>
    <s v=""/>
    <x v="8"/>
    <x v="12"/>
    <s v=""/>
  </r>
  <r>
    <s v=""/>
    <s v=""/>
    <s v=""/>
    <x v="90"/>
    <s v=""/>
    <s v=""/>
    <s v=""/>
    <s v=""/>
    <s v=""/>
    <s v=""/>
    <s v=""/>
    <s v=""/>
    <s v=""/>
    <x v="8"/>
    <x v="12"/>
    <s v=""/>
  </r>
  <r>
    <s v=""/>
    <s v=""/>
    <s v=""/>
    <x v="90"/>
    <s v=""/>
    <s v=""/>
    <s v=""/>
    <s v=""/>
    <s v=""/>
    <s v=""/>
    <s v=""/>
    <s v=""/>
    <s v=""/>
    <x v="8"/>
    <x v="12"/>
    <s v=""/>
  </r>
  <r>
    <s v=""/>
    <s v=""/>
    <s v=""/>
    <x v="90"/>
    <s v=""/>
    <s v=""/>
    <s v=""/>
    <s v=""/>
    <s v=""/>
    <s v=""/>
    <s v=""/>
    <s v=""/>
    <s v=""/>
    <x v="8"/>
    <x v="12"/>
    <s v=""/>
  </r>
  <r>
    <s v=""/>
    <s v=""/>
    <s v=""/>
    <x v="90"/>
    <s v=""/>
    <s v=""/>
    <s v=""/>
    <s v=""/>
    <s v=""/>
    <s v=""/>
    <s v=""/>
    <s v=""/>
    <s v=""/>
    <x v="8"/>
    <x v="12"/>
    <s v=""/>
  </r>
  <r>
    <s v=""/>
    <s v=""/>
    <s v=""/>
    <x v="90"/>
    <s v=""/>
    <s v=""/>
    <s v=""/>
    <s v=""/>
    <s v=""/>
    <s v=""/>
    <s v=""/>
    <s v=""/>
    <s v=""/>
    <x v="8"/>
    <x v="12"/>
    <s v=""/>
  </r>
  <r>
    <s v=""/>
    <s v=""/>
    <s v=""/>
    <x v="90"/>
    <s v=""/>
    <s v=""/>
    <s v=""/>
    <s v=""/>
    <s v=""/>
    <s v=""/>
    <s v=""/>
    <s v=""/>
    <s v=""/>
    <x v="8"/>
    <x v="12"/>
    <s v=""/>
  </r>
  <r>
    <s v=""/>
    <s v=""/>
    <s v=""/>
    <x v="90"/>
    <s v=""/>
    <s v=""/>
    <s v=""/>
    <s v=""/>
    <s v=""/>
    <s v=""/>
    <s v=""/>
    <s v=""/>
    <s v=""/>
    <x v="8"/>
    <x v="12"/>
    <s v=""/>
  </r>
  <r>
    <s v=""/>
    <s v=""/>
    <s v=""/>
    <x v="90"/>
    <s v=""/>
    <s v=""/>
    <s v=""/>
    <s v=""/>
    <s v=""/>
    <s v=""/>
    <s v=""/>
    <s v=""/>
    <s v=""/>
    <x v="8"/>
    <x v="12"/>
    <s v=""/>
  </r>
  <r>
    <s v=""/>
    <s v=""/>
    <s v=""/>
    <x v="90"/>
    <s v=""/>
    <s v=""/>
    <s v=""/>
    <s v=""/>
    <s v=""/>
    <s v=""/>
    <s v=""/>
    <s v=""/>
    <s v=""/>
    <x v="8"/>
    <x v="12"/>
    <s v=""/>
  </r>
  <r>
    <s v=""/>
    <s v=""/>
    <s v=""/>
    <x v="90"/>
    <s v=""/>
    <s v=""/>
    <s v=""/>
    <s v=""/>
    <s v=""/>
    <s v=""/>
    <s v=""/>
    <s v=""/>
    <s v=""/>
    <x v="8"/>
    <x v="12"/>
    <s v=""/>
  </r>
  <r>
    <s v=""/>
    <s v=""/>
    <s v=""/>
    <x v="90"/>
    <s v=""/>
    <s v=""/>
    <s v=""/>
    <s v=""/>
    <s v=""/>
    <s v=""/>
    <s v=""/>
    <s v=""/>
    <s v=""/>
    <x v="8"/>
    <x v="12"/>
    <s v=""/>
  </r>
  <r>
    <s v=""/>
    <s v=""/>
    <s v=""/>
    <x v="90"/>
    <s v=""/>
    <s v=""/>
    <s v=""/>
    <s v=""/>
    <s v=""/>
    <s v=""/>
    <s v=""/>
    <s v=""/>
    <s v=""/>
    <x v="8"/>
    <x v="12"/>
    <s v=""/>
  </r>
  <r>
    <s v=""/>
    <s v=""/>
    <s v=""/>
    <x v="90"/>
    <s v=""/>
    <s v=""/>
    <s v=""/>
    <s v=""/>
    <s v=""/>
    <s v=""/>
    <s v=""/>
    <s v=""/>
    <s v=""/>
    <x v="8"/>
    <x v="12"/>
    <s v=""/>
  </r>
  <r>
    <s v=""/>
    <s v=""/>
    <s v=""/>
    <x v="90"/>
    <s v=""/>
    <s v=""/>
    <s v=""/>
    <s v=""/>
    <s v=""/>
    <s v=""/>
    <s v=""/>
    <s v=""/>
    <s v=""/>
    <x v="8"/>
    <x v="12"/>
    <s v=""/>
  </r>
  <r>
    <s v=""/>
    <s v=""/>
    <s v=""/>
    <x v="90"/>
    <s v=""/>
    <s v=""/>
    <s v=""/>
    <s v=""/>
    <s v=""/>
    <s v=""/>
    <s v=""/>
    <s v=""/>
    <s v=""/>
    <x v="8"/>
    <x v="12"/>
    <s v=""/>
  </r>
  <r>
    <s v=""/>
    <s v=""/>
    <s v=""/>
    <x v="90"/>
    <s v=""/>
    <s v=""/>
    <s v=""/>
    <s v=""/>
    <s v=""/>
    <s v=""/>
    <s v=""/>
    <s v=""/>
    <s v=""/>
    <x v="8"/>
    <x v="12"/>
    <s v=""/>
  </r>
  <r>
    <s v=""/>
    <s v=""/>
    <s v=""/>
    <x v="90"/>
    <s v=""/>
    <s v=""/>
    <s v=""/>
    <s v=""/>
    <s v=""/>
    <s v=""/>
    <s v=""/>
    <s v=""/>
    <s v=""/>
    <x v="8"/>
    <x v="12"/>
    <s v=""/>
  </r>
  <r>
    <s v=""/>
    <s v=""/>
    <s v=""/>
    <x v="90"/>
    <s v=""/>
    <s v=""/>
    <s v=""/>
    <s v=""/>
    <s v=""/>
    <s v=""/>
    <s v=""/>
    <s v=""/>
    <s v=""/>
    <x v="8"/>
    <x v="12"/>
    <s v=""/>
  </r>
  <r>
    <s v=""/>
    <s v=""/>
    <s v=""/>
    <x v="90"/>
    <s v=""/>
    <s v=""/>
    <s v=""/>
    <s v=""/>
    <s v=""/>
    <s v=""/>
    <s v=""/>
    <s v=""/>
    <s v=""/>
    <x v="8"/>
    <x v="12"/>
    <s v=""/>
  </r>
  <r>
    <s v=""/>
    <s v=""/>
    <s v=""/>
    <x v="90"/>
    <s v=""/>
    <s v=""/>
    <s v=""/>
    <s v=""/>
    <s v=""/>
    <s v=""/>
    <s v=""/>
    <s v=""/>
    <s v=""/>
    <x v="8"/>
    <x v="12"/>
    <s v=""/>
  </r>
  <r>
    <s v=""/>
    <s v=""/>
    <s v=""/>
    <x v="90"/>
    <s v=""/>
    <s v=""/>
    <s v=""/>
    <s v=""/>
    <s v=""/>
    <s v=""/>
    <s v=""/>
    <s v=""/>
    <s v=""/>
    <x v="8"/>
    <x v="12"/>
    <s v=""/>
  </r>
  <r>
    <s v=""/>
    <s v=""/>
    <s v=""/>
    <x v="90"/>
    <s v=""/>
    <s v=""/>
    <s v=""/>
    <s v=""/>
    <s v=""/>
    <s v=""/>
    <s v=""/>
    <s v=""/>
    <s v=""/>
    <x v="8"/>
    <x v="12"/>
    <s v=""/>
  </r>
  <r>
    <s v=""/>
    <s v=""/>
    <s v=""/>
    <x v="90"/>
    <s v=""/>
    <s v=""/>
    <s v=""/>
    <s v=""/>
    <s v=""/>
    <s v=""/>
    <s v=""/>
    <s v=""/>
    <s v=""/>
    <x v="8"/>
    <x v="12"/>
    <s v=""/>
  </r>
  <r>
    <s v=""/>
    <s v=""/>
    <s v=""/>
    <x v="90"/>
    <s v=""/>
    <s v=""/>
    <s v=""/>
    <s v=""/>
    <s v=""/>
    <s v=""/>
    <s v=""/>
    <s v=""/>
    <s v=""/>
    <x v="8"/>
    <x v="12"/>
    <s v=""/>
  </r>
  <r>
    <s v=""/>
    <s v=""/>
    <s v=""/>
    <x v="90"/>
    <s v=""/>
    <s v=""/>
    <s v=""/>
    <s v=""/>
    <s v=""/>
    <s v=""/>
    <s v=""/>
    <s v=""/>
    <s v=""/>
    <x v="8"/>
    <x v="12"/>
    <s v=""/>
  </r>
  <r>
    <s v=""/>
    <s v=""/>
    <s v=""/>
    <x v="90"/>
    <s v=""/>
    <s v=""/>
    <s v=""/>
    <s v=""/>
    <s v=""/>
    <s v=""/>
    <s v=""/>
    <s v=""/>
    <s v=""/>
    <x v="8"/>
    <x v="12"/>
    <s v=""/>
  </r>
  <r>
    <s v=""/>
    <s v=""/>
    <s v=""/>
    <x v="90"/>
    <s v=""/>
    <s v=""/>
    <s v=""/>
    <s v=""/>
    <s v=""/>
    <s v=""/>
    <s v=""/>
    <s v=""/>
    <s v=""/>
    <x v="8"/>
    <x v="12"/>
    <s v=""/>
  </r>
  <r>
    <s v=""/>
    <s v=""/>
    <s v=""/>
    <x v="90"/>
    <s v=""/>
    <s v=""/>
    <s v=""/>
    <s v=""/>
    <s v=""/>
    <s v=""/>
    <s v=""/>
    <s v=""/>
    <s v=""/>
    <x v="8"/>
    <x v="12"/>
    <s v=""/>
  </r>
  <r>
    <s v=""/>
    <s v=""/>
    <s v=""/>
    <x v="90"/>
    <s v=""/>
    <s v=""/>
    <s v=""/>
    <s v=""/>
    <s v=""/>
    <s v=""/>
    <s v=""/>
    <s v=""/>
    <s v=""/>
    <x v="8"/>
    <x v="12"/>
    <s v=""/>
  </r>
  <r>
    <s v=""/>
    <s v=""/>
    <s v=""/>
    <x v="90"/>
    <s v=""/>
    <s v=""/>
    <s v=""/>
    <s v=""/>
    <s v=""/>
    <s v=""/>
    <s v=""/>
    <s v=""/>
    <s v=""/>
    <x v="8"/>
    <x v="12"/>
    <s v=""/>
  </r>
  <r>
    <s v=""/>
    <s v=""/>
    <s v=""/>
    <x v="90"/>
    <s v=""/>
    <s v=""/>
    <s v=""/>
    <s v=""/>
    <s v=""/>
    <s v=""/>
    <s v=""/>
    <s v=""/>
    <s v=""/>
    <x v="8"/>
    <x v="12"/>
    <s v=""/>
  </r>
  <r>
    <s v=""/>
    <s v=""/>
    <s v=""/>
    <x v="90"/>
    <s v=""/>
    <s v=""/>
    <s v=""/>
    <s v=""/>
    <s v=""/>
    <s v=""/>
    <s v=""/>
    <s v=""/>
    <s v=""/>
    <x v="8"/>
    <x v="12"/>
    <s v=""/>
  </r>
  <r>
    <s v=""/>
    <s v=""/>
    <s v=""/>
    <x v="90"/>
    <s v=""/>
    <s v=""/>
    <s v=""/>
    <s v=""/>
    <s v=""/>
    <s v=""/>
    <s v=""/>
    <s v=""/>
    <s v=""/>
    <x v="8"/>
    <x v="12"/>
    <s v=""/>
  </r>
  <r>
    <s v=""/>
    <s v=""/>
    <s v=""/>
    <x v="90"/>
    <s v=""/>
    <s v=""/>
    <s v=""/>
    <s v=""/>
    <s v=""/>
    <s v=""/>
    <s v=""/>
    <s v=""/>
    <s v=""/>
    <x v="8"/>
    <x v="12"/>
    <s v=""/>
  </r>
  <r>
    <s v=""/>
    <s v=""/>
    <s v=""/>
    <x v="90"/>
    <s v=""/>
    <s v=""/>
    <s v=""/>
    <s v=""/>
    <s v=""/>
    <s v=""/>
    <s v=""/>
    <s v=""/>
    <s v=""/>
    <x v="8"/>
    <x v="12"/>
    <s v=""/>
  </r>
  <r>
    <s v=""/>
    <s v=""/>
    <s v=""/>
    <x v="90"/>
    <s v=""/>
    <s v=""/>
    <s v=""/>
    <s v=""/>
    <s v=""/>
    <s v=""/>
    <s v=""/>
    <s v=""/>
    <s v=""/>
    <x v="8"/>
    <x v="12"/>
    <s v=""/>
  </r>
  <r>
    <s v=""/>
    <s v=""/>
    <s v=""/>
    <x v="90"/>
    <s v=""/>
    <s v=""/>
    <s v=""/>
    <s v=""/>
    <s v=""/>
    <s v=""/>
    <s v=""/>
    <s v=""/>
    <s v=""/>
    <x v="8"/>
    <x v="12"/>
    <s v=""/>
  </r>
  <r>
    <s v=""/>
    <s v=""/>
    <s v=""/>
    <x v="90"/>
    <s v=""/>
    <s v=""/>
    <s v=""/>
    <s v=""/>
    <s v=""/>
    <s v=""/>
    <s v=""/>
    <s v=""/>
    <s v=""/>
    <x v="8"/>
    <x v="12"/>
    <s v=""/>
  </r>
  <r>
    <s v=""/>
    <s v=""/>
    <s v=""/>
    <x v="90"/>
    <s v=""/>
    <s v=""/>
    <s v=""/>
    <s v=""/>
    <s v=""/>
    <s v=""/>
    <s v=""/>
    <s v=""/>
    <s v=""/>
    <x v="8"/>
    <x v="12"/>
    <s v=""/>
  </r>
  <r>
    <s v=""/>
    <s v=""/>
    <s v=""/>
    <x v="90"/>
    <s v=""/>
    <s v=""/>
    <s v=""/>
    <s v=""/>
    <s v=""/>
    <s v=""/>
    <s v=""/>
    <s v=""/>
    <s v=""/>
    <x v="8"/>
    <x v="12"/>
    <s v=""/>
  </r>
  <r>
    <s v=""/>
    <s v=""/>
    <s v=""/>
    <x v="90"/>
    <s v=""/>
    <s v=""/>
    <s v=""/>
    <s v=""/>
    <s v=""/>
    <s v=""/>
    <s v=""/>
    <s v=""/>
    <s v=""/>
    <x v="8"/>
    <x v="12"/>
    <s v=""/>
  </r>
  <r>
    <s v=""/>
    <s v=""/>
    <s v=""/>
    <x v="90"/>
    <s v=""/>
    <s v=""/>
    <s v=""/>
    <s v=""/>
    <s v=""/>
    <s v=""/>
    <s v=""/>
    <s v=""/>
    <s v=""/>
    <x v="8"/>
    <x v="12"/>
    <s v="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8">
  <r>
    <n v="97067967539"/>
    <n v="0"/>
    <d v="2018-01-08T00:00:00"/>
    <d v="2018-02-06T00:00:00"/>
    <n v="9"/>
    <n v="0.3"/>
    <n v="0"/>
    <n v="0"/>
    <n v="0"/>
    <n v="0"/>
    <n v="0"/>
    <s v="REAL"/>
    <s v="-"/>
    <x v="0"/>
    <x v="0"/>
    <n v="9"/>
    <n v="29"/>
    <n v="0.31034482758620691"/>
  </r>
  <r>
    <n v="97067967539"/>
    <n v="0"/>
    <d v="2018-02-07T00:00:00"/>
    <d v="2018-03-06T00:00:00"/>
    <n v="4"/>
    <n v="0.14285714285714285"/>
    <n v="0"/>
    <n v="0"/>
    <n v="0"/>
    <n v="0"/>
    <n v="0"/>
    <s v="REAL"/>
    <s v="-"/>
    <x v="0"/>
    <x v="1"/>
    <n v="4"/>
    <n v="27"/>
    <n v="0.14814814814814814"/>
  </r>
  <r>
    <n v="97067967539"/>
    <n v="0"/>
    <d v="2018-03-07T00:00:00"/>
    <d v="2018-04-05T00:00:00"/>
    <n v="2"/>
    <n v="6.6666666666666666E-2"/>
    <n v="0"/>
    <n v="0"/>
    <n v="0"/>
    <n v="0"/>
    <n v="0"/>
    <s v="REAL"/>
    <s v="-"/>
    <x v="0"/>
    <x v="2"/>
    <n v="2"/>
    <n v="29"/>
    <n v="6.8965517241379309E-2"/>
  </r>
  <r>
    <n v="97067967539"/>
    <n v="0"/>
    <d v="2018-04-06T00:00:00"/>
    <d v="2018-05-07T00:00:00"/>
    <n v="3"/>
    <n v="9.375E-2"/>
    <n v="0"/>
    <n v="0"/>
    <n v="0"/>
    <n v="0"/>
    <n v="0"/>
    <s v="REAL"/>
    <s v="-"/>
    <x v="0"/>
    <x v="3"/>
    <n v="3"/>
    <n v="31"/>
    <n v="9.6774193548387094E-2"/>
  </r>
  <r>
    <n v="97067967539"/>
    <n v="0"/>
    <d v="2018-05-08T00:00:00"/>
    <d v="2018-06-06T00:00:00"/>
    <n v="3"/>
    <n v="0.1"/>
    <n v="0"/>
    <n v="0"/>
    <n v="0"/>
    <n v="0"/>
    <n v="0"/>
    <s v="REAL"/>
    <s v="-"/>
    <x v="0"/>
    <x v="4"/>
    <n v="3"/>
    <n v="29"/>
    <n v="0.10344827586206896"/>
  </r>
  <r>
    <n v="97067967539"/>
    <n v="0"/>
    <d v="2018-06-07T00:00:00"/>
    <d v="2018-07-06T00:00:00"/>
    <n v="2"/>
    <n v="6.6666666666666666E-2"/>
    <n v="0"/>
    <n v="0"/>
    <n v="0"/>
    <n v="0"/>
    <n v="0"/>
    <s v="REAL"/>
    <s v="-"/>
    <x v="0"/>
    <x v="5"/>
    <n v="2"/>
    <n v="29"/>
    <n v="6.8965517241379309E-2"/>
  </r>
  <r>
    <n v="97067967539"/>
    <n v="0"/>
    <d v="2018-07-07T00:00:00"/>
    <d v="2018-08-06T00:00:00"/>
    <n v="2"/>
    <n v="6.4516129032258063E-2"/>
    <n v="0"/>
    <n v="0"/>
    <n v="0"/>
    <n v="0"/>
    <n v="0"/>
    <s v="REAL"/>
    <s v="-"/>
    <x v="0"/>
    <x v="6"/>
    <n v="2"/>
    <n v="30"/>
    <n v="6.6666666666666666E-2"/>
  </r>
  <r>
    <n v="97067967539"/>
    <n v="0"/>
    <d v="2018-08-07T00:00:00"/>
    <d v="2018-09-03T00:00:00"/>
    <n v="0"/>
    <n v="0"/>
    <n v="0"/>
    <n v="0"/>
    <n v="0"/>
    <n v="0"/>
    <n v="0"/>
    <s v="REAL"/>
    <s v="-"/>
    <x v="0"/>
    <x v="7"/>
    <n v="0"/>
    <n v="27"/>
    <n v="0"/>
  </r>
  <r>
    <n v="97067967539"/>
    <n v="0"/>
    <d v="2018-09-04T00:00:00"/>
    <d v="2018-10-02T00:00:00"/>
    <n v="0"/>
    <n v="0"/>
    <n v="0"/>
    <n v="0"/>
    <n v="0"/>
    <n v="0"/>
    <n v="0"/>
    <s v="REAL"/>
    <s v="Cálculo del saldo ATR por diferencia de lecturas"/>
    <x v="0"/>
    <x v="8"/>
    <n v="0"/>
    <n v="28"/>
    <n v="0"/>
  </r>
  <r>
    <n v="97067967539"/>
    <n v="0"/>
    <d v="2018-10-03T00:00:00"/>
    <d v="2018-11-06T00:00:00"/>
    <n v="0"/>
    <n v="0"/>
    <n v="0"/>
    <n v="0"/>
    <n v="0"/>
    <n v="0"/>
    <n v="0"/>
    <s v="REAL"/>
    <s v="Cálculo del saldo ATR por diferencia de lecturas"/>
    <x v="0"/>
    <x v="9"/>
    <n v="0"/>
    <n v="34"/>
    <n v="0"/>
  </r>
  <r>
    <n v="97067967539"/>
    <n v="0"/>
    <d v="2018-11-07T00:00:00"/>
    <d v="2018-12-04T00:00:00"/>
    <n v="0"/>
    <n v="0"/>
    <n v="0"/>
    <n v="0"/>
    <n v="0"/>
    <n v="0"/>
    <n v="0"/>
    <s v="REAL"/>
    <s v="Cálculo del saldo ATR por diferencia de lecturas"/>
    <x v="0"/>
    <x v="10"/>
    <n v="0"/>
    <n v="27"/>
    <n v="0"/>
  </r>
  <r>
    <n v="97067967539"/>
    <n v="0"/>
    <d v="2018-12-05T00:00:00"/>
    <d v="2019-01-07T00:00:00"/>
    <n v="0"/>
    <n v="0"/>
    <n v="0"/>
    <n v="0"/>
    <n v="0"/>
    <n v="0"/>
    <n v="0"/>
    <s v="REAL"/>
    <s v="Cálculo del saldo ATR por diferencia de lecturas"/>
    <x v="0"/>
    <x v="11"/>
    <n v="0"/>
    <n v="33"/>
    <n v="0"/>
  </r>
  <r>
    <n v="97067967539"/>
    <n v="0"/>
    <d v="2019-01-08T00:00:00"/>
    <d v="2019-02-04T00:00:00"/>
    <n v="0"/>
    <n v="0"/>
    <n v="0"/>
    <n v="0"/>
    <n v="0"/>
    <n v="0"/>
    <n v="0"/>
    <s v="REAL"/>
    <s v="Cálculo del saldo ATR por diferencia de lecturas"/>
    <x v="1"/>
    <x v="0"/>
    <n v="0"/>
    <n v="27"/>
    <n v="0"/>
  </r>
  <r>
    <n v="97067967539"/>
    <n v="0"/>
    <d v="2019-02-05T00:00:00"/>
    <d v="2019-03-05T00:00:00"/>
    <n v="0"/>
    <n v="0"/>
    <n v="0"/>
    <n v="0"/>
    <n v="0"/>
    <n v="0"/>
    <n v="0"/>
    <s v="REAL"/>
    <s v="Cálculo del saldo ATR por diferencia de lecturas"/>
    <x v="1"/>
    <x v="1"/>
    <n v="0"/>
    <n v="28"/>
    <n v="0"/>
  </r>
  <r>
    <n v="97067967539"/>
    <n v="0"/>
    <d v="2019-03-06T00:00:00"/>
    <d v="2019-04-01T00:00:00"/>
    <n v="0"/>
    <n v="0"/>
    <n v="0"/>
    <n v="0"/>
    <n v="0"/>
    <n v="0"/>
    <n v="0"/>
    <s v="REAL"/>
    <s v="Cálculo del saldo ATR por diferencia de lecturas"/>
    <x v="1"/>
    <x v="2"/>
    <n v="0"/>
    <n v="26"/>
    <n v="0"/>
  </r>
  <r>
    <n v="97067967539"/>
    <n v="0"/>
    <d v="2019-04-02T00:00:00"/>
    <d v="2019-05-04T00:00:00"/>
    <n v="0"/>
    <n v="0"/>
    <n v="0"/>
    <n v="0"/>
    <n v="0"/>
    <n v="0"/>
    <n v="0"/>
    <s v="REAL"/>
    <s v="Cálculo del saldo ATR por diferencia de lecturas"/>
    <x v="1"/>
    <x v="3"/>
    <n v="0"/>
    <n v="32"/>
    <n v="0"/>
  </r>
  <r>
    <n v="97067967539"/>
    <n v="0"/>
    <d v="2019-05-05T00:00:00"/>
    <d v="2019-06-04T00:00:00"/>
    <n v="0"/>
    <n v="0"/>
    <n v="0"/>
    <n v="0"/>
    <n v="0"/>
    <n v="0"/>
    <n v="0"/>
    <s v="REAL"/>
    <s v="Cálculo del saldo ATR por diferencia de lecturas"/>
    <x v="1"/>
    <x v="4"/>
    <n v="0"/>
    <n v="30"/>
    <n v="0"/>
  </r>
  <r>
    <n v="97067967539"/>
    <n v="0"/>
    <d v="2019-06-05T00:00:00"/>
    <d v="2019-07-02T00:00:00"/>
    <n v="0"/>
    <n v="0"/>
    <n v="0"/>
    <n v="0"/>
    <n v="0"/>
    <n v="0"/>
    <n v="0"/>
    <s v="REAL"/>
    <s v="Cálculo del saldo ATR por diferencia de lecturas"/>
    <x v="1"/>
    <x v="5"/>
    <n v="0"/>
    <n v="27"/>
    <n v="0"/>
  </r>
  <r>
    <n v="97067967539"/>
    <n v="0"/>
    <d v="2019-07-03T00:00:00"/>
    <d v="2019-08-04T00:00:00"/>
    <n v="2"/>
    <n v="6.0606060606060608E-2"/>
    <n v="0"/>
    <n v="0"/>
    <n v="0"/>
    <n v="0"/>
    <n v="0"/>
    <s v="REAL"/>
    <s v="Cálculo del saldo ATR por diferencia de lecturas"/>
    <x v="1"/>
    <x v="6"/>
    <n v="2"/>
    <n v="32"/>
    <n v="6.25E-2"/>
  </r>
  <r>
    <n v="97067967539"/>
    <n v="0"/>
    <d v="2019-08-05T00:00:00"/>
    <d v="2019-09-02T00:00:00"/>
    <n v="0"/>
    <n v="0"/>
    <n v="0"/>
    <n v="0"/>
    <n v="0"/>
    <n v="0"/>
    <n v="0"/>
    <s v="REAL"/>
    <s v="Cálculo del saldo ATR por diferencia de lecturas"/>
    <x v="1"/>
    <x v="7"/>
    <n v="0"/>
    <n v="28"/>
    <n v="0"/>
  </r>
  <r>
    <n v="97067967539"/>
    <n v="0"/>
    <d v="2019-09-03T00:00:00"/>
    <d v="2019-10-02T00:00:00"/>
    <n v="0"/>
    <n v="0"/>
    <n v="0"/>
    <n v="0"/>
    <n v="0"/>
    <n v="0"/>
    <n v="0"/>
    <s v="REAL"/>
    <s v="Cálculo del saldo ATR por diferencia de lecturas"/>
    <x v="1"/>
    <x v="8"/>
    <n v="0"/>
    <n v="29"/>
    <n v="0"/>
  </r>
  <r>
    <n v="97067967539"/>
    <n v="0"/>
    <d v="2019-10-03T00:00:00"/>
    <d v="2019-11-04T00:00:00"/>
    <n v="0"/>
    <n v="0"/>
    <n v="0"/>
    <n v="0"/>
    <n v="0"/>
    <n v="0"/>
    <n v="0"/>
    <s v="REAL"/>
    <s v="Cálculo del saldo ATR por diferencia de lecturas"/>
    <x v="1"/>
    <x v="9"/>
    <n v="0"/>
    <n v="32"/>
    <n v="0"/>
  </r>
  <r>
    <n v="97067967539"/>
    <n v="0"/>
    <d v="2019-11-05T00:00:00"/>
    <d v="2019-12-02T00:00:00"/>
    <n v="0"/>
    <n v="0"/>
    <n v="0"/>
    <n v="0"/>
    <n v="0"/>
    <n v="0"/>
    <n v="0"/>
    <s v="REAL"/>
    <s v="Cálculo del saldo ATR por diferencia de lecturas"/>
    <x v="1"/>
    <x v="10"/>
    <n v="0"/>
    <n v="27"/>
    <n v="0"/>
  </r>
  <r>
    <n v="97067967539"/>
    <n v="0"/>
    <d v="2019-12-03T00:00:00"/>
    <d v="2020-01-06T00:00:00"/>
    <n v="0"/>
    <n v="0"/>
    <n v="0"/>
    <n v="0"/>
    <n v="0"/>
    <n v="0"/>
    <n v="0"/>
    <s v="REAL"/>
    <s v="Cálculo del saldo ATR por diferencia de lecturas"/>
    <x v="1"/>
    <x v="11"/>
    <n v="0"/>
    <n v="34"/>
    <n v="0"/>
  </r>
  <r>
    <n v="97067967539"/>
    <n v="0"/>
    <d v="2020-01-07T00:00:00"/>
    <d v="2020-02-03T00:00:00"/>
    <n v="0"/>
    <n v="0"/>
    <n v="0"/>
    <n v="0"/>
    <n v="0"/>
    <n v="0"/>
    <n v="0"/>
    <s v="REAL"/>
    <s v="Cálculo del saldo ATR por diferencia de lecturas"/>
    <x v="2"/>
    <x v="0"/>
    <n v="0"/>
    <n v="27"/>
    <n v="0"/>
  </r>
  <r>
    <n v="97067967539"/>
    <n v="0"/>
    <d v="2020-02-04T00:00:00"/>
    <d v="2020-03-02T00:00:00"/>
    <n v="0"/>
    <n v="0"/>
    <n v="0"/>
    <n v="0"/>
    <n v="0"/>
    <n v="0"/>
    <n v="0"/>
    <s v="REAL"/>
    <s v="Cálculo del saldo ATR por diferencia de lecturas"/>
    <x v="2"/>
    <x v="1"/>
    <n v="0"/>
    <n v="27"/>
    <n v="0"/>
  </r>
  <r>
    <n v="97067967539"/>
    <n v="0"/>
    <d v="2020-03-03T00:00:00"/>
    <d v="2020-04-04T00:00:00"/>
    <n v="0"/>
    <n v="0"/>
    <n v="0"/>
    <n v="0"/>
    <n v="0"/>
    <n v="0"/>
    <n v="0"/>
    <s v="REAL"/>
    <s v="Cálculo del saldo ATR por diferencia de lecturas"/>
    <x v="2"/>
    <x v="2"/>
    <n v="0"/>
    <n v="32"/>
    <n v="0"/>
  </r>
  <r>
    <n v="97067967539"/>
    <n v="0"/>
    <d v="2020-04-05T00:00:00"/>
    <d v="2020-05-05T00:00:00"/>
    <n v="0"/>
    <n v="0"/>
    <n v="0"/>
    <n v="0"/>
    <n v="0"/>
    <n v="0"/>
    <n v="0"/>
    <s v="REAL"/>
    <s v="Cálculo del saldo ATR por diferencia de lecturas"/>
    <x v="2"/>
    <x v="3"/>
    <n v="0"/>
    <n v="30"/>
    <n v="0"/>
  </r>
  <r>
    <n v="97067967539"/>
    <n v="0"/>
    <d v="2020-05-06T00:00:00"/>
    <d v="2020-06-02T00:00:00"/>
    <n v="0"/>
    <n v="0"/>
    <n v="0"/>
    <n v="0"/>
    <n v="0"/>
    <n v="0"/>
    <n v="0"/>
    <s v="REAL"/>
    <s v="Cálculo del saldo ATR por diferencia de lecturas"/>
    <x v="2"/>
    <x v="4"/>
    <n v="0"/>
    <n v="27"/>
    <n v="0"/>
  </r>
  <r>
    <n v="97067967539"/>
    <n v="0"/>
    <d v="2020-06-03T00:00:00"/>
    <d v="2020-07-05T00:00:00"/>
    <n v="0"/>
    <n v="0"/>
    <n v="0"/>
    <n v="0"/>
    <n v="0"/>
    <n v="0"/>
    <n v="0"/>
    <s v="REAL"/>
    <s v="Cálculo del saldo ATR por diferencia de lecturas"/>
    <x v="2"/>
    <x v="5"/>
    <n v="0"/>
    <n v="32"/>
    <n v="0"/>
  </r>
  <r>
    <n v="97067967539"/>
    <n v="0"/>
    <d v="2020-07-06T00:00:00"/>
    <d v="2020-08-04T00:00:00"/>
    <n v="0"/>
    <n v="0"/>
    <n v="0"/>
    <n v="0"/>
    <n v="0"/>
    <n v="0"/>
    <n v="0"/>
    <s v="REAL"/>
    <s v="Cálculo del saldo ATR por diferencia de lecturas"/>
    <x v="2"/>
    <x v="6"/>
    <n v="0"/>
    <n v="29"/>
    <n v="0"/>
  </r>
  <r>
    <n v="97067967539"/>
    <n v="0"/>
    <d v="2020-08-05T00:00:00"/>
    <d v="2020-09-02T00:00:00"/>
    <n v="0"/>
    <n v="0"/>
    <n v="0"/>
    <n v="0"/>
    <n v="0"/>
    <n v="0"/>
    <n v="0"/>
    <s v="REAL"/>
    <s v="Cálculo del saldo ATR por diferencia de lecturas"/>
    <x v="2"/>
    <x v="7"/>
    <n v="0"/>
    <n v="28"/>
    <n v="0"/>
  </r>
  <r>
    <n v="97067967539"/>
    <n v="0"/>
    <d v="2020-09-03T00:00:00"/>
    <d v="2020-10-04T00:00:00"/>
    <n v="0"/>
    <n v="0"/>
    <n v="0"/>
    <n v="0"/>
    <n v="0"/>
    <n v="0"/>
    <n v="0"/>
    <s v="REAL"/>
    <s v="Cálculo del saldo ATR por diferencia de lecturas"/>
    <x v="2"/>
    <x v="8"/>
    <n v="0"/>
    <n v="31"/>
    <n v="0"/>
  </r>
  <r>
    <n v="97067967539"/>
    <n v="0"/>
    <d v="2020-10-05T00:00:00"/>
    <d v="2020-11-05T00:00:00"/>
    <n v="0"/>
    <n v="0"/>
    <n v="0"/>
    <n v="0"/>
    <n v="0"/>
    <n v="0"/>
    <n v="0"/>
    <s v="REAL"/>
    <s v="Cálculo del saldo ATR por diferencia de lecturas"/>
    <x v="2"/>
    <x v="9"/>
    <n v="0"/>
    <n v="31"/>
    <n v="0"/>
  </r>
  <r>
    <n v="97067967539"/>
    <n v="0"/>
    <d v="2020-11-06T00:00:00"/>
    <d v="2020-12-03T00:00:00"/>
    <n v="0"/>
    <n v="0"/>
    <n v="0"/>
    <n v="0"/>
    <n v="0"/>
    <n v="0"/>
    <n v="0"/>
    <s v="REAL"/>
    <s v="Cálculo del saldo ATR por diferencia de lecturas"/>
    <x v="2"/>
    <x v="10"/>
    <n v="0"/>
    <n v="27"/>
    <n v="0"/>
  </r>
  <r>
    <n v="97067967539"/>
    <n v="0"/>
    <d v="2020-12-04T00:00:00"/>
    <d v="2021-01-07T00:00:00"/>
    <n v="0"/>
    <n v="0"/>
    <n v="0"/>
    <n v="0"/>
    <n v="0"/>
    <n v="0"/>
    <n v="0"/>
    <s v="REAL"/>
    <s v="Cálculo del saldo ATR por diferencia de lecturas"/>
    <x v="2"/>
    <x v="11"/>
    <n v="0"/>
    <n v="34"/>
    <n v="0"/>
  </r>
  <r>
    <n v="97067967539"/>
    <n v="0"/>
    <d v="2021-01-08T00:00:00"/>
    <d v="2021-02-03T00:00:00"/>
    <n v="0"/>
    <n v="0"/>
    <n v="0"/>
    <n v="0"/>
    <n v="0"/>
    <n v="0"/>
    <n v="0"/>
    <s v="REAL"/>
    <s v="Cálculo del saldo ATR por diferencia de lecturas"/>
    <x v="3"/>
    <x v="0"/>
    <n v="0"/>
    <n v="26"/>
    <n v="0"/>
  </r>
  <r>
    <n v="97067967539"/>
    <n v="0"/>
    <d v="2021-02-04T00:00:00"/>
    <d v="2021-03-04T00:00:00"/>
    <n v="0"/>
    <n v="0"/>
    <n v="0"/>
    <n v="0"/>
    <n v="0"/>
    <n v="0"/>
    <n v="0"/>
    <s v="REAL"/>
    <s v="Cálculo del saldo ATR por diferencia de lecturas"/>
    <x v="3"/>
    <x v="1"/>
    <n v="0"/>
    <n v="28"/>
    <n v="0"/>
  </r>
  <r>
    <n v="97067967539"/>
    <n v="0"/>
    <d v="2021-03-05T00:00:00"/>
    <d v="2021-04-07T00:00:00"/>
    <n v="113"/>
    <n v="3.3235294117647061"/>
    <n v="0"/>
    <n v="0"/>
    <n v="0"/>
    <n v="0"/>
    <n v="0"/>
    <s v="REAL"/>
    <s v="Cálculo del saldo ATR por diferencia de lecturas"/>
    <x v="3"/>
    <x v="2"/>
    <n v="113"/>
    <n v="33"/>
    <n v="3.4242424242424243"/>
  </r>
  <r>
    <n v="97067967539"/>
    <n v="0"/>
    <d v="2021-04-08T00:00:00"/>
    <d v="2021-05-05T00:00:00"/>
    <n v="0"/>
    <n v="0"/>
    <n v="0"/>
    <n v="0"/>
    <n v="0"/>
    <n v="0"/>
    <n v="0"/>
    <s v="ESTIMATED"/>
    <s v="Estimación de saldo ATR en base a consumo histórico año anterior (BOE 4 jun 2015 apartado 6.3.2.b)"/>
    <x v="3"/>
    <x v="3"/>
    <n v="0"/>
    <n v="27"/>
    <n v="0"/>
  </r>
  <r>
    <n v="97067967539"/>
    <n v="0"/>
    <d v="2021-05-06T00:00:00"/>
    <d v="2021-05-31T00:00:00"/>
    <n v="0"/>
    <n v="0"/>
    <n v="0"/>
    <n v="0"/>
    <n v="0"/>
    <n v="0"/>
    <n v="0"/>
    <s v="REAL"/>
    <s v="Cálculo del saldo ATR por diferencia de lecturas"/>
    <x v="3"/>
    <x v="4"/>
    <n v="0"/>
    <n v="25"/>
    <n v="0"/>
  </r>
  <r>
    <n v="97067967539"/>
    <n v="0"/>
    <d v="2021-06-01T00:00:00"/>
    <d v="2021-07-04T00:00:00"/>
    <n v="0"/>
    <n v="0"/>
    <n v="0"/>
    <n v="0"/>
    <n v="0"/>
    <n v="0"/>
    <n v="0"/>
    <s v="REAL"/>
    <s v="Cálculo del saldo ATR por diferencia de lecturas"/>
    <x v="3"/>
    <x v="5"/>
    <n v="0"/>
    <n v="33"/>
    <n v="0"/>
  </r>
  <r>
    <n v="97067967539"/>
    <n v="0"/>
    <d v="2021-07-05T00:00:00"/>
    <d v="2021-08-03T00:00:00"/>
    <n v="0"/>
    <n v="0"/>
    <n v="0"/>
    <n v="0"/>
    <n v="0"/>
    <n v="0"/>
    <n v="0"/>
    <s v="REAL"/>
    <s v="Cálculo del saldo ATR por diferencia de lecturas"/>
    <x v="3"/>
    <x v="6"/>
    <n v="0"/>
    <n v="29"/>
    <n v="0"/>
  </r>
  <r>
    <n v="97067967539"/>
    <n v="0"/>
    <d v="2021-08-04T00:00:00"/>
    <d v="2021-09-04T00:00:00"/>
    <n v="1"/>
    <n v="3.125E-2"/>
    <n v="0"/>
    <n v="0"/>
    <n v="0"/>
    <n v="0"/>
    <n v="0"/>
    <s v="REAL"/>
    <s v="Cálculo del saldo ATR por diferencia de lecturas"/>
    <x v="3"/>
    <x v="7"/>
    <n v="1"/>
    <n v="31"/>
    <n v="3.2258064516129031E-2"/>
  </r>
  <r>
    <n v="97067967539"/>
    <n v="0"/>
    <d v="2021-09-05T00:00:00"/>
    <d v="2021-10-04T00:00:00"/>
    <n v="1"/>
    <n v="3.3333333333333333E-2"/>
    <n v="0"/>
    <n v="0"/>
    <n v="0"/>
    <n v="0"/>
    <n v="0"/>
    <s v="REAL"/>
    <s v="Cálculo del saldo ATR por diferencia de lecturas"/>
    <x v="3"/>
    <x v="8"/>
    <n v="1"/>
    <n v="29"/>
    <n v="3.4482758620689655E-2"/>
  </r>
  <r>
    <n v="97067967539"/>
    <n v="0"/>
    <d v="2021-10-05T00:00:00"/>
    <d v="2021-11-02T00:00:00"/>
    <n v="0"/>
    <n v="0"/>
    <n v="0"/>
    <n v="0"/>
    <n v="0"/>
    <n v="0"/>
    <n v="0"/>
    <s v="REAL"/>
    <s v="Cálculo del saldo ATR por diferencia de lecturas"/>
    <x v="3"/>
    <x v="9"/>
    <n v="0"/>
    <n v="28"/>
    <n v="0"/>
  </r>
  <r>
    <n v="97067967539"/>
    <n v="0"/>
    <d v="2021-11-03T00:00:00"/>
    <d v="2021-11-30T00:00:00"/>
    <n v="0"/>
    <n v="0"/>
    <n v="0"/>
    <n v="0"/>
    <n v="0"/>
    <n v="0"/>
    <n v="0"/>
    <s v="REAL"/>
    <s v="Cálculo del saldo ATR por diferencia de lecturas"/>
    <x v="3"/>
    <x v="10"/>
    <n v="0"/>
    <n v="27"/>
    <n v="0"/>
  </r>
  <r>
    <n v="500008272897"/>
    <n v="0"/>
    <d v="2021-12-01T00:00:00"/>
    <d v="2021-12-31T00:00:00"/>
    <n v="0"/>
    <n v="0"/>
    <n v="0"/>
    <n v="0"/>
    <n v="0"/>
    <n v="0"/>
    <n v="0"/>
    <s v="REAL"/>
    <s v="Cálculo del saldo ATR por diferencia de lecturas"/>
    <x v="3"/>
    <x v="11"/>
    <n v="0"/>
    <n v="30"/>
    <n v="0"/>
  </r>
  <r>
    <n v="500008272897"/>
    <n v="0"/>
    <d v="2022-01-01T00:00:00"/>
    <d v="2022-01-30T00:00:00"/>
    <n v="17"/>
    <n v="0.56666666666666665"/>
    <n v="0"/>
    <n v="0"/>
    <n v="0"/>
    <n v="0"/>
    <n v="0"/>
    <s v="REAL"/>
    <s v="Cálculo del saldo ATR por diferencia de lecturas"/>
    <x v="4"/>
    <x v="0"/>
    <n v="17"/>
    <n v="29"/>
    <n v="0.58620689655172409"/>
  </r>
  <r>
    <n v="500008272897"/>
    <n v="0"/>
    <d v="2022-01-31T00:00:00"/>
    <d v="2022-02-25T00:00:00"/>
    <n v="47"/>
    <n v="1.8076923076923077"/>
    <n v="0"/>
    <n v="0"/>
    <n v="0"/>
    <n v="0"/>
    <n v="0"/>
    <s v="REAL"/>
    <s v="Cálculo del saldo ATR por diferencia de lecturas"/>
    <x v="4"/>
    <x v="0"/>
    <n v="47"/>
    <n v="25"/>
    <n v="1.88"/>
  </r>
  <r>
    <n v="500008272897"/>
    <n v="0"/>
    <d v="2022-02-26T00:00:00"/>
    <d v="2022-03-03T00:00:00"/>
    <n v="0"/>
    <n v="0"/>
    <n v="0"/>
    <n v="0"/>
    <n v="0"/>
    <n v="0"/>
    <n v="0"/>
    <s v="REAL"/>
    <s v="Cálculo del saldo ATR por diferencia de lecturas"/>
    <x v="4"/>
    <x v="1"/>
    <n v="0"/>
    <n v="5"/>
    <n v="0"/>
  </r>
  <r>
    <n v="500009141130"/>
    <n v="0"/>
    <d v="2022-03-04T00:00:00"/>
    <d v="2022-04-02T00:00:00"/>
    <n v="3"/>
    <n v="0.1"/>
    <n v="0"/>
    <n v="0"/>
    <n v="0"/>
    <n v="0"/>
    <n v="0"/>
    <s v="REAL"/>
    <s v="Cálculo del saldo ATR por diferencia de lecturas"/>
    <x v="4"/>
    <x v="2"/>
    <n v="3"/>
    <n v="29"/>
    <n v="0.10344827586206896"/>
  </r>
  <r>
    <n v="500009141130"/>
    <n v="0"/>
    <d v="2022-04-03T00:00:00"/>
    <d v="2022-05-02T00:00:00"/>
    <n v="1"/>
    <n v="3.3333333333333333E-2"/>
    <n v="0"/>
    <n v="0"/>
    <n v="0"/>
    <n v="0"/>
    <n v="0"/>
    <s v="REAL"/>
    <s v="Cálculo del saldo ATR por diferencia de lecturas"/>
    <x v="4"/>
    <x v="3"/>
    <n v="1"/>
    <n v="29"/>
    <n v="3.4482758620689655E-2"/>
  </r>
  <r>
    <n v="500009141130"/>
    <n v="0"/>
    <d v="2022-05-03T00:00:00"/>
    <d v="2022-05-28T00:00:00"/>
    <n v="0"/>
    <n v="0"/>
    <n v="0"/>
    <n v="0"/>
    <n v="0"/>
    <n v="0"/>
    <n v="0"/>
    <s v="REAL"/>
    <s v="Cálculo del saldo ATR por diferencia de lecturas"/>
    <x v="4"/>
    <x v="4"/>
    <n v="0"/>
    <n v="25"/>
    <n v="0"/>
  </r>
  <r>
    <n v="500009141130"/>
    <n v="0"/>
    <d v="2022-05-29T00:00:00"/>
    <d v="2022-07-02T00:00:00"/>
    <n v="0"/>
    <n v="0"/>
    <n v="0"/>
    <n v="0"/>
    <n v="0"/>
    <n v="0"/>
    <n v="0"/>
    <s v="REAL"/>
    <s v="Cálculo del saldo ATR por diferencia de lecturas"/>
    <x v="4"/>
    <x v="4"/>
    <n v="0"/>
    <n v="34"/>
    <n v="0"/>
  </r>
  <r>
    <n v="500009141130"/>
    <n v="0"/>
    <d v="2022-07-03T00:00:00"/>
    <d v="2022-07-25T00:00:00"/>
    <n v="0"/>
    <n v="0"/>
    <n v="0"/>
    <n v="0"/>
    <n v="0"/>
    <n v="0"/>
    <n v="0"/>
    <s v="REAL"/>
    <s v="Saldo ATR calculado a partir de la CCH Val"/>
    <x v="4"/>
    <x v="6"/>
    <n v="0"/>
    <n v="22"/>
    <n v="0"/>
  </r>
  <r>
    <n v="500010411584"/>
    <n v="0"/>
    <d v="2022-07-26T00:00:00"/>
    <d v="2022-08-20T00:00:00"/>
    <n v="0"/>
    <n v="0"/>
    <n v="0"/>
    <n v="0"/>
    <n v="0"/>
    <n v="0"/>
    <n v="0"/>
    <s v="REAL"/>
    <s v="Cálculo del saldo ATR por diferencia de lecturas"/>
    <x v="4"/>
    <x v="6"/>
    <n v="0"/>
    <n v="25"/>
    <n v="0"/>
  </r>
  <r>
    <n v="500010411584"/>
    <n v="0"/>
    <d v="2022-08-21T00:00:00"/>
    <d v="2022-09-23T00:00:00"/>
    <n v="8"/>
    <n v="0.23529411764705882"/>
    <n v="0"/>
    <n v="0"/>
    <n v="0"/>
    <n v="0"/>
    <n v="0"/>
    <s v="REAL"/>
    <s v="Cálculo del saldo ATR por diferencia de lecturas"/>
    <x v="4"/>
    <x v="7"/>
    <n v="8"/>
    <n v="33"/>
    <n v="0.24242424242424243"/>
  </r>
  <r>
    <n v="500010930025"/>
    <n v="0"/>
    <d v="2022-09-24T00:00:00"/>
    <d v="2022-10-23T00:00:00"/>
    <n v="0"/>
    <n v="0"/>
    <n v="0"/>
    <n v="0"/>
    <n v="0"/>
    <n v="0"/>
    <n v="0"/>
    <s v="ESTIMATED"/>
    <s v="Estimación de saldo ATR en base a consumo histórico año anterior (BOE 4 jun 2015 apartado 6.3.2.b)"/>
    <x v="4"/>
    <x v="8"/>
    <n v="0"/>
    <n v="29"/>
    <n v="0"/>
  </r>
  <r>
    <n v="500010930025"/>
    <n v="0"/>
    <d v="2022-11-21T00:00:00"/>
    <d v="2022-12-22T00:00:00"/>
    <n v="0"/>
    <n v="0"/>
    <n v="0"/>
    <n v="0"/>
    <n v="0"/>
    <n v="0"/>
    <n v="0"/>
    <s v="ESTIMATED"/>
    <s v="Estimación de saldo ATR en base a consumo histórico año anterior (BOE 4 jun 2015 apartado 6.3.2.b)"/>
    <x v="4"/>
    <x v="10"/>
    <n v="0"/>
    <n v="31"/>
    <n v="0"/>
  </r>
  <r>
    <n v="500010930025"/>
    <n v="0"/>
    <d v="2023-01-23T00:00:00"/>
    <d v="2023-02-16T00:00:00"/>
    <n v="0"/>
    <n v="0"/>
    <n v="0"/>
    <n v="0"/>
    <n v="0"/>
    <n v="0"/>
    <n v="0"/>
    <s v="REAL"/>
    <s v="Cálculo del saldo ATR por diferencia de lecturas"/>
    <x v="5"/>
    <x v="0"/>
    <n v="0"/>
    <n v="24"/>
    <n v="0"/>
  </r>
  <r>
    <n v="500010930025"/>
    <n v="0"/>
    <d v="2023-02-17T00:00:00"/>
    <d v="2023-03-17T00:00:00"/>
    <n v="0"/>
    <n v="0"/>
    <n v="0"/>
    <n v="0"/>
    <n v="0"/>
    <n v="0"/>
    <n v="0"/>
    <s v="REAL"/>
    <s v="Cálculo del saldo ATR por diferencia de lecturas"/>
    <x v="5"/>
    <x v="1"/>
    <n v="0"/>
    <n v="28"/>
    <n v="0"/>
  </r>
  <r>
    <n v="500010930025"/>
    <n v="0"/>
    <d v="2023-03-18T00:00:00"/>
    <d v="2023-04-21T00:00:00"/>
    <n v="0"/>
    <n v="0"/>
    <n v="0"/>
    <n v="0"/>
    <n v="0"/>
    <n v="0"/>
    <n v="0"/>
    <s v="REAL"/>
    <s v="Cálculo del saldo ATR por diferencia de lecturas"/>
    <x v="5"/>
    <x v="2"/>
    <n v="0"/>
    <n v="34"/>
    <n v="0"/>
  </r>
  <r>
    <n v="500010930025"/>
    <n v="0"/>
    <d v="2023-04-22T00:00:00"/>
    <d v="2023-05-16T00:00:00"/>
    <n v="0"/>
    <n v="0"/>
    <n v="0"/>
    <n v="0"/>
    <n v="0"/>
    <n v="0"/>
    <n v="0"/>
    <s v="REAL"/>
    <s v="Cálculo del saldo ATR por diferencia de lecturas"/>
    <x v="5"/>
    <x v="3"/>
    <n v="0"/>
    <n v="24"/>
    <n v="0"/>
  </r>
  <r>
    <n v="500010930025"/>
    <n v="0"/>
    <d v="2023-05-17T00:00:00"/>
    <d v="2023-06-17T00:00:00"/>
    <n v="0"/>
    <n v="0"/>
    <n v="0"/>
    <n v="0"/>
    <n v="0"/>
    <n v="0"/>
    <n v="0"/>
    <s v="REAL"/>
    <s v="Cálculo del saldo ATR por diferencia de lecturas"/>
    <x v="5"/>
    <x v="4"/>
    <n v="0"/>
    <n v="31"/>
    <n v="0"/>
  </r>
  <r>
    <n v="500010930025"/>
    <n v="0"/>
    <d v="2023-06-18T00:00:00"/>
    <d v="2023-06-19T00:00:00"/>
    <n v="0"/>
    <n v="0"/>
    <n v="0"/>
    <n v="0"/>
    <n v="0"/>
    <n v="0"/>
    <n v="0"/>
    <s v="REAL"/>
    <s v="Cálculo del saldo ATR por diferencia de lecturas"/>
    <x v="5"/>
    <x v="5"/>
    <n v="0"/>
    <n v="1"/>
    <n v="0"/>
  </r>
  <r>
    <n v="500010930025"/>
    <n v="0"/>
    <d v="2023-06-20T00:00:00"/>
    <d v="2023-08-20T00:00:00"/>
    <n v="0"/>
    <n v="0"/>
    <n v="0"/>
    <n v="0"/>
    <n v="0"/>
    <n v="0"/>
    <n v="0"/>
    <s v="REAL"/>
    <s v="Cálculo del saldo ATR por diferencia de lecturas"/>
    <x v="5"/>
    <x v="5"/>
    <n v="0"/>
    <n v="61"/>
    <n v="0"/>
  </r>
  <r>
    <n v="500010930025"/>
    <n v="0"/>
    <d v="2023-08-21T00:00:00"/>
    <d v="2023-09-15T00:00:00"/>
    <n v="0"/>
    <n v="0"/>
    <n v="0"/>
    <n v="0"/>
    <n v="0"/>
    <n v="0"/>
    <n v="0"/>
    <s v="REAL"/>
    <s v="Cálculo del saldo ATR por diferencia de lecturas"/>
    <x v="5"/>
    <x v="7"/>
    <n v="0"/>
    <n v="25"/>
    <n v="0"/>
  </r>
  <r>
    <n v="500010930025"/>
    <n v="0"/>
    <d v="2023-09-16T00:00:00"/>
    <d v="2023-10-20T00:00:00"/>
    <n v="0"/>
    <n v="0"/>
    <n v="0"/>
    <n v="0"/>
    <n v="0"/>
    <n v="0"/>
    <n v="0"/>
    <s v="REAL"/>
    <s v="Cálculo del saldo ATR por diferencia de lecturas"/>
    <x v="5"/>
    <x v="8"/>
    <n v="0"/>
    <n v="34"/>
    <n v="0"/>
  </r>
  <r>
    <n v="500010930025"/>
    <n v="0"/>
    <d v="2023-10-21T00:00:00"/>
    <d v="2023-11-24T00:00:00"/>
    <n v="0"/>
    <n v="0"/>
    <n v="0"/>
    <n v="0"/>
    <n v="0"/>
    <n v="0"/>
    <n v="0"/>
    <s v="REAL"/>
    <s v="Cálculo del saldo ATR por diferencia de lecturas"/>
    <x v="5"/>
    <x v="9"/>
    <n v="0"/>
    <n v="34"/>
    <n v="0"/>
  </r>
  <r>
    <n v="500010930025"/>
    <n v="0"/>
    <d v="2023-11-25T00:00:00"/>
    <d v="2023-12-20T00:00:00"/>
    <n v="0"/>
    <n v="0"/>
    <n v="0"/>
    <n v="0"/>
    <n v="0"/>
    <n v="0"/>
    <n v="0"/>
    <s v="REAL"/>
    <s v="Cálculo del saldo ATR por diferencia de lecturas"/>
    <x v="5"/>
    <x v="10"/>
    <n v="0"/>
    <n v="25"/>
    <n v="0"/>
  </r>
  <r>
    <n v="500010930025"/>
    <n v="0"/>
    <d v="2023-12-21T00:00:00"/>
    <d v="2024-01-20T00:00:00"/>
    <n v="0"/>
    <n v="0"/>
    <n v="0"/>
    <n v="0"/>
    <n v="0"/>
    <n v="0"/>
    <n v="0"/>
    <s v="REAL"/>
    <s v="Cálculo del saldo ATR por diferencia de lecturas"/>
    <x v="5"/>
    <x v="11"/>
    <n v="0"/>
    <n v="30"/>
    <n v="0"/>
  </r>
  <r>
    <n v="500010930025"/>
    <n v="0"/>
    <d v="2024-01-21T00:00:00"/>
    <d v="2024-02-19T00:00:00"/>
    <n v="0"/>
    <n v="0"/>
    <n v="0"/>
    <n v="0"/>
    <n v="0"/>
    <n v="0"/>
    <n v="0"/>
    <s v="REAL"/>
    <s v="Cálculo del saldo ATR por diferencia de lecturas"/>
    <x v="6"/>
    <x v="0"/>
    <n v="0"/>
    <n v="29"/>
    <n v="0"/>
  </r>
  <r>
    <n v="500010930025"/>
    <n v="0"/>
    <d v="2024-02-20T00:00:00"/>
    <d v="2024-03-12T00:00:00"/>
    <n v="0"/>
    <n v="0"/>
    <n v="0"/>
    <n v="0"/>
    <n v="0"/>
    <n v="0"/>
    <n v="0"/>
    <s v="REAL"/>
    <s v="Cálculo del saldo ATR por diferencia de lecturas"/>
    <x v="6"/>
    <x v="1"/>
    <n v="0"/>
    <n v="21"/>
    <n v="0"/>
  </r>
  <r>
    <n v="500010930025"/>
    <n v="0"/>
    <d v="2024-03-13T00:00:00"/>
    <d v="2024-04-18T00:00:00"/>
    <n v="0"/>
    <n v="0"/>
    <n v="0"/>
    <n v="0"/>
    <n v="0"/>
    <n v="0"/>
    <n v="0"/>
    <s v="REAL"/>
    <s v="Saldo ATR calculado a partir de la CCH Val"/>
    <x v="6"/>
    <x v="2"/>
    <n v="0"/>
    <n v="36"/>
    <n v="0"/>
  </r>
  <r>
    <n v="500010930025"/>
    <n v="0"/>
    <d v="2024-04-19T00:00:00"/>
    <d v="2024-05-21T00:00:00"/>
    <n v="0"/>
    <n v="0"/>
    <n v="0"/>
    <n v="0"/>
    <n v="0"/>
    <n v="0"/>
    <n v="0"/>
    <s v="ESTIMATED"/>
    <s v="Consumo 0"/>
    <x v="6"/>
    <x v="3"/>
    <n v="0"/>
    <n v="32"/>
    <n v="0"/>
  </r>
  <r>
    <n v="500010930025"/>
    <n v="0"/>
    <d v="2024-06-16T00:00:00"/>
    <d v="2024-07-18T00:00:00"/>
    <n v="0"/>
    <n v="0"/>
    <n v="0"/>
    <n v="0"/>
    <n v="0"/>
    <n v="0"/>
    <n v="0"/>
    <s v="ESTIMATED"/>
    <s v="Consumo 0"/>
    <x v="6"/>
    <x v="5"/>
    <n v="0"/>
    <n v="32"/>
    <n v="0"/>
  </r>
  <r>
    <n v="500010930025"/>
    <n v="0"/>
    <d v="2024-08-20T00:00:00"/>
    <d v="2024-09-18T00:00:00"/>
    <n v="0"/>
    <n v="0"/>
    <n v="0"/>
    <n v="0"/>
    <n v="0"/>
    <n v="0"/>
    <n v="0"/>
    <s v="REAL"/>
    <s v="Cálculo del saldo ATR por diferencia de lecturas"/>
    <x v="6"/>
    <x v="7"/>
    <n v="0"/>
    <n v="29"/>
    <n v="0"/>
  </r>
  <r>
    <n v="500010930025"/>
    <n v="0"/>
    <d v="2024-09-19T00:00:00"/>
    <d v="2024-10-18T00:00:00"/>
    <n v="0"/>
    <n v="0"/>
    <n v="0"/>
    <n v="0"/>
    <n v="0"/>
    <n v="0"/>
    <n v="0"/>
    <s v="REAL"/>
    <s v="Cálculo del saldo ATR por diferencia de lecturas"/>
    <x v="6"/>
    <x v="8"/>
    <n v="0"/>
    <n v="29"/>
    <n v="0"/>
  </r>
  <r>
    <n v="500010930025"/>
    <n v="0"/>
    <d v="2024-10-19T00:00:00"/>
    <d v="2024-11-15T00:00:00"/>
    <n v="0"/>
    <n v="0"/>
    <n v="0"/>
    <n v="0"/>
    <n v="0"/>
    <n v="0"/>
    <n v="0"/>
    <s v="REAL"/>
    <s v="Cálculo del saldo ATR por diferencia de lecturas"/>
    <x v="6"/>
    <x v="9"/>
    <n v="0"/>
    <n v="27"/>
    <n v="0"/>
  </r>
  <r>
    <n v="500018185086"/>
    <n v="0"/>
    <d v="2024-11-16T00:00:00"/>
    <d v="2024-12-14T00:00:00"/>
    <n v="13"/>
    <n v="0.44827586206896552"/>
    <n v="0"/>
    <n v="0"/>
    <n v="0"/>
    <n v="0"/>
    <n v="0"/>
    <s v="REAL"/>
    <s v="Cálculo del saldo ATR por diferencia de lecturas"/>
    <x v="6"/>
    <x v="10"/>
    <n v="13"/>
    <n v="28"/>
    <n v="0.4642857142857143"/>
  </r>
  <r>
    <n v="500018185086"/>
    <n v="0"/>
    <d v="2024-12-15T00:00:00"/>
    <d v="2025-01-13T00:00:00"/>
    <n v="12"/>
    <n v="0.4"/>
    <n v="0"/>
    <n v="0"/>
    <n v="0"/>
    <n v="0"/>
    <n v="0"/>
    <s v="REAL"/>
    <s v="Cálculo del saldo ATR por diferencia de lecturas"/>
    <x v="6"/>
    <x v="11"/>
    <n v="12"/>
    <n v="29"/>
    <n v="0.41379310344827586"/>
  </r>
  <r>
    <n v="500018185086"/>
    <n v="0"/>
    <d v="2025-01-14T00:00:00"/>
    <d v="2025-02-08T00:00:00"/>
    <n v="12"/>
    <n v="0.46153846153846156"/>
    <n v="0"/>
    <n v="0"/>
    <n v="0"/>
    <n v="0"/>
    <n v="0"/>
    <s v="REAL"/>
    <s v="Cálculo del saldo ATR por diferencia de lecturas"/>
    <x v="7"/>
    <x v="0"/>
    <n v="12"/>
    <n v="25"/>
    <n v="0.48"/>
  </r>
  <r>
    <n v="500018185086"/>
    <n v="0"/>
    <d v="2025-02-09T00:00:00"/>
    <d v="2025-03-11T00:00:00"/>
    <n v="16"/>
    <n v="0.5161290322580645"/>
    <n v="0"/>
    <n v="0"/>
    <n v="0"/>
    <n v="0"/>
    <n v="0"/>
    <s v="REAL"/>
    <s v="Cálculo del saldo ATR por diferencia de lecturas"/>
    <x v="7"/>
    <x v="1"/>
    <n v="16"/>
    <n v="30"/>
    <n v="0.53333333333333333"/>
  </r>
  <r>
    <n v="500018185086"/>
    <n v="0"/>
    <d v="2025-03-12T00:00:00"/>
    <d v="2025-04-08T00:00:00"/>
    <n v="15"/>
    <n v="0.5357142857142857"/>
    <n v="0"/>
    <n v="0"/>
    <n v="0"/>
    <n v="0"/>
    <n v="0"/>
    <s v="REAL"/>
    <s v="Cálculo del saldo ATR por diferencia de lecturas"/>
    <x v="7"/>
    <x v="2"/>
    <n v="15"/>
    <n v="27"/>
    <n v="0.55555555555555558"/>
  </r>
  <r>
    <n v="500018185086"/>
    <n v="0"/>
    <d v="2025-04-09T00:00:00"/>
    <d v="2025-05-11T00:00:00"/>
    <n v="13"/>
    <n v="0.39393939393939392"/>
    <n v="0"/>
    <n v="0"/>
    <n v="0"/>
    <n v="0"/>
    <n v="0"/>
    <s v="REAL"/>
    <s v="Cálculo del saldo ATR por diferencia de lecturas"/>
    <x v="7"/>
    <x v="3"/>
    <n v="13"/>
    <n v="32"/>
    <n v="0.40625"/>
  </r>
  <r>
    <n v="500018185086"/>
    <n v="0"/>
    <d v="2025-05-12T00:00:00"/>
    <d v="2025-06-10T00:00:00"/>
    <n v="10"/>
    <n v="0.33333333333333331"/>
    <n v="0"/>
    <n v="0"/>
    <n v="0"/>
    <n v="0"/>
    <n v="0"/>
    <s v="REAL"/>
    <s v="Cálculo del saldo ATR por diferencia de lecturas"/>
    <x v="7"/>
    <x v="4"/>
    <n v="10"/>
    <n v="29"/>
    <n v="0.34482758620689657"/>
  </r>
  <r>
    <n v="500018185086"/>
    <n v="0"/>
    <d v="2025-06-11T00:00:00"/>
    <d v="2025-07-05T00:00:00"/>
    <n v="9"/>
    <n v="0.36"/>
    <n v="0"/>
    <n v="0"/>
    <n v="0"/>
    <n v="0"/>
    <n v="0"/>
    <s v="REAL"/>
    <s v="Cálculo del saldo ATR por diferencia de lecturas"/>
    <x v="7"/>
    <x v="5"/>
    <n v="9"/>
    <n v="24"/>
    <n v="0.375"/>
  </r>
  <r>
    <n v="500018185086"/>
    <n v="0"/>
    <d v="2025-07-06T00:00:00"/>
    <d v="2025-08-10T00:00:00"/>
    <n v="16"/>
    <n v="0.44444444444444442"/>
    <n v="0"/>
    <n v="0"/>
    <n v="0"/>
    <n v="0"/>
    <n v="0"/>
    <s v="REAL"/>
    <s v="Cálculo del saldo ATR por diferencia de lecturas"/>
    <x v="7"/>
    <x v="6"/>
    <n v="16"/>
    <n v="35"/>
    <n v="0.45714285714285713"/>
  </r>
  <r>
    <n v="500018185086"/>
    <n v="0"/>
    <d v="2025-08-11T00:00:00"/>
    <d v="2025-09-08T00:00:00"/>
    <n v="15"/>
    <n v="0.51724137931034486"/>
    <n v="0"/>
    <n v="0"/>
    <n v="0"/>
    <n v="0"/>
    <n v="0"/>
    <s v="REAL"/>
    <s v="Cálculo del saldo ATR por diferencia de lecturas"/>
    <x v="7"/>
    <x v="7"/>
    <n v="15"/>
    <n v="28"/>
    <n v="0.5357142857142857"/>
  </r>
  <r>
    <s v=""/>
    <s v=""/>
    <s v=""/>
    <s v=""/>
    <s v=""/>
    <s v=""/>
    <s v=""/>
    <s v=""/>
    <s v=""/>
    <s v=""/>
    <s v=""/>
    <s v=""/>
    <s v=""/>
    <x v="8"/>
    <x v="12"/>
    <s v=""/>
    <s v=""/>
    <s v=""/>
  </r>
  <r>
    <s v=""/>
    <s v=""/>
    <s v=""/>
    <s v=""/>
    <s v=""/>
    <s v=""/>
    <s v=""/>
    <s v=""/>
    <s v=""/>
    <s v=""/>
    <s v=""/>
    <s v=""/>
    <s v=""/>
    <x v="8"/>
    <x v="12"/>
    <s v=""/>
    <s v=""/>
    <s v=""/>
  </r>
  <r>
    <s v=""/>
    <s v=""/>
    <s v=""/>
    <s v=""/>
    <s v=""/>
    <s v=""/>
    <s v=""/>
    <s v=""/>
    <s v=""/>
    <s v=""/>
    <s v=""/>
    <s v=""/>
    <s v=""/>
    <x v="8"/>
    <x v="12"/>
    <s v=""/>
    <s v=""/>
    <s v=""/>
  </r>
  <r>
    <s v=""/>
    <s v=""/>
    <s v=""/>
    <s v=""/>
    <s v=""/>
    <s v=""/>
    <s v=""/>
    <s v=""/>
    <s v=""/>
    <s v=""/>
    <s v=""/>
    <s v=""/>
    <s v=""/>
    <x v="8"/>
    <x v="12"/>
    <s v=""/>
    <s v=""/>
    <s v=""/>
  </r>
  <r>
    <s v=""/>
    <s v=""/>
    <s v=""/>
    <s v=""/>
    <s v=""/>
    <s v=""/>
    <s v=""/>
    <s v=""/>
    <s v=""/>
    <s v=""/>
    <s v=""/>
    <s v=""/>
    <s v=""/>
    <x v="8"/>
    <x v="12"/>
    <s v=""/>
    <s v=""/>
    <s v=""/>
  </r>
  <r>
    <s v=""/>
    <s v=""/>
    <s v=""/>
    <s v=""/>
    <s v=""/>
    <s v=""/>
    <s v=""/>
    <s v=""/>
    <s v=""/>
    <s v=""/>
    <s v=""/>
    <s v=""/>
    <s v=""/>
    <x v="8"/>
    <x v="12"/>
    <s v=""/>
    <s v=""/>
    <s v=""/>
  </r>
  <r>
    <s v=""/>
    <s v=""/>
    <s v=""/>
    <s v=""/>
    <s v=""/>
    <s v=""/>
    <s v=""/>
    <s v=""/>
    <s v=""/>
    <s v=""/>
    <s v=""/>
    <s v=""/>
    <s v=""/>
    <x v="8"/>
    <x v="12"/>
    <s v=""/>
    <s v=""/>
    <s v=""/>
  </r>
  <r>
    <s v=""/>
    <s v=""/>
    <s v=""/>
    <s v=""/>
    <s v=""/>
    <s v=""/>
    <s v=""/>
    <s v=""/>
    <s v=""/>
    <s v=""/>
    <s v=""/>
    <s v=""/>
    <s v=""/>
    <x v="8"/>
    <x v="12"/>
    <s v=""/>
    <s v=""/>
    <s v=""/>
  </r>
  <r>
    <s v=""/>
    <s v=""/>
    <s v=""/>
    <s v=""/>
    <s v=""/>
    <s v=""/>
    <s v=""/>
    <s v=""/>
    <s v=""/>
    <s v=""/>
    <s v=""/>
    <s v=""/>
    <s v=""/>
    <x v="8"/>
    <x v="12"/>
    <s v=""/>
    <s v=""/>
    <s v=""/>
  </r>
  <r>
    <s v=""/>
    <s v=""/>
    <s v=""/>
    <s v=""/>
    <s v=""/>
    <s v=""/>
    <s v=""/>
    <s v=""/>
    <s v=""/>
    <s v=""/>
    <s v=""/>
    <s v=""/>
    <s v=""/>
    <x v="8"/>
    <x v="12"/>
    <s v=""/>
    <s v=""/>
    <s v=""/>
  </r>
  <r>
    <s v=""/>
    <s v=""/>
    <s v=""/>
    <s v=""/>
    <s v=""/>
    <s v=""/>
    <s v=""/>
    <s v=""/>
    <s v=""/>
    <s v=""/>
    <s v=""/>
    <s v=""/>
    <s v=""/>
    <x v="8"/>
    <x v="12"/>
    <s v=""/>
    <s v=""/>
    <s v=""/>
  </r>
  <r>
    <s v=""/>
    <s v=""/>
    <s v=""/>
    <s v=""/>
    <s v=""/>
    <s v=""/>
    <s v=""/>
    <s v=""/>
    <s v=""/>
    <s v=""/>
    <s v=""/>
    <s v=""/>
    <s v=""/>
    <x v="8"/>
    <x v="12"/>
    <s v=""/>
    <s v=""/>
    <s v=""/>
  </r>
  <r>
    <s v=""/>
    <s v=""/>
    <s v=""/>
    <s v=""/>
    <s v=""/>
    <s v=""/>
    <s v=""/>
    <s v=""/>
    <s v=""/>
    <s v=""/>
    <s v=""/>
    <s v=""/>
    <s v=""/>
    <x v="8"/>
    <x v="12"/>
    <s v=""/>
    <s v=""/>
    <s v=""/>
  </r>
  <r>
    <s v=""/>
    <s v=""/>
    <s v=""/>
    <s v=""/>
    <s v=""/>
    <s v=""/>
    <s v=""/>
    <s v=""/>
    <s v=""/>
    <s v=""/>
    <s v=""/>
    <s v=""/>
    <s v=""/>
    <x v="8"/>
    <x v="12"/>
    <s v=""/>
    <s v=""/>
    <s v=""/>
  </r>
  <r>
    <s v=""/>
    <s v=""/>
    <s v=""/>
    <s v=""/>
    <s v=""/>
    <s v=""/>
    <s v=""/>
    <s v=""/>
    <s v=""/>
    <s v=""/>
    <s v=""/>
    <s v=""/>
    <s v=""/>
    <x v="8"/>
    <x v="12"/>
    <s v=""/>
    <s v=""/>
    <s v=""/>
  </r>
  <r>
    <s v=""/>
    <s v=""/>
    <s v=""/>
    <s v=""/>
    <s v=""/>
    <s v=""/>
    <s v=""/>
    <s v=""/>
    <s v=""/>
    <s v=""/>
    <s v=""/>
    <s v=""/>
    <s v=""/>
    <x v="8"/>
    <x v="12"/>
    <s v=""/>
    <s v=""/>
    <s v=""/>
  </r>
  <r>
    <s v=""/>
    <s v=""/>
    <s v=""/>
    <s v=""/>
    <s v=""/>
    <s v=""/>
    <s v=""/>
    <s v=""/>
    <s v=""/>
    <s v=""/>
    <s v=""/>
    <s v=""/>
    <s v=""/>
    <x v="8"/>
    <x v="12"/>
    <s v=""/>
    <s v=""/>
    <s v=""/>
  </r>
  <r>
    <s v=""/>
    <s v=""/>
    <s v=""/>
    <s v=""/>
    <s v=""/>
    <s v=""/>
    <s v=""/>
    <s v=""/>
    <s v=""/>
    <s v=""/>
    <s v=""/>
    <s v=""/>
    <s v=""/>
    <x v="8"/>
    <x v="12"/>
    <s v=""/>
    <s v=""/>
    <s v=""/>
  </r>
  <r>
    <s v=""/>
    <s v=""/>
    <s v=""/>
    <s v=""/>
    <s v=""/>
    <s v=""/>
    <s v=""/>
    <s v=""/>
    <s v=""/>
    <s v=""/>
    <s v=""/>
    <s v=""/>
    <s v=""/>
    <x v="8"/>
    <x v="12"/>
    <s v=""/>
    <s v=""/>
    <s v=""/>
  </r>
  <r>
    <s v=""/>
    <s v=""/>
    <s v=""/>
    <s v=""/>
    <s v=""/>
    <s v=""/>
    <s v=""/>
    <s v=""/>
    <s v=""/>
    <s v=""/>
    <s v=""/>
    <s v=""/>
    <s v=""/>
    <x v="8"/>
    <x v="12"/>
    <s v=""/>
    <s v=""/>
    <s v=""/>
  </r>
  <r>
    <s v=""/>
    <s v=""/>
    <s v=""/>
    <s v=""/>
    <s v=""/>
    <s v=""/>
    <s v=""/>
    <s v=""/>
    <s v=""/>
    <s v=""/>
    <s v=""/>
    <s v=""/>
    <s v=""/>
    <x v="8"/>
    <x v="12"/>
    <s v=""/>
    <s v=""/>
    <s v=""/>
  </r>
  <r>
    <s v=""/>
    <s v=""/>
    <s v=""/>
    <s v=""/>
    <s v=""/>
    <s v=""/>
    <s v=""/>
    <s v=""/>
    <s v=""/>
    <s v=""/>
    <s v=""/>
    <s v=""/>
    <s v=""/>
    <x v="8"/>
    <x v="12"/>
    <s v=""/>
    <s v=""/>
    <s v=""/>
  </r>
  <r>
    <s v=""/>
    <s v=""/>
    <s v=""/>
    <s v=""/>
    <s v=""/>
    <s v=""/>
    <s v=""/>
    <s v=""/>
    <s v=""/>
    <s v=""/>
    <s v=""/>
    <s v=""/>
    <s v=""/>
    <x v="8"/>
    <x v="12"/>
    <s v=""/>
    <s v=""/>
    <s v=""/>
  </r>
  <r>
    <s v=""/>
    <s v=""/>
    <s v=""/>
    <s v=""/>
    <s v=""/>
    <s v=""/>
    <s v=""/>
    <s v=""/>
    <s v=""/>
    <s v=""/>
    <s v=""/>
    <s v=""/>
    <s v=""/>
    <x v="8"/>
    <x v="12"/>
    <s v=""/>
    <s v=""/>
    <s v=""/>
  </r>
  <r>
    <s v=""/>
    <s v=""/>
    <s v=""/>
    <s v=""/>
    <s v=""/>
    <s v=""/>
    <s v=""/>
    <s v=""/>
    <s v=""/>
    <s v=""/>
    <s v=""/>
    <s v=""/>
    <s v=""/>
    <x v="8"/>
    <x v="12"/>
    <s v=""/>
    <s v=""/>
    <s v=""/>
  </r>
  <r>
    <s v=""/>
    <s v=""/>
    <s v=""/>
    <s v=""/>
    <s v=""/>
    <s v=""/>
    <s v=""/>
    <s v=""/>
    <s v=""/>
    <s v=""/>
    <s v=""/>
    <s v=""/>
    <s v=""/>
    <x v="8"/>
    <x v="12"/>
    <s v=""/>
    <s v=""/>
    <s v=""/>
  </r>
  <r>
    <s v=""/>
    <s v=""/>
    <s v=""/>
    <s v=""/>
    <s v=""/>
    <s v=""/>
    <s v=""/>
    <s v=""/>
    <s v=""/>
    <s v=""/>
    <s v=""/>
    <s v=""/>
    <s v=""/>
    <x v="8"/>
    <x v="12"/>
    <s v=""/>
    <s v=""/>
    <s v=""/>
  </r>
  <r>
    <s v=""/>
    <s v=""/>
    <s v=""/>
    <s v=""/>
    <s v=""/>
    <s v=""/>
    <s v=""/>
    <s v=""/>
    <s v=""/>
    <s v=""/>
    <s v=""/>
    <s v=""/>
    <s v=""/>
    <x v="8"/>
    <x v="12"/>
    <s v=""/>
    <s v=""/>
    <s v=""/>
  </r>
  <r>
    <s v=""/>
    <s v=""/>
    <s v=""/>
    <s v=""/>
    <s v=""/>
    <s v=""/>
    <s v=""/>
    <s v=""/>
    <s v=""/>
    <s v=""/>
    <s v=""/>
    <s v=""/>
    <s v=""/>
    <x v="8"/>
    <x v="12"/>
    <s v=""/>
    <s v=""/>
    <s v=""/>
  </r>
  <r>
    <s v=""/>
    <s v=""/>
    <s v=""/>
    <s v=""/>
    <s v=""/>
    <s v=""/>
    <s v=""/>
    <s v=""/>
    <s v=""/>
    <s v=""/>
    <s v=""/>
    <s v=""/>
    <s v=""/>
    <x v="8"/>
    <x v="12"/>
    <s v=""/>
    <s v=""/>
    <s v=""/>
  </r>
  <r>
    <s v=""/>
    <s v=""/>
    <s v=""/>
    <s v=""/>
    <s v=""/>
    <s v=""/>
    <s v=""/>
    <s v=""/>
    <s v=""/>
    <s v=""/>
    <s v=""/>
    <s v=""/>
    <s v=""/>
    <x v="8"/>
    <x v="12"/>
    <s v=""/>
    <s v=""/>
    <s v=""/>
  </r>
  <r>
    <s v=""/>
    <s v=""/>
    <s v=""/>
    <s v=""/>
    <s v=""/>
    <s v=""/>
    <s v=""/>
    <s v=""/>
    <s v=""/>
    <s v=""/>
    <s v=""/>
    <s v=""/>
    <s v=""/>
    <x v="8"/>
    <x v="12"/>
    <s v=""/>
    <s v=""/>
    <s v=""/>
  </r>
  <r>
    <s v=""/>
    <s v=""/>
    <s v=""/>
    <s v=""/>
    <s v=""/>
    <s v=""/>
    <s v=""/>
    <s v=""/>
    <s v=""/>
    <s v=""/>
    <s v=""/>
    <s v=""/>
    <s v=""/>
    <x v="8"/>
    <x v="12"/>
    <s v=""/>
    <s v=""/>
    <s v=""/>
  </r>
  <r>
    <s v=""/>
    <s v=""/>
    <s v=""/>
    <s v=""/>
    <s v=""/>
    <s v=""/>
    <s v=""/>
    <s v=""/>
    <s v=""/>
    <s v=""/>
    <s v=""/>
    <s v=""/>
    <s v=""/>
    <x v="8"/>
    <x v="12"/>
    <s v=""/>
    <s v=""/>
    <s v=""/>
  </r>
  <r>
    <s v=""/>
    <s v=""/>
    <s v=""/>
    <s v=""/>
    <s v=""/>
    <s v=""/>
    <s v=""/>
    <s v=""/>
    <s v=""/>
    <s v=""/>
    <s v=""/>
    <s v=""/>
    <s v=""/>
    <x v="8"/>
    <x v="12"/>
    <s v=""/>
    <s v=""/>
    <s v=""/>
  </r>
  <r>
    <s v=""/>
    <s v=""/>
    <s v=""/>
    <s v=""/>
    <s v=""/>
    <s v=""/>
    <s v=""/>
    <s v=""/>
    <s v=""/>
    <s v=""/>
    <s v=""/>
    <s v=""/>
    <s v=""/>
    <x v="8"/>
    <x v="12"/>
    <s v=""/>
    <s v=""/>
    <s v=""/>
  </r>
  <r>
    <s v=""/>
    <s v=""/>
    <s v=""/>
    <s v=""/>
    <s v=""/>
    <s v=""/>
    <s v=""/>
    <s v=""/>
    <s v=""/>
    <s v=""/>
    <s v=""/>
    <s v=""/>
    <s v=""/>
    <x v="8"/>
    <x v="12"/>
    <s v=""/>
    <s v=""/>
    <s v=""/>
  </r>
  <r>
    <s v=""/>
    <s v=""/>
    <s v=""/>
    <s v=""/>
    <s v=""/>
    <s v=""/>
    <s v=""/>
    <s v=""/>
    <s v=""/>
    <s v=""/>
    <s v=""/>
    <s v=""/>
    <s v=""/>
    <x v="8"/>
    <x v="12"/>
    <s v=""/>
    <s v=""/>
    <s v=""/>
  </r>
  <r>
    <s v=""/>
    <s v=""/>
    <s v=""/>
    <s v=""/>
    <s v=""/>
    <s v=""/>
    <s v=""/>
    <s v=""/>
    <s v=""/>
    <s v=""/>
    <s v=""/>
    <s v=""/>
    <s v=""/>
    <x v="8"/>
    <x v="12"/>
    <s v=""/>
    <s v=""/>
    <s v=""/>
  </r>
  <r>
    <s v=""/>
    <s v=""/>
    <s v=""/>
    <s v=""/>
    <s v=""/>
    <s v=""/>
    <s v=""/>
    <s v=""/>
    <s v=""/>
    <s v=""/>
    <s v=""/>
    <s v=""/>
    <s v=""/>
    <x v="8"/>
    <x v="12"/>
    <s v=""/>
    <s v=""/>
    <s v=""/>
  </r>
  <r>
    <s v=""/>
    <s v=""/>
    <s v=""/>
    <s v=""/>
    <s v=""/>
    <s v=""/>
    <s v=""/>
    <s v=""/>
    <s v=""/>
    <s v=""/>
    <s v=""/>
    <s v=""/>
    <s v=""/>
    <x v="8"/>
    <x v="12"/>
    <s v=""/>
    <s v=""/>
    <s v=""/>
  </r>
  <r>
    <s v=""/>
    <s v=""/>
    <s v=""/>
    <s v=""/>
    <s v=""/>
    <s v=""/>
    <s v=""/>
    <s v=""/>
    <s v=""/>
    <s v=""/>
    <s v=""/>
    <s v=""/>
    <s v=""/>
    <x v="8"/>
    <x v="12"/>
    <s v=""/>
    <s v=""/>
    <s v=""/>
  </r>
  <r>
    <s v=""/>
    <s v=""/>
    <s v=""/>
    <s v=""/>
    <s v=""/>
    <s v=""/>
    <s v=""/>
    <s v=""/>
    <s v=""/>
    <s v=""/>
    <s v=""/>
    <s v=""/>
    <s v=""/>
    <x v="8"/>
    <x v="12"/>
    <s v=""/>
    <s v=""/>
    <s v=""/>
  </r>
  <r>
    <s v=""/>
    <s v=""/>
    <s v=""/>
    <s v=""/>
    <s v=""/>
    <s v=""/>
    <s v=""/>
    <s v=""/>
    <s v=""/>
    <s v=""/>
    <s v=""/>
    <s v=""/>
    <s v=""/>
    <x v="8"/>
    <x v="12"/>
    <s v=""/>
    <s v=""/>
    <s v=""/>
  </r>
  <r>
    <s v=""/>
    <s v=""/>
    <s v=""/>
    <s v=""/>
    <s v=""/>
    <s v=""/>
    <s v=""/>
    <s v=""/>
    <s v=""/>
    <s v=""/>
    <s v=""/>
    <s v=""/>
    <s v=""/>
    <x v="8"/>
    <x v="12"/>
    <s v=""/>
    <s v=""/>
    <s v=""/>
  </r>
  <r>
    <s v=""/>
    <s v=""/>
    <s v=""/>
    <s v=""/>
    <s v=""/>
    <s v=""/>
    <s v=""/>
    <s v=""/>
    <s v=""/>
    <s v=""/>
    <s v=""/>
    <s v=""/>
    <s v=""/>
    <x v="8"/>
    <x v="12"/>
    <s v=""/>
    <s v=""/>
    <s v=""/>
  </r>
  <r>
    <s v=""/>
    <s v=""/>
    <s v=""/>
    <s v=""/>
    <s v=""/>
    <s v=""/>
    <s v=""/>
    <s v=""/>
    <s v=""/>
    <s v=""/>
    <s v=""/>
    <s v=""/>
    <s v=""/>
    <x v="8"/>
    <x v="12"/>
    <s v=""/>
    <s v=""/>
    <s v=""/>
  </r>
  <r>
    <s v=""/>
    <s v=""/>
    <s v=""/>
    <s v=""/>
    <s v=""/>
    <s v=""/>
    <s v=""/>
    <s v=""/>
    <s v=""/>
    <s v=""/>
    <s v=""/>
    <s v=""/>
    <s v=""/>
    <x v="8"/>
    <x v="12"/>
    <s v=""/>
    <s v=""/>
    <s v=""/>
  </r>
  <r>
    <s v=""/>
    <s v=""/>
    <s v=""/>
    <s v=""/>
    <s v=""/>
    <s v=""/>
    <s v=""/>
    <s v=""/>
    <s v=""/>
    <s v=""/>
    <s v=""/>
    <s v=""/>
    <s v=""/>
    <x v="8"/>
    <x v="12"/>
    <s v=""/>
    <s v=""/>
    <s v=""/>
  </r>
  <r>
    <s v=""/>
    <s v=""/>
    <s v=""/>
    <s v=""/>
    <s v=""/>
    <s v=""/>
    <s v=""/>
    <s v=""/>
    <s v=""/>
    <s v=""/>
    <s v=""/>
    <s v=""/>
    <s v=""/>
    <x v="8"/>
    <x v="12"/>
    <s v=""/>
    <s v=""/>
    <s v=""/>
  </r>
  <r>
    <s v=""/>
    <s v=""/>
    <s v=""/>
    <s v=""/>
    <s v=""/>
    <s v=""/>
    <s v=""/>
    <s v=""/>
    <s v=""/>
    <s v=""/>
    <s v=""/>
    <s v=""/>
    <s v=""/>
    <x v="8"/>
    <x v="12"/>
    <s v=""/>
    <s v=""/>
    <s v=""/>
  </r>
  <r>
    <s v=""/>
    <s v=""/>
    <s v=""/>
    <s v=""/>
    <s v=""/>
    <s v=""/>
    <s v=""/>
    <s v=""/>
    <s v=""/>
    <s v=""/>
    <s v=""/>
    <s v=""/>
    <s v=""/>
    <x v="8"/>
    <x v="12"/>
    <s v=""/>
    <s v=""/>
    <s v=""/>
  </r>
  <r>
    <s v=""/>
    <s v=""/>
    <s v=""/>
    <s v=""/>
    <s v=""/>
    <s v=""/>
    <s v=""/>
    <s v=""/>
    <s v=""/>
    <s v=""/>
    <s v=""/>
    <s v=""/>
    <s v=""/>
    <x v="8"/>
    <x v="12"/>
    <s v=""/>
    <s v=""/>
    <s v=""/>
  </r>
  <r>
    <s v=""/>
    <s v=""/>
    <s v=""/>
    <s v=""/>
    <s v=""/>
    <s v=""/>
    <s v=""/>
    <s v=""/>
    <s v=""/>
    <s v=""/>
    <s v=""/>
    <s v=""/>
    <s v=""/>
    <x v="8"/>
    <x v="12"/>
    <s v=""/>
    <s v=""/>
    <s v=""/>
  </r>
  <r>
    <s v=""/>
    <s v=""/>
    <s v=""/>
    <s v=""/>
    <s v=""/>
    <s v=""/>
    <s v=""/>
    <s v=""/>
    <s v=""/>
    <s v=""/>
    <s v=""/>
    <s v=""/>
    <s v=""/>
    <x v="8"/>
    <x v="12"/>
    <s v=""/>
    <s v=""/>
    <s v=""/>
  </r>
  <r>
    <s v=""/>
    <s v=""/>
    <s v=""/>
    <s v=""/>
    <s v=""/>
    <s v=""/>
    <s v=""/>
    <s v=""/>
    <s v=""/>
    <s v=""/>
    <s v=""/>
    <s v=""/>
    <s v=""/>
    <x v="8"/>
    <x v="12"/>
    <s v=""/>
    <s v=""/>
    <s v=""/>
  </r>
  <r>
    <s v=""/>
    <s v=""/>
    <s v=""/>
    <s v=""/>
    <s v=""/>
    <s v=""/>
    <s v=""/>
    <s v=""/>
    <s v=""/>
    <s v=""/>
    <s v=""/>
    <s v=""/>
    <s v=""/>
    <x v="8"/>
    <x v="12"/>
    <s v=""/>
    <s v=""/>
    <s v=""/>
  </r>
  <r>
    <s v=""/>
    <s v=""/>
    <s v=""/>
    <s v=""/>
    <s v=""/>
    <s v=""/>
    <s v=""/>
    <s v=""/>
    <s v=""/>
    <s v=""/>
    <s v=""/>
    <s v=""/>
    <s v=""/>
    <x v="8"/>
    <x v="12"/>
    <s v=""/>
    <s v=""/>
    <s v=""/>
  </r>
  <r>
    <s v=""/>
    <s v=""/>
    <s v=""/>
    <s v=""/>
    <s v=""/>
    <s v=""/>
    <s v=""/>
    <s v=""/>
    <s v=""/>
    <s v=""/>
    <s v=""/>
    <s v=""/>
    <s v=""/>
    <x v="8"/>
    <x v="12"/>
    <s v=""/>
    <s v=""/>
    <s v=""/>
  </r>
  <r>
    <s v=""/>
    <s v=""/>
    <s v=""/>
    <s v=""/>
    <s v=""/>
    <s v=""/>
    <s v=""/>
    <s v=""/>
    <s v=""/>
    <s v=""/>
    <s v=""/>
    <s v=""/>
    <s v=""/>
    <x v="8"/>
    <x v="12"/>
    <s v=""/>
    <s v=""/>
    <s v=""/>
  </r>
  <r>
    <s v=""/>
    <s v=""/>
    <s v=""/>
    <s v=""/>
    <s v=""/>
    <s v=""/>
    <s v=""/>
    <s v=""/>
    <s v=""/>
    <s v=""/>
    <s v=""/>
    <s v=""/>
    <s v=""/>
    <x v="8"/>
    <x v="12"/>
    <s v=""/>
    <s v=""/>
    <s v=""/>
  </r>
  <r>
    <s v=""/>
    <s v=""/>
    <s v=""/>
    <s v=""/>
    <s v=""/>
    <s v=""/>
    <s v=""/>
    <s v=""/>
    <s v=""/>
    <s v=""/>
    <s v=""/>
    <s v=""/>
    <s v=""/>
    <x v="8"/>
    <x v="12"/>
    <s v=""/>
    <s v=""/>
    <s v=""/>
  </r>
  <r>
    <s v=""/>
    <s v=""/>
    <s v=""/>
    <s v=""/>
    <s v=""/>
    <s v=""/>
    <s v=""/>
    <s v=""/>
    <s v=""/>
    <s v=""/>
    <s v=""/>
    <s v=""/>
    <s v=""/>
    <x v="8"/>
    <x v="12"/>
    <s v=""/>
    <s v=""/>
    <s v=""/>
  </r>
  <r>
    <s v=""/>
    <s v=""/>
    <s v=""/>
    <s v=""/>
    <s v=""/>
    <s v=""/>
    <s v=""/>
    <s v=""/>
    <s v=""/>
    <s v=""/>
    <s v=""/>
    <s v=""/>
    <s v=""/>
    <x v="8"/>
    <x v="12"/>
    <s v=""/>
    <s v=""/>
    <s v=""/>
  </r>
  <r>
    <s v=""/>
    <s v=""/>
    <s v=""/>
    <s v=""/>
    <s v=""/>
    <s v=""/>
    <s v=""/>
    <s v=""/>
    <s v=""/>
    <s v=""/>
    <s v=""/>
    <s v=""/>
    <s v=""/>
    <x v="8"/>
    <x v="12"/>
    <s v=""/>
    <s v=""/>
    <s v=""/>
  </r>
  <r>
    <s v=""/>
    <s v=""/>
    <s v=""/>
    <s v=""/>
    <s v=""/>
    <s v=""/>
    <s v=""/>
    <s v=""/>
    <s v=""/>
    <s v=""/>
    <s v=""/>
    <s v=""/>
    <s v=""/>
    <x v="8"/>
    <x v="12"/>
    <s v=""/>
    <s v=""/>
    <s v=""/>
  </r>
  <r>
    <s v=""/>
    <s v=""/>
    <s v=""/>
    <s v=""/>
    <s v=""/>
    <s v=""/>
    <s v=""/>
    <s v=""/>
    <s v=""/>
    <s v=""/>
    <s v=""/>
    <s v=""/>
    <s v=""/>
    <x v="8"/>
    <x v="12"/>
    <s v=""/>
    <s v=""/>
    <s v=""/>
  </r>
  <r>
    <s v=""/>
    <s v=""/>
    <s v=""/>
    <s v=""/>
    <s v=""/>
    <s v=""/>
    <s v=""/>
    <s v=""/>
    <s v=""/>
    <s v=""/>
    <s v=""/>
    <s v=""/>
    <s v=""/>
    <x v="8"/>
    <x v="12"/>
    <s v=""/>
    <s v=""/>
    <s v=""/>
  </r>
  <r>
    <s v=""/>
    <s v=""/>
    <s v=""/>
    <s v=""/>
    <s v=""/>
    <s v=""/>
    <s v=""/>
    <s v=""/>
    <s v=""/>
    <s v=""/>
    <s v=""/>
    <s v=""/>
    <s v=""/>
    <x v="8"/>
    <x v="12"/>
    <s v=""/>
    <s v=""/>
    <s v=""/>
  </r>
  <r>
    <s v=""/>
    <s v=""/>
    <s v=""/>
    <s v=""/>
    <s v=""/>
    <s v=""/>
    <s v=""/>
    <s v=""/>
    <s v=""/>
    <s v=""/>
    <s v=""/>
    <s v=""/>
    <s v=""/>
    <x v="8"/>
    <x v="12"/>
    <s v=""/>
    <s v=""/>
    <s v=""/>
  </r>
  <r>
    <s v=""/>
    <s v=""/>
    <s v=""/>
    <s v=""/>
    <s v=""/>
    <s v=""/>
    <s v=""/>
    <s v=""/>
    <s v=""/>
    <s v=""/>
    <s v=""/>
    <s v=""/>
    <s v=""/>
    <x v="8"/>
    <x v="12"/>
    <s v=""/>
    <s v=""/>
    <s v=""/>
  </r>
  <r>
    <s v=""/>
    <s v=""/>
    <s v=""/>
    <s v=""/>
    <s v=""/>
    <s v=""/>
    <s v=""/>
    <s v=""/>
    <s v=""/>
    <s v=""/>
    <s v=""/>
    <s v=""/>
    <s v=""/>
    <x v="8"/>
    <x v="12"/>
    <s v=""/>
    <s v=""/>
    <s v=""/>
  </r>
  <r>
    <s v=""/>
    <s v=""/>
    <s v=""/>
    <s v=""/>
    <s v=""/>
    <s v=""/>
    <s v=""/>
    <s v=""/>
    <s v=""/>
    <s v=""/>
    <s v=""/>
    <s v=""/>
    <s v=""/>
    <x v="8"/>
    <x v="12"/>
    <s v=""/>
    <s v=""/>
    <s v=""/>
  </r>
  <r>
    <s v=""/>
    <s v=""/>
    <s v=""/>
    <s v=""/>
    <s v=""/>
    <s v=""/>
    <s v=""/>
    <s v=""/>
    <s v=""/>
    <s v=""/>
    <s v=""/>
    <s v=""/>
    <s v=""/>
    <x v="8"/>
    <x v="12"/>
    <s v=""/>
    <s v=""/>
    <s v=""/>
  </r>
  <r>
    <s v=""/>
    <s v=""/>
    <s v=""/>
    <s v=""/>
    <s v=""/>
    <s v=""/>
    <s v=""/>
    <s v=""/>
    <s v=""/>
    <s v=""/>
    <s v=""/>
    <s v=""/>
    <s v=""/>
    <x v="8"/>
    <x v="12"/>
    <s v=""/>
    <s v=""/>
    <s v=""/>
  </r>
  <r>
    <s v=""/>
    <s v=""/>
    <s v=""/>
    <s v=""/>
    <s v=""/>
    <s v=""/>
    <s v=""/>
    <s v=""/>
    <s v=""/>
    <s v=""/>
    <s v=""/>
    <s v=""/>
    <s v=""/>
    <x v="8"/>
    <x v="12"/>
    <s v=""/>
    <s v=""/>
    <s v=""/>
  </r>
  <r>
    <s v=""/>
    <s v=""/>
    <s v=""/>
    <s v=""/>
    <s v=""/>
    <s v=""/>
    <s v=""/>
    <s v=""/>
    <s v=""/>
    <s v=""/>
    <s v=""/>
    <s v=""/>
    <s v=""/>
    <x v="8"/>
    <x v="12"/>
    <s v=""/>
    <s v=""/>
    <s v=""/>
  </r>
  <r>
    <s v=""/>
    <s v=""/>
    <s v=""/>
    <s v=""/>
    <s v=""/>
    <s v=""/>
    <s v=""/>
    <s v=""/>
    <s v=""/>
    <s v=""/>
    <s v=""/>
    <s v=""/>
    <s v=""/>
    <x v="8"/>
    <x v="12"/>
    <s v=""/>
    <s v=""/>
    <s v=""/>
  </r>
  <r>
    <s v=""/>
    <s v=""/>
    <s v=""/>
    <s v=""/>
    <s v=""/>
    <s v=""/>
    <s v=""/>
    <s v=""/>
    <s v=""/>
    <s v=""/>
    <s v=""/>
    <s v=""/>
    <s v=""/>
    <x v="8"/>
    <x v="12"/>
    <s v=""/>
    <s v=""/>
    <s v=""/>
  </r>
  <r>
    <s v=""/>
    <s v=""/>
    <s v=""/>
    <s v=""/>
    <s v=""/>
    <s v=""/>
    <s v=""/>
    <s v=""/>
    <s v=""/>
    <s v=""/>
    <s v=""/>
    <s v=""/>
    <s v=""/>
    <x v="8"/>
    <x v="12"/>
    <s v=""/>
    <s v=""/>
    <s v=""/>
  </r>
  <r>
    <s v=""/>
    <s v=""/>
    <s v=""/>
    <s v=""/>
    <s v=""/>
    <s v=""/>
    <s v=""/>
    <s v=""/>
    <s v=""/>
    <s v=""/>
    <s v=""/>
    <s v=""/>
    <s v=""/>
    <x v="8"/>
    <x v="12"/>
    <s v=""/>
    <s v=""/>
    <s v=""/>
  </r>
  <r>
    <s v=""/>
    <s v=""/>
    <s v=""/>
    <s v=""/>
    <s v=""/>
    <s v=""/>
    <s v=""/>
    <s v=""/>
    <s v=""/>
    <s v=""/>
    <s v=""/>
    <s v=""/>
    <s v=""/>
    <x v="8"/>
    <x v="12"/>
    <s v=""/>
    <s v=""/>
    <s v=""/>
  </r>
  <r>
    <s v=""/>
    <s v=""/>
    <s v=""/>
    <s v=""/>
    <s v=""/>
    <s v=""/>
    <s v=""/>
    <s v=""/>
    <s v=""/>
    <s v=""/>
    <s v=""/>
    <s v=""/>
    <s v=""/>
    <x v="8"/>
    <x v="12"/>
    <s v=""/>
    <s v=""/>
    <s v=""/>
  </r>
  <r>
    <s v=""/>
    <s v=""/>
    <s v=""/>
    <s v=""/>
    <s v=""/>
    <s v=""/>
    <s v=""/>
    <s v=""/>
    <s v=""/>
    <s v=""/>
    <s v=""/>
    <s v=""/>
    <s v=""/>
    <x v="8"/>
    <x v="12"/>
    <s v=""/>
    <s v=""/>
    <s v=""/>
  </r>
  <r>
    <s v=""/>
    <s v=""/>
    <s v=""/>
    <s v=""/>
    <s v=""/>
    <s v=""/>
    <s v=""/>
    <s v=""/>
    <s v=""/>
    <s v=""/>
    <s v=""/>
    <s v=""/>
    <s v=""/>
    <x v="8"/>
    <x v="12"/>
    <s v=""/>
    <s v=""/>
    <s v=""/>
  </r>
  <r>
    <s v=""/>
    <s v=""/>
    <s v=""/>
    <s v=""/>
    <s v=""/>
    <s v=""/>
    <s v=""/>
    <s v=""/>
    <s v=""/>
    <s v=""/>
    <s v=""/>
    <s v=""/>
    <s v=""/>
    <x v="8"/>
    <x v="12"/>
    <s v=""/>
    <s v=""/>
    <s v=""/>
  </r>
  <r>
    <s v=""/>
    <s v=""/>
    <s v=""/>
    <s v=""/>
    <s v=""/>
    <s v=""/>
    <s v=""/>
    <s v=""/>
    <s v=""/>
    <s v=""/>
    <s v=""/>
    <s v=""/>
    <s v=""/>
    <x v="8"/>
    <x v="12"/>
    <s v=""/>
    <s v=""/>
    <s v=""/>
  </r>
  <r>
    <s v=""/>
    <s v=""/>
    <s v=""/>
    <s v=""/>
    <s v=""/>
    <s v=""/>
    <s v=""/>
    <s v=""/>
    <s v=""/>
    <s v=""/>
    <s v=""/>
    <s v=""/>
    <s v=""/>
    <x v="8"/>
    <x v="12"/>
    <s v=""/>
    <s v=""/>
    <s v=""/>
  </r>
  <r>
    <s v=""/>
    <s v=""/>
    <s v=""/>
    <s v=""/>
    <s v=""/>
    <s v=""/>
    <s v=""/>
    <s v=""/>
    <s v=""/>
    <s v=""/>
    <s v=""/>
    <s v=""/>
    <s v=""/>
    <x v="8"/>
    <x v="12"/>
    <s v=""/>
    <s v=""/>
    <s v=""/>
  </r>
  <r>
    <s v=""/>
    <s v=""/>
    <s v=""/>
    <s v=""/>
    <s v=""/>
    <s v=""/>
    <s v=""/>
    <s v=""/>
    <s v=""/>
    <s v=""/>
    <s v=""/>
    <s v=""/>
    <s v=""/>
    <x v="8"/>
    <x v="12"/>
    <s v=""/>
    <s v=""/>
    <s v=""/>
  </r>
  <r>
    <s v=""/>
    <s v=""/>
    <s v=""/>
    <s v=""/>
    <s v=""/>
    <s v=""/>
    <s v=""/>
    <s v=""/>
    <s v=""/>
    <s v=""/>
    <s v=""/>
    <s v=""/>
    <s v=""/>
    <x v="8"/>
    <x v="12"/>
    <s v=""/>
    <s v=""/>
    <s v=""/>
  </r>
  <r>
    <s v=""/>
    <s v=""/>
    <s v=""/>
    <s v=""/>
    <s v=""/>
    <s v=""/>
    <s v=""/>
    <s v=""/>
    <s v=""/>
    <s v=""/>
    <s v=""/>
    <s v=""/>
    <s v=""/>
    <x v="8"/>
    <x v="12"/>
    <s v=""/>
    <s v=""/>
    <s v=""/>
  </r>
  <r>
    <s v=""/>
    <s v=""/>
    <s v=""/>
    <s v=""/>
    <s v=""/>
    <s v=""/>
    <s v=""/>
    <s v=""/>
    <s v=""/>
    <s v=""/>
    <s v=""/>
    <s v=""/>
    <s v=""/>
    <x v="8"/>
    <x v="12"/>
    <s v=""/>
    <s v=""/>
    <s v=""/>
  </r>
  <r>
    <s v=""/>
    <s v=""/>
    <s v=""/>
    <s v=""/>
    <s v=""/>
    <s v=""/>
    <s v=""/>
    <s v=""/>
    <s v=""/>
    <s v=""/>
    <s v=""/>
    <s v=""/>
    <s v=""/>
    <x v="8"/>
    <x v="12"/>
    <s v=""/>
    <s v=""/>
    <s v=""/>
  </r>
  <r>
    <s v=""/>
    <s v=""/>
    <s v=""/>
    <s v=""/>
    <s v=""/>
    <s v=""/>
    <s v=""/>
    <s v=""/>
    <s v=""/>
    <s v=""/>
    <s v=""/>
    <s v=""/>
    <s v=""/>
    <x v="8"/>
    <x v="12"/>
    <s v=""/>
    <s v=""/>
    <s v=""/>
  </r>
  <r>
    <s v=""/>
    <s v=""/>
    <s v=""/>
    <s v=""/>
    <s v=""/>
    <s v=""/>
    <s v=""/>
    <s v=""/>
    <s v=""/>
    <s v=""/>
    <s v=""/>
    <s v=""/>
    <s v=""/>
    <x v="8"/>
    <x v="12"/>
    <s v=""/>
    <s v=""/>
    <s v=""/>
  </r>
  <r>
    <s v=""/>
    <s v=""/>
    <s v=""/>
    <s v=""/>
    <s v=""/>
    <s v=""/>
    <s v=""/>
    <s v=""/>
    <s v=""/>
    <s v=""/>
    <s v=""/>
    <s v=""/>
    <s v=""/>
    <x v="8"/>
    <x v="12"/>
    <s v=""/>
    <s v=""/>
    <s v=""/>
  </r>
  <r>
    <s v=""/>
    <s v=""/>
    <s v=""/>
    <s v=""/>
    <s v=""/>
    <s v=""/>
    <s v=""/>
    <s v=""/>
    <s v=""/>
    <s v=""/>
    <s v=""/>
    <s v=""/>
    <s v=""/>
    <x v="8"/>
    <x v="12"/>
    <s v=""/>
    <s v=""/>
    <s v=""/>
  </r>
  <r>
    <s v=""/>
    <s v=""/>
    <s v=""/>
    <s v=""/>
    <s v=""/>
    <s v=""/>
    <s v=""/>
    <s v=""/>
    <s v=""/>
    <s v=""/>
    <s v=""/>
    <s v=""/>
    <s v=""/>
    <x v="8"/>
    <x v="12"/>
    <s v=""/>
    <s v=""/>
    <s v=""/>
  </r>
  <r>
    <s v=""/>
    <s v=""/>
    <s v=""/>
    <s v=""/>
    <s v=""/>
    <s v=""/>
    <s v=""/>
    <s v=""/>
    <s v=""/>
    <s v=""/>
    <s v=""/>
    <s v=""/>
    <s v=""/>
    <x v="8"/>
    <x v="12"/>
    <s v=""/>
    <s v=""/>
    <s v=""/>
  </r>
  <r>
    <s v=""/>
    <s v=""/>
    <s v=""/>
    <s v=""/>
    <s v=""/>
    <s v=""/>
    <s v=""/>
    <s v=""/>
    <s v=""/>
    <s v=""/>
    <s v=""/>
    <s v=""/>
    <s v=""/>
    <x v="8"/>
    <x v="12"/>
    <s v=""/>
    <s v=""/>
    <s v=""/>
  </r>
  <r>
    <s v=""/>
    <s v=""/>
    <s v=""/>
    <s v=""/>
    <s v=""/>
    <s v=""/>
    <s v=""/>
    <s v=""/>
    <s v=""/>
    <s v=""/>
    <s v=""/>
    <s v=""/>
    <s v=""/>
    <x v="8"/>
    <x v="12"/>
    <s v=""/>
    <s v=""/>
    <s v=""/>
  </r>
  <r>
    <s v=""/>
    <s v=""/>
    <s v=""/>
    <s v=""/>
    <s v=""/>
    <s v=""/>
    <s v=""/>
    <s v=""/>
    <s v=""/>
    <s v=""/>
    <s v=""/>
    <s v=""/>
    <s v=""/>
    <x v="8"/>
    <x v="12"/>
    <s v=""/>
    <s v=""/>
    <s v=""/>
  </r>
  <r>
    <s v=""/>
    <s v=""/>
    <s v=""/>
    <s v=""/>
    <s v=""/>
    <s v=""/>
    <s v=""/>
    <s v=""/>
    <s v=""/>
    <s v=""/>
    <s v=""/>
    <s v=""/>
    <s v=""/>
    <x v="8"/>
    <x v="12"/>
    <s v=""/>
    <s v=""/>
    <s v=""/>
  </r>
  <r>
    <s v=""/>
    <s v=""/>
    <s v=""/>
    <s v=""/>
    <s v=""/>
    <s v=""/>
    <s v=""/>
    <s v=""/>
    <s v=""/>
    <s v=""/>
    <s v=""/>
    <s v=""/>
    <s v=""/>
    <x v="8"/>
    <x v="12"/>
    <s v=""/>
    <s v=""/>
    <s v=""/>
  </r>
  <r>
    <s v=""/>
    <s v=""/>
    <s v=""/>
    <s v=""/>
    <s v=""/>
    <s v=""/>
    <s v=""/>
    <s v=""/>
    <s v=""/>
    <s v=""/>
    <s v=""/>
    <s v=""/>
    <s v=""/>
    <x v="8"/>
    <x v="12"/>
    <s v=""/>
    <s v=""/>
    <s v=""/>
  </r>
  <r>
    <s v=""/>
    <s v=""/>
    <s v=""/>
    <s v=""/>
    <s v=""/>
    <s v=""/>
    <s v=""/>
    <s v=""/>
    <s v=""/>
    <s v=""/>
    <s v=""/>
    <s v=""/>
    <s v=""/>
    <x v="8"/>
    <x v="12"/>
    <s v=""/>
    <s v=""/>
    <s v=""/>
  </r>
  <r>
    <s v=""/>
    <s v=""/>
    <s v=""/>
    <s v=""/>
    <s v=""/>
    <s v=""/>
    <s v=""/>
    <s v=""/>
    <s v=""/>
    <s v=""/>
    <s v=""/>
    <s v=""/>
    <s v=""/>
    <x v="8"/>
    <x v="12"/>
    <s v=""/>
    <s v="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Tabla dinámica1" cacheId="5" dataPosition="0" applyNumberFormats="0" applyBorderFormats="0" applyFontFormats="0" applyPatternFormats="0" applyAlignmentFormats="0" applyWidthHeightFormats="1" dataCaption="Valores" updatedVersion="8" minRefreshableVersion="3" showCalcMbrs="0" rowGrandTotals="0" itemPrintTitles="1" createdVersion="3" indent="0" outline="1" outlineData="1" multipleFieldFilters="0" chartFormat="43" rowHeaderCaption="Año">
  <location ref="A1:I10" firstHeaderRow="1" firstDataRow="2" firstDataCol="1"/>
  <pivotFields count="19">
    <pivotField showAll="0" defaultSubtotal="0"/>
    <pivotField showAll="0" defaultSubtotal="0"/>
    <pivotField dataField="1" showAll="0"/>
    <pivotField dataField="1" showAll="0"/>
    <pivotField dataField="1" showAll="0"/>
    <pivotField showAll="0"/>
    <pivotField dataField="1" showAll="0"/>
    <pivotField showAll="0"/>
    <pivotField showAll="0" defaultSubtotal="0"/>
    <pivotField showAll="0" defaultSubtotal="0"/>
    <pivotField dataField="1" showAll="0" defaultSubtotal="0"/>
    <pivotField showAll="0" defaultSubtotal="0"/>
    <pivotField showAll="0" defaultSubtotal="0"/>
    <pivotField axis="axisRow" showAll="0" sortType="ascending" defaultSubtotal="0">
      <items count="24">
        <item h="1" m="1" x="9"/>
        <item h="1" m="1" x="19"/>
        <item h="1" m="1" x="22"/>
        <item h="1" m="1" x="18"/>
        <item h="1" m="1" x="21"/>
        <item h="1" m="1" x="17"/>
        <item h="1" m="1" x="20"/>
        <item h="1" m="1" x="23"/>
        <item h="1" m="1" x="12"/>
        <item h="1" m="1" x="13"/>
        <item h="1" m="1" x="14"/>
        <item h="1" m="1" x="15"/>
        <item m="1" x="16"/>
        <item m="1" x="10"/>
        <item m="1" x="11"/>
        <item x="0"/>
        <item x="1"/>
        <item x="2"/>
        <item x="3"/>
        <item x="4"/>
        <item x="5"/>
        <item x="6"/>
        <item x="7"/>
        <item h="1" x="8"/>
      </items>
    </pivotField>
    <pivotField showAll="0" defaultSubtotal="0">
      <items count="25">
        <item m="1" x="17"/>
        <item m="1" x="14"/>
        <item m="1" x="18"/>
        <item m="1" x="23"/>
        <item m="1" x="13"/>
        <item m="1" x="15"/>
        <item m="1" x="16"/>
        <item m="1" x="19"/>
        <item m="1" x="20"/>
        <item m="1" x="21"/>
        <item m="1" x="22"/>
        <item m="1" x="24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</items>
    </pivotField>
    <pivotField showAll="0" defaultSubtotal="0"/>
    <pivotField dataField="1" showAll="0" defaultSubtotal="0"/>
    <pivotField showAll="0" defaultSubtotal="0"/>
    <pivotField dataField="1" dragToRow="0" dragToCol="0" dragToPage="0" showAll="0" defaultSubtotal="0"/>
  </pivotFields>
  <rowFields count="1">
    <field x="13"/>
  </rowFields>
  <rowItems count="8"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</rowItems>
  <colFields count="1">
    <field x="-2"/>
  </colFields>
  <colItems count="8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</colItems>
  <dataFields count="8">
    <dataField name="Mín de Fecha inicio" fld="2" subtotal="min" baseField="13" baseItem="0" numFmtId="14"/>
    <dataField name="Máx de Fecha fin" fld="3" subtotal="max" baseField="0" baseItem="0" numFmtId="14"/>
    <dataField name="Suma de Consumo Activa" fld="4" baseField="0" baseItem="0"/>
    <dataField name="Suma de Consumo Reactiva" fld="6" baseField="0" baseItem="0"/>
    <dataField name="Máx de Maxímetro" fld="10" subtotal="max" baseField="0" baseItem="0" numFmtId="1"/>
    <dataField name="Periodos facturados" fld="4" subtotal="count" baseField="0" baseItem="0"/>
    <dataField name="Suma de Días" fld="16" baseField="0" baseItem="0"/>
    <dataField name="Suma de Promedio consumo por día" fld="18" baseField="0" baseItem="0" numFmtId="1"/>
  </dataFields>
  <formats count="48">
    <format dxfId="186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185">
      <pivotArea type="all" dataOnly="0" outline="0" fieldPosition="0"/>
    </format>
    <format dxfId="184">
      <pivotArea type="all" dataOnly="0" outline="0" fieldPosition="0"/>
    </format>
    <format dxfId="183">
      <pivotArea outline="0" collapsedLevelsAreSubtotals="1" fieldPosition="0">
        <references count="1">
          <reference field="4294967294" count="1" selected="0">
            <x v="4"/>
          </reference>
        </references>
      </pivotArea>
    </format>
    <format dxfId="182">
      <pivotArea outline="0" collapsedLevelsAreSubtotals="1" fieldPosition="0">
        <references count="1">
          <reference field="4294967294" count="1" selected="0">
            <x v="4"/>
          </reference>
        </references>
      </pivotArea>
    </format>
    <format dxfId="181">
      <pivotArea field="-2" type="button" dataOnly="0" labelOnly="1" outline="0" axis="axisCol" fieldPosition="0"/>
    </format>
    <format dxfId="180">
      <pivotArea type="topRight" dataOnly="0" labelOnly="1" outline="0" fieldPosition="0"/>
    </format>
    <format dxfId="179">
      <pivotArea type="all" dataOnly="0" outline="0" fieldPosition="0"/>
    </format>
    <format dxfId="178">
      <pivotArea type="all" dataOnly="0" outline="0" fieldPosition="0"/>
    </format>
    <format dxfId="177">
      <pivotArea type="all" dataOnly="0" outline="0" fieldPosition="0"/>
    </format>
    <format dxfId="176">
      <pivotArea field="13" type="button" dataOnly="0" labelOnly="1" outline="0" axis="axisRow" fieldPosition="0"/>
    </format>
    <format dxfId="175">
      <pivotArea dataOnly="0" labelOnly="1" outline="0" fieldPosition="0">
        <references count="1">
          <reference field="4294967294" count="7">
            <x v="0"/>
            <x v="1"/>
            <x v="2"/>
            <x v="3"/>
            <x v="4"/>
            <x v="5"/>
            <x v="6"/>
          </reference>
        </references>
      </pivotArea>
    </format>
    <format dxfId="174">
      <pivotArea field="13" type="button" dataOnly="0" labelOnly="1" outline="0" axis="axisRow" fieldPosition="0"/>
    </format>
    <format dxfId="173">
      <pivotArea dataOnly="0" labelOnly="1" outline="0" fieldPosition="0">
        <references count="1">
          <reference field="4294967294" count="7">
            <x v="0"/>
            <x v="1"/>
            <x v="2"/>
            <x v="3"/>
            <x v="4"/>
            <x v="5"/>
            <x v="6"/>
          </reference>
        </references>
      </pivotArea>
    </format>
    <format dxfId="172">
      <pivotArea dataOnly="0" labelOnly="1" outline="0" fieldPosition="0">
        <references count="1">
          <reference field="4294967294" count="5">
            <x v="2"/>
            <x v="3"/>
            <x v="4"/>
            <x v="5"/>
            <x v="6"/>
          </reference>
        </references>
      </pivotArea>
    </format>
    <format dxfId="171">
      <pivotArea dataOnly="0" labelOnly="1" outline="0" fieldPosition="0">
        <references count="1">
          <reference field="4294967294" count="1">
            <x v="4"/>
          </reference>
        </references>
      </pivotArea>
    </format>
    <format dxfId="170">
      <pivotArea outline="0" collapsedLevelsAreSubtotals="1" fieldPosition="0">
        <references count="1">
          <reference field="4294967294" count="1" selected="0">
            <x v="7"/>
          </reference>
        </references>
      </pivotArea>
    </format>
    <format dxfId="169">
      <pivotArea type="all" dataOnly="0" outline="0" fieldPosition="0"/>
    </format>
    <format dxfId="168">
      <pivotArea outline="0" collapsedLevelsAreSubtotals="1" fieldPosition="0"/>
    </format>
    <format dxfId="167">
      <pivotArea dataOnly="0" labelOnly="1" fieldPosition="0">
        <references count="1">
          <reference field="13" count="0"/>
        </references>
      </pivotArea>
    </format>
    <format dxfId="166">
      <pivotArea type="all" dataOnly="0" outline="0" fieldPosition="0"/>
    </format>
    <format dxfId="165">
      <pivotArea outline="0" collapsedLevelsAreSubtotals="1" fieldPosition="0"/>
    </format>
    <format dxfId="164">
      <pivotArea field="13" type="button" dataOnly="0" labelOnly="1" outline="0" axis="axisRow" fieldPosition="0"/>
    </format>
    <format dxfId="163">
      <pivotArea field="13" type="button" dataOnly="0" labelOnly="1" outline="0" axis="axisRow" fieldPosition="0"/>
    </format>
    <format dxfId="162">
      <pivotArea field="13" type="button" dataOnly="0" labelOnly="1" outline="0" axis="axisRow" fieldPosition="0"/>
    </format>
    <format dxfId="161">
      <pivotArea field="13" type="button" dataOnly="0" labelOnly="1" outline="0" axis="axisRow" fieldPosition="0"/>
    </format>
    <format dxfId="160">
      <pivotArea field="13" type="button" dataOnly="0" labelOnly="1" outline="0" axis="axisRow" fieldPosition="0"/>
    </format>
    <format dxfId="159">
      <pivotArea field="13" type="button" dataOnly="0" labelOnly="1" outline="0" axis="axisRow" fieldPosition="0"/>
    </format>
    <format dxfId="158">
      <pivotArea field="13" type="button" dataOnly="0" labelOnly="1" outline="0" axis="axisRow" fieldPosition="0"/>
    </format>
    <format dxfId="157">
      <pivotArea field="13" type="button" dataOnly="0" labelOnly="1" outline="0" axis="axisRow" fieldPosition="0"/>
    </format>
    <format dxfId="156">
      <pivotArea field="13" type="button" dataOnly="0" labelOnly="1" outline="0" axis="axisRow" fieldPosition="0"/>
    </format>
    <format dxfId="155">
      <pivotArea field="13" type="button" dataOnly="0" labelOnly="1" outline="0" axis="axisRow" fieldPosition="0"/>
    </format>
    <format dxfId="154">
      <pivotArea field="13" type="button" dataOnly="0" labelOnly="1" outline="0" axis="axisRow" fieldPosition="0"/>
    </format>
    <format dxfId="153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152">
      <pivotArea field="13" type="button" dataOnly="0" labelOnly="1" outline="0" axis="axisRow" fieldPosition="0"/>
    </format>
    <format dxfId="151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150">
      <pivotArea field="13" type="button" dataOnly="0" labelOnly="1" outline="0" axis="axisRow" fieldPosition="0"/>
    </format>
    <format dxfId="149">
      <pivotArea field="13" type="button" dataOnly="0" labelOnly="1" outline="0" axis="axisRow" fieldPosition="0"/>
    </format>
    <format dxfId="148">
      <pivotArea field="13" type="button" dataOnly="0" labelOnly="1" outline="0" axis="axisRow" fieldPosition="0"/>
    </format>
    <format dxfId="147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146">
      <pivotArea field="13" type="button" dataOnly="0" labelOnly="1" outline="0" axis="axisRow" fieldPosition="0"/>
    </format>
    <format dxfId="145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144">
      <pivotArea type="all" dataOnly="0" outline="0" fieldPosition="0"/>
    </format>
    <format dxfId="143">
      <pivotArea type="all" dataOnly="0" outline="0" fieldPosition="0"/>
    </format>
    <format dxfId="142">
      <pivotArea type="all" dataOnly="0" outline="0" fieldPosition="0"/>
    </format>
    <format dxfId="141">
      <pivotArea type="origin" dataOnly="0" labelOnly="1" outline="0" fieldPosition="0"/>
    </format>
    <format dxfId="140">
      <pivotArea type="origin" dataOnly="0" labelOnly="1" outline="0" fieldPosition="0"/>
    </format>
    <format dxfId="139">
      <pivotArea dataOnly="0" outline="0" fieldPosition="0">
        <references count="1">
          <reference field="4294967294" count="2">
            <x v="0"/>
            <x v="1"/>
          </reference>
        </references>
      </pivotArea>
    </format>
  </formats>
  <conditionalFormats count="4">
    <conditionalFormat priority="2">
      <pivotAreas count="1">
        <pivotArea type="data" outline="0" collapsedLevelsAreSubtotals="1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priority="1">
      <pivotAreas count="1">
        <pivotArea type="data" outline="0" collapsedLevelsAreSubtotals="1" fieldPosition="0">
          <references count="1">
            <reference field="4294967294" count="1" selected="0">
              <x v="4"/>
            </reference>
          </references>
        </pivotArea>
      </pivotAreas>
    </conditionalFormat>
    <conditionalFormat scope="data" priority="7">
      <pivotAreas count="1">
        <pivotArea outline="0" fieldPosition="0">
          <references count="1">
            <reference field="4294967294" count="1" selected="0">
              <x v="3"/>
            </reference>
          </references>
        </pivotArea>
      </pivotAreas>
    </conditionalFormat>
    <conditionalFormat scope="data" priority="3">
      <pivotAreas count="1">
        <pivotArea outline="0" fieldPosition="0">
          <references count="1">
            <reference field="4294967294" count="1" selected="0">
              <x v="7"/>
            </reference>
          </references>
        </pivotArea>
      </pivotAreas>
    </conditionalFormat>
  </conditionalFormats>
  <chartFormats count="58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0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0" format="5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4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4" format="5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4" format="6" series="1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4" format="7" series="1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6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6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6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6" format="5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6" format="6" series="1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6" format="7" series="1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8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8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8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8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8" format="5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8" format="6" series="1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8" format="7" series="1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9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9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9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9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9" format="5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9" format="6" series="1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9" format="7" series="1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4" format="8">
      <pivotArea type="data" outline="0" fieldPosition="0">
        <references count="2">
          <reference field="4294967294" count="1" selected="0">
            <x v="7"/>
          </reference>
          <reference field="13" count="1" selected="0">
            <x v="14"/>
          </reference>
        </references>
      </pivotArea>
    </chartFormat>
    <chartFormat chart="4" format="9">
      <pivotArea type="data" outline="0" fieldPosition="0">
        <references count="2">
          <reference field="4294967294" count="1" selected="0">
            <x v="0"/>
          </reference>
          <reference field="13" count="1" selected="0">
            <x v="14"/>
          </reference>
        </references>
      </pivotArea>
    </chartFormat>
    <chartFormat chart="4" format="10">
      <pivotArea type="data" outline="0" fieldPosition="0">
        <references count="2">
          <reference field="4294967294" count="1" selected="0">
            <x v="1"/>
          </reference>
          <reference field="13" count="1" selected="0">
            <x v="14"/>
          </reference>
        </references>
      </pivotArea>
    </chartFormat>
    <chartFormat chart="4" format="11">
      <pivotArea type="data" outline="0" fieldPosition="0">
        <references count="2">
          <reference field="4294967294" count="1" selected="0">
            <x v="2"/>
          </reference>
          <reference field="13" count="1" selected="0">
            <x v="14"/>
          </reference>
        </references>
      </pivotArea>
    </chartFormat>
    <chartFormat chart="4" format="12">
      <pivotArea type="data" outline="0" fieldPosition="0">
        <references count="2">
          <reference field="4294967294" count="1" selected="0">
            <x v="3"/>
          </reference>
          <reference field="13" count="1" selected="0">
            <x v="14"/>
          </reference>
        </references>
      </pivotArea>
    </chartFormat>
    <chartFormat chart="4" format="13">
      <pivotArea type="data" outline="0" fieldPosition="0">
        <references count="2">
          <reference field="4294967294" count="1" selected="0">
            <x v="4"/>
          </reference>
          <reference field="13" count="1" selected="0">
            <x v="14"/>
          </reference>
        </references>
      </pivotArea>
    </chartFormat>
    <chartFormat chart="4" format="14">
      <pivotArea type="data" outline="0" fieldPosition="0">
        <references count="2">
          <reference field="4294967294" count="1" selected="0">
            <x v="5"/>
          </reference>
          <reference field="13" count="1" selected="0">
            <x v="14"/>
          </reference>
        </references>
      </pivotArea>
    </chartFormat>
    <chartFormat chart="4" format="15">
      <pivotArea type="data" outline="0" fieldPosition="0">
        <references count="2">
          <reference field="4294967294" count="1" selected="0">
            <x v="6"/>
          </reference>
          <reference field="13" count="1" selected="0">
            <x v="14"/>
          </reference>
        </references>
      </pivotArea>
    </chartFormat>
    <chartFormat chart="28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8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8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8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8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28" format="5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28" format="6" series="1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28" format="7" series="1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28" format="8">
      <pivotArea type="data" outline="0" fieldPosition="0">
        <references count="2">
          <reference field="4294967294" count="1" selected="0">
            <x v="1"/>
          </reference>
          <reference field="13" count="1" selected="0">
            <x v="7"/>
          </reference>
        </references>
      </pivotArea>
    </chartFormat>
    <chartFormat chart="28" format="9">
      <pivotArea type="data" outline="0" fieldPosition="0">
        <references count="2">
          <reference field="4294967294" count="1" selected="0">
            <x v="1"/>
          </reference>
          <reference field="13" count="1" selected="0">
            <x v="6"/>
          </reference>
        </references>
      </pivotArea>
    </chartFormat>
    <chartFormat chart="28" format="10">
      <pivotArea type="data" outline="0" fieldPosition="0">
        <references count="2">
          <reference field="4294967294" count="1" selected="0">
            <x v="1"/>
          </reference>
          <reference field="13" count="1" selected="0">
            <x v="9"/>
          </reference>
        </references>
      </pivotArea>
    </chartFormat>
    <chartFormat chart="28" format="11">
      <pivotArea type="data" outline="0" fieldPosition="0">
        <references count="2">
          <reference field="4294967294" count="1" selected="0">
            <x v="1"/>
          </reference>
          <reference field="13" count="1" selected="0">
            <x v="8"/>
          </reference>
        </references>
      </pivotArea>
    </chartFormat>
  </chartFormats>
  <pivotTableStyleInfo name="PivotStyleLight15" showRowHeaders="0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1000000}" name="Tabla dinámica2" cacheId="4" applyNumberFormats="0" applyBorderFormats="0" applyFontFormats="0" applyPatternFormats="0" applyAlignmentFormats="0" applyWidthHeightFormats="1" dataCaption="Valores" updatedVersion="8" minRefreshableVersion="3" showCalcMbrs="0" rowGrandTotals="0" itemPrintTitles="1" createdVersion="3" indent="0" outline="1" outlineData="1" multipleFieldFilters="0" chartFormat="93">
  <location ref="A54:D146" firstHeaderRow="1" firstDataRow="2" firstDataCol="1" rowPageCount="2" colPageCount="1"/>
  <pivotFields count="16">
    <pivotField showAll="0" defaultSubtotal="0"/>
    <pivotField showAll="0" defaultSubtotal="0"/>
    <pivotField showAll="0"/>
    <pivotField axis="axisRow" showAll="0" sortType="ascending">
      <items count="3137">
        <item x="90"/>
        <item m="1" x="91"/>
        <item m="1" x="2539"/>
        <item m="1" x="2008"/>
        <item m="1" x="2092"/>
        <item m="1" x="2129"/>
        <item m="1" x="1188"/>
        <item m="1" x="1384"/>
        <item m="1" x="2950"/>
        <item m="1" x="2986"/>
        <item m="1" x="1713"/>
        <item m="1" x="1823"/>
        <item m="1" x="2128"/>
        <item m="1" x="875"/>
        <item m="1" x="2133"/>
        <item m="1" x="989"/>
        <item m="1" x="1134"/>
        <item m="1" x="1383"/>
        <item m="1" x="2139"/>
        <item m="1" x="1035"/>
        <item m="1" x="2640"/>
        <item m="1" x="1429"/>
        <item m="1" x="2270"/>
        <item m="1" x="1042"/>
        <item m="1" x="1091"/>
        <item m="1" x="2480"/>
        <item m="1" x="2527"/>
        <item m="1" x="2644"/>
        <item m="1" x="2853"/>
        <item m="1" x="2383"/>
        <item m="1" x="1288"/>
        <item m="1" x="1592"/>
        <item m="1" x="2949"/>
        <item m="1" x="1204"/>
        <item m="1" x="2587"/>
        <item m="1" x="2651"/>
        <item m="1" x="1486"/>
        <item m="1" x="2799"/>
        <item m="1" x="1753"/>
        <item m="1" x="2598"/>
        <item m="1" x="2758"/>
        <item m="1" x="1711"/>
        <item m="1" x="1787"/>
        <item m="1" x="1819"/>
        <item m="1" x="1403"/>
        <item m="1" x="2711"/>
        <item m="1" x="1546"/>
        <item m="1" x="1680"/>
        <item m="1" x="2992"/>
        <item m="1" x="3033"/>
        <item m="1" x="641"/>
        <item m="1" x="1554"/>
        <item m="1" x="2913"/>
        <item m="1" x="1851"/>
        <item m="1" x="642"/>
        <item m="1" x="1949"/>
        <item m="1" x="2920"/>
        <item m="1" x="3043"/>
        <item m="1" x="3079"/>
        <item m="1" x="1855"/>
        <item m="1" x="1874"/>
        <item m="1" x="683"/>
        <item m="1" x="1934"/>
        <item m="1" x="788"/>
        <item m="1" x="2063"/>
        <item m="1" x="1975"/>
        <item m="1" x="764"/>
        <item m="1" x="846"/>
        <item m="1" x="2093"/>
        <item m="1" x="2130"/>
        <item m="1" x="2217"/>
        <item m="1" x="2422"/>
        <item m="1" x="821"/>
        <item m="1" x="2095"/>
        <item m="1" x="2174"/>
        <item m="1" x="986"/>
        <item m="1" x="2310"/>
        <item m="1" x="2523"/>
        <item m="1" x="2573"/>
        <item m="1" x="2039"/>
        <item m="1" x="951"/>
        <item m="1" x="1085"/>
        <item m="1" x="2369"/>
        <item m="1" x="1138"/>
        <item m="1" x="1428"/>
        <item m="1" x="2104"/>
        <item m="1" x="995"/>
        <item m="1" x="1038"/>
        <item m="1" x="1193"/>
        <item m="1" x="2477"/>
        <item m="1" x="2748"/>
        <item m="1" x="2795"/>
        <item m="1" x="2193"/>
        <item m="1" x="1002"/>
        <item m="1" x="1045"/>
        <item m="1" x="2327"/>
        <item m="1" x="1238"/>
        <item m="1" x="2531"/>
        <item m="1" x="1333"/>
        <item m="1" x="1387"/>
        <item m="1" x="2693"/>
        <item m="1" x="1433"/>
        <item m="1" x="2750"/>
        <item m="1" x="2855"/>
        <item m="1" x="1591"/>
        <item m="1" x="1636"/>
        <item m="1" x="2279"/>
        <item m="1" x="1104"/>
        <item m="1" x="2388"/>
        <item m="1" x="1156"/>
        <item m="1" x="1244"/>
        <item m="1" x="2583"/>
        <item m="1" x="1391"/>
        <item m="1" x="2696"/>
        <item m="1" x="2797"/>
        <item m="1" x="2859"/>
        <item m="1" x="2395"/>
        <item m="1" x="1251"/>
        <item m="1" x="2543"/>
        <item m="1" x="1297"/>
        <item m="1" x="2592"/>
        <item m="1" x="1346"/>
        <item m="1" x="1489"/>
        <item m="1" x="2801"/>
        <item m="1" x="2902"/>
        <item m="1" x="2951"/>
        <item m="1" x="3029"/>
        <item m="1" x="1754"/>
        <item m="1" x="3070"/>
        <item m="1" x="3107"/>
        <item m="1" x="2497"/>
        <item m="1" x="1305"/>
        <item m="1" x="2602"/>
        <item m="1" x="1354"/>
        <item m="1" x="2659"/>
        <item m="1" x="1495"/>
        <item m="1" x="2807"/>
        <item m="1" x="2905"/>
        <item m="1" x="1641"/>
        <item m="1" x="1678"/>
        <item m="1" x="2990"/>
        <item m="1" x="3109"/>
        <item m="1" x="1848"/>
        <item m="1" x="2610"/>
        <item m="1" x="1362"/>
        <item m="1" x="1409"/>
        <item m="1" x="1500"/>
        <item m="1" x="2814"/>
        <item m="1" x="1549"/>
        <item m="1" x="2870"/>
        <item m="1" x="1683"/>
        <item m="1" x="1716"/>
        <item m="1" x="3074"/>
        <item m="1" x="3112"/>
        <item m="1" x="621"/>
        <item m="1" x="665"/>
        <item m="1" x="694"/>
        <item m="1" x="2722"/>
        <item m="1" x="2819"/>
        <item m="1" x="1558"/>
        <item m="1" x="2874"/>
        <item m="1" x="1607"/>
        <item m="1" x="2916"/>
        <item m="1" x="1688"/>
        <item m="1" x="1722"/>
        <item m="1" x="3039"/>
        <item m="1" x="1760"/>
        <item m="1" x="1824"/>
        <item m="1" x="623"/>
        <item m="1" x="1853"/>
        <item m="1" x="1950"/>
        <item m="1" x="2826"/>
        <item m="1" x="1611"/>
        <item m="1" x="2925"/>
        <item m="1" x="2967"/>
        <item m="1" x="1727"/>
        <item m="1" x="3046"/>
        <item m="1" x="1764"/>
        <item m="1" x="3083"/>
        <item m="1" x="1797"/>
        <item m="1" x="1857"/>
        <item m="1" x="646"/>
        <item m="1" x="1877"/>
        <item m="1" x="669"/>
        <item m="1" x="738"/>
        <item m="1" x="784"/>
        <item m="1" x="1890"/>
        <item m="1" x="684"/>
        <item m="1" x="1918"/>
        <item m="1" x="711"/>
        <item m="1" x="1956"/>
        <item m="1" x="746"/>
        <item m="1" x="763"/>
        <item m="1" x="2009"/>
        <item m="1" x="818"/>
        <item m="1" x="845"/>
        <item m="1" x="2091"/>
        <item m="1" x="871"/>
        <item m="1" x="2171"/>
        <item m="1" x="943"/>
        <item m="1" x="1079"/>
        <item m="1" x="2363"/>
        <item m="1" x="2421"/>
        <item m="1" x="1935"/>
        <item m="1" x="1977"/>
        <item m="1" x="2011"/>
        <item m="1" x="790"/>
        <item m="1" x="2065"/>
        <item m="1" x="2094"/>
        <item m="1" x="872"/>
        <item m="1" x="945"/>
        <item m="1" x="985"/>
        <item m="1" x="2258"/>
        <item m="1" x="1029"/>
        <item m="1" x="1131"/>
        <item m="1" x="1187"/>
        <item m="1" x="2472"/>
        <item m="1" x="1979"/>
        <item m="1" x="2014"/>
        <item m="1" x="793"/>
        <item m="1" x="2036"/>
        <item m="1" x="824"/>
        <item m="1" x="2068"/>
        <item m="1" x="876"/>
        <item m="1" x="2134"/>
        <item m="1" x="914"/>
        <item m="1" x="2177"/>
        <item m="1" x="948"/>
        <item m="1" x="1032"/>
        <item m="1" x="2313"/>
        <item m="1" x="2367"/>
        <item m="1" x="1135"/>
        <item m="1" x="2473"/>
        <item m="1" x="1232"/>
        <item m="1" x="2524"/>
        <item m="1" x="2638"/>
        <item m="1" x="2042"/>
        <item m="1" x="829"/>
        <item m="1" x="2072"/>
        <item m="1" x="850"/>
        <item m="1" x="2140"/>
        <item m="1" x="918"/>
        <item m="1" x="2181"/>
        <item m="1" x="953"/>
        <item m="1" x="2223"/>
        <item m="1" x="2318"/>
        <item m="1" x="2372"/>
        <item m="1" x="2475"/>
        <item m="1" x="2526"/>
        <item m="1" x="1284"/>
        <item m="1" x="2691"/>
        <item m="1" x="1430"/>
        <item m="1" x="2107"/>
        <item m="1" x="885"/>
        <item m="1" x="2188"/>
        <item m="1" x="2229"/>
        <item m="1" x="998"/>
        <item m="1" x="2271"/>
        <item m="1" x="1092"/>
        <item m="1" x="2377"/>
        <item m="1" x="1144"/>
        <item m="1" x="2432"/>
        <item m="1" x="1195"/>
        <item m="1" x="2528"/>
        <item m="1" x="2576"/>
        <item m="1" x="1331"/>
        <item m="1" x="2645"/>
        <item m="1" x="2749"/>
        <item m="1" x="1533"/>
        <item m="1" x="2854"/>
        <item m="1" x="2234"/>
        <item m="1" x="2275"/>
        <item m="1" x="2384"/>
        <item m="1" x="1152"/>
        <item m="1" x="2438"/>
        <item m="1" x="1241"/>
        <item m="1" x="1289"/>
        <item m="1" x="2580"/>
        <item m="1" x="1336"/>
        <item m="1" x="2648"/>
        <item m="1" x="1389"/>
        <item m="1" x="2695"/>
        <item m="1" x="2752"/>
        <item m="1" x="1483"/>
        <item m="1" x="2796"/>
        <item m="1" x="2857"/>
        <item m="1" x="1637"/>
        <item m="1" x="2285"/>
        <item m="1" x="1056"/>
        <item m="1" x="2340"/>
        <item m="1" x="1108"/>
        <item m="1" x="2443"/>
        <item m="1" x="1205"/>
        <item m="1" x="2487"/>
        <item m="1" x="1248"/>
        <item m="1" x="2540"/>
        <item m="1" x="1342"/>
        <item m="1" x="2652"/>
        <item m="1" x="1394"/>
        <item m="1" x="2699"/>
        <item m="1" x="1537"/>
        <item m="1" x="2861"/>
        <item m="1" x="1593"/>
        <item m="1" x="2900"/>
        <item m="1" x="1677"/>
        <item m="1" x="1709"/>
        <item m="1" x="3028"/>
        <item m="1" x="2400"/>
        <item m="1" x="1209"/>
        <item m="1" x="2493"/>
        <item m="1" x="1255"/>
        <item m="1" x="2546"/>
        <item m="1" x="1302"/>
        <item m="1" x="1397"/>
        <item m="1" x="2706"/>
        <item m="1" x="1441"/>
        <item m="1" x="1540"/>
        <item m="1" x="2863"/>
        <item m="1" x="1597"/>
        <item m="1" x="2953"/>
        <item m="1" x="2988"/>
        <item m="1" x="1712"/>
        <item m="1" x="3031"/>
        <item m="1" x="3071"/>
        <item m="1" x="3108"/>
        <item m="1" x="1261"/>
        <item m="1" x="2553"/>
        <item m="1" x="1308"/>
        <item m="1" x="2606"/>
        <item m="1" x="1404"/>
        <item m="1" x="2712"/>
        <item m="1" x="1447"/>
        <item m="1" x="2763"/>
        <item m="1" x="1497"/>
        <item m="1" x="2866"/>
        <item m="1" x="1600"/>
        <item m="1" x="2908"/>
        <item m="1" x="2955"/>
        <item m="1" x="1681"/>
        <item m="1" x="3034"/>
        <item m="1" x="1756"/>
        <item m="1" x="3073"/>
        <item m="1" x="620"/>
        <item m="1" x="1849"/>
        <item m="1" x="2615"/>
        <item m="1" x="2671"/>
        <item m="1" x="1454"/>
        <item m="1" x="2768"/>
        <item m="1" x="1503"/>
        <item m="1" x="1555"/>
        <item m="1" x="1648"/>
        <item m="1" x="2959"/>
        <item m="1" x="1684"/>
        <item m="1" x="2997"/>
        <item m="1" x="1757"/>
        <item m="1" x="3077"/>
        <item m="1" x="1789"/>
        <item m="1" x="1821"/>
        <item m="1" x="643"/>
        <item m="1" x="1873"/>
        <item m="1" x="666"/>
        <item m="1" x="1899"/>
        <item m="1" x="695"/>
        <item m="1" x="2728"/>
        <item m="1" x="2774"/>
        <item m="1" x="1563"/>
        <item m="1" x="2878"/>
        <item m="1" x="1653"/>
        <item m="1" x="2964"/>
        <item m="1" x="1692"/>
        <item m="1" x="3001"/>
        <item m="1" x="1725"/>
        <item m="1" x="3044"/>
        <item m="1" x="3080"/>
        <item m="1" x="1794"/>
        <item m="1" x="3116"/>
        <item m="1" x="1825"/>
        <item m="1" x="1875"/>
        <item m="1" x="697"/>
        <item m="1" x="1925"/>
        <item m="1" x="720"/>
        <item m="1" x="1951"/>
        <item m="1" x="2831"/>
        <item m="1" x="1570"/>
        <item m="1" x="1615"/>
        <item m="1" x="2931"/>
        <item m="1" x="1661"/>
        <item m="1" x="3007"/>
        <item m="1" x="1732"/>
        <item m="1" x="3050"/>
        <item m="1" x="1769"/>
        <item m="1" x="3087"/>
        <item m="1" x="3117"/>
        <item m="1" x="1829"/>
        <item m="1" x="625"/>
        <item m="1" x="1859"/>
        <item m="1" x="649"/>
        <item m="1" x="1880"/>
        <item m="1" x="1903"/>
        <item m="1" x="700"/>
        <item m="1" x="1953"/>
        <item m="1" x="739"/>
        <item m="1" x="2001"/>
        <item m="1" x="785"/>
        <item m="1" x="1892"/>
        <item m="1" x="685"/>
        <item m="1" x="1957"/>
        <item m="1" x="747"/>
        <item m="1" x="1976"/>
        <item m="1" x="2010"/>
        <item m="1" x="789"/>
        <item m="1" x="2032"/>
        <item m="1" x="819"/>
        <item m="1" x="2064"/>
        <item m="1" x="847"/>
        <item m="1" x="2131"/>
        <item m="1" x="911"/>
        <item m="1" x="2172"/>
        <item m="1" x="944"/>
        <item m="1" x="2218"/>
        <item m="1" x="984"/>
        <item m="1" x="2257"/>
        <item m="1" x="1080"/>
        <item m="1" x="2364"/>
        <item m="1" x="1130"/>
        <item m="1" x="2423"/>
        <item m="1" x="728"/>
        <item m="1" x="1959"/>
        <item m="1" x="749"/>
        <item m="1" x="1978"/>
        <item m="1" x="766"/>
        <item m="1" x="2034"/>
        <item m="1" x="822"/>
        <item m="1" x="2067"/>
        <item m="1" x="2096"/>
        <item m="1" x="913"/>
        <item m="1" x="2175"/>
        <item m="1" x="947"/>
        <item m="1" x="2219"/>
        <item m="1" x="987"/>
        <item m="1" x="2311"/>
        <item m="1" x="1082"/>
        <item m="1" x="2366"/>
        <item m="1" x="1133"/>
        <item m="1" x="2425"/>
        <item m="1" x="1189"/>
        <item m="1" x="769"/>
        <item m="1" x="2016"/>
        <item m="1" x="796"/>
        <item m="1" x="2040"/>
        <item m="1" x="826"/>
        <item m="1" x="2099"/>
        <item m="1" x="877"/>
        <item m="1" x="2137"/>
        <item m="1" x="916"/>
        <item m="1" x="2179"/>
        <item m="1" x="991"/>
        <item m="1" x="2261"/>
        <item m="1" x="2316"/>
        <item m="1" x="2427"/>
        <item m="1" x="1191"/>
        <item m="1" x="2474"/>
        <item m="1" x="1233"/>
        <item m="1" x="2525"/>
        <item m="1" x="1329"/>
        <item m="1" x="2639"/>
        <item m="1" x="2045"/>
        <item m="1" x="831"/>
        <item m="1" x="2074"/>
        <item m="1" x="882"/>
        <item m="1" x="2143"/>
        <item m="1" x="922"/>
        <item m="1" x="2184"/>
        <item m="1" x="955"/>
        <item m="1" x="2266"/>
        <item m="1" x="1039"/>
        <item m="1" x="2322"/>
        <item m="1" x="1090"/>
        <item m="1" x="2373"/>
        <item m="1" x="2478"/>
        <item m="1" x="1235"/>
        <item m="1" x="1285"/>
        <item m="1" x="2642"/>
        <item m="1" x="1385"/>
        <item m="1" x="2692"/>
        <item m="1" x="1431"/>
        <item m="1" x="2110"/>
        <item m="1" x="925"/>
        <item m="1" x="2194"/>
        <item m="1" x="961"/>
        <item m="1" x="2231"/>
        <item m="1" x="1003"/>
        <item m="1" x="2328"/>
        <item m="1" x="1096"/>
        <item m="1" x="2379"/>
        <item m="1" x="1148"/>
        <item m="1" x="2435"/>
        <item m="1" x="1239"/>
        <item m="1" x="2532"/>
        <item m="1" x="2578"/>
        <item m="1" x="1334"/>
        <item m="1" x="2694"/>
        <item m="1" x="1434"/>
        <item m="1" x="2751"/>
        <item m="1" x="1534"/>
        <item m="1" x="2856"/>
        <item m="1" x="2201"/>
        <item m="1" x="967"/>
        <item m="1" x="2238"/>
        <item m="1" x="1009"/>
        <item m="1" x="2280"/>
        <item m="1" x="1105"/>
        <item m="1" x="2389"/>
        <item m="1" x="1157"/>
        <item m="1" x="2440"/>
        <item m="1" x="1201"/>
        <item m="1" x="2535"/>
        <item m="1" x="2584"/>
        <item m="1" x="1338"/>
        <item m="1" x="2650"/>
        <item m="1" x="1437"/>
        <item m="1" x="2754"/>
        <item m="1" x="1485"/>
        <item m="1" x="2798"/>
        <item m="1" x="1535"/>
        <item m="1" x="2899"/>
        <item m="1" x="1638"/>
        <item m="1" x="1060"/>
        <item m="1" x="1163"/>
        <item m="1" x="2448"/>
        <item m="1" x="1206"/>
        <item m="1" x="2489"/>
        <item m="1" x="1252"/>
        <item m="1" x="2593"/>
        <item m="1" x="1347"/>
        <item m="1" x="2654"/>
        <item m="1" x="1395"/>
        <item m="1" x="2703"/>
        <item m="1" x="1490"/>
        <item m="1" x="2802"/>
        <item m="1" x="1595"/>
        <item m="1" x="2952"/>
        <item m="1" x="2987"/>
        <item m="1" x="1710"/>
        <item m="1" x="3030"/>
        <item m="1" x="2403"/>
        <item m="1" x="2454"/>
        <item m="1" x="1214"/>
        <item m="1" x="2498"/>
        <item m="1" x="1257"/>
        <item m="1" x="2550"/>
        <item m="1" x="1355"/>
        <item m="1" x="2660"/>
        <item m="1" x="1401"/>
        <item m="1" x="2708"/>
        <item m="1" x="1444"/>
        <item m="1" x="2808"/>
        <item m="1" x="1543"/>
        <item m="1" x="1598"/>
        <item m="1" x="2906"/>
        <item m="1" x="1642"/>
        <item m="1" x="1679"/>
        <item m="1" x="1714"/>
        <item m="1" x="1755"/>
        <item m="1" x="3072"/>
        <item m="1" x="3110"/>
        <item m="1" x="2506"/>
        <item m="1" x="1265"/>
        <item m="1" x="2557"/>
        <item m="1" x="1313"/>
        <item m="1" x="2611"/>
        <item m="1" x="2666"/>
        <item m="1" x="1410"/>
        <item m="1" x="2715"/>
        <item m="1" x="1450"/>
        <item m="1" x="2766"/>
        <item m="1" x="1550"/>
        <item m="1" x="2871"/>
        <item m="1" x="1602"/>
        <item m="1" x="2910"/>
        <item m="1" x="1645"/>
        <item m="1" x="2994"/>
        <item m="1" x="1717"/>
        <item m="1" x="3036"/>
        <item m="1" x="3075"/>
        <item m="1" x="1820"/>
        <item m="1" x="1850"/>
        <item m="1" x="2618"/>
        <item m="1" x="1368"/>
        <item m="1" x="2723"/>
        <item m="1" x="1458"/>
        <item m="1" x="2771"/>
        <item m="1" x="1505"/>
        <item m="1" x="2820"/>
        <item m="1" x="1608"/>
        <item m="1" x="2917"/>
        <item m="1" x="1650"/>
        <item m="1" x="2961"/>
        <item m="1" x="1689"/>
        <item m="1" x="3040"/>
        <item m="1" x="1761"/>
        <item m="1" x="1791"/>
        <item m="1" x="3114"/>
        <item m="1" x="1854"/>
        <item m="1" x="644"/>
        <item m="1" x="667"/>
        <item m="1" x="1900"/>
        <item m="1" x="696"/>
        <item m="1" x="2732"/>
        <item m="1" x="1467"/>
        <item m="1" x="2777"/>
        <item m="1" x="1513"/>
        <item m="1" x="2827"/>
        <item m="1" x="1567"/>
        <item m="1" x="2926"/>
        <item m="1" x="1657"/>
        <item m="1" x="2968"/>
        <item m="1" x="1694"/>
        <item m="1" x="3004"/>
        <item m="1" x="1765"/>
        <item m="1" x="3084"/>
        <item m="1" x="1798"/>
        <item m="1" x="1827"/>
        <item m="1" x="647"/>
        <item m="1" x="1878"/>
        <item m="1" x="670"/>
        <item m="1" x="1902"/>
        <item m="1" x="699"/>
        <item m="1" x="1952"/>
        <item m="1" x="2836"/>
        <item m="1" x="2886"/>
        <item m="1" x="1619"/>
        <item m="1" x="3010"/>
        <item m="1" x="1736"/>
        <item m="1" x="3053"/>
        <item m="1" x="3120"/>
        <item m="1" x="1831"/>
        <item m="1" x="627"/>
        <item m="1" x="1861"/>
        <item m="1" x="701"/>
        <item m="1" x="722"/>
        <item m="1" x="1970"/>
        <item m="1" x="2002"/>
        <item m="1" x="786"/>
        <item m="1" x="1893"/>
        <item m="1" x="713"/>
        <item m="1" x="1936"/>
        <item m="1" x="1958"/>
        <item m="1" x="748"/>
        <item m="1" x="765"/>
        <item m="1" x="2012"/>
        <item m="1" x="791"/>
        <item m="1" x="2033"/>
        <item m="1" x="820"/>
        <item m="1" x="2066"/>
        <item m="1" x="873"/>
        <item m="1" x="2132"/>
        <item m="1" x="912"/>
        <item m="1" x="2173"/>
        <item m="1" x="946"/>
        <item m="1" x="2259"/>
        <item m="1" x="1030"/>
        <item m="1" x="2309"/>
        <item m="1" x="1081"/>
        <item m="1" x="2365"/>
        <item m="1" x="1132"/>
        <item m="1" x="2424"/>
        <item m="1" x="1938"/>
        <item m="1" x="729"/>
        <item m="1" x="750"/>
        <item m="1" x="1980"/>
        <item m="1" x="794"/>
        <item m="1" x="2037"/>
        <item m="1" x="825"/>
        <item m="1" x="2069"/>
        <item m="1" x="848"/>
        <item m="1" x="2135"/>
        <item m="1" x="915"/>
        <item m="1" x="2178"/>
        <item m="1" x="949"/>
        <item m="1" x="2220"/>
        <item m="1" x="1033"/>
        <item m="1" x="2314"/>
        <item m="1" x="1084"/>
        <item m="1" x="2368"/>
        <item m="1" x="1136"/>
        <item m="1" x="1190"/>
        <item m="1" x="1983"/>
        <item m="1" x="771"/>
        <item m="1" x="2017"/>
        <item m="1" x="798"/>
        <item m="1" x="2043"/>
        <item m="1" x="851"/>
        <item m="1" x="2101"/>
        <item m="1" x="879"/>
        <item m="1" x="2141"/>
        <item m="1" x="919"/>
        <item m="1" x="2224"/>
        <item m="1" x="993"/>
        <item m="1" x="1036"/>
        <item m="1" x="2319"/>
        <item m="1" x="1139"/>
        <item m="1" x="2428"/>
        <item m="1" x="2476"/>
        <item m="1" x="1234"/>
        <item m="1" x="2574"/>
        <item m="1" x="2641"/>
        <item m="1" x="2048"/>
        <item m="1" x="886"/>
        <item m="1" x="2147"/>
        <item m="1" x="923"/>
        <item m="1" x="2189"/>
        <item m="1" x="999"/>
        <item m="1" x="1043"/>
        <item m="1" x="2324"/>
        <item m="1" x="1093"/>
        <item m="1" x="2433"/>
        <item m="1" x="1196"/>
        <item m="1" x="2481"/>
        <item m="1" x="1236"/>
        <item m="1" x="2529"/>
        <item m="1" x="1332"/>
        <item m="1" x="2646"/>
        <item m="1" x="1386"/>
        <item m="1" x="1432"/>
        <item m="1" x="2114"/>
        <item m="1" x="2153"/>
        <item m="1" x="928"/>
        <item m="1" x="2198"/>
        <item m="1" x="964"/>
        <item m="1" x="1049"/>
        <item m="1" x="2332"/>
        <item m="1" x="1100"/>
        <item m="1" x="2385"/>
        <item m="1" x="1153"/>
        <item m="1" x="2483"/>
        <item m="1" x="1242"/>
        <item m="1" x="1290"/>
        <item m="1" x="2581"/>
        <item m="1" x="1390"/>
        <item m="1" x="1436"/>
        <item m="1" x="2753"/>
        <item m="1" x="1484"/>
        <item m="1" x="2858"/>
        <item m="1" x="2206"/>
        <item m="1" x="2243"/>
        <item m="1" x="1015"/>
        <item m="1" x="2341"/>
        <item m="1" x="1109"/>
        <item m="1" x="2393"/>
        <item m="1" x="1160"/>
        <item m="1" x="2444"/>
        <item m="1" x="2541"/>
        <item m="1" x="1294"/>
        <item m="1" x="2588"/>
        <item m="1" x="1343"/>
        <item m="1" x="2700"/>
        <item m="1" x="1439"/>
        <item m="1" x="2755"/>
        <item m="1" x="1487"/>
        <item m="1" x="2800"/>
        <item m="1" x="1594"/>
        <item m="1" x="2901"/>
        <item m="1" x="1639"/>
        <item m="1" x="2290"/>
        <item m="1" x="1064"/>
        <item m="1" x="2401"/>
        <item m="1" x="1166"/>
        <item m="1" x="2451"/>
        <item m="1" x="1210"/>
        <item m="1" x="2494"/>
        <item m="1" x="1303"/>
        <item m="1" x="2599"/>
        <item m="1" x="1349"/>
        <item m="1" x="1398"/>
        <item m="1" x="2759"/>
        <item m="1" x="1493"/>
        <item m="1" x="2804"/>
        <item m="1" x="1541"/>
        <item m="1" x="1640"/>
        <item m="1" x="2954"/>
        <item m="1" x="2989"/>
        <item m="1" x="3032"/>
        <item m="1" x="2405"/>
        <item m="1" x="1174"/>
        <item m="1" x="2459"/>
        <item m="1" x="1218"/>
        <item m="1" x="2503"/>
        <item m="1" x="1262"/>
        <item m="1" x="2607"/>
        <item m="1" x="1360"/>
        <item m="1" x="2663"/>
        <item m="1" x="1405"/>
        <item m="1" x="1498"/>
        <item m="1" x="2812"/>
        <item m="1" x="1547"/>
        <item m="1" x="2867"/>
        <item m="1" x="1601"/>
        <item m="1" x="2956"/>
        <item m="1" x="1682"/>
        <item m="1" x="2993"/>
        <item m="1" x="1715"/>
        <item m="1" x="3035"/>
        <item m="1" x="3111"/>
        <item m="1" x="2507"/>
        <item m="1" x="1267"/>
        <item m="1" x="1365"/>
        <item m="1" x="2672"/>
        <item m="1" x="1414"/>
        <item m="1" x="2718"/>
        <item m="1" x="1455"/>
        <item m="1" x="2816"/>
        <item m="1" x="1556"/>
        <item m="1" x="1604"/>
        <item m="1" x="1685"/>
        <item m="1" x="2998"/>
        <item m="1" x="1720"/>
        <item m="1" x="3037"/>
        <item m="1" x="1758"/>
        <item m="1" x="3113"/>
        <item m="1" x="1822"/>
        <item m="1" x="622"/>
        <item m="1" x="1852"/>
        <item m="1" x="2622"/>
        <item m="1" x="1420"/>
        <item m="1" x="2729"/>
        <item m="1" x="1463"/>
        <item m="1" x="2775"/>
        <item m="1" x="1509"/>
        <item m="1" x="2879"/>
        <item m="1" x="2921"/>
        <item m="1" x="1654"/>
        <item m="1" x="1726"/>
        <item m="1" x="3045"/>
        <item m="1" x="1762"/>
        <item m="1" x="3081"/>
        <item m="1" x="1795"/>
        <item m="1" x="1856"/>
        <item m="1" x="645"/>
        <item m="1" x="1876"/>
        <item m="1" x="668"/>
        <item m="1" x="1901"/>
        <item m="1" x="698"/>
        <item m="1" x="2736"/>
        <item m="1" x="1471"/>
        <item m="1" x="2780"/>
        <item m="1" x="1515"/>
        <item m="1" x="2832"/>
        <item m="1" x="1616"/>
        <item m="1" x="1662"/>
        <item m="1" x="2970"/>
        <item m="1" x="1697"/>
        <item m="1" x="1733"/>
        <item m="1" x="3051"/>
        <item m="1" x="1770"/>
        <item m="1" x="3088"/>
        <item m="1" x="1800"/>
        <item m="1" x="3118"/>
        <item m="1" x="650"/>
        <item m="1" x="1881"/>
        <item m="1" x="671"/>
        <item m="1" x="1904"/>
        <item m="1" x="721"/>
        <item m="1" x="1954"/>
        <item m="1" x="2839"/>
        <item m="1" x="1575"/>
        <item m="1" x="2889"/>
        <item m="1" x="2977"/>
        <item m="1" x="3013"/>
        <item m="1" x="1740"/>
        <item m="1" x="3094"/>
        <item m="1" x="1807"/>
        <item m="1" x="3122"/>
        <item m="1" x="1833"/>
        <item m="1" x="630"/>
        <item m="1" x="1862"/>
        <item m="1" x="653"/>
        <item m="1" x="1883"/>
        <item m="1" x="674"/>
        <item m="1" x="1906"/>
        <item m="1" x="702"/>
        <item m="1" x="1927"/>
        <item m="1" x="740"/>
        <item m="1" x="1971"/>
        <item m="1" x="758"/>
        <item m="1" x="2003"/>
        <item m="1" x="787"/>
        <item m="1" x="1919"/>
        <item m="1" x="714"/>
        <item m="1" x="1937"/>
        <item m="1" x="1960"/>
        <item m="1" x="767"/>
        <item m="1" x="2013"/>
        <item m="1" x="792"/>
        <item m="1" x="2035"/>
        <item m="1" x="823"/>
        <item m="1" x="2097"/>
        <item m="1" x="874"/>
        <item m="1" x="2176"/>
        <item m="1" x="988"/>
        <item m="1" x="1031"/>
        <item m="1" x="2312"/>
        <item m="1" x="1083"/>
        <item m="1" x="2426"/>
        <item m="1" x="1940"/>
        <item m="1" x="730"/>
        <item m="1" x="1961"/>
        <item m="1" x="751"/>
        <item m="1" x="797"/>
        <item m="1" x="2041"/>
        <item m="1" x="827"/>
        <item m="1" x="2070"/>
        <item m="1" x="2138"/>
        <item m="1" x="917"/>
        <item m="1" x="2180"/>
        <item m="1" x="952"/>
        <item m="1" x="2262"/>
        <item m="1" x="1034"/>
        <item m="1" x="2317"/>
        <item m="1" x="1086"/>
        <item m="1" x="2370"/>
        <item m="1" x="1192"/>
        <item m="1" x="1986"/>
        <item m="1" x="2020"/>
        <item m="1" x="801"/>
        <item m="1" x="2046"/>
        <item m="1" x="2075"/>
        <item m="1" x="853"/>
        <item m="1" x="2105"/>
        <item m="1" x="883"/>
        <item m="1" x="2144"/>
        <item m="1" x="2185"/>
        <item m="1" x="956"/>
        <item m="1" x="996"/>
        <item m="1" x="2267"/>
        <item m="1" x="1040"/>
        <item m="1" x="2374"/>
        <item m="1" x="1141"/>
        <item m="1" x="2430"/>
        <item m="1" x="1194"/>
        <item m="1" x="2479"/>
        <item m="1" x="1286"/>
        <item m="1" x="2575"/>
        <item m="1" x="1330"/>
        <item m="1" x="2643"/>
        <item m="1" x="2051"/>
        <item m="1" x="2111"/>
        <item m="1" x="890"/>
        <item m="1" x="2150"/>
        <item m="1" x="926"/>
        <item m="1" x="2195"/>
        <item m="1" x="2232"/>
        <item m="1" x="1004"/>
        <item m="1" x="2273"/>
        <item m="1" x="1046"/>
        <item m="1" x="2329"/>
        <item m="1" x="1149"/>
        <item m="1" x="2436"/>
        <item m="1" x="1197"/>
        <item m="1" x="2579"/>
        <item m="1" x="1335"/>
        <item m="1" x="2647"/>
        <item m="1" x="1388"/>
        <item m="1" x="1435"/>
        <item m="1" x="895"/>
        <item m="1" x="2156"/>
        <item m="1" x="930"/>
        <item m="1" x="2202"/>
        <item m="1" x="968"/>
        <item m="1" x="1010"/>
        <item m="1" x="2281"/>
        <item m="1" x="1053"/>
        <item m="1" x="2336"/>
        <item m="1" x="1106"/>
        <item m="1" x="2390"/>
        <item m="1" x="1202"/>
        <item m="1" x="2485"/>
        <item m="1" x="1245"/>
        <item m="1" x="2536"/>
        <item m="1" x="1293"/>
        <item m="1" x="2585"/>
        <item m="1" x="1339"/>
        <item m="1" x="1392"/>
        <item m="1" x="2697"/>
        <item m="1" x="1438"/>
        <item m="1" x="1536"/>
        <item m="1" x="2860"/>
        <item m="1" x="2208"/>
        <item m="1" x="972"/>
        <item m="1" x="2247"/>
        <item m="1" x="1061"/>
        <item m="1" x="2346"/>
        <item m="1" x="1112"/>
        <item m="1" x="2396"/>
        <item m="1" x="502"/>
        <item m="1" x="2490"/>
        <item m="1" x="1253"/>
        <item m="1" x="2544"/>
        <item m="1" x="1298"/>
        <item m="1" x="2594"/>
        <item m="1" x="2655"/>
        <item m="1" x="1396"/>
        <item m="1" x="2704"/>
        <item m="1" x="1440"/>
        <item m="1" x="2756"/>
        <item m="1" x="1491"/>
        <item m="1" x="2862"/>
        <item m="1" x="1596"/>
        <item m="1" x="2903"/>
        <item m="1" x="348"/>
        <item m="1" x="2295"/>
        <item m="1" x="1118"/>
        <item m="1" x="2404"/>
        <item m="1" x="1170"/>
        <item m="1" x="2455"/>
        <item m="1" x="1215"/>
        <item m="1" x="2551"/>
        <item m="1" x="503"/>
        <item m="1" x="2603"/>
        <item m="1" x="1356"/>
        <item m="1" x="2661"/>
        <item m="1" x="1445"/>
        <item m="1" x="2761"/>
        <item m="1" x="2809"/>
        <item m="1" x="1544"/>
        <item m="1" x="2907"/>
        <item m="1" x="1643"/>
        <item m="1" x="2991"/>
        <item m="1" x="349"/>
        <item m="1" x="2408"/>
        <item m="1" x="1177"/>
        <item m="1" x="2461"/>
        <item m="1" x="1221"/>
        <item m="1" x="1314"/>
        <item m="1" x="2612"/>
        <item m="1" x="504"/>
        <item m="1" x="2667"/>
        <item m="1" x="1411"/>
        <item m="1" x="1501"/>
        <item m="1" x="1551"/>
        <item m="1" x="1646"/>
        <item m="1" x="2958"/>
        <item m="1" x="2995"/>
        <item m="1" x="1718"/>
        <item m="1" x="3076"/>
        <item m="1" x="1788"/>
        <item m="1" x="350"/>
        <item m="1" x="2510"/>
        <item m="1" x="1270"/>
        <item m="1" x="2619"/>
        <item m="1" x="1369"/>
        <item m="1" x="2675"/>
        <item m="1" x="505"/>
        <item m="1" x="2724"/>
        <item m="1" x="1459"/>
        <item m="1" x="1506"/>
        <item m="1" x="2821"/>
        <item m="1" x="1559"/>
        <item m="1" x="1609"/>
        <item m="1" x="2962"/>
        <item m="1" x="1690"/>
        <item m="1" x="2999"/>
        <item m="1" x="1723"/>
        <item m="1" x="3041"/>
        <item m="1" x="1792"/>
        <item m="1" x="3115"/>
        <item m="1" x="351"/>
        <item m="1" x="2680"/>
        <item m="1" x="1421"/>
        <item m="1" x="2733"/>
        <item m="1" x="1468"/>
        <item m="1" x="2778"/>
        <item m="1" x="1568"/>
        <item m="1" x="506"/>
        <item m="1" x="2927"/>
        <item m="1" x="1658"/>
        <item m="1" x="3005"/>
        <item m="1" x="1728"/>
        <item m="1" x="3047"/>
        <item m="1" x="1766"/>
        <item m="1" x="3085"/>
        <item m="1" x="1828"/>
        <item m="1" x="624"/>
        <item m="1" x="1858"/>
        <item m="1" x="648"/>
        <item m="1" x="1879"/>
        <item m="1" x="352"/>
        <item m="1" x="1472"/>
        <item m="1" x="2783"/>
        <item m="1" x="1519"/>
        <item m="1" x="2887"/>
        <item m="1" x="1620"/>
        <item m="1" x="2933"/>
        <item m="1" x="507"/>
        <item m="1" x="2974"/>
        <item m="1" x="1737"/>
        <item m="1" x="3054"/>
        <item m="1" x="1772"/>
        <item m="1" x="3091"/>
        <item m="1" x="1804"/>
        <item m="1" x="628"/>
        <item m="1" x="651"/>
        <item m="1" x="1882"/>
        <item m="1" x="672"/>
        <item m="1" x="1926"/>
        <item m="1" x="723"/>
        <item m="1" x="353"/>
        <item m="1" x="2842"/>
        <item m="1" x="1579"/>
        <item m="1" x="2938"/>
        <item m="1" x="2978"/>
        <item m="1" x="3017"/>
        <item m="1" x="1744"/>
        <item m="1" x="508"/>
        <item m="1" x="3096"/>
        <item m="1" x="1809"/>
        <item m="1" x="3125"/>
        <item m="1" x="1837"/>
        <item m="1" x="655"/>
        <item m="1" x="676"/>
        <item m="1" x="1908"/>
        <item m="1" x="704"/>
        <item m="1" x="725"/>
        <item m="1" x="741"/>
        <item m="1" x="1972"/>
        <item m="1" x="759"/>
        <item m="1" x="2004"/>
        <item m="1" x="354"/>
        <item m="1" x="686"/>
        <item m="1" x="1920"/>
        <item m="1" x="715"/>
        <item m="1" x="1939"/>
        <item m="1" x="1981"/>
        <item m="1" x="768"/>
        <item m="1" x="2015"/>
        <item m="1" x="795"/>
        <item m="1" x="2038"/>
        <item m="1" x="509"/>
        <item m="1" x="2098"/>
        <item m="1" x="2136"/>
        <item m="1" x="950"/>
        <item m="1" x="2221"/>
        <item m="1" x="990"/>
        <item m="1" x="2260"/>
        <item m="1" x="2315"/>
        <item m="1" x="1137"/>
        <item m="1" x="355"/>
        <item m="1" x="731"/>
        <item m="1" x="1984"/>
        <item m="1" x="772"/>
        <item m="1" x="2018"/>
        <item m="1" x="799"/>
        <item m="1" x="2044"/>
        <item m="1" x="510"/>
        <item m="1" x="2102"/>
        <item m="1" x="880"/>
        <item m="1" x="2142"/>
        <item m="1" x="920"/>
        <item m="1" x="2182"/>
        <item m="1" x="2225"/>
        <item m="1" x="994"/>
        <item m="1" x="2264"/>
        <item m="1" x="1037"/>
        <item m="1" x="2320"/>
        <item m="1" x="1088"/>
        <item m="1" x="2429"/>
        <item m="1" x="356"/>
        <item m="1" x="1988"/>
        <item m="1" x="775"/>
        <item m="1" x="2049"/>
        <item m="1" x="833"/>
        <item m="1" x="2077"/>
        <item m="1" x="856"/>
        <item m="1" x="2108"/>
        <item m="1" x="887"/>
        <item m="1" x="511"/>
        <item m="1" x="2190"/>
        <item m="1" x="959"/>
        <item m="1" x="1000"/>
        <item m="1" x="2325"/>
        <item m="1" x="1094"/>
        <item m="1" x="1145"/>
        <item m="1" x="1237"/>
        <item m="1" x="2530"/>
        <item m="1" x="1287"/>
        <item m="1" x="2577"/>
        <item m="1" x="357"/>
        <item m="1" x="2055"/>
        <item m="1" x="837"/>
        <item m="1" x="2081"/>
        <item m="1" x="860"/>
        <item m="1" x="965"/>
        <item m="1" x="2235"/>
        <item m="1" x="1006"/>
        <item m="1" x="2276"/>
        <item m="1" x="512"/>
        <item m="1" x="2333"/>
        <item m="1" x="1101"/>
        <item m="1" x="2386"/>
        <item m="1" x="1154"/>
        <item m="1" x="2439"/>
        <item m="1" x="1199"/>
        <item m="1" x="2534"/>
        <item m="1" x="1291"/>
        <item m="1" x="2582"/>
        <item m="1" x="1337"/>
        <item m="1" x="2649"/>
        <item m="1" x="358"/>
        <item m="1" x="2120"/>
        <item m="1" x="898"/>
        <item m="1" x="2159"/>
        <item m="1" x="933"/>
        <item m="1" x="2244"/>
        <item m="1" x="1016"/>
        <item m="1" x="513"/>
        <item m="1" x="1057"/>
        <item m="1" x="2342"/>
        <item m="1" x="1110"/>
        <item m="1" x="1161"/>
        <item m="1" x="2445"/>
        <item m="1" x="2488"/>
        <item m="1" x="1249"/>
        <item m="1" x="2589"/>
        <item m="1" x="1344"/>
        <item m="1" x="2653"/>
        <item m="1" x="2701"/>
        <item m="1" x="1488"/>
        <item m="1" x="1538"/>
        <item m="1" x="359"/>
        <item m="1" x="2211"/>
        <item m="1" x="1021"/>
        <item m="1" x="2291"/>
        <item m="1" x="1065"/>
        <item m="1" x="2349"/>
        <item m="1" x="1116"/>
        <item m="1" x="2452"/>
        <item m="1" x="514"/>
        <item m="1" x="2495"/>
        <item m="1" x="1256"/>
        <item m="1" x="2547"/>
        <item m="1" x="1350"/>
        <item m="1" x="2657"/>
        <item m="1" x="1399"/>
        <item m="1" x="1442"/>
        <item m="1" x="2805"/>
        <item m="1" x="1542"/>
        <item m="1" x="2864"/>
        <item m="1" x="2904"/>
        <item m="1" x="360"/>
        <item m="1" x="2297"/>
        <item m="1" x="1070"/>
        <item m="1" x="2354"/>
        <item m="1" x="1120"/>
        <item m="1" x="2406"/>
        <item m="1" x="1175"/>
        <item m="1" x="515"/>
        <item m="1" x="2504"/>
        <item m="1" x="1263"/>
        <item m="1" x="2554"/>
        <item m="1" x="1309"/>
        <item m="1" x="2608"/>
        <item m="1" x="1406"/>
        <item m="1" x="2713"/>
        <item m="1" x="1448"/>
        <item m="1" x="2764"/>
        <item m="1" x="2868"/>
        <item m="1" x="2909"/>
        <item m="1" x="1644"/>
        <item m="1" x="2957"/>
        <item m="1" x="361"/>
        <item m="1" x="1179"/>
        <item m="1" x="2464"/>
        <item m="1" x="516"/>
        <item m="1" x="1268"/>
        <item m="1" x="2560"/>
        <item m="1" x="1318"/>
        <item m="1" x="2616"/>
        <item m="1" x="1366"/>
        <item m="1" x="2719"/>
        <item m="1" x="1456"/>
        <item m="1" x="1504"/>
        <item m="1" x="2817"/>
        <item m="1" x="1605"/>
        <item m="1" x="1649"/>
        <item m="1" x="2960"/>
        <item m="1" x="1686"/>
        <item m="1" x="3038"/>
        <item m="1" x="1759"/>
        <item m="1" x="3078"/>
        <item m="1" x="1790"/>
        <item m="1" x="362"/>
        <item m="1" x="1274"/>
        <item m="1" x="2563"/>
        <item m="1" x="1321"/>
        <item m="1" x="2623"/>
        <item m="1" x="1371"/>
        <item m="1" x="2678"/>
        <item m="1" x="517"/>
        <item m="1" x="1464"/>
        <item m="1" x="2776"/>
        <item m="1" x="1510"/>
        <item m="1" x="2824"/>
        <item m="1" x="1564"/>
        <item m="1" x="2922"/>
        <item m="1" x="1655"/>
        <item m="1" x="1693"/>
        <item m="1" x="1763"/>
        <item m="1" x="1796"/>
        <item m="1" x="1826"/>
        <item m="1" x="363"/>
        <item m="1" x="2628"/>
        <item m="1" x="1374"/>
        <item m="1" x="2683"/>
        <item m="1" x="1422"/>
        <item m="1" x="2737"/>
        <item m="1" x="1516"/>
        <item m="1" x="2833"/>
        <item m="1" x="1571"/>
        <item m="1" x="2884"/>
        <item m="1" x="1617"/>
        <item m="1" x="2971"/>
        <item m="1" x="1698"/>
        <item m="1" x="3008"/>
        <item m="1" x="1734"/>
        <item m="1" x="1801"/>
        <item m="1" x="3119"/>
        <item m="1" x="1830"/>
        <item m="1" x="626"/>
        <item m="1" x="1860"/>
        <item m="1" x="1905"/>
        <item m="1" x="364"/>
        <item m="1" x="1474"/>
        <item m="1" x="1521"/>
        <item m="1" x="2840"/>
        <item m="1" x="1576"/>
        <item m="1" x="2890"/>
        <item m="1" x="1623"/>
        <item m="1" x="2936"/>
        <item m="1" x="518"/>
        <item m="1" x="1702"/>
        <item m="1" x="3014"/>
        <item m="1" x="1741"/>
        <item m="1" x="3057"/>
        <item m="1" x="1774"/>
        <item m="1" x="3123"/>
        <item m="1" x="1834"/>
        <item m="1" x="1863"/>
        <item m="1" x="654"/>
        <item m="1" x="703"/>
        <item m="1" x="724"/>
        <item m="1" x="365"/>
        <item m="1" x="2893"/>
        <item m="1" x="1626"/>
        <item m="1" x="2940"/>
        <item m="1" x="2981"/>
        <item m="1" x="1746"/>
        <item m="1" x="3062"/>
        <item m="1" x="1778"/>
        <item m="1" x="3099"/>
        <item m="1" x="1812"/>
        <item m="1" x="633"/>
        <item m="1" x="1867"/>
        <item m="1" x="657"/>
        <item m="1" x="678"/>
        <item m="1" x="1929"/>
        <item m="1" x="1955"/>
        <item m="1" x="742"/>
        <item m="1" x="366"/>
        <item m="1" x="687"/>
        <item m="1" x="1921"/>
        <item m="1" x="716"/>
        <item m="1" x="1941"/>
        <item m="1" x="1962"/>
        <item m="1" x="752"/>
        <item m="1" x="1982"/>
        <item m="1" x="770"/>
        <item m="1" x="519"/>
        <item m="1" x="828"/>
        <item m="1" x="2071"/>
        <item m="1" x="849"/>
        <item m="1" x="2100"/>
        <item m="1" x="878"/>
        <item m="1" x="2222"/>
        <item m="1" x="992"/>
        <item m="1" x="2263"/>
        <item m="1" x="1087"/>
        <item m="1" x="2371"/>
        <item m="1" x="367"/>
        <item m="1" x="1942"/>
        <item m="1" x="754"/>
        <item m="1" x="1987"/>
        <item m="1" x="774"/>
        <item m="1" x="2021"/>
        <item m="1" x="802"/>
        <item m="1" x="2076"/>
        <item m="1" x="854"/>
        <item m="1" x="2106"/>
        <item m="1" x="884"/>
        <item m="1" x="2145"/>
        <item m="1" x="2186"/>
        <item m="1" x="957"/>
        <item m="1" x="2227"/>
        <item m="1" x="997"/>
        <item m="1" x="2268"/>
        <item m="1" x="2375"/>
        <item m="1" x="1142"/>
        <item m="1" x="2431"/>
        <item m="1" x="368"/>
        <item m="1" x="1990"/>
        <item m="1" x="806"/>
        <item m="1" x="2052"/>
        <item m="1" x="835"/>
        <item m="1" x="2080"/>
        <item m="1" x="858"/>
        <item m="1" x="2151"/>
        <item m="1" x="520"/>
        <item m="1" x="2196"/>
        <item m="1" x="962"/>
        <item m="1" x="1047"/>
        <item m="1" x="2330"/>
        <item m="1" x="1097"/>
        <item m="1" x="2380"/>
        <item m="1" x="1198"/>
        <item m="1" x="2482"/>
        <item m="1" x="1240"/>
        <item m="1" x="2533"/>
        <item m="1" x="369"/>
        <item m="1" x="840"/>
        <item m="1" x="2083"/>
        <item m="1" x="863"/>
        <item m="1" x="2117"/>
        <item m="1" x="931"/>
        <item m="1" x="2203"/>
        <item m="1" x="969"/>
        <item m="1" x="2239"/>
        <item m="1" x="1011"/>
        <item m="1" x="2282"/>
        <item m="1" x="2337"/>
        <item m="1" x="1107"/>
        <item m="1" x="2391"/>
        <item m="1" x="1158"/>
        <item m="1" x="1246"/>
        <item m="1" x="2537"/>
        <item m="1" x="2586"/>
        <item m="1" x="1340"/>
        <item m="1" x="1393"/>
        <item m="1" x="2698"/>
        <item m="1" x="370"/>
        <item m="1" x="901"/>
        <item m="1" x="2163"/>
        <item m="1" x="973"/>
        <item m="1" x="2248"/>
        <item m="1" x="1018"/>
        <item m="1" x="2287"/>
        <item m="1" x="521"/>
        <item m="1" x="2397"/>
        <item m="1" x="1164"/>
        <item m="1" x="2449"/>
        <item m="1" x="1207"/>
        <item m="1" x="1299"/>
        <item m="1" x="2595"/>
        <item m="1" x="2757"/>
        <item m="1" x="1492"/>
        <item m="1" x="2803"/>
        <item m="1" x="1539"/>
        <item m="1" x="371"/>
        <item m="1" x="2252"/>
        <item m="1" x="1025"/>
        <item m="1" x="2296"/>
        <item m="1" x="1067"/>
        <item m="1" x="2352"/>
        <item m="1" x="1171"/>
        <item m="1" x="2456"/>
        <item m="1" x="1216"/>
        <item m="1" x="2499"/>
        <item m="1" x="1258"/>
        <item m="1" x="1357"/>
        <item m="1" x="1402"/>
        <item m="1" x="2709"/>
        <item m="1" x="1496"/>
        <item m="1" x="2810"/>
        <item m="1" x="1545"/>
        <item m="1" x="2865"/>
        <item m="1" x="1599"/>
        <item m="1" x="372"/>
        <item m="1" x="2300"/>
        <item m="1" x="1072"/>
        <item m="1" x="2356"/>
        <item m="1" x="1123"/>
        <item m="1" x="2409"/>
        <item m="1" x="2462"/>
        <item m="1" x="1222"/>
        <item m="1" x="522"/>
        <item m="1" x="1266"/>
        <item m="1" x="2558"/>
        <item m="1" x="1315"/>
        <item m="1" x="2668"/>
        <item m="1" x="1412"/>
        <item m="1" x="2716"/>
        <item m="1" x="1451"/>
        <item m="1" x="2767"/>
        <item m="1" x="1603"/>
        <item m="1" x="2911"/>
        <item m="1" x="1647"/>
        <item m="1" x="2996"/>
        <item m="1" x="1719"/>
        <item m="1" x="373"/>
        <item m="1" x="2412"/>
        <item m="1" x="1181"/>
        <item m="1" x="2511"/>
        <item m="1" x="1271"/>
        <item m="1" x="1320"/>
        <item m="1" x="2620"/>
        <item m="1" x="1417"/>
        <item m="1" x="2725"/>
        <item m="1" x="523"/>
        <item m="1" x="2772"/>
        <item m="1" x="1507"/>
        <item m="1" x="1560"/>
        <item m="1" x="2875"/>
        <item m="1" x="2918"/>
        <item m="1" x="1651"/>
        <item m="1" x="3000"/>
        <item m="1" x="1724"/>
        <item m="1" x="3042"/>
        <item m="1" x="1793"/>
        <item m="1" x="374"/>
        <item m="1" x="1277"/>
        <item m="1" x="2566"/>
        <item m="1" x="2627"/>
        <item m="1" x="524"/>
        <item m="1" x="2734"/>
        <item m="1" x="1469"/>
        <item m="1" x="1514"/>
        <item m="1" x="2828"/>
        <item m="1" x="1612"/>
        <item m="1" x="2928"/>
        <item m="1" x="1695"/>
        <item m="1" x="1729"/>
        <item m="1" x="3048"/>
        <item m="1" x="1767"/>
        <item m="1" x="3086"/>
        <item m="1" x="1799"/>
        <item m="1" x="375"/>
        <item m="1" x="376"/>
        <item m="1" x="1376"/>
        <item m="1" x="2685"/>
        <item m="1" x="2784"/>
        <item m="1" x="2837"/>
        <item m="1" x="1573"/>
        <item m="1" x="2934"/>
        <item m="1" x="1665"/>
        <item m="1" x="2975"/>
        <item m="1" x="3011"/>
        <item m="1" x="1738"/>
        <item m="1" x="3055"/>
        <item m="1" x="3092"/>
        <item m="1" x="1805"/>
        <item m="1" x="3121"/>
        <item m="1" x="629"/>
        <item m="1" x="652"/>
        <item m="1" x="673"/>
        <item m="1" x="377"/>
        <item m="1" x="1524"/>
        <item m="1" x="1580"/>
        <item m="1" x="2892"/>
        <item m="1" x="1624"/>
        <item m="1" x="2979"/>
        <item m="1" x="525"/>
        <item m="1" x="3018"/>
        <item m="1" x="3059"/>
        <item m="1" x="1810"/>
        <item m="1" x="3126"/>
        <item m="1" x="1838"/>
        <item m="1" x="1865"/>
        <item m="1" x="1909"/>
        <item m="1" x="705"/>
        <item m="1" x="1928"/>
        <item m="1" x="378"/>
        <item m="1" x="2895"/>
        <item m="1" x="1629"/>
        <item m="1" x="3022"/>
        <item m="1" x="3064"/>
        <item m="1" x="1781"/>
        <item m="1" x="3101"/>
        <item m="1" x="1841"/>
        <item m="1" x="635"/>
        <item m="1" x="1868"/>
        <item m="1" x="680"/>
        <item m="1" x="1912"/>
        <item m="1" x="1931"/>
        <item m="1" x="743"/>
        <item m="1" x="2005"/>
        <item m="1" x="379"/>
        <item m="1" x="1895"/>
        <item m="1" x="1922"/>
        <item m="1" x="1963"/>
        <item m="1" x="753"/>
        <item m="1" x="1985"/>
        <item m="1" x="773"/>
        <item m="1" x="2019"/>
        <item m="1" x="800"/>
        <item m="1" x="526"/>
        <item m="1" x="830"/>
        <item m="1" x="2073"/>
        <item m="1" x="852"/>
        <item m="1" x="2103"/>
        <item m="1" x="881"/>
        <item m="1" x="921"/>
        <item m="1" x="2183"/>
        <item m="1" x="954"/>
        <item m="1" x="2226"/>
        <item m="1" x="2265"/>
        <item m="1" x="2321"/>
        <item m="1" x="1089"/>
        <item m="1" x="1140"/>
        <item m="1" x="380"/>
        <item m="1" x="732"/>
        <item m="1" x="1965"/>
        <item m="1" x="1989"/>
        <item m="1" x="804"/>
        <item m="1" x="2078"/>
        <item m="1" x="857"/>
        <item m="1" x="2109"/>
        <item m="1" x="888"/>
        <item m="1" x="2148"/>
        <item m="1" x="2191"/>
        <item m="1" x="960"/>
        <item m="1" x="2230"/>
        <item m="1" x="1001"/>
        <item m="1" x="2272"/>
        <item m="1" x="2378"/>
        <item m="1" x="1146"/>
        <item m="1" x="2434"/>
        <item m="1" x="381"/>
        <item m="1" x="777"/>
        <item m="1" x="2025"/>
        <item m="1" x="809"/>
        <item m="1" x="2056"/>
        <item m="1" x="838"/>
        <item m="1" x="2115"/>
        <item m="1" x="893"/>
        <item m="1" x="2154"/>
        <item m="1" x="527"/>
        <item m="1" x="2199"/>
        <item m="1" x="2277"/>
        <item m="1" x="1050"/>
        <item m="1" x="2334"/>
        <item m="1" x="1102"/>
        <item m="1" x="2387"/>
        <item m="1" x="1200"/>
        <item m="1" x="2484"/>
        <item m="1" x="1243"/>
        <item m="1" x="1292"/>
        <item m="1" x="382"/>
        <item m="1" x="2058"/>
        <item m="1" x="843"/>
        <item m="1" x="2085"/>
        <item m="1" x="866"/>
        <item m="1" x="2121"/>
        <item m="1" x="2160"/>
        <item m="1" x="934"/>
        <item m="1" x="2207"/>
        <item m="1" x="528"/>
        <item m="1" x="2245"/>
        <item m="1" x="1058"/>
        <item m="1" x="2343"/>
        <item m="1" x="1111"/>
        <item m="1" x="1250"/>
        <item m="1" x="2542"/>
        <item m="1" x="1295"/>
        <item m="1" x="2590"/>
        <item m="1" x="2702"/>
        <item m="1" x="383"/>
        <item m="1" x="903"/>
        <item m="1" x="2212"/>
        <item m="1" x="974"/>
        <item m="1" x="2250"/>
        <item m="1" x="1022"/>
        <item m="1" x="2292"/>
        <item m="1" x="1117"/>
        <item m="1" x="529"/>
        <item m="1" x="1167"/>
        <item m="1" x="2453"/>
        <item m="1" x="1211"/>
        <item m="1" x="2548"/>
        <item m="1" x="1304"/>
        <item m="1" x="2600"/>
        <item m="1" x="1351"/>
        <item m="1" x="1443"/>
        <item m="1" x="2760"/>
        <item m="1" x="1494"/>
        <item m="1" x="2806"/>
        <item m="1" x="384"/>
        <item m="1" x="977"/>
        <item m="1" x="2253"/>
        <item m="1" x="530"/>
        <item m="1" x="2298"/>
        <item m="1" x="2407"/>
        <item m="1" x="1176"/>
        <item m="1" x="531"/>
        <item m="1" x="1219"/>
        <item m="1" x="1310"/>
        <item m="1" x="2609"/>
        <item m="1" x="1361"/>
        <item m="1" x="2664"/>
        <item m="1" x="1407"/>
        <item m="1" x="2765"/>
        <item m="1" x="1499"/>
        <item m="1" x="2813"/>
        <item m="1" x="2869"/>
        <item m="1" x="385"/>
        <item m="1" x="2302"/>
        <item m="1" x="1073"/>
        <item m="1" x="2357"/>
        <item m="1" x="1125"/>
        <item m="1" x="2465"/>
        <item m="1" x="1224"/>
        <item m="1" x="2508"/>
        <item m="1" x="532"/>
        <item m="1" x="2561"/>
        <item m="1" x="1367"/>
        <item m="1" x="2673"/>
        <item m="1" x="1415"/>
        <item m="1" x="2720"/>
        <item m="1" x="1457"/>
        <item m="1" x="2769"/>
        <item m="1" x="2818"/>
        <item m="1" x="2872"/>
        <item m="1" x="2914"/>
        <item m="1" x="1687"/>
        <item m="1" x="1721"/>
        <item m="1" x="386"/>
        <item m="1" x="2413"/>
        <item m="1" x="2467"/>
        <item m="1" x="2513"/>
        <item m="1" x="1275"/>
        <item m="1" x="2564"/>
        <item m="1" x="1322"/>
        <item m="1" x="2624"/>
        <item m="1" x="2679"/>
        <item m="1" x="533"/>
        <item m="1" x="2730"/>
        <item m="1" x="1465"/>
        <item m="1" x="2825"/>
        <item m="1" x="1565"/>
        <item m="1" x="2880"/>
        <item m="1" x="1610"/>
        <item m="1" x="2923"/>
        <item m="1" x="1656"/>
        <item m="1" x="2965"/>
        <item m="1" x="3002"/>
        <item m="1" x="3082"/>
        <item m="1" x="387"/>
        <item m="1" x="2516"/>
        <item m="1" x="1279"/>
        <item m="1" x="2569"/>
        <item m="1" x="1324"/>
        <item m="1" x="534"/>
        <item m="1" x="2738"/>
        <item m="1" x="2781"/>
        <item m="1" x="1517"/>
        <item m="1" x="2885"/>
        <item m="1" x="1618"/>
        <item m="1" x="2932"/>
        <item m="1" x="1663"/>
        <item m="1" x="2972"/>
        <item m="1" x="3052"/>
        <item m="1" x="1771"/>
        <item m="1" x="3089"/>
        <item m="1" x="1802"/>
        <item m="1" x="388"/>
        <item m="1" x="2632"/>
        <item m="1" x="1378"/>
        <item m="1" x="2687"/>
        <item m="1" x="1475"/>
        <item m="1" x="535"/>
        <item m="1" x="1522"/>
        <item m="1" x="2841"/>
        <item m="1" x="1577"/>
        <item m="1" x="2937"/>
        <item m="1" x="1667"/>
        <item m="1" x="1703"/>
        <item m="1" x="3015"/>
        <item m="1" x="1742"/>
        <item m="1" x="1775"/>
        <item m="1" x="3095"/>
        <item m="1" x="3124"/>
        <item m="1" x="1835"/>
        <item m="1" x="1864"/>
        <item m="1" x="1884"/>
        <item m="1" x="675"/>
        <item m="1" x="1907"/>
        <item m="1" x="389"/>
        <item m="1" x="1478"/>
        <item m="1" x="2790"/>
        <item m="1" x="1527"/>
        <item m="1" x="2844"/>
        <item m="1" x="1581"/>
        <item m="1" x="536"/>
        <item m="1" x="1670"/>
        <item m="1" x="2982"/>
        <item m="1" x="1707"/>
        <item m="1" x="3020"/>
        <item m="1" x="1747"/>
        <item m="1" x="3100"/>
        <item m="1" x="1813"/>
        <item m="1" x="3128"/>
        <item m="1" x="1839"/>
        <item m="1" x="1885"/>
        <item m="1" x="679"/>
        <item m="1" x="1911"/>
        <item m="1" x="706"/>
        <item m="1" x="1930"/>
        <item m="1" x="390"/>
        <item m="1" x="2846"/>
        <item m="1" x="1585"/>
        <item m="1" x="2896"/>
        <item m="1" x="1630"/>
        <item m="1" x="2943"/>
        <item m="1" x="537"/>
        <item m="1" x="1749"/>
        <item m="1" x="3065"/>
        <item m="1" x="3131"/>
        <item m="1" x="1844"/>
        <item m="1" x="637"/>
        <item m="1" x="1869"/>
        <item m="1" x="661"/>
        <item m="1" x="1914"/>
        <item m="1" x="708"/>
        <item m="1" x="1932"/>
        <item m="1" x="744"/>
        <item m="1" x="760"/>
        <item m="1" x="391"/>
        <item m="1" x="688"/>
        <item m="1" x="1943"/>
        <item m="1" x="1964"/>
        <item m="1" x="755"/>
        <item m="1" x="538"/>
        <item m="1" x="803"/>
        <item m="1" x="2047"/>
        <item m="1" x="832"/>
        <item m="1" x="855"/>
        <item m="1" x="2146"/>
        <item m="1" x="2187"/>
        <item m="1" x="958"/>
        <item m="1" x="2228"/>
        <item m="1" x="2269"/>
        <item m="1" x="1041"/>
        <item m="1" x="2323"/>
        <item m="1" x="2376"/>
        <item m="1" x="1143"/>
        <item m="1" x="392"/>
        <item m="1" x="734"/>
        <item m="1" x="757"/>
        <item m="1" x="1991"/>
        <item m="1" x="539"/>
        <item m="1" x="2023"/>
        <item m="1" x="807"/>
        <item m="1" x="2053"/>
        <item m="1" x="859"/>
        <item m="1" x="2112"/>
        <item m="1" x="891"/>
        <item m="1" x="927"/>
        <item m="1" x="2197"/>
        <item m="1" x="963"/>
        <item m="1" x="2274"/>
        <item m="1" x="2331"/>
        <item m="1" x="1098"/>
        <item m="1" x="2381"/>
        <item m="1" x="1150"/>
        <item m="1" x="2437"/>
        <item m="1" x="393"/>
        <item m="1" x="779"/>
        <item m="1" x="2027"/>
        <item m="1" x="812"/>
        <item m="1" x="540"/>
        <item m="1" x="841"/>
        <item m="1" x="864"/>
        <item m="1" x="2118"/>
        <item m="1" x="896"/>
        <item m="1" x="2157"/>
        <item m="1" x="2204"/>
        <item m="1" x="970"/>
        <item m="1" x="2240"/>
        <item m="1" x="1012"/>
        <item m="1" x="2283"/>
        <item m="1" x="1054"/>
        <item m="1" x="2338"/>
        <item m="1" x="2441"/>
        <item m="1" x="1203"/>
        <item m="1" x="2486"/>
        <item m="1" x="1247"/>
        <item m="1" x="2538"/>
        <item m="1" x="1341"/>
        <item m="1" x="394"/>
        <item m="1" x="902"/>
        <item m="1" x="2164"/>
        <item m="1" x="935"/>
        <item m="1" x="2209"/>
        <item m="1" x="541"/>
        <item m="1" x="1019"/>
        <item m="1" x="2288"/>
        <item m="1" x="1062"/>
        <item m="1" x="2347"/>
        <item m="1" x="1113"/>
        <item m="1" x="1208"/>
        <item m="1" x="2491"/>
        <item m="1" x="1254"/>
        <item m="1" x="1300"/>
        <item m="1" x="2596"/>
        <item m="1" x="2656"/>
        <item m="1" x="2705"/>
        <item m="1" x="395"/>
        <item m="1" x="939"/>
        <item m="1" x="2213"/>
        <item m="1" x="976"/>
        <item m="1" x="542"/>
        <item m="1" x="1026"/>
        <item m="1" x="1068"/>
        <item m="1" x="2353"/>
        <item m="1" x="1119"/>
        <item m="1" x="1172"/>
        <item m="1" x="2457"/>
        <item m="1" x="2500"/>
        <item m="1" x="1259"/>
        <item m="1" x="2552"/>
        <item m="1" x="1306"/>
        <item m="1" x="2604"/>
        <item m="1" x="1358"/>
        <item m="1" x="2710"/>
        <item m="1" x="1446"/>
        <item m="1" x="2762"/>
        <item m="1" x="2811"/>
        <item m="1" x="396"/>
        <item m="1" x="2214"/>
        <item m="1" x="979"/>
        <item m="1" x="2255"/>
        <item m="1" x="543"/>
        <item m="1" x="2301"/>
        <item m="1" x="1124"/>
        <item m="1" x="2410"/>
        <item m="1" x="1178"/>
        <item m="1" x="2463"/>
        <item m="1" x="1223"/>
        <item m="1" x="1316"/>
        <item m="1" x="2613"/>
        <item m="1" x="1363"/>
        <item m="1" x="2669"/>
        <item m="1" x="1452"/>
        <item m="1" x="1502"/>
        <item m="1" x="2815"/>
        <item m="1" x="1552"/>
        <item m="1" x="2912"/>
        <item m="1" x="397"/>
        <item m="1" x="2305"/>
        <item m="1" x="1075"/>
        <item m="1" x="2359"/>
        <item m="1" x="544"/>
        <item m="1" x="2466"/>
        <item m="1" x="1227"/>
        <item m="1" x="2512"/>
        <item m="1" x="1272"/>
        <item m="1" x="2621"/>
        <item m="1" x="1370"/>
        <item m="1" x="2676"/>
        <item m="1" x="1418"/>
        <item m="1" x="2726"/>
        <item m="1" x="1460"/>
        <item m="1" x="2773"/>
        <item m="1" x="1508"/>
        <item m="1" x="2822"/>
        <item m="1" x="1561"/>
        <item m="1" x="2876"/>
        <item m="1" x="1652"/>
        <item m="1" x="2963"/>
        <item m="1" x="1691"/>
        <item m="1" x="398"/>
        <item m="1" x="1183"/>
        <item m="1" x="2469"/>
        <item m="1" x="1229"/>
        <item m="1" x="2514"/>
        <item m="1" x="545"/>
        <item m="1" x="2567"/>
        <item m="1" x="1373"/>
        <item m="1" x="2681"/>
        <item m="1" x="1470"/>
        <item m="1" x="2829"/>
        <item m="1" x="1569"/>
        <item m="1" x="2882"/>
        <item m="1" x="1613"/>
        <item m="1" x="2929"/>
        <item m="1" x="1659"/>
        <item m="1" x="1696"/>
        <item m="1" x="3006"/>
        <item m="1" x="1730"/>
        <item m="1" x="3049"/>
        <item m="1" x="1768"/>
        <item m="1" x="399"/>
        <item m="1" x="2518"/>
        <item m="1" x="1280"/>
        <item m="1" x="546"/>
        <item m="1" x="2686"/>
        <item m="1" x="1423"/>
        <item m="1" x="2740"/>
        <item m="1" x="2785"/>
        <item m="1" x="1574"/>
        <item m="1" x="2888"/>
        <item m="1" x="1621"/>
        <item m="1" x="2935"/>
        <item m="1" x="1666"/>
        <item m="1" x="3012"/>
        <item m="1" x="1739"/>
        <item m="1" x="3056"/>
        <item m="1" x="1773"/>
        <item m="1" x="3093"/>
        <item m="1" x="1832"/>
        <item m="1" x="400"/>
        <item m="1" x="2634"/>
        <item m="1" x="1379"/>
        <item m="1" x="1425"/>
        <item m="1" x="547"/>
        <item m="1" x="2788"/>
        <item m="1" x="1525"/>
        <item m="1" x="2843"/>
        <item m="1" x="2939"/>
        <item m="1" x="1669"/>
        <item m="1" x="2980"/>
        <item m="1" x="1705"/>
        <item m="1" x="3060"/>
        <item m="1" x="1776"/>
        <item m="1" x="3097"/>
        <item m="1" x="1811"/>
        <item m="1" x="3127"/>
        <item m="1" x="632"/>
        <item m="1" x="1866"/>
        <item m="1" x="656"/>
        <item m="1" x="677"/>
        <item m="1" x="1910"/>
        <item m="1" x="401"/>
        <item m="1" x="2792"/>
        <item m="1" x="1528"/>
        <item m="1" x="1583"/>
        <item m="1" x="548"/>
        <item m="1" x="2942"/>
        <item m="1" x="1672"/>
        <item m="1" x="1708"/>
        <item m="1" x="3023"/>
        <item m="1" x="1782"/>
        <item m="1" x="3102"/>
        <item m="1" x="1815"/>
        <item m="1" x="3129"/>
        <item m="1" x="1842"/>
        <item m="1" x="659"/>
        <item m="1" x="681"/>
        <item m="1" x="1913"/>
        <item m="1" x="707"/>
        <item m="1" x="402"/>
        <item m="1" x="2847"/>
        <item m="1" x="1587"/>
        <item m="1" x="1632"/>
        <item m="1" x="549"/>
        <item m="1" x="3025"/>
        <item m="1" x="1751"/>
        <item m="1" x="3067"/>
        <item m="1" x="3132"/>
        <item m="1" x="1845"/>
        <item m="1" x="639"/>
        <item m="1" x="1871"/>
        <item m="1" x="1887"/>
        <item m="1" x="1915"/>
        <item m="1" x="710"/>
        <item m="1" x="745"/>
        <item m="1" x="1973"/>
        <item m="1" x="2006"/>
        <item m="1" x="403"/>
        <item m="1" x="717"/>
        <item m="1" x="733"/>
        <item m="1" x="1966"/>
        <item m="1" x="756"/>
        <item m="1" x="550"/>
        <item m="1" x="2022"/>
        <item m="1" x="805"/>
        <item m="1" x="2050"/>
        <item m="1" x="834"/>
        <item m="1" x="2079"/>
        <item m="1" x="889"/>
        <item m="1" x="2149"/>
        <item m="1" x="924"/>
        <item m="1" x="2192"/>
        <item m="1" x="1044"/>
        <item m="1" x="2326"/>
        <item m="1" x="1095"/>
        <item m="1" x="1147"/>
        <item m="1" x="404"/>
        <item m="1" x="1944"/>
        <item m="1" x="735"/>
        <item m="1" x="1967"/>
        <item m="1" x="551"/>
        <item m="1" x="1993"/>
        <item m="1" x="810"/>
        <item m="1" x="839"/>
        <item m="1" x="2082"/>
        <item m="1" x="861"/>
        <item m="1" x="894"/>
        <item m="1" x="2155"/>
        <item m="1" x="929"/>
        <item m="1" x="2200"/>
        <item m="1" x="966"/>
        <item m="1" x="2236"/>
        <item m="1" x="1007"/>
        <item m="1" x="1051"/>
        <item m="1" x="2335"/>
        <item m="1" x="1103"/>
        <item m="1" x="1155"/>
        <item m="1" x="405"/>
        <item m="1" x="1996"/>
        <item m="1" x="780"/>
        <item m="1" x="2029"/>
        <item m="1" x="814"/>
        <item m="1" x="2086"/>
        <item m="1" x="552"/>
        <item m="1" x="2122"/>
        <item m="1" x="899"/>
        <item m="1" x="2161"/>
        <item m="1" x="971"/>
        <item m="1" x="2246"/>
        <item m="1" x="1017"/>
        <item m="1" x="2286"/>
        <item m="1" x="1059"/>
        <item m="1" x="2344"/>
        <item m="1" x="2394"/>
        <item m="1" x="1162"/>
        <item m="1" x="2446"/>
        <item m="1" x="1296"/>
        <item m="1" x="2591"/>
        <item m="1" x="1345"/>
        <item m="1" x="406"/>
        <item m="1" x="867"/>
        <item m="1" x="2124"/>
        <item m="1" x="553"/>
        <item m="1" x="2165"/>
        <item m="1" x="975"/>
        <item m="1" x="2251"/>
        <item m="1" x="1023"/>
        <item m="1" x="2293"/>
        <item m="1" x="1066"/>
        <item m="1" x="2350"/>
        <item m="1" x="2402"/>
        <item m="1" x="1168"/>
        <item m="1" x="1212"/>
        <item m="1" x="2549"/>
        <item m="1" x="2601"/>
        <item m="1" x="1352"/>
        <item m="1" x="2658"/>
        <item m="1" x="1400"/>
        <item m="1" x="2707"/>
        <item m="1" x="407"/>
        <item m="1" x="2125"/>
        <item m="1" x="906"/>
        <item m="1" x="2167"/>
        <item m="1" x="940"/>
        <item m="1" x="554"/>
        <item m="1" x="978"/>
        <item m="1" x="1028"/>
        <item m="1" x="2299"/>
        <item m="1" x="1071"/>
        <item m="1" x="2355"/>
        <item m="1" x="1121"/>
        <item m="1" x="2460"/>
        <item m="1" x="1220"/>
        <item m="1" x="2505"/>
        <item m="1" x="1264"/>
        <item m="1" x="2555"/>
        <item m="1" x="1311"/>
        <item m="1" x="2665"/>
        <item m="1" x="1408"/>
        <item m="1" x="2714"/>
        <item m="1" x="1449"/>
        <item m="1" x="1548"/>
        <item m="1" x="408"/>
        <item m="1" x="980"/>
        <item m="1" x="2303"/>
        <item m="1" x="555"/>
        <item m="1" x="2358"/>
        <item m="1" x="1126"/>
        <item m="1" x="2411"/>
        <item m="1" x="1225"/>
        <item m="1" x="2509"/>
        <item m="1" x="1269"/>
        <item m="1" x="2562"/>
        <item m="1" x="1319"/>
        <item m="1" x="2617"/>
        <item m="1" x="2721"/>
        <item m="1" x="2770"/>
        <item m="1" x="1557"/>
        <item m="1" x="2873"/>
        <item m="1" x="1606"/>
        <item m="1" x="2915"/>
        <item m="1" x="409"/>
        <item m="1" x="2306"/>
        <item m="1" x="556"/>
        <item m="1" x="1127"/>
        <item m="1" x="2414"/>
        <item m="1" x="1182"/>
        <item m="1" x="2468"/>
        <item m="1" x="1228"/>
        <item m="1" x="1276"/>
        <item m="1" x="2565"/>
        <item m="1" x="1323"/>
        <item m="1" x="2625"/>
        <item m="1" x="1372"/>
        <item m="1" x="2731"/>
        <item m="1" x="1466"/>
        <item m="1" x="1511"/>
        <item m="1" x="2881"/>
        <item m="1" x="2924"/>
        <item m="1" x="2966"/>
        <item m="1" x="3003"/>
        <item m="1" x="410"/>
        <item m="1" x="2416"/>
        <item m="1" x="1184"/>
        <item m="1" x="2470"/>
        <item m="1" x="557"/>
        <item m="1" x="2517"/>
        <item m="1" x="1325"/>
        <item m="1" x="2629"/>
        <item m="1" x="1375"/>
        <item m="1" x="2684"/>
        <item m="1" x="2739"/>
        <item m="1" x="2782"/>
        <item m="1" x="1518"/>
        <item m="1" x="2834"/>
        <item m="1" x="1572"/>
        <item m="1" x="1664"/>
        <item m="1" x="2973"/>
        <item m="1" x="1699"/>
        <item m="1" x="3009"/>
        <item m="1" x="3090"/>
        <item m="1" x="1803"/>
        <item m="1" x="411"/>
        <item m="1" x="2520"/>
        <item m="1" x="1281"/>
        <item m="1" x="1326"/>
        <item m="1" x="2633"/>
        <item m="1" x="558"/>
        <item m="1" x="2688"/>
        <item m="1" x="1424"/>
        <item m="1" x="2741"/>
        <item m="1" x="2787"/>
        <item m="1" x="1523"/>
        <item m="1" x="1578"/>
        <item m="1" x="2891"/>
        <item m="1" x="1704"/>
        <item m="1" x="3016"/>
        <item m="1" x="1743"/>
        <item m="1" x="3058"/>
        <item m="1" x="1808"/>
        <item m="1" x="1836"/>
        <item m="1" x="631"/>
        <item m="1" x="412"/>
        <item m="1" x="2635"/>
        <item m="1" x="1380"/>
        <item m="1" x="2690"/>
        <item m="1" x="1426"/>
        <item m="1" x="2743"/>
        <item m="1" x="2791"/>
        <item m="1" x="559"/>
        <item m="1" x="2894"/>
        <item m="1" x="1627"/>
        <item m="1" x="2941"/>
        <item m="1" x="1671"/>
        <item m="1" x="3021"/>
        <item m="1" x="1748"/>
        <item m="1" x="3063"/>
        <item m="1" x="1779"/>
        <item m="1" x="1814"/>
        <item m="1" x="1840"/>
        <item m="1" x="634"/>
        <item m="1" x="658"/>
        <item m="1" x="1886"/>
        <item m="1" x="413"/>
        <item m="1" x="2745"/>
        <item m="1" x="1480"/>
        <item m="1" x="2793"/>
        <item m="1" x="1530"/>
        <item m="1" x="1586"/>
        <item m="1" x="560"/>
        <item m="1" x="1631"/>
        <item m="1" x="2944"/>
        <item m="1" x="1673"/>
        <item m="1" x="2983"/>
        <item m="1" x="3024"/>
        <item m="1" x="1750"/>
        <item m="1" x="3066"/>
        <item m="1" x="1784"/>
        <item m="1" x="3103"/>
        <item m="1" x="638"/>
        <item m="1" x="1870"/>
        <item m="1" x="92"/>
        <item m="1" x="709"/>
        <item m="1" x="1933"/>
        <item m="1" x="414"/>
        <item m="1" x="2848"/>
        <item m="1" x="1588"/>
        <item m="1" x="1634"/>
        <item m="1" x="2946"/>
        <item m="1" x="1676"/>
        <item m="1" x="561"/>
        <item m="1" x="3027"/>
        <item m="1" x="1785"/>
        <item m="1" x="3105"/>
        <item m="1" x="1818"/>
        <item m="1" x="3134"/>
        <item m="1" x="1846"/>
        <item m="1" x="1872"/>
        <item m="1" x="663"/>
        <item m="1" x="1888"/>
        <item m="1" x="682"/>
        <item m="1" x="93"/>
        <item m="1" x="761"/>
        <item m="1" x="2007"/>
        <item m="1" x="415"/>
        <item m="1" x="1896"/>
        <item m="1" x="689"/>
        <item m="1" x="1923"/>
        <item m="1" x="718"/>
        <item m="1" x="562"/>
        <item m="1" x="1992"/>
        <item m="1" x="776"/>
        <item m="1" x="2024"/>
        <item m="1" x="808"/>
        <item m="1" x="2054"/>
        <item m="1" x="836"/>
        <item m="1" x="2113"/>
        <item m="1" x="892"/>
        <item m="1" x="2152"/>
        <item m="1" x="2233"/>
        <item m="1" x="1005"/>
        <item m="1" x="1048"/>
        <item m="1" x="1099"/>
        <item m="1" x="2382"/>
        <item m="1" x="1151"/>
        <item m="1" x="416"/>
        <item m="1" x="1945"/>
        <item m="1" x="736"/>
        <item m="1" x="1968"/>
        <item m="1" x="563"/>
        <item m="1" x="2028"/>
        <item m="1" x="813"/>
        <item m="1" x="2057"/>
        <item m="1" x="865"/>
        <item m="1" x="2119"/>
        <item m="1" x="897"/>
        <item m="1" x="2158"/>
        <item m="1" x="932"/>
        <item m="1" x="2205"/>
        <item m="1" x="2241"/>
        <item m="1" x="1013"/>
        <item m="1" x="2284"/>
        <item m="1" x="1055"/>
        <item m="1" x="2339"/>
        <item m="1" x="94"/>
        <item m="1" x="2392"/>
        <item m="1" x="1159"/>
        <item m="1" x="2442"/>
        <item m="1" x="417"/>
        <item m="1" x="1999"/>
        <item m="1" x="564"/>
        <item m="1" x="2030"/>
        <item m="1" x="815"/>
        <item m="1" x="2087"/>
        <item m="1" x="936"/>
        <item m="1" x="2210"/>
        <item m="1" x="2249"/>
        <item m="1" x="1020"/>
        <item m="1" x="1063"/>
        <item m="1" x="2348"/>
        <item m="1" x="1114"/>
        <item m="1" x="2398"/>
        <item m="1" x="1165"/>
        <item m="1" x="2450"/>
        <item m="1" x="2492"/>
        <item m="1" x="2545"/>
        <item m="1" x="1301"/>
        <item m="1" x="2597"/>
        <item m="1" x="1348"/>
        <item m="1" x="418"/>
        <item m="1" x="2060"/>
        <item m="1" x="2089"/>
        <item m="1" x="869"/>
        <item m="1" x="565"/>
        <item m="1" x="905"/>
        <item m="1" x="2166"/>
        <item m="1" x="1027"/>
        <item m="1" x="183"/>
        <item m="1" x="1173"/>
        <item m="1" x="2458"/>
        <item m="1" x="1217"/>
        <item m="1" x="2501"/>
        <item m="1" x="1260"/>
        <item m="1" x="2605"/>
        <item m="1" x="1359"/>
        <item m="1" x="2662"/>
        <item m="1" x="95"/>
        <item m="1" x="419"/>
        <item m="1" x="2126"/>
        <item m="1" x="907"/>
        <item m="1" x="2168"/>
        <item m="1" x="566"/>
        <item m="1" x="2215"/>
        <item m="1" x="184"/>
        <item m="1" x="2559"/>
        <item m="1" x="2614"/>
        <item m="1" x="1364"/>
        <item m="1" x="2670"/>
        <item m="1" x="2717"/>
        <item m="1" x="1453"/>
        <item m="1" x="1553"/>
        <item m="1" x="420"/>
        <item m="1" x="2216"/>
        <item m="1" x="981"/>
        <item m="1" x="567"/>
        <item m="1" x="1076"/>
        <item m="1" x="2360"/>
        <item m="1" x="185"/>
        <item m="1" x="2677"/>
        <item m="1" x="1419"/>
        <item m="1" x="2727"/>
        <item m="1" x="1461"/>
        <item m="1" x="2823"/>
        <item m="1" x="1562"/>
        <item m="1" x="2877"/>
        <item m="1" x="96"/>
        <item m="1" x="2919"/>
        <item m="1" x="421"/>
        <item m="1" x="2307"/>
        <item m="1" x="1077"/>
        <item m="1" x="2361"/>
        <item m="1" x="1128"/>
        <item m="1" x="568"/>
        <item m="1" x="2515"/>
        <item m="1" x="1278"/>
        <item m="1" x="2568"/>
        <item m="1" x="186"/>
        <item m="1" x="2682"/>
        <item m="1" x="2735"/>
        <item m="1" x="2779"/>
        <item m="1" x="2883"/>
        <item m="1" x="1614"/>
        <item m="1" x="2930"/>
        <item m="1" x="1660"/>
        <item m="1" x="2969"/>
        <item m="1" x="1731"/>
        <item m="1" x="422"/>
        <item m="1" x="2417"/>
        <item m="1" x="1185"/>
        <item m="1" x="2471"/>
        <item m="1" x="1231"/>
        <item m="1" x="2519"/>
        <item m="1" x="569"/>
        <item m="1" x="2570"/>
        <item m="1" x="2631"/>
        <item m="1" x="1377"/>
        <item m="1" x="187"/>
        <item m="1" x="1473"/>
        <item m="1" x="2786"/>
        <item m="1" x="1520"/>
        <item m="1" x="2838"/>
        <item m="1" x="2976"/>
        <item m="1" x="1701"/>
        <item m="1" x="97"/>
        <item m="1" x="1806"/>
        <item m="1" x="423"/>
        <item m="1" x="1282"/>
        <item m="1" x="2572"/>
        <item m="1" x="1327"/>
        <item m="1" x="269"/>
        <item m="1" x="2689"/>
        <item m="1" x="2742"/>
        <item m="1" x="1477"/>
        <item m="1" x="2789"/>
        <item m="1" x="1526"/>
        <item m="1" x="188"/>
        <item m="1" x="1625"/>
        <item m="1" x="1706"/>
        <item m="1" x="1745"/>
        <item m="1" x="3061"/>
        <item m="1" x="1777"/>
        <item m="1" x="3098"/>
        <item m="1" x="424"/>
        <item m="1" x="1382"/>
        <item m="1" x="270"/>
        <item m="1" x="1427"/>
        <item m="1" x="570"/>
        <item m="1" x="1479"/>
        <item m="1" x="1529"/>
        <item m="1" x="2845"/>
        <item m="1" x="1584"/>
        <item m="1" x="189"/>
        <item m="1" x="1783"/>
        <item m="1" x="3130"/>
        <item m="1" x="1843"/>
        <item m="1" x="636"/>
        <item m="1" x="660"/>
        <item m="1" x="98"/>
        <item m="1" x="425"/>
        <item m="1" x="2746"/>
        <item m="1" x="1481"/>
        <item m="1" x="271"/>
        <item m="1" x="571"/>
        <item m="1" x="1633"/>
        <item m="1" x="2945"/>
        <item m="1" x="1675"/>
        <item m="1" x="2985"/>
        <item m="1" x="3026"/>
        <item m="1" x="190"/>
        <item m="1" x="3068"/>
        <item m="1" x="3104"/>
        <item m="1" x="1817"/>
        <item m="1" x="662"/>
        <item m="1" x="1916"/>
        <item m="1" x="726"/>
        <item m="1" x="426"/>
        <item m="1" x="2850"/>
        <item m="1" x="2897"/>
        <item m="1" x="331"/>
        <item m="1" x="572"/>
        <item m="1" x="1786"/>
        <item m="1" x="3106"/>
        <item m="1" x="191"/>
        <item m="1" x="3135"/>
        <item m="1" x="664"/>
        <item m="1" x="1889"/>
        <item m="1" x="99"/>
        <item m="1" x="1974"/>
        <item m="1" x="762"/>
        <item m="1" x="427"/>
        <item m="1" x="1897"/>
        <item m="1" x="690"/>
        <item m="1" x="1924"/>
        <item m="1" x="719"/>
        <item m="1" x="272"/>
        <item m="1" x="573"/>
        <item m="1" x="1994"/>
        <item m="1" x="778"/>
        <item m="1" x="2026"/>
        <item m="1" x="811"/>
        <item m="1" x="192"/>
        <item m="1" x="862"/>
        <item m="1" x="2116"/>
        <item m="1" x="2237"/>
        <item m="1" x="1008"/>
        <item m="1" x="2278"/>
        <item m="1" x="1052"/>
        <item m="1" x="428"/>
        <item m="1" x="1946"/>
        <item m="1" x="737"/>
        <item m="1" x="1997"/>
        <item x="0"/>
        <item m="1" x="574"/>
        <item m="1" x="193"/>
        <item m="1" x="2123"/>
        <item m="1" x="900"/>
        <item m="1" x="2162"/>
        <item m="1" x="2345"/>
        <item m="1" x="2447"/>
        <item m="1" x="429"/>
        <item m="1" x="816"/>
        <item m="1" x="2059"/>
        <item x="1"/>
        <item m="1" x="2088"/>
        <item m="1" x="868"/>
        <item m="1" x="904"/>
        <item m="1" x="194"/>
        <item m="1" x="1024"/>
        <item m="1" x="2294"/>
        <item m="1" x="2351"/>
        <item m="1" x="1169"/>
        <item m="1" x="1213"/>
        <item m="1" x="2496"/>
        <item m="1" x="1353"/>
        <item m="1" x="430"/>
        <item m="1" x="2061"/>
        <item m="1" x="100"/>
        <item m="1" x="2090"/>
        <item x="2"/>
        <item m="1" x="575"/>
        <item m="1" x="2254"/>
        <item m="1" x="195"/>
        <item m="1" x="1122"/>
        <item m="1" x="2556"/>
        <item m="1" x="1312"/>
        <item m="1" x="101"/>
        <item m="1" x="431"/>
        <item m="1" x="2127"/>
        <item m="1" x="908"/>
        <item m="1" x="2169"/>
        <item m="1" x="273"/>
        <item x="3"/>
        <item m="1" x="2304"/>
        <item m="1" x="1074"/>
        <item m="1" x="1180"/>
        <item m="1" x="196"/>
        <item m="1" x="1226"/>
        <item m="1" x="2674"/>
        <item m="1" x="1416"/>
        <item m="1" x="102"/>
        <item m="1" x="432"/>
        <item m="1" x="2256"/>
        <item m="1" x="274"/>
        <item x="4"/>
        <item m="1" x="2415"/>
        <item m="1" x="197"/>
        <item m="1" x="2626"/>
        <item m="1" x="1512"/>
        <item m="1" x="103"/>
        <item m="1" x="433"/>
        <item m="1" x="2308"/>
        <item m="1" x="1078"/>
        <item m="1" x="275"/>
        <item m="1" x="576"/>
        <item x="5"/>
        <item m="1" x="1230"/>
        <item m="1" x="198"/>
        <item m="1" x="2630"/>
        <item m="1" x="2835"/>
        <item m="1" x="104"/>
        <item m="1" x="1700"/>
        <item m="1" x="1735"/>
        <item m="1" x="434"/>
        <item m="1" x="2418"/>
        <item m="1" x="276"/>
        <item m="1" x="577"/>
        <item x="6"/>
        <item m="1" x="2571"/>
        <item m="1" x="199"/>
        <item m="1" x="1476"/>
        <item m="1" x="1668"/>
        <item m="1" x="105"/>
        <item m="1" x="435"/>
        <item m="1" x="2521"/>
        <item m="1" x="1283"/>
        <item x="7"/>
        <item m="1" x="578"/>
        <item m="1" x="1381"/>
        <item m="1" x="2744"/>
        <item m="1" x="200"/>
        <item m="1" x="1582"/>
        <item m="1" x="1628"/>
        <item m="1" x="1780"/>
        <item m="1" x="106"/>
        <item m="1" x="436"/>
        <item m="1" x="579"/>
        <item x="8"/>
        <item m="1" x="2794"/>
        <item m="1" x="1531"/>
        <item m="1" x="201"/>
        <item m="1" x="1674"/>
        <item m="1" x="2984"/>
        <item m="1" x="1816"/>
        <item m="1" x="107"/>
        <item m="1" x="437"/>
        <item m="1" x="580"/>
        <item m="1" x="1532"/>
        <item m="1" x="2849"/>
        <item x="9"/>
        <item m="1" x="1635"/>
        <item m="1" x="2947"/>
        <item m="1" x="202"/>
        <item m="1" x="1752"/>
        <item m="1" x="1847"/>
        <item m="1" x="108"/>
        <item m="1" x="438"/>
        <item m="1" x="581"/>
        <item m="1" x="1589"/>
        <item m="1" x="277"/>
        <item x="10"/>
        <item m="1" x="2948"/>
        <item m="1" x="3069"/>
        <item m="1" x="203"/>
        <item m="1" x="640"/>
        <item m="1" x="727"/>
        <item m="1" x="109"/>
        <item m="1" x="439"/>
        <item m="1" x="1898"/>
        <item m="1" x="691"/>
        <item m="1" x="278"/>
        <item x="11"/>
        <item m="1" x="1995"/>
        <item m="1" x="204"/>
        <item m="1" x="842"/>
        <item m="1" x="2084"/>
        <item m="1" x="2242"/>
        <item m="1" x="1014"/>
        <item m="1" x="110"/>
        <item m="1" x="582"/>
        <item m="1" x="440"/>
        <item m="1" x="1969"/>
        <item x="12"/>
        <item m="1" x="279"/>
        <item m="1" x="844"/>
        <item m="1" x="205"/>
        <item m="1" x="937"/>
        <item m="1" x="111"/>
        <item m="1" x="1115"/>
        <item m="1" x="2399"/>
        <item m="1" x="441"/>
        <item m="1" x="583"/>
        <item m="1" x="2031"/>
        <item m="1" x="817"/>
        <item x="13"/>
        <item m="1" x="280"/>
        <item m="1" x="206"/>
        <item m="1" x="1069"/>
        <item m="1" x="112"/>
        <item m="1" x="2502"/>
        <item m="1" x="1307"/>
        <item m="1" x="584"/>
        <item m="1" x="442"/>
        <item x="14"/>
        <item m="1" x="281"/>
        <item m="1" x="870"/>
        <item m="1" x="207"/>
        <item m="1" x="113"/>
        <item m="1" x="1317"/>
        <item m="1" x="1413"/>
        <item m="1" x="443"/>
        <item m="1" x="909"/>
        <item x="15"/>
        <item m="1" x="282"/>
        <item m="1" x="982"/>
        <item m="1" x="208"/>
        <item m="1" x="1273"/>
        <item m="1" x="114"/>
        <item m="1" x="1462"/>
        <item m="1" x="444"/>
        <item m="1" x="585"/>
        <item m="1" x="983"/>
        <item x="16"/>
        <item m="1" x="209"/>
        <item m="1" x="115"/>
        <item m="1" x="2830"/>
        <item m="1" x="445"/>
        <item m="1" x="283"/>
        <item x="17"/>
        <item m="1" x="2362"/>
        <item m="1" x="210"/>
        <item m="1" x="116"/>
        <item m="1" x="1622"/>
        <item m="1" x="586"/>
        <item m="1" x="446"/>
        <item m="1" x="2419"/>
        <item x="18"/>
        <item m="1" x="284"/>
        <item m="1" x="211"/>
        <item m="1" x="117"/>
        <item m="1" x="3019"/>
        <item m="1" x="447"/>
        <item m="1" x="2522"/>
        <item x="19"/>
        <item m="1" x="285"/>
        <item m="1" x="212"/>
        <item m="1" x="118"/>
        <item m="1" x="587"/>
        <item m="1" x="448"/>
        <item m="1" x="2636"/>
        <item x="20"/>
        <item m="1" x="286"/>
        <item m="1" x="213"/>
        <item m="1" x="119"/>
        <item m="1" x="3133"/>
        <item m="1" x="449"/>
        <item m="1" x="588"/>
        <item x="21"/>
        <item m="1" x="2851"/>
        <item m="1" x="214"/>
        <item m="1" x="120"/>
        <item m="1" x="1917"/>
        <item m="1" x="450"/>
        <item m="1" x="2852"/>
        <item x="22"/>
        <item m="1" x="2898"/>
        <item m="1" x="287"/>
        <item m="1" x="215"/>
        <item m="1" x="712"/>
        <item m="1" x="121"/>
        <item m="1" x="451"/>
        <item m="1" x="589"/>
        <item m="1" x="692"/>
        <item x="23"/>
        <item m="1" x="288"/>
        <item m="1" x="1998"/>
        <item m="1" x="781"/>
        <item m="1" x="216"/>
        <item m="1" x="122"/>
        <item m="1" x="452"/>
        <item m="1" x="590"/>
        <item x="24"/>
        <item m="1" x="289"/>
        <item m="1" x="217"/>
        <item m="1" x="123"/>
        <item m="1" x="453"/>
        <item x="25"/>
        <item m="1" x="290"/>
        <item m="1" x="218"/>
        <item m="1" x="124"/>
        <item m="1" x="454"/>
        <item m="1" x="2062"/>
        <item x="26"/>
        <item m="1" x="291"/>
        <item m="1" x="219"/>
        <item m="1" x="125"/>
        <item m="1" x="455"/>
        <item m="1" x="591"/>
        <item m="1" x="2170"/>
        <item x="27"/>
        <item m="1" x="292"/>
        <item m="1" x="220"/>
        <item m="1" x="126"/>
        <item m="1" x="1566"/>
        <item m="1" x="456"/>
        <item x="28"/>
        <item m="1" x="293"/>
        <item m="1" x="221"/>
        <item m="1" x="127"/>
        <item m="1" x="457"/>
        <item x="29"/>
        <item m="1" x="222"/>
        <item m="1" x="128"/>
        <item m="1" x="458"/>
        <item m="1" x="2420"/>
        <item m="1" x="592"/>
        <item x="30"/>
        <item m="1" x="223"/>
        <item m="1" x="129"/>
        <item m="1" x="459"/>
        <item x="31"/>
        <item m="1" x="294"/>
        <item m="1" x="224"/>
        <item m="1" x="130"/>
        <item m="1" x="593"/>
        <item m="1" x="460"/>
        <item x="32"/>
        <item m="1" x="295"/>
        <item m="1" x="225"/>
        <item m="1" x="131"/>
        <item m="1" x="461"/>
        <item m="1" x="2747"/>
        <item m="1" x="296"/>
        <item x="33"/>
        <item m="1" x="226"/>
        <item m="1" x="132"/>
        <item m="1" x="1891"/>
        <item m="1" x="594"/>
        <item m="1" x="462"/>
        <item x="34"/>
        <item m="1" x="1894"/>
        <item m="1" x="227"/>
        <item m="1" x="133"/>
        <item m="1" x="463"/>
        <item m="1" x="595"/>
        <item x="35"/>
        <item m="1" x="228"/>
        <item m="1" x="2289"/>
        <item m="1" x="134"/>
        <item m="1" x="464"/>
        <item m="1" x="1947"/>
        <item x="36"/>
        <item m="1" x="135"/>
        <item m="1" x="229"/>
        <item m="1" x="465"/>
        <item m="1" x="596"/>
        <item m="1" x="782"/>
        <item x="37"/>
        <item m="1" x="230"/>
        <item m="1" x="136"/>
        <item m="1" x="466"/>
        <item m="1" x="597"/>
        <item m="1" x="910"/>
        <item x="38"/>
        <item m="1" x="297"/>
        <item m="1" x="231"/>
        <item m="1" x="137"/>
        <item m="1" x="467"/>
        <item m="1" x="598"/>
        <item x="39"/>
        <item m="1" x="232"/>
        <item m="1" x="138"/>
        <item x="40"/>
        <item m="1" x="298"/>
        <item m="1" x="299"/>
        <item m="1" x="233"/>
        <item m="1" x="139"/>
        <item m="1" x="468"/>
        <item x="41"/>
        <item m="1" x="234"/>
        <item m="1" x="140"/>
        <item m="1" x="469"/>
        <item m="1" x="599"/>
        <item m="1" x="300"/>
        <item x="42"/>
        <item m="1" x="235"/>
        <item m="1" x="141"/>
        <item m="1" x="470"/>
        <item m="1" x="301"/>
        <item x="43"/>
        <item m="1" x="236"/>
        <item m="1" x="142"/>
        <item m="1" x="600"/>
        <item m="1" x="471"/>
        <item m="1" x="302"/>
        <item x="44"/>
        <item m="1" x="237"/>
        <item m="1" x="472"/>
        <item m="1" x="332"/>
        <item x="45"/>
        <item m="1" x="238"/>
        <item m="1" x="473"/>
        <item m="1" x="143"/>
        <item x="46"/>
        <item m="1" x="333"/>
        <item m="1" x="239"/>
        <item m="1" x="144"/>
        <item x="47"/>
        <item m="1" x="601"/>
        <item m="1" x="334"/>
        <item m="1" x="938"/>
        <item m="1" x="240"/>
        <item m="1" x="145"/>
        <item x="48"/>
        <item m="1" x="335"/>
        <item m="1" x="1948"/>
        <item m="1" x="941"/>
        <item m="1" x="146"/>
        <item x="49"/>
        <item m="1" x="474"/>
        <item m="1" x="2000"/>
        <item x="50"/>
        <item m="1" x="147"/>
        <item m="1" x="241"/>
        <item m="1" x="303"/>
        <item x="51"/>
        <item m="1" x="500"/>
        <item m="1" x="242"/>
        <item m="1" x="148"/>
        <item m="1" x="475"/>
        <item m="1" x="336"/>
        <item x="52"/>
        <item m="1" x="942"/>
        <item m="1" x="476"/>
        <item m="1" x="149"/>
        <item x="53"/>
        <item m="1" x="602"/>
        <item m="1" x="304"/>
        <item m="1" x="243"/>
        <item m="1" x="150"/>
        <item m="1" x="603"/>
        <item m="1" x="305"/>
        <item x="54"/>
        <item m="1" x="1129"/>
        <item m="1" x="477"/>
        <item m="1" x="244"/>
        <item m="1" x="151"/>
        <item x="55"/>
        <item m="1" x="337"/>
        <item m="1" x="1186"/>
        <item x="56"/>
        <item m="1" x="604"/>
        <item m="1" x="306"/>
        <item m="1" x="1328"/>
        <item m="1" x="245"/>
        <item m="1" x="152"/>
        <item x="57"/>
        <item m="1" x="307"/>
        <item m="1" x="2637"/>
        <item m="1" x="605"/>
        <item m="1" x="153"/>
        <item m="1" x="246"/>
        <item x="58"/>
        <item m="1" x="478"/>
        <item m="1" x="1482"/>
        <item m="1" x="338"/>
        <item m="1" x="339"/>
        <item m="1" x="247"/>
        <item m="1" x="154"/>
        <item m="1" x="606"/>
        <item m="1" x="479"/>
        <item m="1" x="1590"/>
        <item m="1" x="340"/>
        <item x="59"/>
        <item m="1" x="155"/>
        <item m="1" x="248"/>
        <item m="1" x="480"/>
        <item m="1" x="693"/>
        <item m="1" x="341"/>
        <item m="1" x="619"/>
        <item m="1" x="156"/>
        <item m="1" x="607"/>
        <item m="1" x="481"/>
        <item m="1" x="342"/>
        <item x="60"/>
        <item m="1" x="249"/>
        <item m="1" x="157"/>
        <item m="1" x="308"/>
        <item m="1" x="783"/>
        <item x="61"/>
        <item m="1" x="158"/>
        <item m="1" x="250"/>
        <item m="1" x="309"/>
        <item m="1" x="608"/>
        <item x="62"/>
        <item m="1" x="251"/>
        <item m="1" x="159"/>
        <item m="1" x="609"/>
        <item m="1" x="343"/>
        <item x="63"/>
        <item m="1" x="160"/>
        <item m="1" x="252"/>
        <item m="1" x="610"/>
        <item m="1" x="482"/>
        <item m="1" x="344"/>
        <item x="64"/>
        <item x="65"/>
        <item m="1" x="310"/>
        <item m="1" x="611"/>
        <item m="1" x="253"/>
        <item m="1" x="161"/>
        <item m="1" x="345"/>
        <item m="1" x="483"/>
        <item m="1" x="162"/>
        <item x="66"/>
        <item m="1" x="254"/>
        <item m="1" x="612"/>
        <item m="1" x="484"/>
        <item m="1" x="346"/>
        <item x="67"/>
        <item m="1" x="255"/>
        <item m="1" x="163"/>
        <item m="1" x="613"/>
        <item m="1" x="347"/>
        <item x="68"/>
        <item m="1" x="256"/>
        <item m="1" x="485"/>
        <item m="1" x="614"/>
        <item m="1" x="311"/>
        <item m="1" x="164"/>
        <item m="1" x="257"/>
        <item x="69"/>
        <item m="1" x="615"/>
        <item m="1" x="486"/>
        <item m="1" x="312"/>
        <item x="70"/>
        <item m="1" x="165"/>
        <item m="1" x="616"/>
        <item m="1" x="487"/>
        <item m="1" x="313"/>
        <item m="1" x="166"/>
        <item x="71"/>
        <item m="1" x="258"/>
        <item m="1" x="617"/>
        <item m="1" x="488"/>
        <item m="1" x="314"/>
        <item m="1" x="259"/>
        <item x="72"/>
        <item m="1" x="167"/>
        <item m="1" x="618"/>
        <item m="1" x="489"/>
        <item m="1" x="315"/>
        <item x="73"/>
        <item m="1" x="168"/>
        <item m="1" x="501"/>
        <item m="1" x="490"/>
        <item m="1" x="316"/>
        <item x="74"/>
        <item m="1" x="169"/>
        <item m="1" x="491"/>
        <item m="1" x="317"/>
        <item m="1" x="170"/>
        <item m="1" x="260"/>
        <item x="75"/>
        <item m="1" x="492"/>
        <item m="1" x="318"/>
        <item m="1" x="171"/>
        <item m="1" x="493"/>
        <item m="1" x="319"/>
        <item x="76"/>
        <item m="1" x="261"/>
        <item m="1" x="172"/>
        <item m="1" x="320"/>
        <item m="1" x="321"/>
        <item m="1" x="173"/>
        <item m="1" x="322"/>
        <item m="1" x="494"/>
        <item x="77"/>
        <item m="1" x="174"/>
        <item m="1" x="262"/>
        <item m="1" x="323"/>
        <item m="1" x="495"/>
        <item x="78"/>
        <item m="1" x="175"/>
        <item m="1" x="324"/>
        <item m="1" x="496"/>
        <item m="1" x="263"/>
        <item x="79"/>
        <item m="1" x="176"/>
        <item m="1" x="325"/>
        <item m="1" x="264"/>
        <item m="1" x="497"/>
        <item x="80"/>
        <item m="1" x="177"/>
        <item m="1" x="326"/>
        <item m="1" x="265"/>
        <item m="1" x="498"/>
        <item m="1" x="327"/>
        <item x="81"/>
        <item m="1" x="178"/>
        <item m="1" x="499"/>
        <item m="1" x="266"/>
        <item m="1" x="328"/>
        <item x="82"/>
        <item m="1" x="179"/>
        <item m="1" x="329"/>
        <item m="1" x="330"/>
        <item m="1" x="267"/>
        <item x="83"/>
        <item m="1" x="180"/>
        <item m="1" x="181"/>
        <item m="1" x="268"/>
        <item x="84"/>
        <item m="1" x="182"/>
        <item x="85"/>
        <item x="86"/>
        <item x="87"/>
        <item x="88"/>
        <item x="89"/>
        <item t="default"/>
      </items>
    </pivotField>
    <pivotField showAll="0"/>
    <pivotField dataField="1" showAll="0"/>
    <pivotField showAll="0"/>
    <pivotField dataField="1" showAll="0"/>
    <pivotField showAll="0" defaultSubtotal="0"/>
    <pivotField showAll="0" defaultSubtotal="0"/>
    <pivotField dataField="1" showAll="0" defaultSubtotal="0"/>
    <pivotField showAll="0" defaultSubtotal="0"/>
    <pivotField showAll="0" defaultSubtotal="0"/>
    <pivotField axis="axisPage" multipleItemSelectionAllowed="1" showAll="0" includeNewItemsInFilter="1" defaultSubtotal="0">
      <items count="24">
        <item m="1" x="18"/>
        <item m="1" x="21"/>
        <item m="1" x="17"/>
        <item h="1" m="1" x="20"/>
        <item h="1" m="1" x="23"/>
        <item h="1" m="1" x="12"/>
        <item h="1" m="1" x="13"/>
        <item h="1" m="1" x="14"/>
        <item h="1" m="1" x="15"/>
        <item m="1" x="16"/>
        <item m="1" x="10"/>
        <item m="1" x="9"/>
        <item h="1" m="1" x="22"/>
        <item m="1" x="11"/>
        <item m="1" x="19"/>
        <item x="0"/>
        <item x="1"/>
        <item x="2"/>
        <item x="3"/>
        <item x="4"/>
        <item x="5"/>
        <item x="6"/>
        <item x="7"/>
        <item x="8"/>
      </items>
    </pivotField>
    <pivotField axis="axisPage" multipleItemSelectionAllowed="1" showAll="0" defaultSubtotal="0">
      <items count="25">
        <item m="1" x="17"/>
        <item m="1" x="14"/>
        <item m="1" x="18"/>
        <item m="1" x="23"/>
        <item m="1" x="13"/>
        <item m="1" x="15"/>
        <item m="1" x="16"/>
        <item m="1" x="19"/>
        <item m="1" x="20"/>
        <item m="1" x="21"/>
        <item m="1" x="22"/>
        <item m="1" x="24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</items>
    </pivotField>
    <pivotField showAll="0" defaultSubtotal="0"/>
  </pivotFields>
  <rowFields count="1">
    <field x="3"/>
  </rowFields>
  <rowItems count="91">
    <i>
      <x/>
    </i>
    <i>
      <x v="2559"/>
    </i>
    <i>
      <x v="2570"/>
    </i>
    <i>
      <x v="2586"/>
    </i>
    <i>
      <x v="2599"/>
    </i>
    <i>
      <x v="2611"/>
    </i>
    <i>
      <x v="2622"/>
    </i>
    <i>
      <x v="2634"/>
    </i>
    <i>
      <x v="2643"/>
    </i>
    <i>
      <x v="2654"/>
    </i>
    <i>
      <x v="2666"/>
    </i>
    <i>
      <x v="2677"/>
    </i>
    <i>
      <x v="2688"/>
    </i>
    <i>
      <x v="2699"/>
    </i>
    <i>
      <x v="2711"/>
    </i>
    <i>
      <x v="2720"/>
    </i>
    <i>
      <x v="2729"/>
    </i>
    <i>
      <x v="2739"/>
    </i>
    <i>
      <x v="2745"/>
    </i>
    <i>
      <x v="2753"/>
    </i>
    <i>
      <x v="2760"/>
    </i>
    <i>
      <x v="2767"/>
    </i>
    <i>
      <x v="2774"/>
    </i>
    <i>
      <x v="2781"/>
    </i>
    <i>
      <x v="2790"/>
    </i>
    <i>
      <x v="2798"/>
    </i>
    <i>
      <x v="2803"/>
    </i>
    <i>
      <x v="2809"/>
    </i>
    <i>
      <x v="2816"/>
    </i>
    <i>
      <x v="2822"/>
    </i>
    <i>
      <x v="2827"/>
    </i>
    <i>
      <x v="2833"/>
    </i>
    <i>
      <x v="2837"/>
    </i>
    <i>
      <x v="2843"/>
    </i>
    <i>
      <x v="2850"/>
    </i>
    <i>
      <x v="2856"/>
    </i>
    <i>
      <x v="2862"/>
    </i>
    <i>
      <x v="2868"/>
    </i>
    <i>
      <x v="2874"/>
    </i>
    <i>
      <x v="2880"/>
    </i>
    <i>
      <x v="2886"/>
    </i>
    <i>
      <x v="2889"/>
    </i>
    <i>
      <x v="2895"/>
    </i>
    <i>
      <x v="2901"/>
    </i>
    <i>
      <x v="2906"/>
    </i>
    <i>
      <x v="2912"/>
    </i>
    <i>
      <x v="2916"/>
    </i>
    <i>
      <x v="2920"/>
    </i>
    <i>
      <x v="2924"/>
    </i>
    <i>
      <x v="2930"/>
    </i>
    <i>
      <x v="2935"/>
    </i>
    <i>
      <x v="2938"/>
    </i>
    <i>
      <x v="2942"/>
    </i>
    <i>
      <x v="2948"/>
    </i>
    <i>
      <x v="2952"/>
    </i>
    <i>
      <x v="2959"/>
    </i>
    <i>
      <x v="2964"/>
    </i>
    <i>
      <x v="2967"/>
    </i>
    <i>
      <x v="2973"/>
    </i>
    <i>
      <x v="2979"/>
    </i>
    <i>
      <x v="2990"/>
    </i>
    <i>
      <x v="3001"/>
    </i>
    <i>
      <x v="3006"/>
    </i>
    <i>
      <x v="3011"/>
    </i>
    <i>
      <x v="3016"/>
    </i>
    <i>
      <x v="3022"/>
    </i>
    <i>
      <x v="3023"/>
    </i>
    <i>
      <x v="3031"/>
    </i>
    <i>
      <x v="3036"/>
    </i>
    <i>
      <x v="3041"/>
    </i>
    <i>
      <x v="3048"/>
    </i>
    <i>
      <x v="3052"/>
    </i>
    <i>
      <x v="3058"/>
    </i>
    <i>
      <x v="3064"/>
    </i>
    <i>
      <x v="3069"/>
    </i>
    <i>
      <x v="3074"/>
    </i>
    <i>
      <x v="3080"/>
    </i>
    <i>
      <x v="3086"/>
    </i>
    <i>
      <x v="3094"/>
    </i>
    <i>
      <x v="3099"/>
    </i>
    <i>
      <x v="3104"/>
    </i>
    <i>
      <x v="3109"/>
    </i>
    <i>
      <x v="3115"/>
    </i>
    <i>
      <x v="3120"/>
    </i>
    <i>
      <x v="3125"/>
    </i>
    <i>
      <x v="3129"/>
    </i>
    <i>
      <x v="3131"/>
    </i>
    <i>
      <x v="3132"/>
    </i>
    <i>
      <x v="3133"/>
    </i>
    <i>
      <x v="3134"/>
    </i>
    <i>
      <x v="3135"/>
    </i>
  </rowItems>
  <colFields count="1">
    <field x="-2"/>
  </colFields>
  <colItems count="3">
    <i>
      <x/>
    </i>
    <i i="1">
      <x v="1"/>
    </i>
    <i i="2">
      <x v="2"/>
    </i>
  </colItems>
  <pageFields count="2">
    <pageField fld="13" hier="-1"/>
    <pageField fld="14" hier="-1"/>
  </pageFields>
  <dataFields count="3">
    <dataField name="Suma de Promedio Activa" fld="5" baseField="0" baseItem="0"/>
    <dataField name="Suma de Promedio Reactiva" fld="7" baseField="3" baseItem="0"/>
    <dataField name="Suma de Maxímetro" fld="10" baseField="3" baseItem="0"/>
  </dataFields>
  <formats count="8">
    <format dxfId="194">
      <pivotArea type="all" dataOnly="0" outline="0" fieldPosition="0"/>
    </format>
    <format dxfId="193">
      <pivotArea type="all" dataOnly="0" outline="0" fieldPosition="0"/>
    </format>
    <format dxfId="192">
      <pivotArea field="3" type="button" dataOnly="0" labelOnly="1" outline="0" axis="axisRow" fieldPosition="0"/>
    </format>
    <format dxfId="191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90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189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88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87">
      <pivotArea outline="0" fieldPosition="0">
        <references count="1">
          <reference field="4294967294" count="1">
            <x v="0"/>
          </reference>
        </references>
      </pivotArea>
    </format>
  </formats>
  <chartFormats count="13">
    <chartFormat chart="12" format="6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1" format="7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71">
      <pivotArea type="data" outline="0" fieldPosition="0">
        <references count="2">
          <reference field="4294967294" count="1" selected="0">
            <x v="0"/>
          </reference>
          <reference field="3" count="1" selected="0">
            <x v="1549"/>
          </reference>
        </references>
      </pivotArea>
    </chartFormat>
    <chartFormat chart="21" format="75">
      <pivotArea type="data" outline="0" fieldPosition="0">
        <references count="2">
          <reference field="4294967294" count="1" selected="0">
            <x v="0"/>
          </reference>
          <reference field="3" count="1" selected="0">
            <x v="1146"/>
          </reference>
        </references>
      </pivotArea>
    </chartFormat>
    <chartFormat chart="5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2" format="3">
      <pivotArea type="data" outline="0" fieldPosition="0">
        <references count="2">
          <reference field="4294967294" count="1" selected="0">
            <x v="0"/>
          </reference>
          <reference field="3" count="1" selected="0">
            <x v="2433"/>
          </reference>
        </references>
      </pivotArea>
    </chartFormat>
    <chartFormat chart="62" format="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2" format="7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1" format="7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62" format="5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2" format="75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1" format="77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2000000}" name="Tabla dinámica3" cacheId="3" applyNumberFormats="0" applyBorderFormats="0" applyFontFormats="0" applyPatternFormats="0" applyAlignmentFormats="0" applyWidthHeightFormats="1" dataCaption="Valores" updatedVersion="8" minRefreshableVersion="3" showCalcMbrs="0" useAutoFormatting="1" rowGrandTotals="0" colGrandTotals="0" itemPrintTitles="1" createdVersion="3" indent="0" outline="1" outlineData="1" multipleFieldFilters="0" chartFormat="30">
  <location ref="E54:H145" firstHeaderRow="1" firstDataRow="2" firstDataCol="1" rowPageCount="2" colPageCount="1"/>
  <pivotFields count="28">
    <pivotField showAll="0"/>
    <pivotField showAll="0"/>
    <pivotField showAll="0"/>
    <pivotField axis="axisRow" showAll="0" sortType="ascending">
      <items count="1179">
        <item x="90"/>
        <item m="1" x="91"/>
        <item m="1" x="941"/>
        <item m="1" x="956"/>
        <item m="1" x="740"/>
        <item m="1" x="791"/>
        <item m="1" x="1017"/>
        <item m="1" x="1042"/>
        <item m="1" x="1069"/>
        <item m="1" x="857"/>
        <item m="1" x="1084"/>
        <item m="1" x="806"/>
        <item m="1" x="1123"/>
        <item m="1" x="864"/>
        <item m="1" x="1166"/>
        <item m="1" x="898"/>
        <item m="1" x="641"/>
        <item m="1" x="971"/>
        <item m="1" x="680"/>
        <item m="1" x="1016"/>
        <item m="1" x="726"/>
        <item m="1" x="1006"/>
        <item m="1" x="1030"/>
        <item m="1" x="1032"/>
        <item m="1" x="804"/>
        <item m="1" x="975"/>
        <item m="1" x="753"/>
        <item m="1" x="792"/>
        <item m="1" x="978"/>
        <item m="1" x="766"/>
        <item m="1" x="1106"/>
        <item m="1" x="844"/>
        <item m="1" x="1097"/>
        <item m="1" x="822"/>
        <item m="1" x="1109"/>
        <item m="1" x="870"/>
        <item m="1" x="758"/>
        <item m="1" x="846"/>
        <item m="1" x="1174"/>
        <item m="1" x="1158"/>
        <item m="1" x="623"/>
        <item m="1" x="1112"/>
        <item m="1" x="882"/>
        <item m="1" x="909"/>
        <item m="1" x="903"/>
        <item m="1" x="929"/>
        <item m="1" x="938"/>
        <item m="1" x="671"/>
        <item m="1" x="1029"/>
        <item m="1" x="688"/>
        <item m="1" x="700"/>
        <item m="1" x="741"/>
        <item m="1" x="701"/>
        <item m="1" x="1018"/>
        <item m="1" x="742"/>
        <item m="1" x="1009"/>
        <item m="1" x="778"/>
        <item m="1" x="682"/>
        <item m="1" x="697"/>
        <item m="1" x="1033"/>
        <item m="1" x="755"/>
        <item m="1" x="793"/>
        <item m="1" x="805"/>
        <item m="1" x="502"/>
        <item m="1" x="1058"/>
        <item m="1" x="820"/>
        <item m="1" x="845"/>
        <item m="1" x="1133"/>
        <item m="1" x="348"/>
        <item m="1" x="999"/>
        <item m="1" x="503"/>
        <item m="1" x="807"/>
        <item m="1" x="1098"/>
        <item m="1" x="1107"/>
        <item m="1" x="858"/>
        <item m="1" x="1149"/>
        <item m="1" x="349"/>
        <item m="1" x="734"/>
        <item m="1" x="504"/>
        <item m="1" x="833"/>
        <item m="1" x="1150"/>
        <item m="1" x="350"/>
        <item m="1" x="1038"/>
        <item m="1" x="759"/>
        <item m="1" x="505"/>
        <item m="1" x="1145"/>
        <item m="1" x="865"/>
        <item m="1" x="879"/>
        <item m="1" x="351"/>
        <item m="1" x="1079"/>
        <item m="1" x="800"/>
        <item m="1" x="506"/>
        <item m="1" x="1159"/>
        <item m="1" x="897"/>
        <item m="1" x="624"/>
        <item m="1" x="352"/>
        <item m="1" x="1101"/>
        <item m="1" x="507"/>
        <item m="1" x="1169"/>
        <item m="1" x="883"/>
        <item m="1" x="625"/>
        <item m="1" x="922"/>
        <item m="1" x="353"/>
        <item m="1" x="508"/>
        <item m="1" x="892"/>
        <item m="1" x="626"/>
        <item m="1" x="644"/>
        <item m="1" x="650"/>
        <item m="1" x="939"/>
        <item m="1" x="354"/>
        <item m="1" x="917"/>
        <item m="1" x="509"/>
        <item m="1" x="984"/>
        <item m="1" x="1005"/>
        <item m="1" x="727"/>
        <item m="1" x="355"/>
        <item m="1" x="930"/>
        <item m="1" x="510"/>
        <item m="1" x="972"/>
        <item m="1" x="716"/>
        <item m="1" x="356"/>
        <item m="1" x="932"/>
        <item m="1" x="946"/>
        <item m="1" x="511"/>
        <item m="1" x="1008"/>
        <item m="1" x="718"/>
        <item m="1" x="1041"/>
        <item m="1" x="1055"/>
        <item m="1" x="357"/>
        <item m="1" x="948"/>
        <item m="1" x="512"/>
        <item m="1" x="729"/>
        <item m="1" x="743"/>
        <item m="1" x="779"/>
        <item m="1" x="1068"/>
        <item m="1" x="358"/>
        <item m="1" x="959"/>
        <item m="1" x="964"/>
        <item m="1" x="513"/>
        <item m="1" x="1035"/>
        <item m="1" x="756"/>
        <item m="1" x="1083"/>
        <item m="1" x="359"/>
        <item m="1" x="706"/>
        <item m="1" x="514"/>
        <item m="1" x="1045"/>
        <item m="1" x="1071"/>
        <item m="1" x="832"/>
        <item m="1" x="1121"/>
        <item m="1" x="1134"/>
        <item m="1" x="360"/>
        <item m="1" x="1000"/>
        <item m="1" x="515"/>
        <item m="1" x="1087"/>
        <item m="1" x="1122"/>
        <item m="1" x="859"/>
        <item m="1" x="1144"/>
        <item m="1" x="361"/>
        <item m="1" x="516"/>
        <item m="1" x="1110"/>
        <item m="1" x="847"/>
        <item m="1" x="1157"/>
        <item m="1" x="1165"/>
        <item m="1" x="362"/>
        <item m="1" x="761"/>
        <item m="1" x="772"/>
        <item m="1" x="517"/>
        <item m="1" x="860"/>
        <item m="1" x="866"/>
        <item m="1" x="881"/>
        <item m="1" x="890"/>
        <item m="1" x="363"/>
        <item m="1" x="786"/>
        <item m="1" x="871"/>
        <item m="1" x="620"/>
        <item m="1" x="910"/>
        <item m="1" x="364"/>
        <item m="1" x="826"/>
        <item m="1" x="1114"/>
        <item m="1" x="518"/>
        <item m="1" x="891"/>
        <item m="1" x="637"/>
        <item m="1" x="365"/>
        <item m="1" x="1129"/>
        <item m="1" x="886"/>
        <item m="1" x="900"/>
        <item m="1" x="925"/>
        <item m="1" x="366"/>
        <item m="1" x="918"/>
        <item m="1" x="519"/>
        <item m="1" x="957"/>
        <item m="1" x="672"/>
        <item m="1" x="994"/>
        <item m="1" x="715"/>
        <item m="1" x="367"/>
        <item m="1" x="961"/>
        <item m="1" x="985"/>
        <item m="1" x="1019"/>
        <item m="1" x="728"/>
        <item m="1" x="368"/>
        <item m="1" x="657"/>
        <item m="1" x="665"/>
        <item m="1" x="520"/>
        <item m="1" x="1010"/>
        <item m="1" x="752"/>
        <item m="1" x="369"/>
        <item m="1" x="952"/>
        <item m="1" x="730"/>
        <item m="1" x="1056"/>
        <item m="1" x="1082"/>
        <item m="1" x="370"/>
        <item m="1" x="674"/>
        <item m="1" x="521"/>
        <item m="1" x="744"/>
        <item m="1" x="1059"/>
        <item m="1" x="1096"/>
        <item m="1" x="821"/>
        <item m="1" x="371"/>
        <item m="1" x="991"/>
        <item m="1" x="781"/>
        <item m="1" x="1108"/>
        <item m="1" x="372"/>
        <item m="1" x="1002"/>
        <item m="1" x="708"/>
        <item m="1" x="522"/>
        <item m="1" x="1075"/>
        <item m="1" x="809"/>
        <item m="1" x="1135"/>
        <item m="1" x="373"/>
        <item m="1" x="735"/>
        <item m="1" x="523"/>
        <item m="1" x="835"/>
        <item m="1" x="1124"/>
        <item m="1" x="880"/>
        <item m="1" x="374"/>
        <item m="1" x="762"/>
        <item m="1" x="1050"/>
        <item m="1" x="524"/>
        <item m="1" x="1137"/>
        <item m="1" x="1160"/>
        <item m="1" x="876"/>
        <item m="1" x="1167"/>
        <item m="1" x="375"/>
        <item m="1" x="376"/>
        <item m="1" x="787"/>
        <item m="1" x="872"/>
        <item m="1" x="631"/>
        <item m="1" x="377"/>
        <item m="1" x="838"/>
        <item m="1" x="525"/>
        <item m="1" x="1175"/>
        <item m="1" x="899"/>
        <item m="1" x="638"/>
        <item m="1" x="378"/>
        <item m="1" x="1155"/>
        <item m="1" x="901"/>
        <item m="1" x="912"/>
        <item m="1" x="379"/>
        <item m="1" x="919"/>
        <item m="1" x="926"/>
        <item m="1" x="931"/>
        <item m="1" x="526"/>
        <item m="1" x="673"/>
        <item m="1" x="689"/>
        <item m="1" x="1007"/>
        <item m="1" x="717"/>
        <item m="1" x="380"/>
        <item m="1" x="951"/>
        <item m="1" x="691"/>
        <item m="1" x="1021"/>
        <item m="1" x="381"/>
        <item m="1" x="942"/>
        <item m="1" x="527"/>
        <item m="1" x="703"/>
        <item m="1" x="719"/>
        <item m="1" x="754"/>
        <item m="1" x="382"/>
        <item m="1" x="965"/>
        <item m="1" x="528"/>
        <item m="1" x="757"/>
        <item m="1" x="1043"/>
        <item m="1" x="383"/>
        <item m="1" x="980"/>
        <item m="1" x="699"/>
        <item m="1" x="529"/>
        <item m="1" x="1046"/>
        <item m="1" x="767"/>
        <item m="1" x="823"/>
        <item m="1" x="384"/>
        <item m="1" x="530"/>
        <item m="1" x="531"/>
        <item m="1" x="783"/>
        <item m="1" x="385"/>
        <item m="1" x="709"/>
        <item m="1" x="532"/>
        <item m="1" x="785"/>
        <item m="1" x="796"/>
        <item m="1" x="1090"/>
        <item m="1" x="1099"/>
        <item m="1" x="1136"/>
        <item m="1" x="386"/>
        <item m="1" x="1031"/>
        <item m="1" x="533"/>
        <item m="1" x="1126"/>
        <item m="1" x="848"/>
        <item m="1" x="861"/>
        <item m="1" x="387"/>
        <item m="1" x="1039"/>
        <item m="1" x="763"/>
        <item m="1" x="1052"/>
        <item m="1" x="534"/>
        <item m="1" x="1138"/>
        <item m="1" x="1168"/>
        <item m="1" x="388"/>
        <item m="1" x="1064"/>
        <item m="1" x="1081"/>
        <item m="1" x="535"/>
        <item m="1" x="1153"/>
        <item m="1" x="1170"/>
        <item m="1" x="389"/>
        <item m="1" x="816"/>
        <item m="1" x="828"/>
        <item m="1" x="1115"/>
        <item m="1" x="536"/>
        <item m="1" x="868"/>
        <item m="1" x="887"/>
        <item m="1" x="1176"/>
        <item m="1" x="911"/>
        <item m="1" x="390"/>
        <item m="1" x="839"/>
        <item m="1" x="1130"/>
        <item m="1" x="537"/>
        <item m="1" x="902"/>
        <item m="1" x="914"/>
        <item m="1" x="391"/>
        <item m="1" x="927"/>
        <item m="1" x="538"/>
        <item m="1" x="663"/>
        <item m="1" x="690"/>
        <item m="1" x="1020"/>
        <item m="1" x="392"/>
        <item m="1" x="651"/>
        <item m="1" x="539"/>
        <item m="1" x="947"/>
        <item m="1" x="974"/>
        <item m="1" x="1011"/>
        <item m="1" x="393"/>
        <item m="1" x="944"/>
        <item m="1" x="540"/>
        <item m="1" x="666"/>
        <item m="1" x="977"/>
        <item m="1" x="995"/>
        <item m="1" x="705"/>
        <item m="1" x="1034"/>
        <item m="1" x="394"/>
        <item m="1" x="675"/>
        <item m="1" x="541"/>
        <item m="1" x="1036"/>
        <item m="1" x="1070"/>
        <item m="1" x="395"/>
        <item m="1" x="685"/>
        <item m="1" x="981"/>
        <item m="1" x="542"/>
        <item m="1" x="733"/>
        <item m="1" x="1047"/>
        <item m="1" x="1086"/>
        <item m="1" x="808"/>
        <item m="1" x="396"/>
        <item m="1" x="982"/>
        <item m="1" x="692"/>
        <item m="1" x="543"/>
        <item m="1" x="770"/>
        <item m="1" x="784"/>
        <item m="1" x="397"/>
        <item m="1" x="711"/>
        <item m="1" x="544"/>
        <item m="1" x="1077"/>
        <item m="1" x="798"/>
        <item m="1" x="811"/>
        <item m="1" x="1146"/>
        <item m="1" x="398"/>
        <item m="1" x="736"/>
        <item m="1" x="750"/>
        <item m="1" x="545"/>
        <item m="1" x="837"/>
        <item m="1" x="849"/>
        <item m="1" x="399"/>
        <item m="1" x="764"/>
        <item m="1" x="546"/>
        <item m="1" x="851"/>
        <item m="1" x="1139"/>
        <item m="1" x="877"/>
        <item m="1" x="400"/>
        <item m="1" x="801"/>
        <item m="1" x="547"/>
        <item m="1" x="1161"/>
        <item m="1" x="1171"/>
        <item m="1" x="401"/>
        <item m="1" x="1103"/>
        <item m="1" x="829"/>
        <item m="1" x="548"/>
        <item m="1" x="869"/>
        <item m="1" x="1172"/>
        <item m="1" x="628"/>
        <item m="1" x="913"/>
        <item m="1" x="402"/>
        <item m="1" x="1117"/>
        <item m="1" x="840"/>
        <item m="1" x="549"/>
        <item m="1" x="895"/>
        <item m="1" x="915"/>
        <item m="1" x="403"/>
        <item m="1" x="642"/>
        <item m="1" x="647"/>
        <item m="1" x="550"/>
        <item m="1" x="656"/>
        <item m="1" x="664"/>
        <item m="1" x="681"/>
        <item m="1" x="973"/>
        <item m="1" x="404"/>
        <item m="1" x="648"/>
        <item m="1" x="551"/>
        <item m="1" x="659"/>
        <item m="1" x="962"/>
        <item m="1" x="976"/>
        <item m="1" x="405"/>
        <item m="1" x="934"/>
        <item m="1" x="945"/>
        <item m="1" x="660"/>
        <item m="1" x="552"/>
        <item m="1" x="698"/>
        <item m="1" x="996"/>
        <item m="1" x="1057"/>
        <item m="1" x="406"/>
        <item m="1" x="669"/>
        <item m="1" x="553"/>
        <item m="1" x="990"/>
        <item m="1" x="1023"/>
        <item m="1" x="745"/>
        <item m="1" x="1072"/>
        <item m="1" x="794"/>
        <item m="1" x="1085"/>
        <item m="1" x="407"/>
        <item m="1" x="967"/>
        <item m="1" x="554"/>
        <item m="1" x="1001"/>
        <item m="1" x="748"/>
        <item m="1" x="1074"/>
        <item m="1" x="1088"/>
        <item m="1" x="408"/>
        <item m="1" x="693"/>
        <item m="1" x="555"/>
        <item m="1" x="1049"/>
        <item m="1" x="1061"/>
        <item m="1" x="834"/>
        <item m="1" x="409"/>
        <item m="1" x="556"/>
        <item m="1" x="723"/>
        <item m="1" x="773"/>
        <item m="1" x="1091"/>
        <item m="1" x="1127"/>
        <item m="1" x="1151"/>
        <item m="1" x="410"/>
        <item m="1" x="737"/>
        <item m="1" x="557"/>
        <item m="1" x="774"/>
        <item m="1" x="1080"/>
        <item m="1" x="825"/>
        <item m="1" x="1152"/>
        <item m="1" x="411"/>
        <item m="1" x="775"/>
        <item m="1" x="1065"/>
        <item m="1" x="558"/>
        <item m="1" x="827"/>
        <item m="1" x="1128"/>
        <item m="1" x="873"/>
        <item m="1" x="885"/>
        <item m="1" x="412"/>
        <item m="1" x="802"/>
        <item m="1" x="559"/>
        <item m="1" x="1140"/>
        <item m="1" x="874"/>
        <item m="1" x="893"/>
        <item m="1" x="627"/>
        <item m="1" x="413"/>
        <item m="1" x="1094"/>
        <item m="1" x="817"/>
        <item m="1" x="1104"/>
        <item m="1" x="560"/>
        <item m="1" x="1141"/>
        <item m="1" x="1156"/>
        <item m="1" x="621"/>
        <item m="1" x="92"/>
        <item m="1" x="639"/>
        <item m="1" x="414"/>
        <item m="1" x="841"/>
        <item m="1" x="855"/>
        <item m="1" x="561"/>
        <item m="1" x="889"/>
        <item m="1" x="632"/>
        <item m="1" x="93"/>
        <item m="1" x="940"/>
        <item m="1" x="415"/>
        <item m="1" x="907"/>
        <item m="1" x="920"/>
        <item m="1" x="562"/>
        <item m="1" x="658"/>
        <item m="1" x="986"/>
        <item m="1" x="702"/>
        <item m="1" x="416"/>
        <item m="1" x="649"/>
        <item m="1" x="563"/>
        <item m="1" x="668"/>
        <item m="1" x="963"/>
        <item m="1" x="987"/>
        <item m="1" x="1012"/>
        <item m="1" x="94"/>
        <item m="1" x="731"/>
        <item m="1" x="417"/>
        <item m="1" x="564"/>
        <item m="1" x="979"/>
        <item m="1" x="989"/>
        <item m="1" x="720"/>
        <item m="1" x="1044"/>
        <item m="1" x="418"/>
        <item m="1" x="954"/>
        <item m="1" x="565"/>
        <item m="1" x="676"/>
        <item m="1" x="183"/>
        <item m="1" x="747"/>
        <item m="1" x="782"/>
        <item m="1" x="1073"/>
        <item m="1" x="95"/>
        <item m="1" x="419"/>
        <item m="1" x="968"/>
        <item m="1" x="566"/>
        <item m="1" x="184"/>
        <item m="1" x="1060"/>
        <item m="1" x="1089"/>
        <item m="1" x="810"/>
        <item m="1" x="420"/>
        <item m="1" x="983"/>
        <item m="1" x="567"/>
        <item m="1" x="712"/>
        <item m="1" x="185"/>
        <item m="1" x="1078"/>
        <item m="1" x="799"/>
        <item m="1" x="812"/>
        <item m="1" x="1125"/>
        <item m="1" x="96"/>
        <item m="1" x="421"/>
        <item m="1" x="713"/>
        <item m="1" x="1014"/>
        <item m="1" x="724"/>
        <item m="1" x="568"/>
        <item m="1" x="1051"/>
        <item m="1" x="186"/>
        <item m="1" x="1092"/>
        <item m="1" x="1100"/>
        <item m="1" x="850"/>
        <item m="1" x="422"/>
        <item m="1" x="1025"/>
        <item m="1" x="738"/>
        <item m="1" x="569"/>
        <item m="1" x="1063"/>
        <item m="1" x="788"/>
        <item m="1" x="187"/>
        <item m="1" x="1102"/>
        <item m="1" x="1147"/>
        <item m="1" x="97"/>
        <item m="1" x="884"/>
        <item m="1" x="423"/>
        <item m="1" x="1054"/>
        <item m="1" x="776"/>
        <item m="1" x="269"/>
        <item m="1" x="815"/>
        <item m="1" x="188"/>
        <item m="1" x="853"/>
        <item m="1" x="1162"/>
        <item m="1" x="424"/>
        <item m="1" x="790"/>
        <item m="1" x="270"/>
        <item m="1" x="803"/>
        <item m="1" x="570"/>
        <item m="1" x="1116"/>
        <item m="1" x="189"/>
        <item m="1" x="894"/>
        <item m="1" x="629"/>
        <item m="1" x="98"/>
        <item m="1" x="425"/>
        <item m="1" x="818"/>
        <item m="1" x="271"/>
        <item m="1" x="571"/>
        <item m="1" x="863"/>
        <item m="1" x="190"/>
        <item m="1" x="1163"/>
        <item m="1" x="630"/>
        <item m="1" x="645"/>
        <item m="1" x="426"/>
        <item m="1" x="1131"/>
        <item m="1" x="331"/>
        <item m="1" x="572"/>
        <item m="1" x="1173"/>
        <item m="1" x="191"/>
        <item m="1" x="904"/>
        <item m="1" x="99"/>
        <item m="1" x="652"/>
        <item m="1" x="427"/>
        <item m="1" x="633"/>
        <item m="1" x="921"/>
        <item m="1" x="643"/>
        <item m="1" x="272"/>
        <item m="1" x="573"/>
        <item m="1" x="943"/>
        <item m="1" x="192"/>
        <item m="1" x="958"/>
        <item m="1" x="696"/>
        <item m="1" x="704"/>
        <item m="1" x="428"/>
        <item m="1" x="935"/>
        <item x="0"/>
        <item m="1" x="574"/>
        <item m="1" x="193"/>
        <item m="1" x="966"/>
        <item m="1" x="1013"/>
        <item m="1" x="429"/>
        <item m="1" x="661"/>
        <item m="1" x="949"/>
        <item x="1"/>
        <item m="1" x="194"/>
        <item m="1" x="998"/>
        <item m="1" x="732"/>
        <item m="1" x="746"/>
        <item m="1" x="780"/>
        <item m="1" x="430"/>
        <item m="1" x="100"/>
        <item m="1" x="955"/>
        <item x="2"/>
        <item m="1" x="575"/>
        <item m="1" x="992"/>
        <item m="1" x="195"/>
        <item m="1" x="722"/>
        <item m="1" x="1048"/>
        <item m="1" x="769"/>
        <item m="1" x="101"/>
        <item m="1" x="431"/>
        <item m="1" x="960"/>
        <item m="1" x="677"/>
        <item m="1" x="969"/>
        <item m="1" x="273"/>
        <item x="3"/>
        <item m="1" x="1003"/>
        <item m="1" x="710"/>
        <item m="1" x="196"/>
        <item m="1" x="749"/>
        <item m="1" x="1076"/>
        <item m="1" x="797"/>
        <item m="1" x="102"/>
        <item m="1" x="432"/>
        <item m="1" x="993"/>
        <item m="1" x="274"/>
        <item x="4"/>
        <item m="1" x="1024"/>
        <item m="1" x="197"/>
        <item m="1" x="1062"/>
        <item m="1" x="824"/>
        <item m="1" x="103"/>
        <item m="1" x="433"/>
        <item m="1" x="1004"/>
        <item m="1" x="714"/>
        <item m="1" x="275"/>
        <item m="1" x="576"/>
        <item x="5"/>
        <item m="1" x="751"/>
        <item m="1" x="198"/>
        <item m="1" x="1113"/>
        <item m="1" x="104"/>
        <item m="1" x="867"/>
        <item m="1" x="434"/>
        <item m="1" x="1026"/>
        <item m="1" x="276"/>
        <item m="1" x="577"/>
        <item x="6"/>
        <item m="1" x="1053"/>
        <item m="1" x="199"/>
        <item m="1" x="814"/>
        <item m="1" x="862"/>
        <item m="1" x="105"/>
        <item m="1" x="435"/>
        <item m="1" x="765"/>
        <item x="7"/>
        <item m="1" x="578"/>
        <item m="1" x="789"/>
        <item m="1" x="1093"/>
        <item m="1" x="200"/>
        <item m="1" x="854"/>
        <item m="1" x="878"/>
        <item m="1" x="106"/>
        <item m="1" x="436"/>
        <item m="1" x="579"/>
        <item x="8"/>
        <item m="1" x="1105"/>
        <item m="1" x="830"/>
        <item m="1" x="201"/>
        <item m="1" x="1148"/>
        <item m="1" x="888"/>
        <item m="1" x="107"/>
        <item m="1" x="437"/>
        <item m="1" x="580"/>
        <item m="1" x="831"/>
        <item m="1" x="1118"/>
        <item x="9"/>
        <item m="1" x="856"/>
        <item m="1" x="1142"/>
        <item m="1" x="202"/>
        <item m="1" x="875"/>
        <item m="1" x="896"/>
        <item m="1" x="108"/>
        <item m="1" x="438"/>
        <item m="1" x="581"/>
        <item m="1" x="842"/>
        <item m="1" x="277"/>
        <item x="10"/>
        <item m="1" x="1143"/>
        <item m="1" x="1164"/>
        <item m="1" x="203"/>
        <item m="1" x="622"/>
        <item m="1" x="646"/>
        <item m="1" x="109"/>
        <item m="1" x="439"/>
        <item m="1" x="908"/>
        <item m="1" x="634"/>
        <item m="1" x="278"/>
        <item x="11"/>
        <item m="1" x="933"/>
        <item m="1" x="204"/>
        <item m="1" x="953"/>
        <item m="1" x="988"/>
        <item m="1" x="110"/>
        <item m="1" x="582"/>
        <item m="1" x="440"/>
        <item m="1" x="928"/>
        <item x="12"/>
        <item m="1" x="279"/>
        <item m="1" x="667"/>
        <item m="1" x="205"/>
        <item m="1" x="683"/>
        <item m="1" x="111"/>
        <item m="1" x="721"/>
        <item m="1" x="1022"/>
        <item m="1" x="441"/>
        <item m="1" x="583"/>
        <item m="1" x="662"/>
        <item x="13"/>
        <item m="1" x="280"/>
        <item m="1" x="206"/>
        <item m="1" x="707"/>
        <item m="1" x="112"/>
        <item m="1" x="1037"/>
        <item m="1" x="768"/>
        <item m="1" x="584"/>
        <item m="1" x="442"/>
        <item x="14"/>
        <item m="1" x="281"/>
        <item m="1" x="670"/>
        <item m="1" x="207"/>
        <item m="1" x="113"/>
        <item m="1" x="771"/>
        <item m="1" x="795"/>
        <item m="1" x="443"/>
        <item m="1" x="678"/>
        <item x="15"/>
        <item m="1" x="282"/>
        <item m="1" x="694"/>
        <item m="1" x="208"/>
        <item m="1" x="760"/>
        <item m="1" x="114"/>
        <item m="1" x="813"/>
        <item m="1" x="444"/>
        <item m="1" x="585"/>
        <item m="1" x="695"/>
        <item x="16"/>
        <item m="1" x="209"/>
        <item m="1" x="115"/>
        <item m="1" x="1111"/>
        <item m="1" x="445"/>
        <item m="1" x="283"/>
        <item x="17"/>
        <item m="1" x="1015"/>
        <item m="1" x="210"/>
        <item m="1" x="116"/>
        <item m="1" x="852"/>
        <item m="1" x="586"/>
        <item m="1" x="446"/>
        <item m="1" x="1027"/>
        <item x="18"/>
        <item m="1" x="284"/>
        <item m="1" x="211"/>
        <item m="1" x="117"/>
        <item m="1" x="1154"/>
        <item m="1" x="447"/>
        <item m="1" x="1040"/>
        <item x="19"/>
        <item m="1" x="285"/>
        <item m="1" x="212"/>
        <item m="1" x="118"/>
        <item m="1" x="587"/>
        <item m="1" x="448"/>
        <item m="1" x="1066"/>
        <item x="20"/>
        <item m="1" x="286"/>
        <item m="1" x="213"/>
        <item m="1" x="119"/>
        <item m="1" x="1177"/>
        <item m="1" x="449"/>
        <item m="1" x="588"/>
        <item x="21"/>
        <item m="1" x="1119"/>
        <item m="1" x="214"/>
        <item m="1" x="120"/>
        <item m="1" x="916"/>
        <item m="1" x="450"/>
        <item m="1" x="1120"/>
        <item x="22"/>
        <item m="1" x="1132"/>
        <item m="1" x="287"/>
        <item m="1" x="215"/>
        <item m="1" x="640"/>
        <item m="1" x="121"/>
        <item m="1" x="451"/>
        <item m="1" x="589"/>
        <item m="1" x="635"/>
        <item x="23"/>
        <item m="1" x="288"/>
        <item m="1" x="936"/>
        <item m="1" x="653"/>
        <item m="1" x="216"/>
        <item m="1" x="122"/>
        <item m="1" x="452"/>
        <item m="1" x="590"/>
        <item x="24"/>
        <item m="1" x="289"/>
        <item m="1" x="217"/>
        <item m="1" x="123"/>
        <item m="1" x="453"/>
        <item x="25"/>
        <item m="1" x="290"/>
        <item m="1" x="218"/>
        <item m="1" x="124"/>
        <item m="1" x="454"/>
        <item m="1" x="950"/>
        <item x="26"/>
        <item m="1" x="291"/>
        <item m="1" x="219"/>
        <item m="1" x="125"/>
        <item m="1" x="455"/>
        <item m="1" x="591"/>
        <item m="1" x="970"/>
        <item x="27"/>
        <item m="1" x="292"/>
        <item m="1" x="220"/>
        <item m="1" x="126"/>
        <item m="1" x="836"/>
        <item m="1" x="456"/>
        <item x="28"/>
        <item m="1" x="293"/>
        <item m="1" x="221"/>
        <item m="1" x="127"/>
        <item m="1" x="457"/>
        <item x="29"/>
        <item m="1" x="222"/>
        <item m="1" x="128"/>
        <item m="1" x="458"/>
        <item m="1" x="1028"/>
        <item m="1" x="592"/>
        <item x="30"/>
        <item m="1" x="223"/>
        <item m="1" x="129"/>
        <item m="1" x="459"/>
        <item x="31"/>
        <item m="1" x="294"/>
        <item m="1" x="224"/>
        <item m="1" x="130"/>
        <item m="1" x="593"/>
        <item m="1" x="460"/>
        <item x="32"/>
        <item m="1" x="295"/>
        <item m="1" x="225"/>
        <item m="1" x="131"/>
        <item m="1" x="461"/>
        <item m="1" x="1095"/>
        <item m="1" x="296"/>
        <item x="33"/>
        <item m="1" x="226"/>
        <item m="1" x="132"/>
        <item m="1" x="905"/>
        <item m="1" x="594"/>
        <item m="1" x="462"/>
        <item x="34"/>
        <item m="1" x="906"/>
        <item m="1" x="227"/>
        <item m="1" x="133"/>
        <item m="1" x="463"/>
        <item m="1" x="595"/>
        <item x="35"/>
        <item m="1" x="228"/>
        <item m="1" x="997"/>
        <item m="1" x="134"/>
        <item m="1" x="464"/>
        <item m="1" x="923"/>
        <item x="36"/>
        <item m="1" x="135"/>
        <item m="1" x="229"/>
        <item m="1" x="465"/>
        <item m="1" x="596"/>
        <item m="1" x="654"/>
        <item x="37"/>
        <item m="1" x="230"/>
        <item m="1" x="136"/>
        <item m="1" x="466"/>
        <item m="1" x="597"/>
        <item m="1" x="679"/>
        <item x="38"/>
        <item m="1" x="297"/>
        <item m="1" x="231"/>
        <item m="1" x="137"/>
        <item m="1" x="467"/>
        <item m="1" x="598"/>
        <item x="39"/>
        <item m="1" x="232"/>
        <item m="1" x="138"/>
        <item x="40"/>
        <item m="1" x="298"/>
        <item m="1" x="299"/>
        <item m="1" x="233"/>
        <item m="1" x="139"/>
        <item m="1" x="468"/>
        <item x="41"/>
        <item m="1" x="234"/>
        <item m="1" x="140"/>
        <item m="1" x="469"/>
        <item m="1" x="599"/>
        <item m="1" x="300"/>
        <item x="42"/>
        <item m="1" x="235"/>
        <item m="1" x="141"/>
        <item m="1" x="470"/>
        <item m="1" x="301"/>
        <item x="43"/>
        <item m="1" x="236"/>
        <item m="1" x="142"/>
        <item m="1" x="600"/>
        <item m="1" x="471"/>
        <item m="1" x="302"/>
        <item x="44"/>
        <item m="1" x="237"/>
        <item m="1" x="472"/>
        <item m="1" x="332"/>
        <item x="45"/>
        <item m="1" x="238"/>
        <item m="1" x="473"/>
        <item m="1" x="143"/>
        <item x="46"/>
        <item m="1" x="333"/>
        <item m="1" x="239"/>
        <item m="1" x="144"/>
        <item x="47"/>
        <item m="1" x="601"/>
        <item m="1" x="334"/>
        <item m="1" x="684"/>
        <item m="1" x="240"/>
        <item m="1" x="145"/>
        <item x="48"/>
        <item m="1" x="335"/>
        <item m="1" x="924"/>
        <item m="1" x="686"/>
        <item m="1" x="146"/>
        <item x="49"/>
        <item m="1" x="474"/>
        <item m="1" x="937"/>
        <item x="50"/>
        <item m="1" x="147"/>
        <item m="1" x="241"/>
        <item m="1" x="303"/>
        <item x="51"/>
        <item m="1" x="500"/>
        <item m="1" x="242"/>
        <item m="1" x="148"/>
        <item m="1" x="475"/>
        <item m="1" x="336"/>
        <item x="52"/>
        <item m="1" x="687"/>
        <item m="1" x="476"/>
        <item m="1" x="149"/>
        <item x="53"/>
        <item m="1" x="602"/>
        <item m="1" x="304"/>
        <item m="1" x="243"/>
        <item m="1" x="150"/>
        <item m="1" x="603"/>
        <item m="1" x="305"/>
        <item x="54"/>
        <item m="1" x="725"/>
        <item m="1" x="477"/>
        <item m="1" x="244"/>
        <item m="1" x="151"/>
        <item x="55"/>
        <item m="1" x="337"/>
        <item m="1" x="739"/>
        <item x="56"/>
        <item m="1" x="604"/>
        <item m="1" x="306"/>
        <item m="1" x="777"/>
        <item m="1" x="245"/>
        <item m="1" x="152"/>
        <item x="57"/>
        <item m="1" x="307"/>
        <item m="1" x="1067"/>
        <item m="1" x="605"/>
        <item m="1" x="153"/>
        <item m="1" x="246"/>
        <item x="58"/>
        <item m="1" x="478"/>
        <item m="1" x="819"/>
        <item m="1" x="338"/>
        <item m="1" x="339"/>
        <item m="1" x="247"/>
        <item m="1" x="154"/>
        <item m="1" x="606"/>
        <item m="1" x="479"/>
        <item m="1" x="843"/>
        <item m="1" x="340"/>
        <item x="59"/>
        <item m="1" x="155"/>
        <item m="1" x="248"/>
        <item m="1" x="480"/>
        <item m="1" x="636"/>
        <item m="1" x="341"/>
        <item m="1" x="619"/>
        <item m="1" x="156"/>
        <item m="1" x="607"/>
        <item m="1" x="481"/>
        <item m="1" x="342"/>
        <item x="60"/>
        <item m="1" x="249"/>
        <item m="1" x="157"/>
        <item m="1" x="308"/>
        <item m="1" x="655"/>
        <item x="61"/>
        <item m="1" x="158"/>
        <item m="1" x="250"/>
        <item m="1" x="309"/>
        <item m="1" x="608"/>
        <item x="62"/>
        <item m="1" x="251"/>
        <item m="1" x="159"/>
        <item m="1" x="609"/>
        <item m="1" x="343"/>
        <item x="63"/>
        <item m="1" x="160"/>
        <item m="1" x="252"/>
        <item m="1" x="610"/>
        <item m="1" x="482"/>
        <item m="1" x="344"/>
        <item x="64"/>
        <item x="65"/>
        <item m="1" x="310"/>
        <item m="1" x="611"/>
        <item m="1" x="253"/>
        <item m="1" x="161"/>
        <item m="1" x="345"/>
        <item m="1" x="483"/>
        <item m="1" x="162"/>
        <item x="66"/>
        <item m="1" x="254"/>
        <item m="1" x="612"/>
        <item m="1" x="484"/>
        <item m="1" x="346"/>
        <item x="67"/>
        <item m="1" x="255"/>
        <item m="1" x="163"/>
        <item m="1" x="613"/>
        <item m="1" x="347"/>
        <item x="68"/>
        <item m="1" x="256"/>
        <item m="1" x="485"/>
        <item m="1" x="614"/>
        <item m="1" x="311"/>
        <item m="1" x="164"/>
        <item m="1" x="257"/>
        <item x="69"/>
        <item m="1" x="615"/>
        <item m="1" x="486"/>
        <item m="1" x="312"/>
        <item x="70"/>
        <item m="1" x="165"/>
        <item m="1" x="616"/>
        <item m="1" x="487"/>
        <item m="1" x="313"/>
        <item m="1" x="166"/>
        <item x="71"/>
        <item m="1" x="258"/>
        <item m="1" x="617"/>
        <item m="1" x="488"/>
        <item m="1" x="314"/>
        <item m="1" x="259"/>
        <item x="72"/>
        <item m="1" x="167"/>
        <item m="1" x="618"/>
        <item m="1" x="489"/>
        <item m="1" x="315"/>
        <item x="73"/>
        <item m="1" x="168"/>
        <item m="1" x="501"/>
        <item m="1" x="490"/>
        <item m="1" x="316"/>
        <item x="74"/>
        <item m="1" x="169"/>
        <item m="1" x="491"/>
        <item m="1" x="317"/>
        <item m="1" x="170"/>
        <item m="1" x="260"/>
        <item x="75"/>
        <item m="1" x="492"/>
        <item m="1" x="318"/>
        <item m="1" x="171"/>
        <item m="1" x="493"/>
        <item m="1" x="319"/>
        <item x="76"/>
        <item m="1" x="261"/>
        <item m="1" x="172"/>
        <item m="1" x="320"/>
        <item m="1" x="321"/>
        <item m="1" x="173"/>
        <item m="1" x="322"/>
        <item m="1" x="494"/>
        <item x="77"/>
        <item m="1" x="174"/>
        <item m="1" x="262"/>
        <item m="1" x="323"/>
        <item m="1" x="495"/>
        <item x="78"/>
        <item m="1" x="175"/>
        <item m="1" x="324"/>
        <item m="1" x="496"/>
        <item m="1" x="263"/>
        <item x="79"/>
        <item m="1" x="176"/>
        <item m="1" x="325"/>
        <item m="1" x="264"/>
        <item m="1" x="497"/>
        <item x="80"/>
        <item m="1" x="177"/>
        <item m="1" x="326"/>
        <item m="1" x="265"/>
        <item m="1" x="498"/>
        <item m="1" x="327"/>
        <item x="81"/>
        <item m="1" x="178"/>
        <item m="1" x="499"/>
        <item m="1" x="266"/>
        <item m="1" x="328"/>
        <item x="82"/>
        <item m="1" x="179"/>
        <item m="1" x="329"/>
        <item m="1" x="330"/>
        <item m="1" x="267"/>
        <item x="83"/>
        <item m="1" x="180"/>
        <item m="1" x="181"/>
        <item m="1" x="268"/>
        <item x="84"/>
        <item m="1" x="182"/>
        <item x="85"/>
        <item x="86"/>
        <item x="87"/>
        <item x="88"/>
        <item x="89"/>
        <item t="default"/>
      </items>
    </pivotField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22">
        <item m="1" x="9"/>
        <item h="1" m="1" x="12"/>
        <item h="1" m="1" x="13"/>
        <item h="1" m="1" x="14"/>
        <item h="1" m="1" x="15"/>
        <item m="1" x="16"/>
        <item m="1" x="10"/>
        <item m="1" x="11"/>
        <item x="0"/>
        <item m="1" x="17"/>
        <item h="1" m="1" x="19"/>
        <item h="1" m="1" x="18"/>
        <item h="1" m="1" x="20"/>
        <item x="1"/>
        <item x="2"/>
        <item x="3"/>
        <item x="4"/>
        <item x="5"/>
        <item x="6"/>
        <item x="7"/>
        <item h="1" x="8"/>
        <item t="default"/>
      </items>
    </pivotField>
    <pivotField axis="axisPage" showAll="0">
      <items count="14">
        <item x="0"/>
        <item x="4"/>
        <item x="5"/>
        <item x="6"/>
        <item x="8"/>
        <item x="9"/>
        <item x="10"/>
        <item x="11"/>
        <item x="2"/>
        <item x="3"/>
        <item x="7"/>
        <item x="1"/>
        <item x="12"/>
        <item t="default"/>
      </items>
    </pivotField>
    <pivotField showAll="0"/>
    <pivotField showAll="0"/>
    <pivotField showAll="0"/>
    <pivotField showAll="0" defaultSubtotal="0"/>
    <pivotField dataField="1" showAll="0" defaultSubtotal="0"/>
    <pivotField numFmtId="1" showAll="0" defaultSubtotal="0"/>
    <pivotField numFmtId="1" showAll="0" defaultSubtotal="0"/>
    <pivotField numFmtId="1" showAll="0" defaultSubtotal="0"/>
    <pivotField numFmtId="1" showAll="0" defaultSubtotal="0"/>
    <pivotField numFmtId="1" showAll="0" defaultSubtotal="0"/>
    <pivotField numFmtId="1" showAll="0" defaultSubtotal="0"/>
    <pivotField dataField="1" showAll="0" defaultSubtotal="0"/>
    <pivotField showAll="0" defaultSubtotal="0"/>
  </pivotFields>
  <rowFields count="1">
    <field x="3"/>
  </rowFields>
  <rowItems count="90">
    <i>
      <x v="620"/>
    </i>
    <i>
      <x v="628"/>
    </i>
    <i>
      <x v="637"/>
    </i>
    <i>
      <x v="650"/>
    </i>
    <i>
      <x v="661"/>
    </i>
    <i>
      <x v="672"/>
    </i>
    <i>
      <x v="682"/>
    </i>
    <i>
      <x v="690"/>
    </i>
    <i>
      <x v="700"/>
    </i>
    <i>
      <x v="711"/>
    </i>
    <i>
      <x v="722"/>
    </i>
    <i>
      <x v="733"/>
    </i>
    <i>
      <x v="742"/>
    </i>
    <i>
      <x v="753"/>
    </i>
    <i>
      <x v="762"/>
    </i>
    <i>
      <x v="771"/>
    </i>
    <i>
      <x v="781"/>
    </i>
    <i>
      <x v="787"/>
    </i>
    <i>
      <x v="795"/>
    </i>
    <i>
      <x v="802"/>
    </i>
    <i>
      <x v="809"/>
    </i>
    <i>
      <x v="816"/>
    </i>
    <i>
      <x v="823"/>
    </i>
    <i>
      <x v="832"/>
    </i>
    <i>
      <x v="840"/>
    </i>
    <i>
      <x v="845"/>
    </i>
    <i>
      <x v="851"/>
    </i>
    <i>
      <x v="858"/>
    </i>
    <i>
      <x v="864"/>
    </i>
    <i>
      <x v="869"/>
    </i>
    <i>
      <x v="875"/>
    </i>
    <i>
      <x v="879"/>
    </i>
    <i>
      <x v="885"/>
    </i>
    <i>
      <x v="892"/>
    </i>
    <i>
      <x v="898"/>
    </i>
    <i>
      <x v="904"/>
    </i>
    <i>
      <x v="910"/>
    </i>
    <i>
      <x v="916"/>
    </i>
    <i>
      <x v="922"/>
    </i>
    <i>
      <x v="928"/>
    </i>
    <i>
      <x v="931"/>
    </i>
    <i>
      <x v="937"/>
    </i>
    <i>
      <x v="943"/>
    </i>
    <i>
      <x v="948"/>
    </i>
    <i>
      <x v="954"/>
    </i>
    <i>
      <x v="958"/>
    </i>
    <i>
      <x v="962"/>
    </i>
    <i>
      <x v="966"/>
    </i>
    <i>
      <x v="972"/>
    </i>
    <i>
      <x v="977"/>
    </i>
    <i>
      <x v="980"/>
    </i>
    <i>
      <x v="984"/>
    </i>
    <i>
      <x v="990"/>
    </i>
    <i>
      <x v="994"/>
    </i>
    <i>
      <x v="1001"/>
    </i>
    <i>
      <x v="1006"/>
    </i>
    <i>
      <x v="1009"/>
    </i>
    <i>
      <x v="1015"/>
    </i>
    <i>
      <x v="1021"/>
    </i>
    <i>
      <x v="1032"/>
    </i>
    <i>
      <x v="1043"/>
    </i>
    <i>
      <x v="1048"/>
    </i>
    <i>
      <x v="1053"/>
    </i>
    <i>
      <x v="1058"/>
    </i>
    <i>
      <x v="1064"/>
    </i>
    <i>
      <x v="1065"/>
    </i>
    <i>
      <x v="1073"/>
    </i>
    <i>
      <x v="1078"/>
    </i>
    <i>
      <x v="1083"/>
    </i>
    <i>
      <x v="1090"/>
    </i>
    <i>
      <x v="1094"/>
    </i>
    <i>
      <x v="1100"/>
    </i>
    <i>
      <x v="1106"/>
    </i>
    <i>
      <x v="1111"/>
    </i>
    <i>
      <x v="1116"/>
    </i>
    <i>
      <x v="1122"/>
    </i>
    <i>
      <x v="1128"/>
    </i>
    <i>
      <x v="1136"/>
    </i>
    <i>
      <x v="1141"/>
    </i>
    <i>
      <x v="1146"/>
    </i>
    <i>
      <x v="1151"/>
    </i>
    <i>
      <x v="1157"/>
    </i>
    <i>
      <x v="1162"/>
    </i>
    <i>
      <x v="1167"/>
    </i>
    <i>
      <x v="1171"/>
    </i>
    <i>
      <x v="1173"/>
    </i>
    <i>
      <x v="1174"/>
    </i>
    <i>
      <x v="1175"/>
    </i>
    <i>
      <x v="1176"/>
    </i>
    <i>
      <x v="1177"/>
    </i>
  </rowItems>
  <colFields count="1">
    <field x="-2"/>
  </colFields>
  <colItems count="3">
    <i>
      <x/>
    </i>
    <i i="1">
      <x v="1"/>
    </i>
    <i i="2">
      <x v="2"/>
    </i>
  </colItems>
  <pageFields count="2">
    <pageField fld="13" hier="-1"/>
    <pageField fld="14" hier="-1"/>
  </pageFields>
  <dataFields count="3">
    <dataField name="Suma de Promedio Activa" fld="5" baseField="3" baseItem="1"/>
    <dataField name="Suma de AB - A" fld="19" baseField="3" baseItem="0"/>
    <dataField name="Suma de AB - C" fld="26" baseField="3" baseItem="0"/>
  </dataFields>
  <formats count="7">
    <format dxfId="201">
      <pivotArea field="3" type="button" dataOnly="0" labelOnly="1" outline="0" axis="axisRow" fieldPosition="0"/>
    </format>
    <format dxfId="200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99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98">
      <pivotArea grandRow="1" outline="0" collapsedLevelsAreSubtotals="1" fieldPosition="0"/>
    </format>
    <format dxfId="197">
      <pivotArea dataOnly="0" labelOnly="1" grandRow="1" outline="0" fieldPosition="0"/>
    </format>
    <format dxfId="196">
      <pivotArea outline="0" collapsedLevelsAreSubtotals="1" fieldPosition="0"/>
    </format>
    <format dxfId="195">
      <pivotArea dataOnly="0" labelOnly="1" outline="0" fieldPosition="0">
        <references count="1">
          <reference field="4294967294" count="1">
            <x v="0"/>
          </reference>
        </references>
      </pivotArea>
    </format>
  </formats>
  <chartFormats count="5">
    <chartFormat chart="1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" format="9">
      <pivotArea type="data" outline="0" fieldPosition="0">
        <references count="2">
          <reference field="4294967294" count="1" selected="0">
            <x v="2"/>
          </reference>
          <reference field="3" count="1" selected="0">
            <x v="134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Tabla dinámica1" cacheId="4" applyNumberFormats="0" applyBorderFormats="0" applyFontFormats="0" applyPatternFormats="0" applyAlignmentFormats="0" applyWidthHeightFormats="1" dataCaption="Valores" updatedVersion="8" minRefreshableVersion="3" rowGrandTotals="0" colGrandTotals="0" itemPrintTitles="1" createdVersion="5" indent="0" outline="1" outlineData="1" multipleFieldFilters="0">
  <location ref="A54:I67" firstHeaderRow="1" firstDataRow="2" firstDataCol="1"/>
  <pivotFields count="16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axis="axisCol" showAll="0" sortType="ascending" defaultSubtotal="0">
      <items count="24">
        <item h="1" m="1" x="9"/>
        <item h="1" m="1" x="19"/>
        <item h="1" m="1" x="22"/>
        <item h="1" m="1" x="18"/>
        <item h="1" m="1" x="21"/>
        <item h="1" m="1" x="17"/>
        <item h="1" m="1" x="20"/>
        <item h="1" m="1" x="23"/>
        <item h="1" m="1" x="12"/>
        <item h="1" m="1" x="13"/>
        <item h="1" m="1" x="14"/>
        <item h="1" m="1" x="15"/>
        <item m="1" x="16"/>
        <item m="1" x="10"/>
        <item m="1" x="11"/>
        <item x="0"/>
        <item x="1"/>
        <item x="2"/>
        <item x="3"/>
        <item x="4"/>
        <item x="5"/>
        <item x="6"/>
        <item x="7"/>
        <item h="1" x="8"/>
      </items>
    </pivotField>
    <pivotField axis="axisRow" showAll="0" sortType="ascending" defaultSubtotal="0">
      <items count="25">
        <item m="1" x="17"/>
        <item m="1" x="14"/>
        <item m="1" x="18"/>
        <item m="1" x="23"/>
        <item m="1" x="13"/>
        <item m="1" x="15"/>
        <item m="1" x="16"/>
        <item m="1" x="19"/>
        <item m="1" x="20"/>
        <item m="1" x="21"/>
        <item m="1" x="22"/>
        <item m="1" x="24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</items>
    </pivotField>
    <pivotField showAll="0" defaultSubtotal="0"/>
  </pivotFields>
  <rowFields count="1">
    <field x="14"/>
  </rowFields>
  <rowItems count="12"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</rowItems>
  <colFields count="1">
    <field x="13"/>
  </colFields>
  <colItems count="8"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</colItems>
  <dataFields count="1">
    <dataField name="Suma de Maxímetro" fld="10" baseField="14" baseItem="12" numFmtId="1"/>
  </dataFields>
  <formats count="5">
    <format dxfId="75">
      <pivotArea outline="0" collapsedLevelsAreSubtotals="1" fieldPosition="0"/>
    </format>
    <format dxfId="74">
      <pivotArea dataOnly="0" labelOnly="1" fieldPosition="0">
        <references count="1">
          <reference field="13" count="10">
            <x v="5"/>
            <x v="6"/>
            <x v="7"/>
            <x v="8"/>
            <x v="9"/>
            <x v="10"/>
            <x v="11"/>
            <x v="12"/>
            <x v="13"/>
            <x v="14"/>
          </reference>
        </references>
      </pivotArea>
    </format>
    <format dxfId="73">
      <pivotArea dataOnly="0" labelOnly="1" fieldPosition="0">
        <references count="1">
          <reference field="13" count="11">
            <x v="5"/>
            <x v="6"/>
            <x v="7"/>
            <x v="8"/>
            <x v="9"/>
            <x v="10"/>
            <x v="11"/>
            <x v="12"/>
            <x v="13"/>
            <x v="14"/>
            <x v="15"/>
          </reference>
        </references>
      </pivotArea>
    </format>
    <format dxfId="72">
      <pivotArea dataOnly="0" labelOnly="1" fieldPosition="0">
        <references count="1">
          <reference field="13" count="11">
            <x v="5"/>
            <x v="6"/>
            <x v="7"/>
            <x v="8"/>
            <x v="9"/>
            <x v="10"/>
            <x v="11"/>
            <x v="12"/>
            <x v="13"/>
            <x v="14"/>
            <x v="15"/>
          </reference>
        </references>
      </pivotArea>
    </format>
    <format dxfId="71">
      <pivotArea type="all" dataOnly="0" outline="0" fieldPosition="0"/>
    </format>
  </formats>
  <conditionalFormats count="1">
    <conditionalFormat priority="2">
      <pivotAreas count="1">
        <pivotArea type="data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PivotStyleLight1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2000000}" name="TablaDinámica1" cacheId="5" applyNumberFormats="0" applyBorderFormats="0" applyFontFormats="0" applyPatternFormats="0" applyAlignmentFormats="0" applyWidthHeightFormats="1" dataCaption="Valores" missingCaption="NA" updatedVersion="8" minRefreshableVersion="3" colGrandTotals="0" itemPrintTitles="1" createdVersion="6" indent="0" compact="0" outline="1" outlineData="1" compactData="0" multipleFieldFilters="0">
  <location ref="A37:I51" firstHeaderRow="1" firstDataRow="2" firstDataCol="1"/>
  <pivotFields count="19">
    <pivotField compact="0" showAll="0" insertBlankRow="1"/>
    <pivotField compact="0" showAll="0" insertBlankRow="1"/>
    <pivotField compact="0" showAll="0" insertBlankRow="1"/>
    <pivotField compact="0" showAll="0" insertBlankRow="1"/>
    <pivotField compact="0" showAll="0" insertBlankRow="1"/>
    <pivotField dataField="1" compact="0" showAll="0" insertBlankRow="1"/>
    <pivotField compact="0" showAll="0" insertBlankRow="1"/>
    <pivotField compact="0" showAll="0" insertBlankRow="1"/>
    <pivotField compact="0" showAll="0" insertBlankRow="1"/>
    <pivotField compact="0" showAll="0" insertBlankRow="1"/>
    <pivotField compact="0" showAll="0" insertBlankRow="1"/>
    <pivotField compact="0" showAll="0" insertBlankRow="1"/>
    <pivotField compact="0" showAll="0" insertBlankRow="1"/>
    <pivotField axis="axisCol" compact="0" showAll="0" insertBlankRow="1" sortType="ascending">
      <items count="25">
        <item h="1" m="1" x="9"/>
        <item h="1" m="1" x="19"/>
        <item h="1" m="1" x="22"/>
        <item h="1" m="1" x="18"/>
        <item h="1" m="1" x="21"/>
        <item h="1" m="1" x="17"/>
        <item h="1" m="1" x="20"/>
        <item h="1" m="1" x="23"/>
        <item h="1" m="1" x="12"/>
        <item h="1" m="1" x="13"/>
        <item h="1" m="1" x="14"/>
        <item h="1" m="1" x="15"/>
        <item m="1" x="16"/>
        <item m="1" x="10"/>
        <item m="1" x="11"/>
        <item x="0"/>
        <item x="1"/>
        <item x="2"/>
        <item x="3"/>
        <item x="4"/>
        <item x="5"/>
        <item x="6"/>
        <item x="7"/>
        <item h="1" x="8"/>
        <item t="default"/>
      </items>
    </pivotField>
    <pivotField axis="axisRow" compact="0" showAll="0" insertBlankRow="1" sortType="ascending">
      <items count="26">
        <item m="1" x="17"/>
        <item m="1" x="14"/>
        <item m="1" x="18"/>
        <item m="1" x="23"/>
        <item m="1" x="13"/>
        <item m="1" x="15"/>
        <item m="1" x="16"/>
        <item m="1" x="19"/>
        <item m="1" x="20"/>
        <item m="1" x="21"/>
        <item m="1" x="22"/>
        <item m="1" x="24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  <pivotField compact="0" showAll="0" defaultSubtotal="0"/>
    <pivotField compact="0" showAll="0" defaultSubtotal="0"/>
    <pivotField compact="0" showAll="0" defaultSubtotal="0"/>
    <pivotField compact="0" dragToRow="0" dragToCol="0" dragToPage="0" showAll="0" defaultSubtotal="0"/>
  </pivotFields>
  <rowFields count="1">
    <field x="14"/>
  </rowFields>
  <rowItems count="13"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 t="grand">
      <x/>
    </i>
  </rowItems>
  <colFields count="1">
    <field x="13"/>
  </colFields>
  <colItems count="8"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</colItems>
  <dataFields count="1">
    <dataField name="Suma de Promedio Activa" fld="5" baseField="14" baseItem="4" numFmtId="1"/>
  </dataFields>
  <formats count="28">
    <format dxfId="103">
      <pivotArea outline="0" collapsedLevelsAreSubtotals="1" fieldPosition="0"/>
    </format>
    <format dxfId="102">
      <pivotArea outline="0" collapsedLevelsAreSubtotals="1" fieldPosition="0"/>
    </format>
    <format dxfId="101">
      <pivotArea outline="0" collapsedLevelsAreSubtotals="1" fieldPosition="0"/>
    </format>
    <format dxfId="100">
      <pivotArea outline="0" collapsedLevelsAreSubtotals="1" fieldPosition="0"/>
    </format>
    <format dxfId="99">
      <pivotArea outline="0" collapsedLevelsAreSubtotals="1" fieldPosition="0"/>
    </format>
    <format dxfId="98">
      <pivotArea outline="0" collapsedLevelsAreSubtotals="1" fieldPosition="0"/>
    </format>
    <format dxfId="97">
      <pivotArea outline="0" collapsedLevelsAreSubtotals="1" fieldPosition="0"/>
    </format>
    <format dxfId="96">
      <pivotArea type="origin" dataOnly="0" labelOnly="1" outline="0" fieldPosition="0"/>
    </format>
    <format dxfId="95">
      <pivotArea field="14" type="button" dataOnly="0" labelOnly="1" outline="0" axis="axisRow" fieldPosition="0"/>
    </format>
    <format dxfId="94">
      <pivotArea dataOnly="0" labelOnly="1" outline="0" fieldPosition="0">
        <references count="1">
          <reference field="14" count="0"/>
        </references>
      </pivotArea>
    </format>
    <format dxfId="93">
      <pivotArea dataOnly="0" labelOnly="1" grandRow="1" outline="0" fieldPosition="0"/>
    </format>
    <format dxfId="92">
      <pivotArea outline="0" collapsedLevelsAreSubtotals="1" fieldPosition="0"/>
    </format>
    <format dxfId="91">
      <pivotArea field="13" type="button" dataOnly="0" labelOnly="1" outline="0" axis="axisCol" fieldPosition="0"/>
    </format>
    <format dxfId="90">
      <pivotArea type="topRight" dataOnly="0" labelOnly="1" outline="0" fieldPosition="0"/>
    </format>
    <format dxfId="89">
      <pivotArea dataOnly="0" labelOnly="1" outline="0" fieldPosition="0">
        <references count="1">
          <reference field="13" count="0"/>
        </references>
      </pivotArea>
    </format>
    <format dxfId="88">
      <pivotArea outline="0" fieldPosition="0">
        <references count="1">
          <reference field="4294967294" count="1">
            <x v="0"/>
          </reference>
        </references>
      </pivotArea>
    </format>
    <format dxfId="87">
      <pivotArea outline="0" fieldPosition="0">
        <references count="1">
          <reference field="4294967294" count="1">
            <x v="0"/>
          </reference>
        </references>
      </pivotArea>
    </format>
    <format dxfId="86">
      <pivotArea collapsedLevelsAreSubtotals="1" fieldPosition="0">
        <references count="1">
          <reference field="14" count="12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</reference>
        </references>
      </pivotArea>
    </format>
    <format dxfId="85">
      <pivotArea grandRow="1" outline="0" collapsedLevelsAreSubtotals="1" fieldPosition="0"/>
    </format>
    <format dxfId="84">
      <pivotArea type="all" dataOnly="0" outline="0" fieldPosition="0"/>
    </format>
    <format dxfId="83">
      <pivotArea outline="0" collapsedLevelsAreSubtotals="1" fieldPosition="0"/>
    </format>
    <format dxfId="82">
      <pivotArea dataOnly="0" labelOnly="1" outline="0" fieldPosition="0">
        <references count="1">
          <reference field="14" count="11">
            <x v="0"/>
            <x v="1"/>
            <x v="2"/>
            <x v="3"/>
            <x v="5"/>
            <x v="6"/>
            <x v="7"/>
            <x v="8"/>
            <x v="9"/>
            <x v="10"/>
            <x v="11"/>
          </reference>
        </references>
      </pivotArea>
    </format>
    <format dxfId="81">
      <pivotArea dataOnly="0" labelOnly="1" grandRow="1" outline="0" fieldPosition="0"/>
    </format>
    <format dxfId="80">
      <pivotArea dataOnly="0" labelOnly="1" outline="0" fieldPosition="0">
        <references count="1">
          <reference field="13" count="0"/>
        </references>
      </pivotArea>
    </format>
    <format dxfId="79">
      <pivotArea dataOnly="0" labelOnly="1" fieldPosition="0">
        <references count="1">
          <reference field="14" count="0"/>
        </references>
      </pivotArea>
    </format>
    <format dxfId="78">
      <pivotArea type="all" dataOnly="0" outline="0" fieldPosition="0"/>
    </format>
    <format dxfId="77">
      <pivotArea dataOnly="0" labelOnly="1" outline="0" fieldPosition="0">
        <references count="1">
          <reference field="13" count="10">
            <x v="5"/>
            <x v="6"/>
            <x v="7"/>
            <x v="8"/>
            <x v="9"/>
            <x v="10"/>
            <x v="11"/>
            <x v="12"/>
            <x v="13"/>
            <x v="14"/>
          </reference>
        </references>
      </pivotArea>
    </format>
    <format dxfId="76">
      <pivotArea type="all" dataOnly="0" outline="0" fieldPosition="0"/>
    </format>
  </formats>
  <conditionalFormats count="2">
    <conditionalFormat priority="10">
      <pivotAreas count="1">
        <pivotArea type="data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priority="7">
      <pivotAreas count="1">
        <pivotArea type="data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PivotStyleLight15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3000000}" name="TablaDinámica3" cacheId="3" applyNumberFormats="0" applyBorderFormats="0" applyFontFormats="0" applyPatternFormats="0" applyAlignmentFormats="0" applyWidthHeightFormats="1" dataCaption="Valores" missingCaption="NA" updatedVersion="8" minRefreshableVersion="3" colGrandTotals="0" itemPrintTitles="1" createdVersion="6" indent="0" outline="1" outlineData="1" multipleFieldFilters="0" chartFormat="1">
  <location ref="A20:I34" firstHeaderRow="1" firstDataRow="2" firstDataCol="1"/>
  <pivotFields count="28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 sortType="ascending">
      <items count="22">
        <item h="1" m="1" x="9"/>
        <item h="1" m="1" x="17"/>
        <item h="1" m="1" x="19"/>
        <item h="1" m="1" x="18"/>
        <item h="1" m="1" x="20"/>
        <item h="1" m="1" x="12"/>
        <item h="1" m="1" x="13"/>
        <item h="1" m="1" x="14"/>
        <item h="1" m="1" x="15"/>
        <item m="1" x="16"/>
        <item m="1" x="10"/>
        <item m="1" x="11"/>
        <item x="0"/>
        <item x="1"/>
        <item x="2"/>
        <item x="3"/>
        <item x="4"/>
        <item x="5"/>
        <item x="6"/>
        <item x="7"/>
        <item h="1" x="8"/>
        <item t="default"/>
      </items>
    </pivotField>
    <pivotField axis="axisRow" showAll="0" sortType="ascending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  <pivotField showAll="0"/>
    <pivotField numFmtId="1" showAll="0" defaultSubtotal="0"/>
    <pivotField showAll="0" defaultSubtotal="0"/>
    <pivotField showAll="0" defaultSubtotal="0"/>
    <pivotField showAll="0" defaultSubtotal="0"/>
    <pivotField numFmtId="1" showAll="0" defaultSubtotal="0"/>
    <pivotField numFmtId="1" showAll="0" defaultSubtotal="0"/>
    <pivotField numFmtId="1" showAll="0" defaultSubtotal="0"/>
    <pivotField numFmtId="1" showAll="0" defaultSubtotal="0"/>
    <pivotField numFmtId="1" showAll="0" defaultSubtotal="0"/>
    <pivotField numFmtId="1" showAll="0" defaultSubtotal="0"/>
    <pivotField showAll="0" defaultSubtotal="0"/>
    <pivotField dataField="1" showAll="0" defaultSubtotal="0"/>
  </pivotFields>
  <rowFields count="1">
    <field x="14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13"/>
  </colFields>
  <colItems count="8"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</colItems>
  <dataFields count="1">
    <dataField name="Suma de A + B + C" fld="27" baseField="14" baseItem="6"/>
  </dataFields>
  <formats count="14">
    <format dxfId="117">
      <pivotArea type="origin" dataOnly="0" labelOnly="1" outline="0" fieldPosition="0"/>
    </format>
    <format dxfId="116">
      <pivotArea field="14" type="button" dataOnly="0" labelOnly="1" outline="0" axis="axisRow" fieldPosition="0"/>
    </format>
    <format dxfId="115">
      <pivotArea dataOnly="0" labelOnly="1" fieldPosition="0">
        <references count="1">
          <reference field="14" count="0"/>
        </references>
      </pivotArea>
    </format>
    <format dxfId="114">
      <pivotArea dataOnly="0" labelOnly="1" grandRow="1" outline="0" fieldPosition="0"/>
    </format>
    <format dxfId="113">
      <pivotArea outline="0" collapsedLevelsAreSubtotals="1" fieldPosition="0"/>
    </format>
    <format dxfId="112">
      <pivotArea field="13" type="button" dataOnly="0" labelOnly="1" outline="0" axis="axisCol" fieldPosition="0"/>
    </format>
    <format dxfId="111">
      <pivotArea type="topRight" dataOnly="0" labelOnly="1" outline="0" fieldPosition="0"/>
    </format>
    <format dxfId="110">
      <pivotArea dataOnly="0" labelOnly="1" fieldPosition="0">
        <references count="1">
          <reference field="13" count="0"/>
        </references>
      </pivotArea>
    </format>
    <format dxfId="109">
      <pivotArea type="all" dataOnly="0" outline="0" fieldPosition="0"/>
    </format>
    <format dxfId="108">
      <pivotArea outline="0" collapsedLevelsAreSubtotals="1" fieldPosition="0"/>
    </format>
    <format dxfId="107">
      <pivotArea dataOnly="0" labelOnly="1" grandRow="1" outline="0" fieldPosition="0"/>
    </format>
    <format dxfId="106">
      <pivotArea dataOnly="0" labelOnly="1" fieldPosition="0">
        <references count="1">
          <reference field="13" count="0"/>
        </references>
      </pivotArea>
    </format>
    <format dxfId="105">
      <pivotArea dataOnly="0" labelOnly="1" fieldPosition="0">
        <references count="1">
          <reference field="14" count="0"/>
        </references>
      </pivotArea>
    </format>
    <format dxfId="104">
      <pivotArea type="all" dataOnly="0" outline="0" fieldPosition="0"/>
    </format>
  </formats>
  <conditionalFormats count="1">
    <conditionalFormat priority="1">
      <pivotAreas count="1">
        <pivotArea type="all" outline="0" fieldPosition="0"/>
      </pivotAreas>
    </conditionalFormat>
  </conditionalFormats>
  <pivotTableStyleInfo name="PivotStyleLight15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1000000}" name="Tabla dinámica3" cacheId="5" applyNumberFormats="0" applyBorderFormats="0" applyFontFormats="0" applyPatternFormats="0" applyAlignmentFormats="0" applyWidthHeightFormats="1" dataCaption="Valores" missingCaption="NA" updatedVersion="8" minRefreshableVersion="3" showCalcMbrs="0" colGrandTotals="0" itemPrintTitles="1" createdVersion="3" indent="0" compact="0" outline="1" outlineData="1" compactData="0" multipleFieldFilters="0" chartFormat="2">
  <location ref="A3:I17" firstHeaderRow="1" firstDataRow="2" firstDataCol="1"/>
  <pivotFields count="19">
    <pivotField compact="0" showAll="0"/>
    <pivotField compact="0" showAll="0"/>
    <pivotField compact="0" showAll="0"/>
    <pivotField compact="0" showAll="0"/>
    <pivotField dataField="1"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Col" compact="0" multipleItemSelectionAllowed="1" showAll="0" sortType="ascending">
      <items count="25">
        <item h="1" m="1" x="9"/>
        <item h="1" m="1" x="19"/>
        <item h="1" m="1" x="22"/>
        <item h="1" m="1" x="18"/>
        <item h="1" m="1" x="21"/>
        <item h="1" m="1" x="17"/>
        <item h="1" m="1" x="20"/>
        <item h="1" m="1" x="23"/>
        <item h="1" m="1" x="12"/>
        <item h="1" m="1" x="13"/>
        <item h="1" m="1" x="14"/>
        <item h="1" m="1" x="15"/>
        <item m="1" x="16"/>
        <item m="1" x="10"/>
        <item m="1" x="11"/>
        <item x="0"/>
        <item x="1"/>
        <item x="2"/>
        <item x="3"/>
        <item x="4"/>
        <item x="5"/>
        <item x="6"/>
        <item x="7"/>
        <item h="1" x="8"/>
        <item t="default"/>
      </items>
    </pivotField>
    <pivotField axis="axisRow" compact="0" showAll="0" sortType="ascending">
      <items count="26">
        <item m="1" x="17"/>
        <item m="1" x="14"/>
        <item m="1" x="18"/>
        <item m="1" x="23"/>
        <item m="1" x="13"/>
        <item m="1" x="15"/>
        <item m="1" x="16"/>
        <item m="1" x="19"/>
        <item m="1" x="20"/>
        <item m="1" x="21"/>
        <item m="1" x="22"/>
        <item m="1" x="24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  <pivotField compact="0" showAll="0" defaultSubtotal="0"/>
    <pivotField compact="0" showAll="0" defaultSubtotal="0"/>
    <pivotField compact="0" showAll="0" defaultSubtotal="0"/>
    <pivotField compact="0" dragToRow="0" dragToCol="0" dragToPage="0" showAll="0" defaultSubtotal="0"/>
  </pivotFields>
  <rowFields count="1">
    <field x="14"/>
  </rowFields>
  <rowItems count="13"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 t="grand">
      <x/>
    </i>
  </rowItems>
  <colFields count="1">
    <field x="13"/>
  </colFields>
  <colItems count="8"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</colItems>
  <dataFields count="1">
    <dataField name="Suma de Consumo Activa" fld="4" baseField="0" baseItem="0"/>
  </dataFields>
  <formats count="18">
    <format dxfId="135">
      <pivotArea outline="0" collapsedLevelsAreSubtotals="1" fieldPosition="0"/>
    </format>
    <format dxfId="134">
      <pivotArea type="origin" dataOnly="0" labelOnly="1" outline="0" fieldPosition="0"/>
    </format>
    <format dxfId="133">
      <pivotArea field="14" type="button" dataOnly="0" labelOnly="1" outline="0" axis="axisRow" fieldPosition="0"/>
    </format>
    <format dxfId="132">
      <pivotArea dataOnly="0" labelOnly="1" outline="0" fieldPosition="0">
        <references count="1">
          <reference field="14" count="0"/>
        </references>
      </pivotArea>
    </format>
    <format dxfId="131">
      <pivotArea dataOnly="0" labelOnly="1" grandRow="1" outline="0" fieldPosition="0"/>
    </format>
    <format dxfId="130">
      <pivotArea outline="0" collapsedLevelsAreSubtotals="1" fieldPosition="0"/>
    </format>
    <format dxfId="129">
      <pivotArea field="13" type="button" dataOnly="0" labelOnly="1" outline="0" axis="axisCol" fieldPosition="0"/>
    </format>
    <format dxfId="128">
      <pivotArea type="topRight" dataOnly="0" labelOnly="1" outline="0" fieldPosition="0"/>
    </format>
    <format dxfId="127">
      <pivotArea dataOnly="0" labelOnly="1" outline="0" fieldPosition="0">
        <references count="1">
          <reference field="13" count="0"/>
        </references>
      </pivotArea>
    </format>
    <format dxfId="126">
      <pivotArea type="all" dataOnly="0" outline="0" fieldPosition="0"/>
    </format>
    <format dxfId="125">
      <pivotArea outline="0" collapsedLevelsAreSubtotals="1" fieldPosition="0"/>
    </format>
    <format dxfId="124">
      <pivotArea dataOnly="0" labelOnly="1" outline="0" fieldPosition="0">
        <references count="1">
          <reference field="14" count="11">
            <x v="0"/>
            <x v="1"/>
            <x v="2"/>
            <x v="3"/>
            <x v="5"/>
            <x v="6"/>
            <x v="7"/>
            <x v="8"/>
            <x v="9"/>
            <x v="10"/>
            <x v="11"/>
          </reference>
        </references>
      </pivotArea>
    </format>
    <format dxfId="123">
      <pivotArea dataOnly="0" labelOnly="1" grandRow="1" outline="0" fieldPosition="0"/>
    </format>
    <format dxfId="122">
      <pivotArea dataOnly="0" labelOnly="1" outline="0" fieldPosition="0">
        <references count="1">
          <reference field="13" count="0"/>
        </references>
      </pivotArea>
    </format>
    <format dxfId="121">
      <pivotArea dataOnly="0" labelOnly="1" fieldPosition="0">
        <references count="1">
          <reference field="14" count="0"/>
        </references>
      </pivotArea>
    </format>
    <format dxfId="120">
      <pivotArea type="all" dataOnly="0" outline="0" fieldPosition="0"/>
    </format>
    <format dxfId="119">
      <pivotArea dataOnly="0" labelOnly="1" outline="0" fieldPosition="0">
        <references count="1">
          <reference field="13" count="10">
            <x v="5"/>
            <x v="6"/>
            <x v="7"/>
            <x v="8"/>
            <x v="9"/>
            <x v="10"/>
            <x v="11"/>
            <x v="12"/>
            <x v="13"/>
            <x v="14"/>
          </reference>
        </references>
      </pivotArea>
    </format>
    <format dxfId="118">
      <pivotArea type="all" dataOnly="0" outline="0" fieldPosition="0"/>
    </format>
  </formats>
  <conditionalFormats count="4">
    <conditionalFormat priority="8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14" count="12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1"/>
            </reference>
          </references>
        </pivotArea>
      </pivotAreas>
    </conditionalFormat>
    <conditionalFormat priority="11">
      <pivotAreas count="1">
        <pivotArea type="data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priority="6">
      <pivotAreas count="1">
        <pivotArea type="data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type="all" priority="20">
      <pivotAreas count="1">
        <pivotArea type="data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chartFormats count="11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3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4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5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6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7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8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9"/>
          </reference>
        </references>
      </pivotArea>
    </chartFormat>
    <chartFormat chart="1" format="7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10"/>
          </reference>
        </references>
      </pivotArea>
    </chartFormat>
    <chartFormat chart="1" format="8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11"/>
          </reference>
        </references>
      </pivotArea>
    </chartFormat>
    <chartFormat chart="1" format="9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12"/>
          </reference>
        </references>
      </pivotArea>
    </chartFormat>
    <chartFormat chart="1" format="10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13"/>
          </reference>
        </references>
      </pivotArea>
    </chartFormat>
  </chartFormats>
  <pivotTableStyleInfo name="PivotStyleLight15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0000000}" name="TablaDinámica1" cacheId="5" applyNumberFormats="0" applyBorderFormats="0" applyFontFormats="0" applyPatternFormats="0" applyAlignmentFormats="0" applyWidthHeightFormats="1" dataCaption="Valores" missingCaption="NA" updatedVersion="8" minRefreshableVersion="3" showCalcMbrs="0" colGrandTotals="0" itemPrintTitles="1" createdVersion="3" indent="0" compact="0" outline="1" outlineData="1" compactData="0" multipleFieldFilters="0" chartFormat="2">
  <location ref="A55:I69" firstHeaderRow="1" firstDataRow="2" firstDataCol="1"/>
  <pivotFields count="19">
    <pivotField compact="0" showAll="0"/>
    <pivotField compact="0" showAll="0"/>
    <pivotField compact="0" showAll="0"/>
    <pivotField compact="0" showAll="0"/>
    <pivotField dataField="1"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Col" compact="0" multipleItemSelectionAllowed="1" showAll="0" sortType="ascending">
      <items count="25">
        <item h="1" m="1" x="9"/>
        <item h="1" m="1" x="19"/>
        <item h="1" m="1" x="22"/>
        <item h="1" m="1" x="18"/>
        <item h="1" m="1" x="21"/>
        <item h="1" m="1" x="17"/>
        <item h="1" m="1" x="20"/>
        <item h="1" m="1" x="23"/>
        <item h="1" m="1" x="12"/>
        <item h="1" m="1" x="13"/>
        <item h="1" m="1" x="14"/>
        <item h="1" m="1" x="15"/>
        <item m="1" x="16"/>
        <item m="1" x="10"/>
        <item m="1" x="11"/>
        <item x="0"/>
        <item x="1"/>
        <item x="2"/>
        <item x="3"/>
        <item x="4"/>
        <item x="5"/>
        <item x="6"/>
        <item x="7"/>
        <item h="1" x="8"/>
        <item t="default"/>
      </items>
    </pivotField>
    <pivotField axis="axisRow" compact="0" showAll="0" sortType="ascending">
      <items count="26">
        <item m="1" x="17"/>
        <item m="1" x="14"/>
        <item m="1" x="18"/>
        <item m="1" x="23"/>
        <item m="1" x="13"/>
        <item m="1" x="15"/>
        <item m="1" x="16"/>
        <item m="1" x="19"/>
        <item m="1" x="20"/>
        <item m="1" x="21"/>
        <item m="1" x="22"/>
        <item m="1" x="24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  <pivotField compact="0" showAll="0" defaultSubtotal="0"/>
    <pivotField compact="0" showAll="0" defaultSubtotal="0"/>
    <pivotField compact="0" showAll="0" defaultSubtotal="0"/>
    <pivotField compact="0" dragToRow="0" dragToCol="0" dragToPage="0" showAll="0" defaultSubtotal="0"/>
  </pivotFields>
  <rowFields count="1">
    <field x="14"/>
  </rowFields>
  <rowItems count="13"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 t="grand">
      <x/>
    </i>
  </rowItems>
  <colFields count="1">
    <field x="13"/>
  </colFields>
  <colItems count="8"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</colItems>
  <dataFields count="1">
    <dataField name="Suma de Consumo Activa" fld="4" baseField="0" baseItem="0"/>
  </dataFields>
  <formats count="28">
    <format dxfId="28">
      <pivotArea outline="0" collapsedLevelsAreSubtotals="1" fieldPosition="0"/>
    </format>
    <format dxfId="27">
      <pivotArea type="origin" dataOnly="0" labelOnly="1" outline="0" fieldPosition="0"/>
    </format>
    <format dxfId="26">
      <pivotArea field="14" type="button" dataOnly="0" labelOnly="1" outline="0" axis="axisRow" fieldPosition="0"/>
    </format>
    <format dxfId="25">
      <pivotArea dataOnly="0" labelOnly="1" outline="0" fieldPosition="0">
        <references count="1">
          <reference field="14" count="0"/>
        </references>
      </pivotArea>
    </format>
    <format dxfId="24">
      <pivotArea dataOnly="0" labelOnly="1" grandRow="1" outline="0" fieldPosition="0"/>
    </format>
    <format dxfId="23">
      <pivotArea outline="0" collapsedLevelsAreSubtotals="1" fieldPosition="0"/>
    </format>
    <format dxfId="22">
      <pivotArea field="13" type="button" dataOnly="0" labelOnly="1" outline="0" axis="axisCol" fieldPosition="0"/>
    </format>
    <format dxfId="21">
      <pivotArea type="topRight" dataOnly="0" labelOnly="1" outline="0" fieldPosition="0"/>
    </format>
    <format dxfId="20">
      <pivotArea dataOnly="0" labelOnly="1" outline="0" fieldPosition="0">
        <references count="1">
          <reference field="13" count="0"/>
        </references>
      </pivotArea>
    </format>
    <format dxfId="19">
      <pivotArea dataOnly="0" labelOnly="1" grandRow="1" outline="0" fieldPosition="0"/>
    </format>
    <format dxfId="18">
      <pivotArea grandRow="1" outline="0" collapsedLevelsAreSubtotals="1" fieldPosition="0"/>
    </format>
    <format dxfId="17">
      <pivotArea dataOnly="0" labelOnly="1" grandRow="1" outline="0" fieldPosition="0"/>
    </format>
    <format dxfId="16">
      <pivotArea type="all" dataOnly="0" outline="0" fieldPosition="0"/>
    </format>
    <format dxfId="15">
      <pivotArea outline="0" collapsedLevelsAreSubtotals="1" fieldPosition="0"/>
    </format>
    <format dxfId="14">
      <pivotArea dataOnly="0" labelOnly="1" outline="0" fieldPosition="0">
        <references count="1">
          <reference field="14" count="11">
            <x v="0"/>
            <x v="1"/>
            <x v="2"/>
            <x v="3"/>
            <x v="5"/>
            <x v="6"/>
            <x v="7"/>
            <x v="8"/>
            <x v="9"/>
            <x v="10"/>
            <x v="11"/>
          </reference>
        </references>
      </pivotArea>
    </format>
    <format dxfId="13">
      <pivotArea dataOnly="0" labelOnly="1" grandRow="1" outline="0" fieldPosition="0"/>
    </format>
    <format dxfId="12">
      <pivotArea dataOnly="0" labelOnly="1" outline="0" fieldPosition="0">
        <references count="1">
          <reference field="13" count="0"/>
        </references>
      </pivotArea>
    </format>
    <format dxfId="11">
      <pivotArea type="all" dataOnly="0" outline="0" fieldPosition="0"/>
    </format>
    <format dxfId="10">
      <pivotArea dataOnly="0" labelOnly="1" grandRow="1" outline="0" fieldPosition="0"/>
    </format>
    <format dxfId="9">
      <pivotArea dataOnly="0" fieldPosition="0">
        <references count="1">
          <reference field="14" count="1">
            <x v="12"/>
          </reference>
        </references>
      </pivotArea>
    </format>
    <format dxfId="8">
      <pivotArea fieldPosition="0">
        <references count="1">
          <reference field="14" count="1">
            <x v="12"/>
          </reference>
        </references>
      </pivotArea>
    </format>
    <format dxfId="7">
      <pivotArea fieldPosition="0">
        <references count="1">
          <reference field="14" count="1">
            <x v="12"/>
          </reference>
        </references>
      </pivotArea>
    </format>
    <format dxfId="6">
      <pivotArea grandRow="1" outline="0" collapsedLevelsAreSubtotals="1" fieldPosition="0"/>
    </format>
    <format dxfId="5">
      <pivotArea dataOnly="0" labelOnly="1" grandRow="1" outline="0" fieldPosition="0"/>
    </format>
    <format dxfId="4">
      <pivotArea type="all" dataOnly="0" outline="0" fieldPosition="0"/>
    </format>
    <format dxfId="3">
      <pivotArea dataOnly="0" labelOnly="1" outline="0" fieldPosition="0">
        <references count="1">
          <reference field="13" count="0"/>
        </references>
      </pivotArea>
    </format>
    <format dxfId="2">
      <pivotArea type="topRight" dataOnly="0" labelOnly="1" outline="0" fieldPosition="0"/>
    </format>
    <format dxfId="1">
      <pivotArea dataOnly="0" labelOnly="1" outline="0" fieldPosition="0">
        <references count="1">
          <reference field="13" count="6">
            <x v="10"/>
            <x v="11"/>
            <x v="12"/>
            <x v="13"/>
            <x v="14"/>
            <x v="15"/>
          </reference>
        </references>
      </pivotArea>
    </format>
  </formats>
  <conditionalFormats count="3">
    <conditionalFormat priority="7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14" count="12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1"/>
            </reference>
          </references>
        </pivotArea>
      </pivotAreas>
    </conditionalFormat>
    <conditionalFormat priority="4">
      <pivotAreas count="1">
        <pivotArea type="data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type="all" priority="14">
      <pivotAreas count="1">
        <pivotArea type="data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chartFormats count="11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3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4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5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6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7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8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9"/>
          </reference>
        </references>
      </pivotArea>
    </chartFormat>
    <chartFormat chart="1" format="7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10"/>
          </reference>
        </references>
      </pivotArea>
    </chartFormat>
    <chartFormat chart="1" format="8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11"/>
          </reference>
        </references>
      </pivotArea>
    </chartFormat>
    <chartFormat chart="1" format="9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12"/>
          </reference>
        </references>
      </pivotArea>
    </chartFormat>
    <chartFormat chart="1" format="10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13"/>
          </reference>
        </references>
      </pivotArea>
    </chartFormat>
  </chartFormats>
  <pivotTableStyleInfo name="PivotStyleLight15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1000000}" name="TablaDinámica5" cacheId="5" applyNumberFormats="0" applyBorderFormats="0" applyFontFormats="0" applyPatternFormats="0" applyAlignmentFormats="0" applyWidthHeightFormats="1" dataCaption="Valores" updatedVersion="8" minRefreshableVersion="3" showCalcMbrs="0" rowGrandTotals="0" itemPrintTitles="1" createdVersion="3" indent="0" outline="1" outlineData="1" multipleFieldFilters="0" chartFormat="4" rowHeaderCaption="Año">
  <location ref="B3:J12" firstHeaderRow="1" firstDataRow="2" firstDataCol="1"/>
  <pivotFields count="19">
    <pivotField showAll="0" defaultSubtotal="0"/>
    <pivotField showAll="0" defaultSubtotal="0"/>
    <pivotField dataField="1" showAll="0"/>
    <pivotField dataField="1" showAll="0"/>
    <pivotField dataField="1" showAll="0"/>
    <pivotField showAll="0"/>
    <pivotField dataField="1" showAll="0"/>
    <pivotField showAll="0"/>
    <pivotField showAll="0" defaultSubtotal="0"/>
    <pivotField showAll="0" defaultSubtotal="0"/>
    <pivotField dataField="1" showAll="0" defaultSubtotal="0"/>
    <pivotField showAll="0" defaultSubtotal="0"/>
    <pivotField showAll="0" defaultSubtotal="0"/>
    <pivotField axis="axisRow" showAll="0" sortType="ascending" defaultSubtotal="0">
      <items count="24">
        <item h="1" m="1" x="9"/>
        <item h="1" m="1" x="19"/>
        <item h="1" m="1" x="22"/>
        <item h="1" m="1" x="18"/>
        <item h="1" m="1" x="21"/>
        <item h="1" m="1" x="17"/>
        <item h="1" m="1" x="20"/>
        <item h="1" m="1" x="23"/>
        <item h="1" m="1" x="12"/>
        <item h="1" m="1" x="13"/>
        <item h="1" m="1" x="14"/>
        <item h="1" m="1" x="15"/>
        <item m="1" x="16"/>
        <item m="1" x="10"/>
        <item m="1" x="11"/>
        <item x="0"/>
        <item x="1"/>
        <item x="2"/>
        <item x="3"/>
        <item x="4"/>
        <item x="5"/>
        <item x="6"/>
        <item x="7"/>
        <item h="1" x="8"/>
      </items>
    </pivotField>
    <pivotField showAll="0" defaultSubtotal="0"/>
    <pivotField showAll="0" defaultSubtotal="0"/>
    <pivotField dataField="1" showAll="0" defaultSubtotal="0"/>
    <pivotField showAll="0" defaultSubtotal="0"/>
    <pivotField dataField="1" dragToRow="0" dragToCol="0" dragToPage="0" showAll="0" defaultSubtotal="0"/>
  </pivotFields>
  <rowFields count="1">
    <field x="13"/>
  </rowFields>
  <rowItems count="8"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</rowItems>
  <colFields count="1">
    <field x="-2"/>
  </colFields>
  <colItems count="8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</colItems>
  <dataFields count="8">
    <dataField name="Mín de Fecha inicio" fld="2" subtotal="min" baseField="13" baseItem="0" numFmtId="14"/>
    <dataField name="Máx de Fecha fin" fld="3" subtotal="max" baseField="0" baseItem="0" numFmtId="14"/>
    <dataField name="Suma de Consumo Activa" fld="4" baseField="0" baseItem="0"/>
    <dataField name="Suma de Consumo Reactiva" fld="6" baseField="0" baseItem="0"/>
    <dataField name="Máx de Maxímetro" fld="10" subtotal="max" baseField="0" baseItem="0" numFmtId="1"/>
    <dataField name="Periodos facturados" fld="4" subtotal="count" baseField="0" baseItem="0"/>
    <dataField name="Suma de Días" fld="16" baseField="0" baseItem="0"/>
    <dataField name="Suma de Promedio consumo por día" fld="18" baseField="0" baseItem="0" numFmtId="1"/>
  </dataFields>
  <formats count="35">
    <format dxfId="63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62">
      <pivotArea type="all" dataOnly="0" outline="0" fieldPosition="0"/>
    </format>
    <format dxfId="61">
      <pivotArea type="all" dataOnly="0" outline="0" fieldPosition="0"/>
    </format>
    <format dxfId="60">
      <pivotArea outline="0" collapsedLevelsAreSubtotals="1" fieldPosition="0">
        <references count="1">
          <reference field="4294967294" count="1" selected="0">
            <x v="4"/>
          </reference>
        </references>
      </pivotArea>
    </format>
    <format dxfId="59">
      <pivotArea outline="0" collapsedLevelsAreSubtotals="1" fieldPosition="0">
        <references count="1">
          <reference field="4294967294" count="1" selected="0">
            <x v="4"/>
          </reference>
        </references>
      </pivotArea>
    </format>
    <format dxfId="58">
      <pivotArea type="origin" dataOnly="0" labelOnly="1" outline="0" fieldPosition="0"/>
    </format>
    <format dxfId="57">
      <pivotArea field="-2" type="button" dataOnly="0" labelOnly="1" outline="0" axis="axisCol" fieldPosition="0"/>
    </format>
    <format dxfId="56">
      <pivotArea type="topRight" dataOnly="0" labelOnly="1" outline="0" fieldPosition="0"/>
    </format>
    <format dxfId="55">
      <pivotArea field="13" type="button" dataOnly="0" labelOnly="1" outline="0" axis="axisRow" fieldPosition="0"/>
    </format>
    <format dxfId="54">
      <pivotArea type="all" dataOnly="0" outline="0" fieldPosition="0"/>
    </format>
    <format dxfId="53">
      <pivotArea outline="0" collapsedLevelsAreSubtotals="1" fieldPosition="0"/>
    </format>
    <format dxfId="52">
      <pivotArea dataOnly="0" labelOnly="1" fieldPosition="0">
        <references count="1">
          <reference field="13" count="0"/>
        </references>
      </pivotArea>
    </format>
    <format dxfId="51">
      <pivotArea dataOnly="0" labelOnly="1" outline="0" fieldPosition="0">
        <references count="1">
          <reference field="4294967294" count="7">
            <x v="0"/>
            <x v="1"/>
            <x v="2"/>
            <x v="3"/>
            <x v="4"/>
            <x v="5"/>
            <x v="6"/>
          </reference>
        </references>
      </pivotArea>
    </format>
    <format dxfId="50">
      <pivotArea outline="0" collapsedLevelsAreSubtotals="1" fieldPosition="0">
        <references count="1">
          <reference field="4294967294" count="1" selected="0">
            <x v="7"/>
          </reference>
        </references>
      </pivotArea>
    </format>
    <format dxfId="49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48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47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46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45">
      <pivotArea field="13" type="button" dataOnly="0" labelOnly="1" outline="0" axis="axisRow" fieldPosition="0"/>
    </format>
    <format dxfId="44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43">
      <pivotArea dataOnly="0" labelOnly="1" fieldPosition="0">
        <references count="1">
          <reference field="4294967294" count="0"/>
        </references>
      </pivotArea>
    </format>
    <format dxfId="42">
      <pivotArea field="-2" type="button" dataOnly="0" labelOnly="1" outline="0" axis="axisCol" fieldPosition="0"/>
    </format>
    <format dxfId="41">
      <pivotArea field="13" type="button" dataOnly="0" labelOnly="1" outline="0" axis="axisRow" fieldPosition="0"/>
    </format>
    <format dxfId="40">
      <pivotArea field="13" type="button" dataOnly="0" labelOnly="1" outline="0" axis="axisRow" fieldPosition="0"/>
    </format>
    <format dxfId="39">
      <pivotArea field="13" type="button" dataOnly="0" labelOnly="1" outline="0" axis="axisRow" fieldPosition="0"/>
    </format>
    <format dxfId="38">
      <pivotArea field="13" type="button" dataOnly="0" labelOnly="1" outline="0" axis="axisRow" fieldPosition="0"/>
    </format>
    <format dxfId="37">
      <pivotArea field="13" type="button" dataOnly="0" labelOnly="1" outline="0" axis="axisRow" fieldPosition="0"/>
    </format>
    <format dxfId="36">
      <pivotArea field="13" type="button" dataOnly="0" labelOnly="1" outline="0" axis="axisRow" fieldPosition="0"/>
    </format>
    <format dxfId="35">
      <pivotArea field="13" type="button" dataOnly="0" labelOnly="1" outline="0" axis="axisRow" fieldPosition="0"/>
    </format>
    <format dxfId="34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33">
      <pivotArea dataOnly="0" fieldPosition="0">
        <references count="1">
          <reference field="13" count="0"/>
        </references>
      </pivotArea>
    </format>
    <format dxfId="32">
      <pivotArea field="13" type="button" dataOnly="0" labelOnly="1" outline="0" axis="axisRow" fieldPosition="0"/>
    </format>
    <format dxfId="31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30">
      <pivotArea type="all" dataOnly="0" outline="0" fieldPosition="0"/>
    </format>
    <format dxfId="29">
      <pivotArea type="all" dataOnly="0" outline="0" fieldPosition="0"/>
    </format>
  </formats>
  <conditionalFormats count="4">
    <conditionalFormat scope="data" priority="3">
      <pivotAreas count="1">
        <pivotArea outline="0" fieldPosition="0">
          <references count="1">
            <reference field="4294967294" count="1" selected="0">
              <x v="7"/>
            </reference>
          </references>
        </pivotArea>
      </pivotAreas>
    </conditionalFormat>
    <conditionalFormat scope="data" priority="9">
      <pivotAreas count="1">
        <pivotArea outline="0" fieldPosition="0">
          <references count="1">
            <reference field="4294967294" count="1" selected="0">
              <x v="3"/>
            </reference>
          </references>
        </pivotArea>
      </pivotAreas>
    </conditionalFormat>
    <conditionalFormat priority="1">
      <pivotAreas count="1">
        <pivotArea type="data" outline="0" collapsedLevelsAreSubtotals="1" fieldPosition="0">
          <references count="1">
            <reference field="4294967294" count="1" selected="0">
              <x v="4"/>
            </reference>
          </references>
        </pivotArea>
      </pivotAreas>
    </conditionalFormat>
    <conditionalFormat priority="2">
      <pivotAreas count="1">
        <pivotArea type="data" outline="0" collapsedLevelsAreSubtotals="1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0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0" format="5" series="1">
      <pivotArea type="data" outline="0" fieldPosition="0">
        <references count="1">
          <reference field="4294967294" count="1" selected="0">
            <x v="5"/>
          </reference>
        </references>
      </pivotArea>
    </chartFormat>
  </chartFormats>
  <pivotTableStyleInfo name="PivotStyleLight15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" xr10:uid="{00000000-0013-0000-FFFF-FFFF01000000}" sourceName="Mes">
  <pivotTables>
    <pivotTable tabId="10" name="Tabla dinámica1"/>
  </pivotTables>
  <data>
    <tabular pivotCacheId="3">
      <items count="25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7" s="1" nd="1"/>
        <i x="14" s="1" nd="1"/>
        <i x="18" s="1" nd="1"/>
        <i x="23" s="1" nd="1"/>
        <i x="13" s="1" nd="1"/>
        <i x="15" s="1" nd="1"/>
        <i x="16" s="1" nd="1"/>
        <i x="19" s="1" nd="1"/>
        <i x="20" s="1" nd="1"/>
        <i x="21" s="1" nd="1"/>
        <i x="22" s="1" nd="1"/>
        <i x="24" s="1" nd="1"/>
        <i x="12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" xr10:uid="{00000000-0014-0000-FFFF-FFFF01000000}" cache="SegmentaciónDeDatos_Mes" caption="Mes" columnCount="4" style="SlicerStyleOther1" rowHeight="180000"/>
</slicer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3" Type="http://schemas.openxmlformats.org/officeDocument/2006/relationships/pivotTable" Target="../pivotTables/pivotTable3.xml"/><Relationship Id="rId7" Type="http://schemas.openxmlformats.org/officeDocument/2006/relationships/ctrlProp" Target="../ctrlProps/ctrlProp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4.bin"/><Relationship Id="rId9" Type="http://schemas.microsoft.com/office/2007/relationships/slicer" Target="../slicers/slicer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xml"/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Relationship Id="rId6" Type="http://schemas.openxmlformats.org/officeDocument/2006/relationships/drawing" Target="../drawings/drawing2.xml"/><Relationship Id="rId5" Type="http://schemas.openxmlformats.org/officeDocument/2006/relationships/printerSettings" Target="../printerSettings/printerSettings5.bin"/><Relationship Id="rId4" Type="http://schemas.openxmlformats.org/officeDocument/2006/relationships/pivotTable" Target="../pivotTables/pivotTable7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pivotTable" Target="../pivotTables/pivotTable9.xml"/><Relationship Id="rId1" Type="http://schemas.openxmlformats.org/officeDocument/2006/relationships/pivotTable" Target="../pivotTables/pivotTable8.xml"/><Relationship Id="rId6" Type="http://schemas.openxmlformats.org/officeDocument/2006/relationships/ctrlProp" Target="../ctrlProps/ctrlProp3.xml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7.xml"/><Relationship Id="rId12" Type="http://schemas.openxmlformats.org/officeDocument/2006/relationships/ctrlProp" Target="../ctrlProps/ctrlProp12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6.xml"/><Relationship Id="rId11" Type="http://schemas.openxmlformats.org/officeDocument/2006/relationships/ctrlProp" Target="../ctrlProps/ctrlProp11.xml"/><Relationship Id="rId5" Type="http://schemas.openxmlformats.org/officeDocument/2006/relationships/ctrlProp" Target="../ctrlProps/ctrlProp5.xml"/><Relationship Id="rId10" Type="http://schemas.openxmlformats.org/officeDocument/2006/relationships/ctrlProp" Target="../ctrlProps/ctrlProp10.xml"/><Relationship Id="rId4" Type="http://schemas.openxmlformats.org/officeDocument/2006/relationships/ctrlProp" Target="../ctrlProps/ctrlProp4.xml"/><Relationship Id="rId9" Type="http://schemas.openxmlformats.org/officeDocument/2006/relationships/ctrlProp" Target="../ctrlProps/ctrlProp9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theme="6"/>
  </sheetPr>
  <dimension ref="A1:AT1"/>
  <sheetViews>
    <sheetView tabSelected="1" workbookViewId="0">
      <selection activeCell="I7" sqref="I7"/>
    </sheetView>
  </sheetViews>
  <sheetFormatPr baseColWidth="10" defaultRowHeight="14.4" x14ac:dyDescent="0.3"/>
  <sheetData>
    <row r="1" spans="1:46" x14ac:dyDescent="0.3">
      <c r="A1" s="115" t="s">
        <v>110</v>
      </c>
      <c r="B1" s="115" t="s">
        <v>111</v>
      </c>
      <c r="C1" s="115" t="s">
        <v>112</v>
      </c>
      <c r="D1" t="s">
        <v>113</v>
      </c>
      <c r="E1" s="115" t="s">
        <v>114</v>
      </c>
      <c r="F1" s="115" t="s">
        <v>115</v>
      </c>
      <c r="G1" s="115" t="s">
        <v>116</v>
      </c>
      <c r="H1" s="115" t="s">
        <v>57</v>
      </c>
      <c r="I1" t="s">
        <v>117</v>
      </c>
      <c r="J1" s="115" t="s">
        <v>118</v>
      </c>
      <c r="K1" t="s">
        <v>119</v>
      </c>
      <c r="L1" s="115" t="s">
        <v>120</v>
      </c>
      <c r="M1" t="s">
        <v>121</v>
      </c>
      <c r="N1" t="s">
        <v>122</v>
      </c>
      <c r="O1" t="s">
        <v>123</v>
      </c>
      <c r="P1" s="115" t="s">
        <v>124</v>
      </c>
      <c r="Q1" s="115" t="s">
        <v>125</v>
      </c>
      <c r="R1" s="115" t="s">
        <v>126</v>
      </c>
      <c r="S1" s="115" t="s">
        <v>127</v>
      </c>
      <c r="T1" s="115" t="s">
        <v>128</v>
      </c>
      <c r="U1" s="115" t="s">
        <v>129</v>
      </c>
      <c r="V1" s="115" t="s">
        <v>130</v>
      </c>
      <c r="W1" s="115" t="s">
        <v>131</v>
      </c>
      <c r="X1" s="115" t="s">
        <v>132</v>
      </c>
      <c r="Y1" s="115" t="s">
        <v>133</v>
      </c>
      <c r="Z1" s="115" t="s">
        <v>134</v>
      </c>
      <c r="AA1" s="115" t="s">
        <v>135</v>
      </c>
      <c r="AB1" t="s">
        <v>136</v>
      </c>
      <c r="AC1" t="s">
        <v>137</v>
      </c>
      <c r="AD1" t="s">
        <v>138</v>
      </c>
      <c r="AE1" t="s">
        <v>139</v>
      </c>
      <c r="AF1" t="s">
        <v>140</v>
      </c>
      <c r="AG1" t="s">
        <v>141</v>
      </c>
      <c r="AH1" t="s">
        <v>142</v>
      </c>
      <c r="AI1" t="s">
        <v>143</v>
      </c>
      <c r="AJ1" t="s">
        <v>144</v>
      </c>
      <c r="AK1" t="s">
        <v>145</v>
      </c>
      <c r="AL1" t="s">
        <v>146</v>
      </c>
      <c r="AM1" t="s">
        <v>147</v>
      </c>
      <c r="AN1" t="s">
        <v>148</v>
      </c>
      <c r="AO1" t="s">
        <v>149</v>
      </c>
      <c r="AP1" t="s">
        <v>150</v>
      </c>
      <c r="AQ1" t="s">
        <v>151</v>
      </c>
      <c r="AR1" t="s">
        <v>152</v>
      </c>
      <c r="AS1" t="s">
        <v>153</v>
      </c>
      <c r="AT1" t="s">
        <v>164</v>
      </c>
    </row>
  </sheetData>
  <phoneticPr fontId="34" type="noConversion"/>
  <conditionalFormatting sqref="F2:F1048576">
    <cfRule type="cellIs" dxfId="223" priority="15" operator="equal">
      <formula>"s"</formula>
    </cfRule>
  </conditionalFormatting>
  <conditionalFormatting sqref="G18:G19">
    <cfRule type="duplicateValues" dxfId="222" priority="13"/>
  </conditionalFormatting>
  <conditionalFormatting sqref="G20:G1048576 G2:G17">
    <cfRule type="duplicateValues" dxfId="221" priority="20"/>
  </conditionalFormatting>
  <conditionalFormatting sqref="G55:G57">
    <cfRule type="duplicateValues" dxfId="220" priority="10"/>
  </conditionalFormatting>
  <conditionalFormatting sqref="G18:H19">
    <cfRule type="duplicateValues" dxfId="219" priority="17"/>
  </conditionalFormatting>
  <conditionalFormatting sqref="G20:H1048576 G2:H17">
    <cfRule type="duplicateValues" dxfId="218" priority="22"/>
  </conditionalFormatting>
  <conditionalFormatting sqref="H18:H19">
    <cfRule type="duplicateValues" dxfId="217" priority="14"/>
  </conditionalFormatting>
  <conditionalFormatting sqref="H20:H1048576 H2:H17">
    <cfRule type="duplicateValues" dxfId="216" priority="21"/>
  </conditionalFormatting>
  <conditionalFormatting sqref="Q2:Q1048576">
    <cfRule type="cellIs" dxfId="215" priority="16" operator="lessThan">
      <formula>0</formula>
    </cfRule>
  </conditionalFormatting>
  <conditionalFormatting sqref="AB2:AG79">
    <cfRule type="cellIs" dxfId="214" priority="11" operator="greaterThan">
      <formula>0</formula>
    </cfRule>
  </conditionalFormatting>
  <conditionalFormatting sqref="AH2:AM79">
    <cfRule type="cellIs" dxfId="213" priority="12" operator="lessThan">
      <formula>0</formula>
    </cfRule>
    <cfRule type="cellIs" dxfId="212" priority="18" operator="equal">
      <formula>0</formula>
    </cfRule>
    <cfRule type="cellIs" dxfId="211" priority="19" operator="greaterThan">
      <formula>0</formula>
    </cfRule>
  </conditionalFormatting>
  <conditionalFormatting sqref="F1">
    <cfRule type="cellIs" dxfId="210" priority="3" operator="equal">
      <formula>"s"</formula>
    </cfRule>
  </conditionalFormatting>
  <conditionalFormatting sqref="G1">
    <cfRule type="duplicateValues" dxfId="209" priority="7"/>
  </conditionalFormatting>
  <conditionalFormatting sqref="G1:H1">
    <cfRule type="duplicateValues" dxfId="208" priority="9"/>
  </conditionalFormatting>
  <conditionalFormatting sqref="H1">
    <cfRule type="duplicateValues" dxfId="207" priority="8"/>
  </conditionalFormatting>
  <conditionalFormatting sqref="Q1">
    <cfRule type="cellIs" dxfId="206" priority="4" operator="lessThan">
      <formula>0</formula>
    </cfRule>
  </conditionalFormatting>
  <conditionalFormatting sqref="AB1:AG1">
    <cfRule type="cellIs" dxfId="205" priority="1" operator="greaterThan">
      <formula>0</formula>
    </cfRule>
  </conditionalFormatting>
  <conditionalFormatting sqref="AH1:AM1">
    <cfRule type="cellIs" dxfId="204" priority="2" operator="lessThan">
      <formula>0</formula>
    </cfRule>
    <cfRule type="cellIs" dxfId="203" priority="5" operator="equal">
      <formula>0</formula>
    </cfRule>
    <cfRule type="cellIs" dxfId="202" priority="6" operator="greaterThan">
      <formula>0</formula>
    </cfRule>
  </conditionalFormatting>
  <dataValidations count="1">
    <dataValidation type="custom" operator="equal" allowBlank="1" showInputMessage="1" showErrorMessage="1" sqref="F1:F1048576" xr:uid="{5F7FA10C-E6B3-4B66-AB3B-B697C8E53966}">
      <formula1>"S"</formula1>
    </dataValidation>
  </dataValidations>
  <pageMargins left="0.7" right="0.7" top="0.75" bottom="0.75" header="0.3" footer="0.3"/>
  <pageSetup paperSize="9" orientation="portrait" r:id="rId1"/>
  <headerFooter>
    <oddHeader>&amp;C&amp;"Arial"&amp;8&amp;K000000INTERNAL&amp;1#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BD300"/>
  <sheetViews>
    <sheetView workbookViewId="0"/>
  </sheetViews>
  <sheetFormatPr baseColWidth="10" defaultRowHeight="14.4" x14ac:dyDescent="0.3"/>
  <cols>
    <col min="1" max="1" width="23.44140625" bestFit="1" customWidth="1"/>
    <col min="2" max="2" width="23.44140625" customWidth="1"/>
    <col min="3" max="3" width="25.44140625" bestFit="1" customWidth="1"/>
    <col min="4" max="4" width="19.88671875" bestFit="1" customWidth="1"/>
    <col min="5" max="5" width="12" style="18" bestFit="1" customWidth="1"/>
    <col min="6" max="6" width="11.33203125" style="18" bestFit="1" customWidth="1"/>
    <col min="7" max="7" width="18.6640625" bestFit="1" customWidth="1"/>
    <col min="8" max="8" width="25" bestFit="1" customWidth="1"/>
    <col min="9" max="9" width="23.44140625" bestFit="1" customWidth="1"/>
    <col min="10" max="10" width="18" bestFit="1" customWidth="1"/>
    <col min="11" max="11" width="17.33203125" bestFit="1" customWidth="1"/>
    <col min="12" max="12" width="17.109375" bestFit="1" customWidth="1"/>
    <col min="13" max="13" width="22.33203125" bestFit="1" customWidth="1"/>
    <col min="14" max="15" width="11.88671875" bestFit="1" customWidth="1"/>
    <col min="16" max="16" width="11.88671875" style="17" customWidth="1"/>
    <col min="17" max="22" width="18.33203125" bestFit="1" customWidth="1"/>
    <col min="23" max="23" width="18.33203125" style="17" customWidth="1"/>
    <col min="24" max="24" width="29.6640625" bestFit="1" customWidth="1"/>
    <col min="25" max="25" width="29" bestFit="1" customWidth="1"/>
    <col min="26" max="26" width="28.88671875" bestFit="1" customWidth="1"/>
    <col min="27" max="29" width="23.6640625" bestFit="1" customWidth="1"/>
    <col min="30" max="30" width="23.6640625" style="17" customWidth="1"/>
    <col min="31" max="31" width="26.44140625" bestFit="1" customWidth="1"/>
    <col min="32" max="32" width="25.5546875" bestFit="1" customWidth="1"/>
    <col min="33" max="33" width="25.44140625" bestFit="1" customWidth="1"/>
    <col min="34" max="36" width="20.109375" bestFit="1" customWidth="1"/>
    <col min="37" max="37" width="20.109375" style="17" customWidth="1"/>
    <col min="38" max="38" width="19.44140625" bestFit="1" customWidth="1"/>
    <col min="39" max="39" width="19" bestFit="1" customWidth="1"/>
    <col min="40" max="40" width="18.88671875" bestFit="1" customWidth="1"/>
    <col min="41" max="43" width="12.109375" bestFit="1" customWidth="1"/>
    <col min="44" max="45" width="11.44140625" style="17"/>
    <col min="47" max="47" width="11.88671875" bestFit="1" customWidth="1"/>
  </cols>
  <sheetData>
    <row r="1" spans="1:56" x14ac:dyDescent="0.3">
      <c r="A1">
        <f>MAX('Entrada datos'!B2:B109)</f>
        <v>0</v>
      </c>
      <c r="B1" t="s">
        <v>111</v>
      </c>
      <c r="C1" t="s">
        <v>112</v>
      </c>
      <c r="D1" t="s">
        <v>113</v>
      </c>
      <c r="E1" s="18" t="s">
        <v>116</v>
      </c>
      <c r="F1" s="18" t="s">
        <v>57</v>
      </c>
      <c r="G1" t="s">
        <v>118</v>
      </c>
      <c r="H1" t="s">
        <v>120</v>
      </c>
      <c r="I1" t="s">
        <v>123</v>
      </c>
      <c r="J1" t="s">
        <v>124</v>
      </c>
      <c r="K1" t="s">
        <v>125</v>
      </c>
      <c r="L1" t="s">
        <v>126</v>
      </c>
      <c r="M1" t="s">
        <v>127</v>
      </c>
      <c r="N1" t="s">
        <v>128</v>
      </c>
      <c r="O1" t="s">
        <v>129</v>
      </c>
      <c r="P1" s="17" t="s">
        <v>15</v>
      </c>
      <c r="Q1" t="s">
        <v>130</v>
      </c>
      <c r="R1" t="s">
        <v>131</v>
      </c>
      <c r="S1" t="s">
        <v>132</v>
      </c>
      <c r="T1" t="s">
        <v>133</v>
      </c>
      <c r="U1" t="s">
        <v>134</v>
      </c>
      <c r="V1" t="s">
        <v>135</v>
      </c>
      <c r="W1" s="17" t="s">
        <v>16</v>
      </c>
      <c r="X1" t="s">
        <v>136</v>
      </c>
      <c r="Y1" t="s">
        <v>137</v>
      </c>
      <c r="Z1" t="s">
        <v>138</v>
      </c>
      <c r="AA1" t="s">
        <v>139</v>
      </c>
      <c r="AB1" t="s">
        <v>140</v>
      </c>
      <c r="AC1" t="s">
        <v>141</v>
      </c>
      <c r="AD1" s="17" t="s">
        <v>17</v>
      </c>
      <c r="AE1" t="s">
        <v>142</v>
      </c>
      <c r="AF1" t="s">
        <v>143</v>
      </c>
      <c r="AG1" t="s">
        <v>144</v>
      </c>
      <c r="AH1" t="s">
        <v>145</v>
      </c>
      <c r="AI1" t="s">
        <v>146</v>
      </c>
      <c r="AJ1" t="s">
        <v>147</v>
      </c>
      <c r="AK1" s="17" t="s">
        <v>18</v>
      </c>
      <c r="AL1" t="s">
        <v>148</v>
      </c>
      <c r="AM1" t="s">
        <v>149</v>
      </c>
      <c r="AN1" t="s">
        <v>150</v>
      </c>
      <c r="AO1" t="s">
        <v>151</v>
      </c>
      <c r="AP1" t="s">
        <v>152</v>
      </c>
      <c r="AQ1" t="s">
        <v>153</v>
      </c>
      <c r="AR1" s="17" t="s">
        <v>20</v>
      </c>
      <c r="AS1" s="17" t="s">
        <v>29</v>
      </c>
      <c r="AT1" s="1" t="s">
        <v>25</v>
      </c>
      <c r="AU1" s="1" t="s">
        <v>28</v>
      </c>
      <c r="AV1" s="1" t="s">
        <v>97</v>
      </c>
      <c r="AW1" s="1" t="s">
        <v>34</v>
      </c>
      <c r="AX1" s="1" t="s">
        <v>98</v>
      </c>
      <c r="AY1" t="s">
        <v>99</v>
      </c>
      <c r="AZ1" s="1" t="s">
        <v>102</v>
      </c>
      <c r="BA1" s="1" t="s">
        <v>100</v>
      </c>
      <c r="BB1" s="1" t="s">
        <v>101</v>
      </c>
      <c r="BC1" s="1" t="s">
        <v>103</v>
      </c>
      <c r="BD1" s="1" t="s">
        <v>105</v>
      </c>
    </row>
    <row r="2" spans="1:56" x14ac:dyDescent="0.3">
      <c r="A2" t="e">
        <f>'Entrada datos'!#REF!</f>
        <v>#REF!</v>
      </c>
      <c r="B2" t="e">
        <f>'Entrada datos'!#REF!</f>
        <v>#REF!</v>
      </c>
      <c r="C2" t="e">
        <f>'Entrada datos'!#REF!</f>
        <v>#REF!</v>
      </c>
      <c r="D2" t="e">
        <f>'Entrada datos'!#REF!</f>
        <v>#REF!</v>
      </c>
      <c r="E2" s="18" t="e">
        <f>'Entrada datos'!#REF!</f>
        <v>#REF!</v>
      </c>
      <c r="F2" s="18" t="e">
        <f>'Entrada datos'!#REF!</f>
        <v>#REF!</v>
      </c>
      <c r="G2" t="e">
        <f>'Entrada datos'!#REF!</f>
        <v>#REF!</v>
      </c>
      <c r="H2" t="e">
        <f>'Entrada datos'!#REF!</f>
        <v>#REF!</v>
      </c>
      <c r="I2" t="e">
        <f>'Entrada datos'!#REF!</f>
        <v>#REF!</v>
      </c>
      <c r="J2" t="e">
        <f>'Entrada datos'!#REF!</f>
        <v>#REF!</v>
      </c>
      <c r="K2" t="e">
        <f>'Entrada datos'!#REF!</f>
        <v>#REF!</v>
      </c>
      <c r="L2" t="e">
        <f>'Entrada datos'!#REF!</f>
        <v>#REF!</v>
      </c>
      <c r="M2" t="e">
        <f>'Entrada datos'!#REF!</f>
        <v>#REF!</v>
      </c>
      <c r="N2" t="e">
        <f>'Entrada datos'!#REF!</f>
        <v>#REF!</v>
      </c>
      <c r="O2" t="e">
        <f>'Entrada datos'!#REF!</f>
        <v>#REF!</v>
      </c>
      <c r="P2" s="17" t="e">
        <f>SUM(J2:O2)</f>
        <v>#REF!</v>
      </c>
      <c r="Q2" t="e">
        <f>'Entrada datos'!#REF!</f>
        <v>#REF!</v>
      </c>
      <c r="R2" t="e">
        <f>'Entrada datos'!#REF!</f>
        <v>#REF!</v>
      </c>
      <c r="S2" t="e">
        <f>'Entrada datos'!#REF!</f>
        <v>#REF!</v>
      </c>
      <c r="T2" t="e">
        <f>'Entrada datos'!#REF!</f>
        <v>#REF!</v>
      </c>
      <c r="U2" t="e">
        <f>'Entrada datos'!#REF!</f>
        <v>#REF!</v>
      </c>
      <c r="V2" t="e">
        <f>'Entrada datos'!#REF!</f>
        <v>#REF!</v>
      </c>
      <c r="W2" s="17" t="e">
        <f t="shared" ref="W2" si="0">SUM(Q2:V2)</f>
        <v>#REF!</v>
      </c>
      <c r="X2" t="e">
        <f>'Entrada datos'!#REF!</f>
        <v>#REF!</v>
      </c>
      <c r="Y2" t="e">
        <f>'Entrada datos'!#REF!</f>
        <v>#REF!</v>
      </c>
      <c r="Z2" t="e">
        <f>'Entrada datos'!#REF!</f>
        <v>#REF!</v>
      </c>
      <c r="AA2" t="e">
        <f>'Entrada datos'!#REF!</f>
        <v>#REF!</v>
      </c>
      <c r="AB2" t="e">
        <f>'Entrada datos'!#REF!</f>
        <v>#REF!</v>
      </c>
      <c r="AC2" t="e">
        <f>'Entrada datos'!#REF!</f>
        <v>#REF!</v>
      </c>
      <c r="AD2" s="17" t="e">
        <f>SUM(X2:AC2)</f>
        <v>#REF!</v>
      </c>
      <c r="AE2" t="e">
        <f>'Entrada datos'!#REF!</f>
        <v>#REF!</v>
      </c>
      <c r="AF2" t="e">
        <f>'Entrada datos'!#REF!</f>
        <v>#REF!</v>
      </c>
      <c r="AG2" t="e">
        <f>'Entrada datos'!#REF!</f>
        <v>#REF!</v>
      </c>
      <c r="AH2" t="e">
        <f>'Entrada datos'!#REF!</f>
        <v>#REF!</v>
      </c>
      <c r="AI2" t="e">
        <f>'Entrada datos'!#REF!</f>
        <v>#REF!</v>
      </c>
      <c r="AJ2" t="e">
        <f>'Entrada datos'!#REF!</f>
        <v>#REF!</v>
      </c>
      <c r="AK2" s="17" t="e">
        <f>SUM(AE2:AJ2)</f>
        <v>#REF!</v>
      </c>
      <c r="AL2" t="e">
        <f>'Entrada datos'!#REF!</f>
        <v>#REF!</v>
      </c>
      <c r="AM2" t="e">
        <f>'Entrada datos'!#REF!</f>
        <v>#REF!</v>
      </c>
      <c r="AN2" t="e">
        <f>'Entrada datos'!#REF!</f>
        <v>#REF!</v>
      </c>
      <c r="AO2" t="e">
        <f>'Entrada datos'!#REF!</f>
        <v>#REF!</v>
      </c>
      <c r="AP2" t="e">
        <f>'Entrada datos'!#REF!</f>
        <v>#REF!</v>
      </c>
      <c r="AQ2" t="e">
        <f>'Entrada datos'!#REF!</f>
        <v>#REF!</v>
      </c>
      <c r="AR2" s="17" t="e">
        <f>MAX(AL2:AQ2)</f>
        <v>#REF!</v>
      </c>
      <c r="AS2" s="23" t="e">
        <f>IF(AR2&gt;900,AR2/1000,AR2)</f>
        <v>#REF!</v>
      </c>
      <c r="AT2" t="e">
        <f>YEAR(E2)</f>
        <v>#REF!</v>
      </c>
      <c r="AU2" s="40" t="e">
        <f>TEXT(E2,"mmmm")</f>
        <v>#REF!</v>
      </c>
      <c r="AV2" t="e">
        <f>SUM(AD2,P2)</f>
        <v>#REF!</v>
      </c>
      <c r="AW2" t="e">
        <f>F2-E2</f>
        <v>#REF!</v>
      </c>
      <c r="AX2" s="24">
        <f>IFERROR(P2/AW2,0)</f>
        <v>0</v>
      </c>
      <c r="AY2" s="24">
        <f>IFERROR(AV2/AW2,0)</f>
        <v>0</v>
      </c>
      <c r="AZ2" s="24">
        <f>AY2-AX2</f>
        <v>0</v>
      </c>
      <c r="BA2" t="e">
        <f>P2+AK2</f>
        <v>#REF!</v>
      </c>
      <c r="BB2">
        <f>IFERROR(BA2/AW2,0)</f>
        <v>0</v>
      </c>
      <c r="BC2" s="24">
        <f>IFERROR(BB2-AX2,0)</f>
        <v>0</v>
      </c>
      <c r="BD2" t="e">
        <f>P2+AD2+AK2</f>
        <v>#REF!</v>
      </c>
    </row>
    <row r="3" spans="1:56" x14ac:dyDescent="0.3">
      <c r="A3" t="e">
        <f>'Entrada datos'!#REF!</f>
        <v>#REF!</v>
      </c>
      <c r="B3" t="e">
        <f>'Entrada datos'!#REF!</f>
        <v>#REF!</v>
      </c>
      <c r="C3" t="e">
        <f>'Entrada datos'!#REF!</f>
        <v>#REF!</v>
      </c>
      <c r="D3" t="e">
        <f>'Entrada datos'!#REF!</f>
        <v>#REF!</v>
      </c>
      <c r="E3" s="18" t="e">
        <f>'Entrada datos'!#REF!</f>
        <v>#REF!</v>
      </c>
      <c r="F3" s="18" t="e">
        <f>'Entrada datos'!#REF!</f>
        <v>#REF!</v>
      </c>
      <c r="G3" t="e">
        <f>'Entrada datos'!#REF!</f>
        <v>#REF!</v>
      </c>
      <c r="H3" t="e">
        <f>'Entrada datos'!#REF!</f>
        <v>#REF!</v>
      </c>
      <c r="I3" t="e">
        <f>'Entrada datos'!#REF!</f>
        <v>#REF!</v>
      </c>
      <c r="J3" t="e">
        <f>'Entrada datos'!#REF!</f>
        <v>#REF!</v>
      </c>
      <c r="K3" t="e">
        <f>'Entrada datos'!#REF!</f>
        <v>#REF!</v>
      </c>
      <c r="L3" t="e">
        <f>'Entrada datos'!#REF!</f>
        <v>#REF!</v>
      </c>
      <c r="M3" t="e">
        <f>'Entrada datos'!#REF!</f>
        <v>#REF!</v>
      </c>
      <c r="N3" t="e">
        <f>'Entrada datos'!#REF!</f>
        <v>#REF!</v>
      </c>
      <c r="O3" t="e">
        <f>'Entrada datos'!#REF!</f>
        <v>#REF!</v>
      </c>
      <c r="P3" s="17" t="e">
        <f t="shared" ref="P3:P66" si="1">SUM(J3:O3)</f>
        <v>#REF!</v>
      </c>
      <c r="Q3" t="e">
        <f>'Entrada datos'!#REF!</f>
        <v>#REF!</v>
      </c>
      <c r="R3" t="e">
        <f>'Entrada datos'!#REF!</f>
        <v>#REF!</v>
      </c>
      <c r="S3" t="e">
        <f>'Entrada datos'!#REF!</f>
        <v>#REF!</v>
      </c>
      <c r="T3" t="e">
        <f>'Entrada datos'!#REF!</f>
        <v>#REF!</v>
      </c>
      <c r="U3" t="e">
        <f>'Entrada datos'!#REF!</f>
        <v>#REF!</v>
      </c>
      <c r="V3" t="e">
        <f>'Entrada datos'!#REF!</f>
        <v>#REF!</v>
      </c>
      <c r="W3" s="17" t="e">
        <f t="shared" ref="W3:W66" si="2">SUM(Q3:V3)</f>
        <v>#REF!</v>
      </c>
      <c r="X3" t="e">
        <f>'Entrada datos'!#REF!</f>
        <v>#REF!</v>
      </c>
      <c r="Y3" t="e">
        <f>'Entrada datos'!#REF!</f>
        <v>#REF!</v>
      </c>
      <c r="Z3" t="e">
        <f>'Entrada datos'!#REF!</f>
        <v>#REF!</v>
      </c>
      <c r="AA3" t="e">
        <f>'Entrada datos'!#REF!</f>
        <v>#REF!</v>
      </c>
      <c r="AB3" t="e">
        <f>'Entrada datos'!#REF!</f>
        <v>#REF!</v>
      </c>
      <c r="AC3" t="e">
        <f>'Entrada datos'!#REF!</f>
        <v>#REF!</v>
      </c>
      <c r="AD3" s="17" t="e">
        <f t="shared" ref="AD3:AD66" si="3">SUM(X3:AC3)</f>
        <v>#REF!</v>
      </c>
      <c r="AE3" t="e">
        <f>'Entrada datos'!#REF!</f>
        <v>#REF!</v>
      </c>
      <c r="AF3" t="e">
        <f>'Entrada datos'!#REF!</f>
        <v>#REF!</v>
      </c>
      <c r="AG3" t="e">
        <f>'Entrada datos'!#REF!</f>
        <v>#REF!</v>
      </c>
      <c r="AH3" t="e">
        <f>'Entrada datos'!#REF!</f>
        <v>#REF!</v>
      </c>
      <c r="AI3" t="e">
        <f>'Entrada datos'!#REF!</f>
        <v>#REF!</v>
      </c>
      <c r="AJ3" t="e">
        <f>'Entrada datos'!#REF!</f>
        <v>#REF!</v>
      </c>
      <c r="AK3" s="17" t="e">
        <f t="shared" ref="AK3:AK66" si="4">SUM(AE3:AJ3)</f>
        <v>#REF!</v>
      </c>
      <c r="AL3" t="e">
        <f>'Entrada datos'!#REF!</f>
        <v>#REF!</v>
      </c>
      <c r="AM3" t="e">
        <f>'Entrada datos'!#REF!</f>
        <v>#REF!</v>
      </c>
      <c r="AN3" t="e">
        <f>'Entrada datos'!#REF!</f>
        <v>#REF!</v>
      </c>
      <c r="AO3" t="e">
        <f>'Entrada datos'!#REF!</f>
        <v>#REF!</v>
      </c>
      <c r="AP3" t="e">
        <f>'Entrada datos'!#REF!</f>
        <v>#REF!</v>
      </c>
      <c r="AQ3" t="e">
        <f>'Entrada datos'!#REF!</f>
        <v>#REF!</v>
      </c>
      <c r="AR3" s="17" t="e">
        <f t="shared" ref="AR3:AR66" si="5">MAX(AL3:AQ3)</f>
        <v>#REF!</v>
      </c>
      <c r="AS3" s="23" t="e">
        <f t="shared" ref="AS3:AS66" si="6">IF(AR3&gt;900,AR3/1000,AR3)</f>
        <v>#REF!</v>
      </c>
      <c r="AT3" t="e">
        <f t="shared" ref="AT3:AT66" si="7">YEAR(E3)</f>
        <v>#REF!</v>
      </c>
      <c r="AU3" s="40" t="e">
        <f t="shared" ref="AU3:AU66" si="8">TEXT(E3,"mmmm")</f>
        <v>#REF!</v>
      </c>
      <c r="AV3" t="e">
        <f t="shared" ref="AV3:AV66" si="9">SUM(AD3,P3)</f>
        <v>#REF!</v>
      </c>
      <c r="AW3" t="e">
        <f t="shared" ref="AW3:AW66" si="10">F3-E3</f>
        <v>#REF!</v>
      </c>
      <c r="AX3" s="24">
        <f t="shared" ref="AX3:AX66" si="11">IFERROR(P3/AW3,0)</f>
        <v>0</v>
      </c>
      <c r="AY3" s="24">
        <f t="shared" ref="AY3:AY66" si="12">IFERROR(AV3/AW3,0)</f>
        <v>0</v>
      </c>
      <c r="AZ3" s="24">
        <f t="shared" ref="AZ3:AZ66" si="13">AY3-AX3</f>
        <v>0</v>
      </c>
      <c r="BA3" t="e">
        <f t="shared" ref="BA3:BA66" si="14">P3+AK3</f>
        <v>#REF!</v>
      </c>
      <c r="BB3">
        <f t="shared" ref="BB3:BB66" si="15">IFERROR(BA3/AW3,0)</f>
        <v>0</v>
      </c>
      <c r="BC3" s="24">
        <f t="shared" ref="BC3:BC66" si="16">IFERROR(BB3-AX3,0)</f>
        <v>0</v>
      </c>
      <c r="BD3" t="e">
        <f t="shared" ref="BD3:BD66" si="17">P3+AD3+AK3</f>
        <v>#REF!</v>
      </c>
    </row>
    <row r="4" spans="1:56" x14ac:dyDescent="0.3">
      <c r="A4" t="e">
        <f>'Entrada datos'!#REF!</f>
        <v>#REF!</v>
      </c>
      <c r="B4" t="e">
        <f>'Entrada datos'!#REF!</f>
        <v>#REF!</v>
      </c>
      <c r="C4" t="e">
        <f>'Entrada datos'!#REF!</f>
        <v>#REF!</v>
      </c>
      <c r="D4" t="e">
        <f>'Entrada datos'!#REF!</f>
        <v>#REF!</v>
      </c>
      <c r="E4" s="18" t="e">
        <f>'Entrada datos'!#REF!</f>
        <v>#REF!</v>
      </c>
      <c r="F4" s="18" t="e">
        <f>'Entrada datos'!#REF!</f>
        <v>#REF!</v>
      </c>
      <c r="G4" t="e">
        <f>'Entrada datos'!#REF!</f>
        <v>#REF!</v>
      </c>
      <c r="H4" t="e">
        <f>'Entrada datos'!#REF!</f>
        <v>#REF!</v>
      </c>
      <c r="I4" t="e">
        <f>'Entrada datos'!#REF!</f>
        <v>#REF!</v>
      </c>
      <c r="J4" t="e">
        <f>'Entrada datos'!#REF!</f>
        <v>#REF!</v>
      </c>
      <c r="K4" t="e">
        <f>'Entrada datos'!#REF!</f>
        <v>#REF!</v>
      </c>
      <c r="L4" t="e">
        <f>'Entrada datos'!#REF!</f>
        <v>#REF!</v>
      </c>
      <c r="M4" t="e">
        <f>'Entrada datos'!#REF!</f>
        <v>#REF!</v>
      </c>
      <c r="N4" t="e">
        <f>'Entrada datos'!#REF!</f>
        <v>#REF!</v>
      </c>
      <c r="O4" t="e">
        <f>'Entrada datos'!#REF!</f>
        <v>#REF!</v>
      </c>
      <c r="P4" s="17" t="e">
        <f t="shared" si="1"/>
        <v>#REF!</v>
      </c>
      <c r="Q4" t="e">
        <f>'Entrada datos'!#REF!</f>
        <v>#REF!</v>
      </c>
      <c r="R4" t="e">
        <f>'Entrada datos'!#REF!</f>
        <v>#REF!</v>
      </c>
      <c r="S4" t="e">
        <f>'Entrada datos'!#REF!</f>
        <v>#REF!</v>
      </c>
      <c r="T4" t="e">
        <f>'Entrada datos'!#REF!</f>
        <v>#REF!</v>
      </c>
      <c r="U4" t="e">
        <f>'Entrada datos'!#REF!</f>
        <v>#REF!</v>
      </c>
      <c r="V4" t="e">
        <f>'Entrada datos'!#REF!</f>
        <v>#REF!</v>
      </c>
      <c r="W4" s="17" t="e">
        <f t="shared" si="2"/>
        <v>#REF!</v>
      </c>
      <c r="X4" t="e">
        <f>'Entrada datos'!#REF!</f>
        <v>#REF!</v>
      </c>
      <c r="Y4" t="e">
        <f>'Entrada datos'!#REF!</f>
        <v>#REF!</v>
      </c>
      <c r="Z4" t="e">
        <f>'Entrada datos'!#REF!</f>
        <v>#REF!</v>
      </c>
      <c r="AA4" t="e">
        <f>'Entrada datos'!#REF!</f>
        <v>#REF!</v>
      </c>
      <c r="AB4" t="e">
        <f>'Entrada datos'!#REF!</f>
        <v>#REF!</v>
      </c>
      <c r="AC4" t="e">
        <f>'Entrada datos'!#REF!</f>
        <v>#REF!</v>
      </c>
      <c r="AD4" s="17" t="e">
        <f t="shared" si="3"/>
        <v>#REF!</v>
      </c>
      <c r="AE4" t="e">
        <f>'Entrada datos'!#REF!</f>
        <v>#REF!</v>
      </c>
      <c r="AF4" t="e">
        <f>'Entrada datos'!#REF!</f>
        <v>#REF!</v>
      </c>
      <c r="AG4" t="e">
        <f>'Entrada datos'!#REF!</f>
        <v>#REF!</v>
      </c>
      <c r="AH4" t="e">
        <f>'Entrada datos'!#REF!</f>
        <v>#REF!</v>
      </c>
      <c r="AI4" t="e">
        <f>'Entrada datos'!#REF!</f>
        <v>#REF!</v>
      </c>
      <c r="AJ4" t="e">
        <f>'Entrada datos'!#REF!</f>
        <v>#REF!</v>
      </c>
      <c r="AK4" s="17" t="e">
        <f t="shared" si="4"/>
        <v>#REF!</v>
      </c>
      <c r="AL4" t="e">
        <f>'Entrada datos'!#REF!</f>
        <v>#REF!</v>
      </c>
      <c r="AM4" t="e">
        <f>'Entrada datos'!#REF!</f>
        <v>#REF!</v>
      </c>
      <c r="AN4" t="e">
        <f>'Entrada datos'!#REF!</f>
        <v>#REF!</v>
      </c>
      <c r="AO4" t="e">
        <f>'Entrada datos'!#REF!</f>
        <v>#REF!</v>
      </c>
      <c r="AP4" t="e">
        <f>'Entrada datos'!#REF!</f>
        <v>#REF!</v>
      </c>
      <c r="AQ4" t="e">
        <f>'Entrada datos'!#REF!</f>
        <v>#REF!</v>
      </c>
      <c r="AR4" s="17" t="e">
        <f t="shared" si="5"/>
        <v>#REF!</v>
      </c>
      <c r="AS4" s="23" t="e">
        <f t="shared" si="6"/>
        <v>#REF!</v>
      </c>
      <c r="AT4" t="e">
        <f t="shared" si="7"/>
        <v>#REF!</v>
      </c>
      <c r="AU4" s="40" t="e">
        <f t="shared" si="8"/>
        <v>#REF!</v>
      </c>
      <c r="AV4" t="e">
        <f t="shared" si="9"/>
        <v>#REF!</v>
      </c>
      <c r="AW4" t="e">
        <f t="shared" si="10"/>
        <v>#REF!</v>
      </c>
      <c r="AX4" s="24">
        <f t="shared" si="11"/>
        <v>0</v>
      </c>
      <c r="AY4" s="24">
        <f t="shared" si="12"/>
        <v>0</v>
      </c>
      <c r="AZ4" s="24">
        <f t="shared" si="13"/>
        <v>0</v>
      </c>
      <c r="BA4" t="e">
        <f t="shared" si="14"/>
        <v>#REF!</v>
      </c>
      <c r="BB4">
        <f t="shared" si="15"/>
        <v>0</v>
      </c>
      <c r="BC4" s="24">
        <f t="shared" si="16"/>
        <v>0</v>
      </c>
      <c r="BD4" t="e">
        <f t="shared" si="17"/>
        <v>#REF!</v>
      </c>
    </row>
    <row r="5" spans="1:56" x14ac:dyDescent="0.3">
      <c r="A5" t="e">
        <f>'Entrada datos'!#REF!</f>
        <v>#REF!</v>
      </c>
      <c r="B5" t="e">
        <f>'Entrada datos'!#REF!</f>
        <v>#REF!</v>
      </c>
      <c r="C5" t="e">
        <f>'Entrada datos'!#REF!</f>
        <v>#REF!</v>
      </c>
      <c r="D5" t="e">
        <f>'Entrada datos'!#REF!</f>
        <v>#REF!</v>
      </c>
      <c r="E5" s="18" t="e">
        <f>'Entrada datos'!#REF!</f>
        <v>#REF!</v>
      </c>
      <c r="F5" s="18" t="e">
        <f>'Entrada datos'!#REF!</f>
        <v>#REF!</v>
      </c>
      <c r="G5" t="e">
        <f>'Entrada datos'!#REF!</f>
        <v>#REF!</v>
      </c>
      <c r="H5" t="e">
        <f>'Entrada datos'!#REF!</f>
        <v>#REF!</v>
      </c>
      <c r="I5" t="e">
        <f>'Entrada datos'!#REF!</f>
        <v>#REF!</v>
      </c>
      <c r="J5" t="e">
        <f>'Entrada datos'!#REF!</f>
        <v>#REF!</v>
      </c>
      <c r="K5" t="e">
        <f>'Entrada datos'!#REF!</f>
        <v>#REF!</v>
      </c>
      <c r="L5" t="e">
        <f>'Entrada datos'!#REF!</f>
        <v>#REF!</v>
      </c>
      <c r="M5" t="e">
        <f>'Entrada datos'!#REF!</f>
        <v>#REF!</v>
      </c>
      <c r="N5" t="e">
        <f>'Entrada datos'!#REF!</f>
        <v>#REF!</v>
      </c>
      <c r="O5" t="e">
        <f>'Entrada datos'!#REF!</f>
        <v>#REF!</v>
      </c>
      <c r="P5" s="17" t="e">
        <f t="shared" si="1"/>
        <v>#REF!</v>
      </c>
      <c r="Q5" t="e">
        <f>'Entrada datos'!#REF!</f>
        <v>#REF!</v>
      </c>
      <c r="R5" t="e">
        <f>'Entrada datos'!#REF!</f>
        <v>#REF!</v>
      </c>
      <c r="S5" t="e">
        <f>'Entrada datos'!#REF!</f>
        <v>#REF!</v>
      </c>
      <c r="T5" t="e">
        <f>'Entrada datos'!#REF!</f>
        <v>#REF!</v>
      </c>
      <c r="U5" t="e">
        <f>'Entrada datos'!#REF!</f>
        <v>#REF!</v>
      </c>
      <c r="V5" t="e">
        <f>'Entrada datos'!#REF!</f>
        <v>#REF!</v>
      </c>
      <c r="W5" s="17" t="e">
        <f t="shared" si="2"/>
        <v>#REF!</v>
      </c>
      <c r="X5" t="e">
        <f>'Entrada datos'!#REF!</f>
        <v>#REF!</v>
      </c>
      <c r="Y5" t="e">
        <f>'Entrada datos'!#REF!</f>
        <v>#REF!</v>
      </c>
      <c r="Z5" t="e">
        <f>'Entrada datos'!#REF!</f>
        <v>#REF!</v>
      </c>
      <c r="AA5" t="e">
        <f>'Entrada datos'!#REF!</f>
        <v>#REF!</v>
      </c>
      <c r="AB5" t="e">
        <f>'Entrada datos'!#REF!</f>
        <v>#REF!</v>
      </c>
      <c r="AC5" t="e">
        <f>'Entrada datos'!#REF!</f>
        <v>#REF!</v>
      </c>
      <c r="AD5" s="17" t="e">
        <f t="shared" si="3"/>
        <v>#REF!</v>
      </c>
      <c r="AE5" t="e">
        <f>'Entrada datos'!#REF!</f>
        <v>#REF!</v>
      </c>
      <c r="AF5" t="e">
        <f>'Entrada datos'!#REF!</f>
        <v>#REF!</v>
      </c>
      <c r="AG5" t="e">
        <f>'Entrada datos'!#REF!</f>
        <v>#REF!</v>
      </c>
      <c r="AH5" t="e">
        <f>'Entrada datos'!#REF!</f>
        <v>#REF!</v>
      </c>
      <c r="AI5" t="e">
        <f>'Entrada datos'!#REF!</f>
        <v>#REF!</v>
      </c>
      <c r="AJ5" t="e">
        <f>'Entrada datos'!#REF!</f>
        <v>#REF!</v>
      </c>
      <c r="AK5" s="17" t="e">
        <f t="shared" si="4"/>
        <v>#REF!</v>
      </c>
      <c r="AL5" t="e">
        <f>'Entrada datos'!#REF!</f>
        <v>#REF!</v>
      </c>
      <c r="AM5" t="e">
        <f>'Entrada datos'!#REF!</f>
        <v>#REF!</v>
      </c>
      <c r="AN5" t="e">
        <f>'Entrada datos'!#REF!</f>
        <v>#REF!</v>
      </c>
      <c r="AO5" t="e">
        <f>'Entrada datos'!#REF!</f>
        <v>#REF!</v>
      </c>
      <c r="AP5" t="e">
        <f>'Entrada datos'!#REF!</f>
        <v>#REF!</v>
      </c>
      <c r="AQ5" t="e">
        <f>'Entrada datos'!#REF!</f>
        <v>#REF!</v>
      </c>
      <c r="AR5" s="17" t="e">
        <f t="shared" si="5"/>
        <v>#REF!</v>
      </c>
      <c r="AS5" s="23" t="e">
        <f t="shared" si="6"/>
        <v>#REF!</v>
      </c>
      <c r="AT5" t="e">
        <f t="shared" si="7"/>
        <v>#REF!</v>
      </c>
      <c r="AU5" s="40" t="e">
        <f t="shared" si="8"/>
        <v>#REF!</v>
      </c>
      <c r="AV5" t="e">
        <f t="shared" si="9"/>
        <v>#REF!</v>
      </c>
      <c r="AW5" t="e">
        <f t="shared" si="10"/>
        <v>#REF!</v>
      </c>
      <c r="AX5" s="24">
        <f t="shared" si="11"/>
        <v>0</v>
      </c>
      <c r="AY5" s="24">
        <f t="shared" si="12"/>
        <v>0</v>
      </c>
      <c r="AZ5" s="24">
        <f t="shared" si="13"/>
        <v>0</v>
      </c>
      <c r="BA5" t="e">
        <f t="shared" si="14"/>
        <v>#REF!</v>
      </c>
      <c r="BB5">
        <f t="shared" si="15"/>
        <v>0</v>
      </c>
      <c r="BC5" s="24">
        <f t="shared" si="16"/>
        <v>0</v>
      </c>
      <c r="BD5" t="e">
        <f t="shared" si="17"/>
        <v>#REF!</v>
      </c>
    </row>
    <row r="6" spans="1:56" x14ac:dyDescent="0.3">
      <c r="A6" t="e">
        <f>'Entrada datos'!#REF!</f>
        <v>#REF!</v>
      </c>
      <c r="B6" t="e">
        <f>'Entrada datos'!#REF!</f>
        <v>#REF!</v>
      </c>
      <c r="C6" t="e">
        <f>'Entrada datos'!#REF!</f>
        <v>#REF!</v>
      </c>
      <c r="D6" t="e">
        <f>'Entrada datos'!#REF!</f>
        <v>#REF!</v>
      </c>
      <c r="E6" s="18" t="e">
        <f>'Entrada datos'!#REF!</f>
        <v>#REF!</v>
      </c>
      <c r="F6" s="18" t="e">
        <f>'Entrada datos'!#REF!</f>
        <v>#REF!</v>
      </c>
      <c r="G6" t="e">
        <f>'Entrada datos'!#REF!</f>
        <v>#REF!</v>
      </c>
      <c r="H6" t="e">
        <f>'Entrada datos'!#REF!</f>
        <v>#REF!</v>
      </c>
      <c r="I6" t="e">
        <f>'Entrada datos'!#REF!</f>
        <v>#REF!</v>
      </c>
      <c r="J6" t="e">
        <f>'Entrada datos'!#REF!</f>
        <v>#REF!</v>
      </c>
      <c r="K6" t="e">
        <f>'Entrada datos'!#REF!</f>
        <v>#REF!</v>
      </c>
      <c r="L6" t="e">
        <f>'Entrada datos'!#REF!</f>
        <v>#REF!</v>
      </c>
      <c r="M6" t="e">
        <f>'Entrada datos'!#REF!</f>
        <v>#REF!</v>
      </c>
      <c r="N6" t="e">
        <f>'Entrada datos'!#REF!</f>
        <v>#REF!</v>
      </c>
      <c r="O6" t="e">
        <f>'Entrada datos'!#REF!</f>
        <v>#REF!</v>
      </c>
      <c r="P6" s="17" t="e">
        <f t="shared" si="1"/>
        <v>#REF!</v>
      </c>
      <c r="Q6" t="e">
        <f>'Entrada datos'!#REF!</f>
        <v>#REF!</v>
      </c>
      <c r="R6" t="e">
        <f>'Entrada datos'!#REF!</f>
        <v>#REF!</v>
      </c>
      <c r="S6" t="e">
        <f>'Entrada datos'!#REF!</f>
        <v>#REF!</v>
      </c>
      <c r="T6" t="e">
        <f>'Entrada datos'!#REF!</f>
        <v>#REF!</v>
      </c>
      <c r="U6" t="e">
        <f>'Entrada datos'!#REF!</f>
        <v>#REF!</v>
      </c>
      <c r="V6" t="e">
        <f>'Entrada datos'!#REF!</f>
        <v>#REF!</v>
      </c>
      <c r="W6" s="17" t="e">
        <f t="shared" si="2"/>
        <v>#REF!</v>
      </c>
      <c r="X6" t="e">
        <f>'Entrada datos'!#REF!</f>
        <v>#REF!</v>
      </c>
      <c r="Y6" t="e">
        <f>'Entrada datos'!#REF!</f>
        <v>#REF!</v>
      </c>
      <c r="Z6" t="e">
        <f>'Entrada datos'!#REF!</f>
        <v>#REF!</v>
      </c>
      <c r="AA6" t="e">
        <f>'Entrada datos'!#REF!</f>
        <v>#REF!</v>
      </c>
      <c r="AB6" t="e">
        <f>'Entrada datos'!#REF!</f>
        <v>#REF!</v>
      </c>
      <c r="AC6" t="e">
        <f>'Entrada datos'!#REF!</f>
        <v>#REF!</v>
      </c>
      <c r="AD6" s="17" t="e">
        <f t="shared" si="3"/>
        <v>#REF!</v>
      </c>
      <c r="AE6" t="e">
        <f>'Entrada datos'!#REF!</f>
        <v>#REF!</v>
      </c>
      <c r="AF6" t="e">
        <f>'Entrada datos'!#REF!</f>
        <v>#REF!</v>
      </c>
      <c r="AG6" t="e">
        <f>'Entrada datos'!#REF!</f>
        <v>#REF!</v>
      </c>
      <c r="AH6" t="e">
        <f>'Entrada datos'!#REF!</f>
        <v>#REF!</v>
      </c>
      <c r="AI6" t="e">
        <f>'Entrada datos'!#REF!</f>
        <v>#REF!</v>
      </c>
      <c r="AJ6" t="e">
        <f>'Entrada datos'!#REF!</f>
        <v>#REF!</v>
      </c>
      <c r="AK6" s="17" t="e">
        <f t="shared" si="4"/>
        <v>#REF!</v>
      </c>
      <c r="AL6" t="e">
        <f>'Entrada datos'!#REF!</f>
        <v>#REF!</v>
      </c>
      <c r="AM6" t="e">
        <f>'Entrada datos'!#REF!</f>
        <v>#REF!</v>
      </c>
      <c r="AN6" t="e">
        <f>'Entrada datos'!#REF!</f>
        <v>#REF!</v>
      </c>
      <c r="AO6" t="e">
        <f>'Entrada datos'!#REF!</f>
        <v>#REF!</v>
      </c>
      <c r="AP6" t="e">
        <f>'Entrada datos'!#REF!</f>
        <v>#REF!</v>
      </c>
      <c r="AQ6" t="e">
        <f>'Entrada datos'!#REF!</f>
        <v>#REF!</v>
      </c>
      <c r="AR6" s="17" t="e">
        <f t="shared" si="5"/>
        <v>#REF!</v>
      </c>
      <c r="AS6" s="23" t="e">
        <f t="shared" si="6"/>
        <v>#REF!</v>
      </c>
      <c r="AT6" t="e">
        <f t="shared" si="7"/>
        <v>#REF!</v>
      </c>
      <c r="AU6" s="40" t="e">
        <f t="shared" si="8"/>
        <v>#REF!</v>
      </c>
      <c r="AV6" t="e">
        <f t="shared" si="9"/>
        <v>#REF!</v>
      </c>
      <c r="AW6" t="e">
        <f t="shared" si="10"/>
        <v>#REF!</v>
      </c>
      <c r="AX6" s="24">
        <f t="shared" si="11"/>
        <v>0</v>
      </c>
      <c r="AY6" s="24">
        <f t="shared" si="12"/>
        <v>0</v>
      </c>
      <c r="AZ6" s="24">
        <f t="shared" si="13"/>
        <v>0</v>
      </c>
      <c r="BA6" t="e">
        <f t="shared" si="14"/>
        <v>#REF!</v>
      </c>
      <c r="BB6">
        <f t="shared" si="15"/>
        <v>0</v>
      </c>
      <c r="BC6" s="24">
        <f t="shared" si="16"/>
        <v>0</v>
      </c>
      <c r="BD6" t="e">
        <f t="shared" si="17"/>
        <v>#REF!</v>
      </c>
    </row>
    <row r="7" spans="1:56" x14ac:dyDescent="0.3">
      <c r="A7" t="e">
        <f>'Entrada datos'!#REF!</f>
        <v>#REF!</v>
      </c>
      <c r="B7" t="e">
        <f>'Entrada datos'!#REF!</f>
        <v>#REF!</v>
      </c>
      <c r="C7" t="e">
        <f>'Entrada datos'!#REF!</f>
        <v>#REF!</v>
      </c>
      <c r="D7" t="e">
        <f>'Entrada datos'!#REF!</f>
        <v>#REF!</v>
      </c>
      <c r="E7" s="18" t="e">
        <f>'Entrada datos'!#REF!</f>
        <v>#REF!</v>
      </c>
      <c r="F7" s="18" t="e">
        <f>'Entrada datos'!#REF!</f>
        <v>#REF!</v>
      </c>
      <c r="G7" t="e">
        <f>'Entrada datos'!#REF!</f>
        <v>#REF!</v>
      </c>
      <c r="H7" t="e">
        <f>'Entrada datos'!#REF!</f>
        <v>#REF!</v>
      </c>
      <c r="I7" t="e">
        <f>'Entrada datos'!#REF!</f>
        <v>#REF!</v>
      </c>
      <c r="J7" t="e">
        <f>'Entrada datos'!#REF!</f>
        <v>#REF!</v>
      </c>
      <c r="K7" t="e">
        <f>'Entrada datos'!#REF!</f>
        <v>#REF!</v>
      </c>
      <c r="L7" t="e">
        <f>'Entrada datos'!#REF!</f>
        <v>#REF!</v>
      </c>
      <c r="M7" t="e">
        <f>'Entrada datos'!#REF!</f>
        <v>#REF!</v>
      </c>
      <c r="N7" t="e">
        <f>'Entrada datos'!#REF!</f>
        <v>#REF!</v>
      </c>
      <c r="O7" t="e">
        <f>'Entrada datos'!#REF!</f>
        <v>#REF!</v>
      </c>
      <c r="P7" s="17" t="e">
        <f t="shared" si="1"/>
        <v>#REF!</v>
      </c>
      <c r="Q7" t="e">
        <f>'Entrada datos'!#REF!</f>
        <v>#REF!</v>
      </c>
      <c r="R7" t="e">
        <f>'Entrada datos'!#REF!</f>
        <v>#REF!</v>
      </c>
      <c r="S7" t="e">
        <f>'Entrada datos'!#REF!</f>
        <v>#REF!</v>
      </c>
      <c r="T7" t="e">
        <f>'Entrada datos'!#REF!</f>
        <v>#REF!</v>
      </c>
      <c r="U7" t="e">
        <f>'Entrada datos'!#REF!</f>
        <v>#REF!</v>
      </c>
      <c r="V7" t="e">
        <f>'Entrada datos'!#REF!</f>
        <v>#REF!</v>
      </c>
      <c r="W7" s="17" t="e">
        <f t="shared" si="2"/>
        <v>#REF!</v>
      </c>
      <c r="X7" t="e">
        <f>'Entrada datos'!#REF!</f>
        <v>#REF!</v>
      </c>
      <c r="Y7" t="e">
        <f>'Entrada datos'!#REF!</f>
        <v>#REF!</v>
      </c>
      <c r="Z7" t="e">
        <f>'Entrada datos'!#REF!</f>
        <v>#REF!</v>
      </c>
      <c r="AA7" t="e">
        <f>'Entrada datos'!#REF!</f>
        <v>#REF!</v>
      </c>
      <c r="AB7" t="e">
        <f>'Entrada datos'!#REF!</f>
        <v>#REF!</v>
      </c>
      <c r="AC7" t="e">
        <f>'Entrada datos'!#REF!</f>
        <v>#REF!</v>
      </c>
      <c r="AD7" s="17" t="e">
        <f t="shared" si="3"/>
        <v>#REF!</v>
      </c>
      <c r="AE7" t="e">
        <f>'Entrada datos'!#REF!</f>
        <v>#REF!</v>
      </c>
      <c r="AF7" t="e">
        <f>'Entrada datos'!#REF!</f>
        <v>#REF!</v>
      </c>
      <c r="AG7" t="e">
        <f>'Entrada datos'!#REF!</f>
        <v>#REF!</v>
      </c>
      <c r="AH7" t="e">
        <f>'Entrada datos'!#REF!</f>
        <v>#REF!</v>
      </c>
      <c r="AI7" t="e">
        <f>'Entrada datos'!#REF!</f>
        <v>#REF!</v>
      </c>
      <c r="AJ7" t="e">
        <f>'Entrada datos'!#REF!</f>
        <v>#REF!</v>
      </c>
      <c r="AK7" s="17" t="e">
        <f t="shared" si="4"/>
        <v>#REF!</v>
      </c>
      <c r="AL7" t="e">
        <f>'Entrada datos'!#REF!</f>
        <v>#REF!</v>
      </c>
      <c r="AM7" t="e">
        <f>'Entrada datos'!#REF!</f>
        <v>#REF!</v>
      </c>
      <c r="AN7" t="e">
        <f>'Entrada datos'!#REF!</f>
        <v>#REF!</v>
      </c>
      <c r="AO7" t="e">
        <f>'Entrada datos'!#REF!</f>
        <v>#REF!</v>
      </c>
      <c r="AP7" t="e">
        <f>'Entrada datos'!#REF!</f>
        <v>#REF!</v>
      </c>
      <c r="AQ7" t="e">
        <f>'Entrada datos'!#REF!</f>
        <v>#REF!</v>
      </c>
      <c r="AR7" s="17" t="e">
        <f t="shared" si="5"/>
        <v>#REF!</v>
      </c>
      <c r="AS7" s="23" t="e">
        <f t="shared" si="6"/>
        <v>#REF!</v>
      </c>
      <c r="AT7" t="e">
        <f t="shared" si="7"/>
        <v>#REF!</v>
      </c>
      <c r="AU7" s="40" t="e">
        <f t="shared" si="8"/>
        <v>#REF!</v>
      </c>
      <c r="AV7" t="e">
        <f t="shared" si="9"/>
        <v>#REF!</v>
      </c>
      <c r="AW7" t="e">
        <f t="shared" si="10"/>
        <v>#REF!</v>
      </c>
      <c r="AX7" s="24">
        <f t="shared" si="11"/>
        <v>0</v>
      </c>
      <c r="AY7" s="24">
        <f t="shared" si="12"/>
        <v>0</v>
      </c>
      <c r="AZ7" s="24">
        <f t="shared" si="13"/>
        <v>0</v>
      </c>
      <c r="BA7" t="e">
        <f t="shared" si="14"/>
        <v>#REF!</v>
      </c>
      <c r="BB7">
        <f t="shared" si="15"/>
        <v>0</v>
      </c>
      <c r="BC7" s="24">
        <f t="shared" si="16"/>
        <v>0</v>
      </c>
      <c r="BD7" t="e">
        <f t="shared" si="17"/>
        <v>#REF!</v>
      </c>
    </row>
    <row r="8" spans="1:56" x14ac:dyDescent="0.3">
      <c r="A8" t="e">
        <f>'Entrada datos'!#REF!</f>
        <v>#REF!</v>
      </c>
      <c r="B8" t="e">
        <f>'Entrada datos'!#REF!</f>
        <v>#REF!</v>
      </c>
      <c r="C8" t="e">
        <f>'Entrada datos'!#REF!</f>
        <v>#REF!</v>
      </c>
      <c r="D8" t="e">
        <f>'Entrada datos'!#REF!</f>
        <v>#REF!</v>
      </c>
      <c r="E8" s="18" t="e">
        <f>'Entrada datos'!#REF!</f>
        <v>#REF!</v>
      </c>
      <c r="F8" s="18" t="e">
        <f>'Entrada datos'!#REF!</f>
        <v>#REF!</v>
      </c>
      <c r="G8" t="e">
        <f>'Entrada datos'!#REF!</f>
        <v>#REF!</v>
      </c>
      <c r="H8" t="e">
        <f>'Entrada datos'!#REF!</f>
        <v>#REF!</v>
      </c>
      <c r="I8" t="e">
        <f>'Entrada datos'!#REF!</f>
        <v>#REF!</v>
      </c>
      <c r="J8" t="e">
        <f>'Entrada datos'!#REF!</f>
        <v>#REF!</v>
      </c>
      <c r="K8" t="e">
        <f>'Entrada datos'!#REF!</f>
        <v>#REF!</v>
      </c>
      <c r="L8" t="e">
        <f>'Entrada datos'!#REF!</f>
        <v>#REF!</v>
      </c>
      <c r="M8" t="e">
        <f>'Entrada datos'!#REF!</f>
        <v>#REF!</v>
      </c>
      <c r="N8" t="e">
        <f>'Entrada datos'!#REF!</f>
        <v>#REF!</v>
      </c>
      <c r="O8" t="e">
        <f>'Entrada datos'!#REF!</f>
        <v>#REF!</v>
      </c>
      <c r="P8" s="17" t="e">
        <f t="shared" si="1"/>
        <v>#REF!</v>
      </c>
      <c r="Q8" t="e">
        <f>'Entrada datos'!#REF!</f>
        <v>#REF!</v>
      </c>
      <c r="R8" t="e">
        <f>'Entrada datos'!#REF!</f>
        <v>#REF!</v>
      </c>
      <c r="S8" t="e">
        <f>'Entrada datos'!#REF!</f>
        <v>#REF!</v>
      </c>
      <c r="T8" t="e">
        <f>'Entrada datos'!#REF!</f>
        <v>#REF!</v>
      </c>
      <c r="U8" t="e">
        <f>'Entrada datos'!#REF!</f>
        <v>#REF!</v>
      </c>
      <c r="V8" t="e">
        <f>'Entrada datos'!#REF!</f>
        <v>#REF!</v>
      </c>
      <c r="W8" s="17" t="e">
        <f t="shared" si="2"/>
        <v>#REF!</v>
      </c>
      <c r="X8" t="e">
        <f>'Entrada datos'!#REF!</f>
        <v>#REF!</v>
      </c>
      <c r="Y8" t="e">
        <f>'Entrada datos'!#REF!</f>
        <v>#REF!</v>
      </c>
      <c r="Z8" t="e">
        <f>'Entrada datos'!#REF!</f>
        <v>#REF!</v>
      </c>
      <c r="AA8" t="e">
        <f>'Entrada datos'!#REF!</f>
        <v>#REF!</v>
      </c>
      <c r="AB8" t="e">
        <f>'Entrada datos'!#REF!</f>
        <v>#REF!</v>
      </c>
      <c r="AC8" t="e">
        <f>'Entrada datos'!#REF!</f>
        <v>#REF!</v>
      </c>
      <c r="AD8" s="17" t="e">
        <f t="shared" si="3"/>
        <v>#REF!</v>
      </c>
      <c r="AE8" t="e">
        <f>'Entrada datos'!#REF!</f>
        <v>#REF!</v>
      </c>
      <c r="AF8" t="e">
        <f>'Entrada datos'!#REF!</f>
        <v>#REF!</v>
      </c>
      <c r="AG8" t="e">
        <f>'Entrada datos'!#REF!</f>
        <v>#REF!</v>
      </c>
      <c r="AH8" t="e">
        <f>'Entrada datos'!#REF!</f>
        <v>#REF!</v>
      </c>
      <c r="AI8" t="e">
        <f>'Entrada datos'!#REF!</f>
        <v>#REF!</v>
      </c>
      <c r="AJ8" t="e">
        <f>'Entrada datos'!#REF!</f>
        <v>#REF!</v>
      </c>
      <c r="AK8" s="17" t="e">
        <f t="shared" si="4"/>
        <v>#REF!</v>
      </c>
      <c r="AL8" t="e">
        <f>'Entrada datos'!#REF!</f>
        <v>#REF!</v>
      </c>
      <c r="AM8" t="e">
        <f>'Entrada datos'!#REF!</f>
        <v>#REF!</v>
      </c>
      <c r="AN8" t="e">
        <f>'Entrada datos'!#REF!</f>
        <v>#REF!</v>
      </c>
      <c r="AO8" t="e">
        <f>'Entrada datos'!#REF!</f>
        <v>#REF!</v>
      </c>
      <c r="AP8" t="e">
        <f>'Entrada datos'!#REF!</f>
        <v>#REF!</v>
      </c>
      <c r="AQ8" t="e">
        <f>'Entrada datos'!#REF!</f>
        <v>#REF!</v>
      </c>
      <c r="AR8" s="17" t="e">
        <f t="shared" si="5"/>
        <v>#REF!</v>
      </c>
      <c r="AS8" s="23" t="e">
        <f t="shared" si="6"/>
        <v>#REF!</v>
      </c>
      <c r="AT8" t="e">
        <f t="shared" si="7"/>
        <v>#REF!</v>
      </c>
      <c r="AU8" s="40" t="e">
        <f t="shared" si="8"/>
        <v>#REF!</v>
      </c>
      <c r="AV8" t="e">
        <f t="shared" si="9"/>
        <v>#REF!</v>
      </c>
      <c r="AW8" t="e">
        <f t="shared" si="10"/>
        <v>#REF!</v>
      </c>
      <c r="AX8" s="24">
        <f t="shared" si="11"/>
        <v>0</v>
      </c>
      <c r="AY8" s="24">
        <f t="shared" si="12"/>
        <v>0</v>
      </c>
      <c r="AZ8" s="24">
        <f t="shared" si="13"/>
        <v>0</v>
      </c>
      <c r="BA8" t="e">
        <f t="shared" si="14"/>
        <v>#REF!</v>
      </c>
      <c r="BB8">
        <f t="shared" si="15"/>
        <v>0</v>
      </c>
      <c r="BC8" s="24">
        <f t="shared" si="16"/>
        <v>0</v>
      </c>
      <c r="BD8" t="e">
        <f t="shared" si="17"/>
        <v>#REF!</v>
      </c>
    </row>
    <row r="9" spans="1:56" x14ac:dyDescent="0.3">
      <c r="A9" t="e">
        <f>'Entrada datos'!#REF!</f>
        <v>#REF!</v>
      </c>
      <c r="B9" t="e">
        <f>'Entrada datos'!#REF!</f>
        <v>#REF!</v>
      </c>
      <c r="C9" t="e">
        <f>'Entrada datos'!#REF!</f>
        <v>#REF!</v>
      </c>
      <c r="D9" t="e">
        <f>'Entrada datos'!#REF!</f>
        <v>#REF!</v>
      </c>
      <c r="E9" s="18" t="e">
        <f>'Entrada datos'!#REF!</f>
        <v>#REF!</v>
      </c>
      <c r="F9" s="18" t="e">
        <f>'Entrada datos'!#REF!</f>
        <v>#REF!</v>
      </c>
      <c r="G9" t="e">
        <f>'Entrada datos'!#REF!</f>
        <v>#REF!</v>
      </c>
      <c r="H9" t="e">
        <f>'Entrada datos'!#REF!</f>
        <v>#REF!</v>
      </c>
      <c r="I9" t="e">
        <f>'Entrada datos'!#REF!</f>
        <v>#REF!</v>
      </c>
      <c r="J9" t="e">
        <f>'Entrada datos'!#REF!</f>
        <v>#REF!</v>
      </c>
      <c r="K9" t="e">
        <f>'Entrada datos'!#REF!</f>
        <v>#REF!</v>
      </c>
      <c r="L9" t="e">
        <f>'Entrada datos'!#REF!</f>
        <v>#REF!</v>
      </c>
      <c r="M9" t="e">
        <f>'Entrada datos'!#REF!</f>
        <v>#REF!</v>
      </c>
      <c r="N9" t="e">
        <f>'Entrada datos'!#REF!</f>
        <v>#REF!</v>
      </c>
      <c r="O9" t="e">
        <f>'Entrada datos'!#REF!</f>
        <v>#REF!</v>
      </c>
      <c r="P9" s="17" t="e">
        <f t="shared" si="1"/>
        <v>#REF!</v>
      </c>
      <c r="Q9" t="e">
        <f>'Entrada datos'!#REF!</f>
        <v>#REF!</v>
      </c>
      <c r="R9" t="e">
        <f>'Entrada datos'!#REF!</f>
        <v>#REF!</v>
      </c>
      <c r="S9" t="e">
        <f>'Entrada datos'!#REF!</f>
        <v>#REF!</v>
      </c>
      <c r="T9" t="e">
        <f>'Entrada datos'!#REF!</f>
        <v>#REF!</v>
      </c>
      <c r="U9" t="e">
        <f>'Entrada datos'!#REF!</f>
        <v>#REF!</v>
      </c>
      <c r="V9" t="e">
        <f>'Entrada datos'!#REF!</f>
        <v>#REF!</v>
      </c>
      <c r="W9" s="17" t="e">
        <f t="shared" si="2"/>
        <v>#REF!</v>
      </c>
      <c r="X9" t="e">
        <f>'Entrada datos'!#REF!</f>
        <v>#REF!</v>
      </c>
      <c r="Y9" t="e">
        <f>'Entrada datos'!#REF!</f>
        <v>#REF!</v>
      </c>
      <c r="Z9" t="e">
        <f>'Entrada datos'!#REF!</f>
        <v>#REF!</v>
      </c>
      <c r="AA9" t="e">
        <f>'Entrada datos'!#REF!</f>
        <v>#REF!</v>
      </c>
      <c r="AB9" t="e">
        <f>'Entrada datos'!#REF!</f>
        <v>#REF!</v>
      </c>
      <c r="AC9" t="e">
        <f>'Entrada datos'!#REF!</f>
        <v>#REF!</v>
      </c>
      <c r="AD9" s="17" t="e">
        <f t="shared" si="3"/>
        <v>#REF!</v>
      </c>
      <c r="AE9" t="e">
        <f>'Entrada datos'!#REF!</f>
        <v>#REF!</v>
      </c>
      <c r="AF9" t="e">
        <f>'Entrada datos'!#REF!</f>
        <v>#REF!</v>
      </c>
      <c r="AG9" t="e">
        <f>'Entrada datos'!#REF!</f>
        <v>#REF!</v>
      </c>
      <c r="AH9" t="e">
        <f>'Entrada datos'!#REF!</f>
        <v>#REF!</v>
      </c>
      <c r="AI9" t="e">
        <f>'Entrada datos'!#REF!</f>
        <v>#REF!</v>
      </c>
      <c r="AJ9" t="e">
        <f>'Entrada datos'!#REF!</f>
        <v>#REF!</v>
      </c>
      <c r="AK9" s="17" t="e">
        <f t="shared" si="4"/>
        <v>#REF!</v>
      </c>
      <c r="AL9" t="e">
        <f>'Entrada datos'!#REF!</f>
        <v>#REF!</v>
      </c>
      <c r="AM9" t="e">
        <f>'Entrada datos'!#REF!</f>
        <v>#REF!</v>
      </c>
      <c r="AN9" t="e">
        <f>'Entrada datos'!#REF!</f>
        <v>#REF!</v>
      </c>
      <c r="AO9" t="e">
        <f>'Entrada datos'!#REF!</f>
        <v>#REF!</v>
      </c>
      <c r="AP9" t="e">
        <f>'Entrada datos'!#REF!</f>
        <v>#REF!</v>
      </c>
      <c r="AQ9" t="e">
        <f>'Entrada datos'!#REF!</f>
        <v>#REF!</v>
      </c>
      <c r="AR9" s="17" t="e">
        <f t="shared" si="5"/>
        <v>#REF!</v>
      </c>
      <c r="AS9" s="23" t="e">
        <f t="shared" si="6"/>
        <v>#REF!</v>
      </c>
      <c r="AT9" t="e">
        <f t="shared" si="7"/>
        <v>#REF!</v>
      </c>
      <c r="AU9" s="40" t="e">
        <f t="shared" si="8"/>
        <v>#REF!</v>
      </c>
      <c r="AV9" t="e">
        <f t="shared" si="9"/>
        <v>#REF!</v>
      </c>
      <c r="AW9" t="e">
        <f t="shared" si="10"/>
        <v>#REF!</v>
      </c>
      <c r="AX9" s="24">
        <f t="shared" si="11"/>
        <v>0</v>
      </c>
      <c r="AY9" s="24">
        <f t="shared" si="12"/>
        <v>0</v>
      </c>
      <c r="AZ9" s="24">
        <f t="shared" si="13"/>
        <v>0</v>
      </c>
      <c r="BA9" t="e">
        <f t="shared" si="14"/>
        <v>#REF!</v>
      </c>
      <c r="BB9">
        <f t="shared" si="15"/>
        <v>0</v>
      </c>
      <c r="BC9" s="24">
        <f t="shared" si="16"/>
        <v>0</v>
      </c>
      <c r="BD9" t="e">
        <f t="shared" si="17"/>
        <v>#REF!</v>
      </c>
    </row>
    <row r="10" spans="1:56" x14ac:dyDescent="0.3">
      <c r="A10" t="e">
        <f>'Entrada datos'!#REF!</f>
        <v>#REF!</v>
      </c>
      <c r="B10" t="e">
        <f>'Entrada datos'!#REF!</f>
        <v>#REF!</v>
      </c>
      <c r="C10" t="e">
        <f>'Entrada datos'!#REF!</f>
        <v>#REF!</v>
      </c>
      <c r="D10" t="e">
        <f>'Entrada datos'!#REF!</f>
        <v>#REF!</v>
      </c>
      <c r="E10" s="18" t="e">
        <f>'Entrada datos'!#REF!</f>
        <v>#REF!</v>
      </c>
      <c r="F10" s="18" t="e">
        <f>'Entrada datos'!#REF!</f>
        <v>#REF!</v>
      </c>
      <c r="G10" t="e">
        <f>'Entrada datos'!#REF!</f>
        <v>#REF!</v>
      </c>
      <c r="H10" t="e">
        <f>'Entrada datos'!#REF!</f>
        <v>#REF!</v>
      </c>
      <c r="I10" t="e">
        <f>'Entrada datos'!#REF!</f>
        <v>#REF!</v>
      </c>
      <c r="J10" t="e">
        <f>'Entrada datos'!#REF!</f>
        <v>#REF!</v>
      </c>
      <c r="K10" t="e">
        <f>'Entrada datos'!#REF!</f>
        <v>#REF!</v>
      </c>
      <c r="L10" t="e">
        <f>'Entrada datos'!#REF!</f>
        <v>#REF!</v>
      </c>
      <c r="M10" t="e">
        <f>'Entrada datos'!#REF!</f>
        <v>#REF!</v>
      </c>
      <c r="N10" t="e">
        <f>'Entrada datos'!#REF!</f>
        <v>#REF!</v>
      </c>
      <c r="O10" t="e">
        <f>'Entrada datos'!#REF!</f>
        <v>#REF!</v>
      </c>
      <c r="P10" s="17" t="e">
        <f t="shared" si="1"/>
        <v>#REF!</v>
      </c>
      <c r="Q10" t="e">
        <f>'Entrada datos'!#REF!</f>
        <v>#REF!</v>
      </c>
      <c r="R10" t="e">
        <f>'Entrada datos'!#REF!</f>
        <v>#REF!</v>
      </c>
      <c r="S10" t="e">
        <f>'Entrada datos'!#REF!</f>
        <v>#REF!</v>
      </c>
      <c r="T10" t="e">
        <f>'Entrada datos'!#REF!</f>
        <v>#REF!</v>
      </c>
      <c r="U10" t="e">
        <f>'Entrada datos'!#REF!</f>
        <v>#REF!</v>
      </c>
      <c r="V10" t="e">
        <f>'Entrada datos'!#REF!</f>
        <v>#REF!</v>
      </c>
      <c r="W10" s="17" t="e">
        <f t="shared" si="2"/>
        <v>#REF!</v>
      </c>
      <c r="X10" t="e">
        <f>'Entrada datos'!#REF!</f>
        <v>#REF!</v>
      </c>
      <c r="Y10" t="e">
        <f>'Entrada datos'!#REF!</f>
        <v>#REF!</v>
      </c>
      <c r="Z10" t="e">
        <f>'Entrada datos'!#REF!</f>
        <v>#REF!</v>
      </c>
      <c r="AA10" t="e">
        <f>'Entrada datos'!#REF!</f>
        <v>#REF!</v>
      </c>
      <c r="AB10" t="e">
        <f>'Entrada datos'!#REF!</f>
        <v>#REF!</v>
      </c>
      <c r="AC10" t="e">
        <f>'Entrada datos'!#REF!</f>
        <v>#REF!</v>
      </c>
      <c r="AD10" s="17" t="e">
        <f t="shared" si="3"/>
        <v>#REF!</v>
      </c>
      <c r="AE10" t="e">
        <f>'Entrada datos'!#REF!</f>
        <v>#REF!</v>
      </c>
      <c r="AF10" t="e">
        <f>'Entrada datos'!#REF!</f>
        <v>#REF!</v>
      </c>
      <c r="AG10" t="e">
        <f>'Entrada datos'!#REF!</f>
        <v>#REF!</v>
      </c>
      <c r="AH10" t="e">
        <f>'Entrada datos'!#REF!</f>
        <v>#REF!</v>
      </c>
      <c r="AI10" t="e">
        <f>'Entrada datos'!#REF!</f>
        <v>#REF!</v>
      </c>
      <c r="AJ10" t="e">
        <f>'Entrada datos'!#REF!</f>
        <v>#REF!</v>
      </c>
      <c r="AK10" s="17" t="e">
        <f t="shared" si="4"/>
        <v>#REF!</v>
      </c>
      <c r="AL10" t="e">
        <f>'Entrada datos'!#REF!</f>
        <v>#REF!</v>
      </c>
      <c r="AM10" t="e">
        <f>'Entrada datos'!#REF!</f>
        <v>#REF!</v>
      </c>
      <c r="AN10" t="e">
        <f>'Entrada datos'!#REF!</f>
        <v>#REF!</v>
      </c>
      <c r="AO10" t="e">
        <f>'Entrada datos'!#REF!</f>
        <v>#REF!</v>
      </c>
      <c r="AP10" t="e">
        <f>'Entrada datos'!#REF!</f>
        <v>#REF!</v>
      </c>
      <c r="AQ10" t="e">
        <f>'Entrada datos'!#REF!</f>
        <v>#REF!</v>
      </c>
      <c r="AR10" s="17" t="e">
        <f t="shared" si="5"/>
        <v>#REF!</v>
      </c>
      <c r="AS10" s="23" t="e">
        <f t="shared" si="6"/>
        <v>#REF!</v>
      </c>
      <c r="AT10" t="e">
        <f t="shared" si="7"/>
        <v>#REF!</v>
      </c>
      <c r="AU10" s="40" t="e">
        <f t="shared" si="8"/>
        <v>#REF!</v>
      </c>
      <c r="AV10" t="e">
        <f t="shared" si="9"/>
        <v>#REF!</v>
      </c>
      <c r="AW10" t="e">
        <f t="shared" si="10"/>
        <v>#REF!</v>
      </c>
      <c r="AX10" s="24">
        <f t="shared" si="11"/>
        <v>0</v>
      </c>
      <c r="AY10" s="24">
        <f t="shared" si="12"/>
        <v>0</v>
      </c>
      <c r="AZ10" s="24">
        <f t="shared" si="13"/>
        <v>0</v>
      </c>
      <c r="BA10" t="e">
        <f t="shared" si="14"/>
        <v>#REF!</v>
      </c>
      <c r="BB10">
        <f t="shared" si="15"/>
        <v>0</v>
      </c>
      <c r="BC10" s="24">
        <f t="shared" si="16"/>
        <v>0</v>
      </c>
      <c r="BD10" t="e">
        <f t="shared" si="17"/>
        <v>#REF!</v>
      </c>
    </row>
    <row r="11" spans="1:56" x14ac:dyDescent="0.3">
      <c r="A11" t="e">
        <f>'Entrada datos'!#REF!</f>
        <v>#REF!</v>
      </c>
      <c r="B11" t="e">
        <f>'Entrada datos'!#REF!</f>
        <v>#REF!</v>
      </c>
      <c r="C11" t="e">
        <f>'Entrada datos'!#REF!</f>
        <v>#REF!</v>
      </c>
      <c r="D11" t="e">
        <f>'Entrada datos'!#REF!</f>
        <v>#REF!</v>
      </c>
      <c r="E11" s="18" t="e">
        <f>'Entrada datos'!#REF!</f>
        <v>#REF!</v>
      </c>
      <c r="F11" s="18" t="e">
        <f>'Entrada datos'!#REF!</f>
        <v>#REF!</v>
      </c>
      <c r="G11" t="e">
        <f>'Entrada datos'!#REF!</f>
        <v>#REF!</v>
      </c>
      <c r="H11" t="e">
        <f>'Entrada datos'!#REF!</f>
        <v>#REF!</v>
      </c>
      <c r="I11" t="e">
        <f>'Entrada datos'!#REF!</f>
        <v>#REF!</v>
      </c>
      <c r="J11" t="e">
        <f>'Entrada datos'!#REF!</f>
        <v>#REF!</v>
      </c>
      <c r="K11" t="e">
        <f>'Entrada datos'!#REF!</f>
        <v>#REF!</v>
      </c>
      <c r="L11" t="e">
        <f>'Entrada datos'!#REF!</f>
        <v>#REF!</v>
      </c>
      <c r="M11" t="e">
        <f>'Entrada datos'!#REF!</f>
        <v>#REF!</v>
      </c>
      <c r="N11" t="e">
        <f>'Entrada datos'!#REF!</f>
        <v>#REF!</v>
      </c>
      <c r="O11" t="e">
        <f>'Entrada datos'!#REF!</f>
        <v>#REF!</v>
      </c>
      <c r="P11" s="17" t="e">
        <f t="shared" si="1"/>
        <v>#REF!</v>
      </c>
      <c r="Q11" t="e">
        <f>'Entrada datos'!#REF!</f>
        <v>#REF!</v>
      </c>
      <c r="R11" t="e">
        <f>'Entrada datos'!#REF!</f>
        <v>#REF!</v>
      </c>
      <c r="S11" t="e">
        <f>'Entrada datos'!#REF!</f>
        <v>#REF!</v>
      </c>
      <c r="T11" t="e">
        <f>'Entrada datos'!#REF!</f>
        <v>#REF!</v>
      </c>
      <c r="U11" t="e">
        <f>'Entrada datos'!#REF!</f>
        <v>#REF!</v>
      </c>
      <c r="V11" t="e">
        <f>'Entrada datos'!#REF!</f>
        <v>#REF!</v>
      </c>
      <c r="W11" s="17" t="e">
        <f t="shared" si="2"/>
        <v>#REF!</v>
      </c>
      <c r="X11" t="e">
        <f>'Entrada datos'!#REF!</f>
        <v>#REF!</v>
      </c>
      <c r="Y11" t="e">
        <f>'Entrada datos'!#REF!</f>
        <v>#REF!</v>
      </c>
      <c r="Z11" t="e">
        <f>'Entrada datos'!#REF!</f>
        <v>#REF!</v>
      </c>
      <c r="AA11" t="e">
        <f>'Entrada datos'!#REF!</f>
        <v>#REF!</v>
      </c>
      <c r="AB11" t="e">
        <f>'Entrada datos'!#REF!</f>
        <v>#REF!</v>
      </c>
      <c r="AC11" t="e">
        <f>'Entrada datos'!#REF!</f>
        <v>#REF!</v>
      </c>
      <c r="AD11" s="17" t="e">
        <f t="shared" si="3"/>
        <v>#REF!</v>
      </c>
      <c r="AE11" t="e">
        <f>'Entrada datos'!#REF!</f>
        <v>#REF!</v>
      </c>
      <c r="AF11" t="e">
        <f>'Entrada datos'!#REF!</f>
        <v>#REF!</v>
      </c>
      <c r="AG11" t="e">
        <f>'Entrada datos'!#REF!</f>
        <v>#REF!</v>
      </c>
      <c r="AH11" t="e">
        <f>'Entrada datos'!#REF!</f>
        <v>#REF!</v>
      </c>
      <c r="AI11" t="e">
        <f>'Entrada datos'!#REF!</f>
        <v>#REF!</v>
      </c>
      <c r="AJ11" t="e">
        <f>'Entrada datos'!#REF!</f>
        <v>#REF!</v>
      </c>
      <c r="AK11" s="17" t="e">
        <f t="shared" si="4"/>
        <v>#REF!</v>
      </c>
      <c r="AL11" t="e">
        <f>'Entrada datos'!#REF!</f>
        <v>#REF!</v>
      </c>
      <c r="AM11" t="e">
        <f>'Entrada datos'!#REF!</f>
        <v>#REF!</v>
      </c>
      <c r="AN11" t="e">
        <f>'Entrada datos'!#REF!</f>
        <v>#REF!</v>
      </c>
      <c r="AO11" t="e">
        <f>'Entrada datos'!#REF!</f>
        <v>#REF!</v>
      </c>
      <c r="AP11" t="e">
        <f>'Entrada datos'!#REF!</f>
        <v>#REF!</v>
      </c>
      <c r="AQ11" t="e">
        <f>'Entrada datos'!#REF!</f>
        <v>#REF!</v>
      </c>
      <c r="AR11" s="17" t="e">
        <f t="shared" si="5"/>
        <v>#REF!</v>
      </c>
      <c r="AS11" s="23" t="e">
        <f t="shared" si="6"/>
        <v>#REF!</v>
      </c>
      <c r="AT11" t="e">
        <f t="shared" si="7"/>
        <v>#REF!</v>
      </c>
      <c r="AU11" s="40" t="e">
        <f t="shared" si="8"/>
        <v>#REF!</v>
      </c>
      <c r="AV11" t="e">
        <f t="shared" si="9"/>
        <v>#REF!</v>
      </c>
      <c r="AW11" t="e">
        <f t="shared" si="10"/>
        <v>#REF!</v>
      </c>
      <c r="AX11" s="24">
        <f t="shared" si="11"/>
        <v>0</v>
      </c>
      <c r="AY11" s="24">
        <f t="shared" si="12"/>
        <v>0</v>
      </c>
      <c r="AZ11" s="24">
        <f t="shared" si="13"/>
        <v>0</v>
      </c>
      <c r="BA11" t="e">
        <f t="shared" si="14"/>
        <v>#REF!</v>
      </c>
      <c r="BB11">
        <f t="shared" si="15"/>
        <v>0</v>
      </c>
      <c r="BC11" s="24">
        <f t="shared" si="16"/>
        <v>0</v>
      </c>
      <c r="BD11" t="e">
        <f t="shared" si="17"/>
        <v>#REF!</v>
      </c>
    </row>
    <row r="12" spans="1:56" x14ac:dyDescent="0.3">
      <c r="A12" t="e">
        <f>'Entrada datos'!#REF!</f>
        <v>#REF!</v>
      </c>
      <c r="B12" t="e">
        <f>'Entrada datos'!#REF!</f>
        <v>#REF!</v>
      </c>
      <c r="C12" t="e">
        <f>'Entrada datos'!#REF!</f>
        <v>#REF!</v>
      </c>
      <c r="D12" t="e">
        <f>'Entrada datos'!#REF!</f>
        <v>#REF!</v>
      </c>
      <c r="E12" s="18" t="e">
        <f>'Entrada datos'!#REF!</f>
        <v>#REF!</v>
      </c>
      <c r="F12" s="18" t="e">
        <f>'Entrada datos'!#REF!</f>
        <v>#REF!</v>
      </c>
      <c r="G12" t="e">
        <f>'Entrada datos'!#REF!</f>
        <v>#REF!</v>
      </c>
      <c r="H12" t="e">
        <f>'Entrada datos'!#REF!</f>
        <v>#REF!</v>
      </c>
      <c r="I12" t="e">
        <f>'Entrada datos'!#REF!</f>
        <v>#REF!</v>
      </c>
      <c r="J12" t="e">
        <f>'Entrada datos'!#REF!</f>
        <v>#REF!</v>
      </c>
      <c r="K12" t="e">
        <f>'Entrada datos'!#REF!</f>
        <v>#REF!</v>
      </c>
      <c r="L12" t="e">
        <f>'Entrada datos'!#REF!</f>
        <v>#REF!</v>
      </c>
      <c r="M12" t="e">
        <f>'Entrada datos'!#REF!</f>
        <v>#REF!</v>
      </c>
      <c r="N12" t="e">
        <f>'Entrada datos'!#REF!</f>
        <v>#REF!</v>
      </c>
      <c r="O12" t="e">
        <f>'Entrada datos'!#REF!</f>
        <v>#REF!</v>
      </c>
      <c r="P12" s="17" t="e">
        <f t="shared" si="1"/>
        <v>#REF!</v>
      </c>
      <c r="Q12" t="e">
        <f>'Entrada datos'!#REF!</f>
        <v>#REF!</v>
      </c>
      <c r="R12" t="e">
        <f>'Entrada datos'!#REF!</f>
        <v>#REF!</v>
      </c>
      <c r="S12" t="e">
        <f>'Entrada datos'!#REF!</f>
        <v>#REF!</v>
      </c>
      <c r="T12" t="e">
        <f>'Entrada datos'!#REF!</f>
        <v>#REF!</v>
      </c>
      <c r="U12" t="e">
        <f>'Entrada datos'!#REF!</f>
        <v>#REF!</v>
      </c>
      <c r="V12" t="e">
        <f>'Entrada datos'!#REF!</f>
        <v>#REF!</v>
      </c>
      <c r="W12" s="17" t="e">
        <f t="shared" si="2"/>
        <v>#REF!</v>
      </c>
      <c r="X12" t="e">
        <f>'Entrada datos'!#REF!</f>
        <v>#REF!</v>
      </c>
      <c r="Y12" t="e">
        <f>'Entrada datos'!#REF!</f>
        <v>#REF!</v>
      </c>
      <c r="Z12" t="e">
        <f>'Entrada datos'!#REF!</f>
        <v>#REF!</v>
      </c>
      <c r="AA12" t="e">
        <f>'Entrada datos'!#REF!</f>
        <v>#REF!</v>
      </c>
      <c r="AB12" t="e">
        <f>'Entrada datos'!#REF!</f>
        <v>#REF!</v>
      </c>
      <c r="AC12" t="e">
        <f>'Entrada datos'!#REF!</f>
        <v>#REF!</v>
      </c>
      <c r="AD12" s="17" t="e">
        <f t="shared" si="3"/>
        <v>#REF!</v>
      </c>
      <c r="AE12" t="e">
        <f>'Entrada datos'!#REF!</f>
        <v>#REF!</v>
      </c>
      <c r="AF12" t="e">
        <f>'Entrada datos'!#REF!</f>
        <v>#REF!</v>
      </c>
      <c r="AG12" t="e">
        <f>'Entrada datos'!#REF!</f>
        <v>#REF!</v>
      </c>
      <c r="AH12" t="e">
        <f>'Entrada datos'!#REF!</f>
        <v>#REF!</v>
      </c>
      <c r="AI12" t="e">
        <f>'Entrada datos'!#REF!</f>
        <v>#REF!</v>
      </c>
      <c r="AJ12" t="e">
        <f>'Entrada datos'!#REF!</f>
        <v>#REF!</v>
      </c>
      <c r="AK12" s="17" t="e">
        <f t="shared" si="4"/>
        <v>#REF!</v>
      </c>
      <c r="AL12" t="e">
        <f>'Entrada datos'!#REF!</f>
        <v>#REF!</v>
      </c>
      <c r="AM12" t="e">
        <f>'Entrada datos'!#REF!</f>
        <v>#REF!</v>
      </c>
      <c r="AN12" t="e">
        <f>'Entrada datos'!#REF!</f>
        <v>#REF!</v>
      </c>
      <c r="AO12" t="e">
        <f>'Entrada datos'!#REF!</f>
        <v>#REF!</v>
      </c>
      <c r="AP12" t="e">
        <f>'Entrada datos'!#REF!</f>
        <v>#REF!</v>
      </c>
      <c r="AQ12" t="e">
        <f>'Entrada datos'!#REF!</f>
        <v>#REF!</v>
      </c>
      <c r="AR12" s="17" t="e">
        <f t="shared" si="5"/>
        <v>#REF!</v>
      </c>
      <c r="AS12" s="23" t="e">
        <f t="shared" si="6"/>
        <v>#REF!</v>
      </c>
      <c r="AT12" t="e">
        <f t="shared" si="7"/>
        <v>#REF!</v>
      </c>
      <c r="AU12" s="40" t="e">
        <f t="shared" si="8"/>
        <v>#REF!</v>
      </c>
      <c r="AV12" t="e">
        <f t="shared" si="9"/>
        <v>#REF!</v>
      </c>
      <c r="AW12" t="e">
        <f t="shared" si="10"/>
        <v>#REF!</v>
      </c>
      <c r="AX12" s="24">
        <f t="shared" si="11"/>
        <v>0</v>
      </c>
      <c r="AY12" s="24">
        <f t="shared" si="12"/>
        <v>0</v>
      </c>
      <c r="AZ12" s="24">
        <f t="shared" si="13"/>
        <v>0</v>
      </c>
      <c r="BA12" t="e">
        <f t="shared" si="14"/>
        <v>#REF!</v>
      </c>
      <c r="BB12">
        <f t="shared" si="15"/>
        <v>0</v>
      </c>
      <c r="BC12" s="24">
        <f t="shared" si="16"/>
        <v>0</v>
      </c>
      <c r="BD12" t="e">
        <f t="shared" si="17"/>
        <v>#REF!</v>
      </c>
    </row>
    <row r="13" spans="1:56" x14ac:dyDescent="0.3">
      <c r="A13" t="e">
        <f>'Entrada datos'!#REF!</f>
        <v>#REF!</v>
      </c>
      <c r="B13" t="e">
        <f>'Entrada datos'!#REF!</f>
        <v>#REF!</v>
      </c>
      <c r="C13" t="e">
        <f>'Entrada datos'!#REF!</f>
        <v>#REF!</v>
      </c>
      <c r="D13" t="e">
        <f>'Entrada datos'!#REF!</f>
        <v>#REF!</v>
      </c>
      <c r="E13" s="18" t="e">
        <f>'Entrada datos'!#REF!</f>
        <v>#REF!</v>
      </c>
      <c r="F13" s="18" t="e">
        <f>'Entrada datos'!#REF!</f>
        <v>#REF!</v>
      </c>
      <c r="G13" t="e">
        <f>'Entrada datos'!#REF!</f>
        <v>#REF!</v>
      </c>
      <c r="H13" t="e">
        <f>'Entrada datos'!#REF!</f>
        <v>#REF!</v>
      </c>
      <c r="I13" t="e">
        <f>'Entrada datos'!#REF!</f>
        <v>#REF!</v>
      </c>
      <c r="J13" t="e">
        <f>'Entrada datos'!#REF!</f>
        <v>#REF!</v>
      </c>
      <c r="K13" t="e">
        <f>'Entrada datos'!#REF!</f>
        <v>#REF!</v>
      </c>
      <c r="L13" t="e">
        <f>'Entrada datos'!#REF!</f>
        <v>#REF!</v>
      </c>
      <c r="M13" t="e">
        <f>'Entrada datos'!#REF!</f>
        <v>#REF!</v>
      </c>
      <c r="N13" t="e">
        <f>'Entrada datos'!#REF!</f>
        <v>#REF!</v>
      </c>
      <c r="O13" t="e">
        <f>'Entrada datos'!#REF!</f>
        <v>#REF!</v>
      </c>
      <c r="P13" s="17" t="e">
        <f t="shared" si="1"/>
        <v>#REF!</v>
      </c>
      <c r="Q13" t="e">
        <f>'Entrada datos'!#REF!</f>
        <v>#REF!</v>
      </c>
      <c r="R13" t="e">
        <f>'Entrada datos'!#REF!</f>
        <v>#REF!</v>
      </c>
      <c r="S13" t="e">
        <f>'Entrada datos'!#REF!</f>
        <v>#REF!</v>
      </c>
      <c r="T13" t="e">
        <f>'Entrada datos'!#REF!</f>
        <v>#REF!</v>
      </c>
      <c r="U13" t="e">
        <f>'Entrada datos'!#REF!</f>
        <v>#REF!</v>
      </c>
      <c r="V13" t="e">
        <f>'Entrada datos'!#REF!</f>
        <v>#REF!</v>
      </c>
      <c r="W13" s="17" t="e">
        <f t="shared" si="2"/>
        <v>#REF!</v>
      </c>
      <c r="X13" t="e">
        <f>'Entrada datos'!#REF!</f>
        <v>#REF!</v>
      </c>
      <c r="Y13" t="e">
        <f>'Entrada datos'!#REF!</f>
        <v>#REF!</v>
      </c>
      <c r="Z13" t="e">
        <f>'Entrada datos'!#REF!</f>
        <v>#REF!</v>
      </c>
      <c r="AA13" t="e">
        <f>'Entrada datos'!#REF!</f>
        <v>#REF!</v>
      </c>
      <c r="AB13" t="e">
        <f>'Entrada datos'!#REF!</f>
        <v>#REF!</v>
      </c>
      <c r="AC13" t="e">
        <f>'Entrada datos'!#REF!</f>
        <v>#REF!</v>
      </c>
      <c r="AD13" s="17" t="e">
        <f t="shared" si="3"/>
        <v>#REF!</v>
      </c>
      <c r="AE13" t="e">
        <f>'Entrada datos'!#REF!</f>
        <v>#REF!</v>
      </c>
      <c r="AF13" t="e">
        <f>'Entrada datos'!#REF!</f>
        <v>#REF!</v>
      </c>
      <c r="AG13" t="e">
        <f>'Entrada datos'!#REF!</f>
        <v>#REF!</v>
      </c>
      <c r="AH13" t="e">
        <f>'Entrada datos'!#REF!</f>
        <v>#REF!</v>
      </c>
      <c r="AI13" t="e">
        <f>'Entrada datos'!#REF!</f>
        <v>#REF!</v>
      </c>
      <c r="AJ13" t="e">
        <f>'Entrada datos'!#REF!</f>
        <v>#REF!</v>
      </c>
      <c r="AK13" s="17" t="e">
        <f t="shared" si="4"/>
        <v>#REF!</v>
      </c>
      <c r="AL13" t="e">
        <f>'Entrada datos'!#REF!</f>
        <v>#REF!</v>
      </c>
      <c r="AM13" t="e">
        <f>'Entrada datos'!#REF!</f>
        <v>#REF!</v>
      </c>
      <c r="AN13" t="e">
        <f>'Entrada datos'!#REF!</f>
        <v>#REF!</v>
      </c>
      <c r="AO13" t="e">
        <f>'Entrada datos'!#REF!</f>
        <v>#REF!</v>
      </c>
      <c r="AP13" t="e">
        <f>'Entrada datos'!#REF!</f>
        <v>#REF!</v>
      </c>
      <c r="AQ13" t="e">
        <f>'Entrada datos'!#REF!</f>
        <v>#REF!</v>
      </c>
      <c r="AR13" s="17" t="e">
        <f t="shared" si="5"/>
        <v>#REF!</v>
      </c>
      <c r="AS13" s="23" t="e">
        <f t="shared" si="6"/>
        <v>#REF!</v>
      </c>
      <c r="AT13" t="e">
        <f t="shared" si="7"/>
        <v>#REF!</v>
      </c>
      <c r="AU13" s="40" t="e">
        <f t="shared" si="8"/>
        <v>#REF!</v>
      </c>
      <c r="AV13" t="e">
        <f t="shared" si="9"/>
        <v>#REF!</v>
      </c>
      <c r="AW13" t="e">
        <f t="shared" si="10"/>
        <v>#REF!</v>
      </c>
      <c r="AX13" s="24">
        <f t="shared" si="11"/>
        <v>0</v>
      </c>
      <c r="AY13" s="24">
        <f t="shared" si="12"/>
        <v>0</v>
      </c>
      <c r="AZ13" s="24">
        <f t="shared" si="13"/>
        <v>0</v>
      </c>
      <c r="BA13" t="e">
        <f t="shared" si="14"/>
        <v>#REF!</v>
      </c>
      <c r="BB13">
        <f t="shared" si="15"/>
        <v>0</v>
      </c>
      <c r="BC13" s="24">
        <f t="shared" si="16"/>
        <v>0</v>
      </c>
      <c r="BD13" t="e">
        <f t="shared" si="17"/>
        <v>#REF!</v>
      </c>
    </row>
    <row r="14" spans="1:56" x14ac:dyDescent="0.3">
      <c r="A14" t="e">
        <f>'Entrada datos'!#REF!</f>
        <v>#REF!</v>
      </c>
      <c r="B14" t="e">
        <f>'Entrada datos'!#REF!</f>
        <v>#REF!</v>
      </c>
      <c r="C14" t="e">
        <f>'Entrada datos'!#REF!</f>
        <v>#REF!</v>
      </c>
      <c r="D14" t="e">
        <f>'Entrada datos'!#REF!</f>
        <v>#REF!</v>
      </c>
      <c r="E14" s="18" t="e">
        <f>'Entrada datos'!#REF!</f>
        <v>#REF!</v>
      </c>
      <c r="F14" s="18" t="e">
        <f>'Entrada datos'!#REF!</f>
        <v>#REF!</v>
      </c>
      <c r="G14" t="e">
        <f>'Entrada datos'!#REF!</f>
        <v>#REF!</v>
      </c>
      <c r="H14" t="e">
        <f>'Entrada datos'!#REF!</f>
        <v>#REF!</v>
      </c>
      <c r="I14" t="e">
        <f>'Entrada datos'!#REF!</f>
        <v>#REF!</v>
      </c>
      <c r="J14" t="e">
        <f>'Entrada datos'!#REF!</f>
        <v>#REF!</v>
      </c>
      <c r="K14" t="e">
        <f>'Entrada datos'!#REF!</f>
        <v>#REF!</v>
      </c>
      <c r="L14" t="e">
        <f>'Entrada datos'!#REF!</f>
        <v>#REF!</v>
      </c>
      <c r="M14" t="e">
        <f>'Entrada datos'!#REF!</f>
        <v>#REF!</v>
      </c>
      <c r="N14" t="e">
        <f>'Entrada datos'!#REF!</f>
        <v>#REF!</v>
      </c>
      <c r="O14" t="e">
        <f>'Entrada datos'!#REF!</f>
        <v>#REF!</v>
      </c>
      <c r="P14" s="17" t="e">
        <f t="shared" si="1"/>
        <v>#REF!</v>
      </c>
      <c r="Q14" t="e">
        <f>'Entrada datos'!#REF!</f>
        <v>#REF!</v>
      </c>
      <c r="R14" t="e">
        <f>'Entrada datos'!#REF!</f>
        <v>#REF!</v>
      </c>
      <c r="S14" t="e">
        <f>'Entrada datos'!#REF!</f>
        <v>#REF!</v>
      </c>
      <c r="T14" t="e">
        <f>'Entrada datos'!#REF!</f>
        <v>#REF!</v>
      </c>
      <c r="U14" t="e">
        <f>'Entrada datos'!#REF!</f>
        <v>#REF!</v>
      </c>
      <c r="V14" t="e">
        <f>'Entrada datos'!#REF!</f>
        <v>#REF!</v>
      </c>
      <c r="W14" s="17" t="e">
        <f t="shared" si="2"/>
        <v>#REF!</v>
      </c>
      <c r="X14" t="e">
        <f>'Entrada datos'!#REF!</f>
        <v>#REF!</v>
      </c>
      <c r="Y14" t="e">
        <f>'Entrada datos'!#REF!</f>
        <v>#REF!</v>
      </c>
      <c r="Z14" t="e">
        <f>'Entrada datos'!#REF!</f>
        <v>#REF!</v>
      </c>
      <c r="AA14" t="e">
        <f>'Entrada datos'!#REF!</f>
        <v>#REF!</v>
      </c>
      <c r="AB14" t="e">
        <f>'Entrada datos'!#REF!</f>
        <v>#REF!</v>
      </c>
      <c r="AC14" t="e">
        <f>'Entrada datos'!#REF!</f>
        <v>#REF!</v>
      </c>
      <c r="AD14" s="17" t="e">
        <f t="shared" si="3"/>
        <v>#REF!</v>
      </c>
      <c r="AE14" t="e">
        <f>'Entrada datos'!#REF!</f>
        <v>#REF!</v>
      </c>
      <c r="AF14" t="e">
        <f>'Entrada datos'!#REF!</f>
        <v>#REF!</v>
      </c>
      <c r="AG14" t="e">
        <f>'Entrada datos'!#REF!</f>
        <v>#REF!</v>
      </c>
      <c r="AH14" t="e">
        <f>'Entrada datos'!#REF!</f>
        <v>#REF!</v>
      </c>
      <c r="AI14" t="e">
        <f>'Entrada datos'!#REF!</f>
        <v>#REF!</v>
      </c>
      <c r="AJ14" t="e">
        <f>'Entrada datos'!#REF!</f>
        <v>#REF!</v>
      </c>
      <c r="AK14" s="17" t="e">
        <f t="shared" si="4"/>
        <v>#REF!</v>
      </c>
      <c r="AL14" t="e">
        <f>'Entrada datos'!#REF!</f>
        <v>#REF!</v>
      </c>
      <c r="AM14" t="e">
        <f>'Entrada datos'!#REF!</f>
        <v>#REF!</v>
      </c>
      <c r="AN14" t="e">
        <f>'Entrada datos'!#REF!</f>
        <v>#REF!</v>
      </c>
      <c r="AO14" t="e">
        <f>'Entrada datos'!#REF!</f>
        <v>#REF!</v>
      </c>
      <c r="AP14" t="e">
        <f>'Entrada datos'!#REF!</f>
        <v>#REF!</v>
      </c>
      <c r="AQ14" t="e">
        <f>'Entrada datos'!#REF!</f>
        <v>#REF!</v>
      </c>
      <c r="AR14" s="17" t="e">
        <f t="shared" si="5"/>
        <v>#REF!</v>
      </c>
      <c r="AS14" s="23" t="e">
        <f t="shared" si="6"/>
        <v>#REF!</v>
      </c>
      <c r="AT14" t="e">
        <f t="shared" si="7"/>
        <v>#REF!</v>
      </c>
      <c r="AU14" s="40" t="e">
        <f t="shared" si="8"/>
        <v>#REF!</v>
      </c>
      <c r="AV14" t="e">
        <f t="shared" si="9"/>
        <v>#REF!</v>
      </c>
      <c r="AW14" t="e">
        <f t="shared" si="10"/>
        <v>#REF!</v>
      </c>
      <c r="AX14" s="24">
        <f t="shared" si="11"/>
        <v>0</v>
      </c>
      <c r="AY14" s="24">
        <f t="shared" si="12"/>
        <v>0</v>
      </c>
      <c r="AZ14" s="24">
        <f t="shared" si="13"/>
        <v>0</v>
      </c>
      <c r="BA14" t="e">
        <f t="shared" si="14"/>
        <v>#REF!</v>
      </c>
      <c r="BB14">
        <f t="shared" si="15"/>
        <v>0</v>
      </c>
      <c r="BC14" s="24">
        <f t="shared" si="16"/>
        <v>0</v>
      </c>
      <c r="BD14" t="e">
        <f t="shared" si="17"/>
        <v>#REF!</v>
      </c>
    </row>
    <row r="15" spans="1:56" x14ac:dyDescent="0.3">
      <c r="A15" t="e">
        <f>'Entrada datos'!#REF!</f>
        <v>#REF!</v>
      </c>
      <c r="B15" t="e">
        <f>'Entrada datos'!#REF!</f>
        <v>#REF!</v>
      </c>
      <c r="C15" t="e">
        <f>'Entrada datos'!#REF!</f>
        <v>#REF!</v>
      </c>
      <c r="D15" t="e">
        <f>'Entrada datos'!#REF!</f>
        <v>#REF!</v>
      </c>
      <c r="E15" s="18" t="e">
        <f>'Entrada datos'!#REF!</f>
        <v>#REF!</v>
      </c>
      <c r="F15" s="18" t="e">
        <f>'Entrada datos'!#REF!</f>
        <v>#REF!</v>
      </c>
      <c r="G15" t="e">
        <f>'Entrada datos'!#REF!</f>
        <v>#REF!</v>
      </c>
      <c r="H15" t="e">
        <f>'Entrada datos'!#REF!</f>
        <v>#REF!</v>
      </c>
      <c r="I15" t="e">
        <f>'Entrada datos'!#REF!</f>
        <v>#REF!</v>
      </c>
      <c r="J15" t="e">
        <f>'Entrada datos'!#REF!</f>
        <v>#REF!</v>
      </c>
      <c r="K15" t="e">
        <f>'Entrada datos'!#REF!</f>
        <v>#REF!</v>
      </c>
      <c r="L15" t="e">
        <f>'Entrada datos'!#REF!</f>
        <v>#REF!</v>
      </c>
      <c r="M15" t="e">
        <f>'Entrada datos'!#REF!</f>
        <v>#REF!</v>
      </c>
      <c r="N15" t="e">
        <f>'Entrada datos'!#REF!</f>
        <v>#REF!</v>
      </c>
      <c r="O15" t="e">
        <f>'Entrada datos'!#REF!</f>
        <v>#REF!</v>
      </c>
      <c r="P15" s="17" t="e">
        <f t="shared" si="1"/>
        <v>#REF!</v>
      </c>
      <c r="Q15" t="e">
        <f>'Entrada datos'!#REF!</f>
        <v>#REF!</v>
      </c>
      <c r="R15" t="e">
        <f>'Entrada datos'!#REF!</f>
        <v>#REF!</v>
      </c>
      <c r="S15" t="e">
        <f>'Entrada datos'!#REF!</f>
        <v>#REF!</v>
      </c>
      <c r="T15" t="e">
        <f>'Entrada datos'!#REF!</f>
        <v>#REF!</v>
      </c>
      <c r="U15" t="e">
        <f>'Entrada datos'!#REF!</f>
        <v>#REF!</v>
      </c>
      <c r="V15" t="e">
        <f>'Entrada datos'!#REF!</f>
        <v>#REF!</v>
      </c>
      <c r="W15" s="17" t="e">
        <f t="shared" si="2"/>
        <v>#REF!</v>
      </c>
      <c r="X15" t="e">
        <f>'Entrada datos'!#REF!</f>
        <v>#REF!</v>
      </c>
      <c r="Y15" t="e">
        <f>'Entrada datos'!#REF!</f>
        <v>#REF!</v>
      </c>
      <c r="Z15" t="e">
        <f>'Entrada datos'!#REF!</f>
        <v>#REF!</v>
      </c>
      <c r="AA15" t="e">
        <f>'Entrada datos'!#REF!</f>
        <v>#REF!</v>
      </c>
      <c r="AB15" t="e">
        <f>'Entrada datos'!#REF!</f>
        <v>#REF!</v>
      </c>
      <c r="AC15" t="e">
        <f>'Entrada datos'!#REF!</f>
        <v>#REF!</v>
      </c>
      <c r="AD15" s="17" t="e">
        <f t="shared" si="3"/>
        <v>#REF!</v>
      </c>
      <c r="AE15" t="e">
        <f>'Entrada datos'!#REF!</f>
        <v>#REF!</v>
      </c>
      <c r="AF15" t="e">
        <f>'Entrada datos'!#REF!</f>
        <v>#REF!</v>
      </c>
      <c r="AG15" t="e">
        <f>'Entrada datos'!#REF!</f>
        <v>#REF!</v>
      </c>
      <c r="AH15" t="e">
        <f>'Entrada datos'!#REF!</f>
        <v>#REF!</v>
      </c>
      <c r="AI15" t="e">
        <f>'Entrada datos'!#REF!</f>
        <v>#REF!</v>
      </c>
      <c r="AJ15" t="e">
        <f>'Entrada datos'!#REF!</f>
        <v>#REF!</v>
      </c>
      <c r="AK15" s="17" t="e">
        <f t="shared" si="4"/>
        <v>#REF!</v>
      </c>
      <c r="AL15" t="e">
        <f>'Entrada datos'!#REF!</f>
        <v>#REF!</v>
      </c>
      <c r="AM15" t="e">
        <f>'Entrada datos'!#REF!</f>
        <v>#REF!</v>
      </c>
      <c r="AN15" t="e">
        <f>'Entrada datos'!#REF!</f>
        <v>#REF!</v>
      </c>
      <c r="AO15" t="e">
        <f>'Entrada datos'!#REF!</f>
        <v>#REF!</v>
      </c>
      <c r="AP15" t="e">
        <f>'Entrada datos'!#REF!</f>
        <v>#REF!</v>
      </c>
      <c r="AQ15" t="e">
        <f>'Entrada datos'!#REF!</f>
        <v>#REF!</v>
      </c>
      <c r="AR15" s="17" t="e">
        <f t="shared" si="5"/>
        <v>#REF!</v>
      </c>
      <c r="AS15" s="23" t="e">
        <f t="shared" si="6"/>
        <v>#REF!</v>
      </c>
      <c r="AT15" t="e">
        <f t="shared" si="7"/>
        <v>#REF!</v>
      </c>
      <c r="AU15" s="40" t="e">
        <f t="shared" si="8"/>
        <v>#REF!</v>
      </c>
      <c r="AV15" t="e">
        <f t="shared" si="9"/>
        <v>#REF!</v>
      </c>
      <c r="AW15" t="e">
        <f t="shared" si="10"/>
        <v>#REF!</v>
      </c>
      <c r="AX15" s="24">
        <f t="shared" si="11"/>
        <v>0</v>
      </c>
      <c r="AY15" s="24">
        <f t="shared" si="12"/>
        <v>0</v>
      </c>
      <c r="AZ15" s="24">
        <f t="shared" si="13"/>
        <v>0</v>
      </c>
      <c r="BA15" t="e">
        <f t="shared" si="14"/>
        <v>#REF!</v>
      </c>
      <c r="BB15">
        <f t="shared" si="15"/>
        <v>0</v>
      </c>
      <c r="BC15" s="24">
        <f t="shared" si="16"/>
        <v>0</v>
      </c>
      <c r="BD15" t="e">
        <f t="shared" si="17"/>
        <v>#REF!</v>
      </c>
    </row>
    <row r="16" spans="1:56" x14ac:dyDescent="0.3">
      <c r="A16" t="e">
        <f>'Entrada datos'!#REF!</f>
        <v>#REF!</v>
      </c>
      <c r="B16" t="e">
        <f>'Entrada datos'!#REF!</f>
        <v>#REF!</v>
      </c>
      <c r="C16" t="e">
        <f>'Entrada datos'!#REF!</f>
        <v>#REF!</v>
      </c>
      <c r="D16" t="e">
        <f>'Entrada datos'!#REF!</f>
        <v>#REF!</v>
      </c>
      <c r="E16" s="18" t="e">
        <f>'Entrada datos'!#REF!</f>
        <v>#REF!</v>
      </c>
      <c r="F16" s="18" t="e">
        <f>'Entrada datos'!#REF!</f>
        <v>#REF!</v>
      </c>
      <c r="G16" t="e">
        <f>'Entrada datos'!#REF!</f>
        <v>#REF!</v>
      </c>
      <c r="H16" t="e">
        <f>'Entrada datos'!#REF!</f>
        <v>#REF!</v>
      </c>
      <c r="I16" t="e">
        <f>'Entrada datos'!#REF!</f>
        <v>#REF!</v>
      </c>
      <c r="J16" t="e">
        <f>'Entrada datos'!#REF!</f>
        <v>#REF!</v>
      </c>
      <c r="K16" t="e">
        <f>'Entrada datos'!#REF!</f>
        <v>#REF!</v>
      </c>
      <c r="L16" t="e">
        <f>'Entrada datos'!#REF!</f>
        <v>#REF!</v>
      </c>
      <c r="M16" t="e">
        <f>'Entrada datos'!#REF!</f>
        <v>#REF!</v>
      </c>
      <c r="N16" t="e">
        <f>'Entrada datos'!#REF!</f>
        <v>#REF!</v>
      </c>
      <c r="O16" t="e">
        <f>'Entrada datos'!#REF!</f>
        <v>#REF!</v>
      </c>
      <c r="P16" s="17" t="e">
        <f t="shared" si="1"/>
        <v>#REF!</v>
      </c>
      <c r="Q16" t="e">
        <f>'Entrada datos'!#REF!</f>
        <v>#REF!</v>
      </c>
      <c r="R16" t="e">
        <f>'Entrada datos'!#REF!</f>
        <v>#REF!</v>
      </c>
      <c r="S16" t="e">
        <f>'Entrada datos'!#REF!</f>
        <v>#REF!</v>
      </c>
      <c r="T16" t="e">
        <f>'Entrada datos'!#REF!</f>
        <v>#REF!</v>
      </c>
      <c r="U16" t="e">
        <f>'Entrada datos'!#REF!</f>
        <v>#REF!</v>
      </c>
      <c r="V16" t="e">
        <f>'Entrada datos'!#REF!</f>
        <v>#REF!</v>
      </c>
      <c r="W16" s="17" t="e">
        <f t="shared" si="2"/>
        <v>#REF!</v>
      </c>
      <c r="X16" t="e">
        <f>'Entrada datos'!#REF!</f>
        <v>#REF!</v>
      </c>
      <c r="Y16" t="e">
        <f>'Entrada datos'!#REF!</f>
        <v>#REF!</v>
      </c>
      <c r="Z16" t="e">
        <f>'Entrada datos'!#REF!</f>
        <v>#REF!</v>
      </c>
      <c r="AA16" t="e">
        <f>'Entrada datos'!#REF!</f>
        <v>#REF!</v>
      </c>
      <c r="AB16" t="e">
        <f>'Entrada datos'!#REF!</f>
        <v>#REF!</v>
      </c>
      <c r="AC16" t="e">
        <f>'Entrada datos'!#REF!</f>
        <v>#REF!</v>
      </c>
      <c r="AD16" s="17" t="e">
        <f t="shared" si="3"/>
        <v>#REF!</v>
      </c>
      <c r="AE16" t="e">
        <f>'Entrada datos'!#REF!</f>
        <v>#REF!</v>
      </c>
      <c r="AF16" t="e">
        <f>'Entrada datos'!#REF!</f>
        <v>#REF!</v>
      </c>
      <c r="AG16" t="e">
        <f>'Entrada datos'!#REF!</f>
        <v>#REF!</v>
      </c>
      <c r="AH16" t="e">
        <f>'Entrada datos'!#REF!</f>
        <v>#REF!</v>
      </c>
      <c r="AI16" t="e">
        <f>'Entrada datos'!#REF!</f>
        <v>#REF!</v>
      </c>
      <c r="AJ16" t="e">
        <f>'Entrada datos'!#REF!</f>
        <v>#REF!</v>
      </c>
      <c r="AK16" s="17" t="e">
        <f t="shared" si="4"/>
        <v>#REF!</v>
      </c>
      <c r="AL16" t="e">
        <f>'Entrada datos'!#REF!</f>
        <v>#REF!</v>
      </c>
      <c r="AM16" t="e">
        <f>'Entrada datos'!#REF!</f>
        <v>#REF!</v>
      </c>
      <c r="AN16" t="e">
        <f>'Entrada datos'!#REF!</f>
        <v>#REF!</v>
      </c>
      <c r="AO16" t="e">
        <f>'Entrada datos'!#REF!</f>
        <v>#REF!</v>
      </c>
      <c r="AP16" t="e">
        <f>'Entrada datos'!#REF!</f>
        <v>#REF!</v>
      </c>
      <c r="AQ16" t="e">
        <f>'Entrada datos'!#REF!</f>
        <v>#REF!</v>
      </c>
      <c r="AR16" s="17" t="e">
        <f t="shared" si="5"/>
        <v>#REF!</v>
      </c>
      <c r="AS16" s="23" t="e">
        <f t="shared" si="6"/>
        <v>#REF!</v>
      </c>
      <c r="AT16" t="e">
        <f t="shared" si="7"/>
        <v>#REF!</v>
      </c>
      <c r="AU16" s="40" t="e">
        <f t="shared" si="8"/>
        <v>#REF!</v>
      </c>
      <c r="AV16" t="e">
        <f t="shared" si="9"/>
        <v>#REF!</v>
      </c>
      <c r="AW16" t="e">
        <f t="shared" si="10"/>
        <v>#REF!</v>
      </c>
      <c r="AX16" s="24">
        <f t="shared" si="11"/>
        <v>0</v>
      </c>
      <c r="AY16" s="24">
        <f t="shared" si="12"/>
        <v>0</v>
      </c>
      <c r="AZ16" s="24">
        <f t="shared" si="13"/>
        <v>0</v>
      </c>
      <c r="BA16" t="e">
        <f t="shared" si="14"/>
        <v>#REF!</v>
      </c>
      <c r="BB16">
        <f t="shared" si="15"/>
        <v>0</v>
      </c>
      <c r="BC16" s="24">
        <f t="shared" si="16"/>
        <v>0</v>
      </c>
      <c r="BD16" t="e">
        <f t="shared" si="17"/>
        <v>#REF!</v>
      </c>
    </row>
    <row r="17" spans="1:56" x14ac:dyDescent="0.3">
      <c r="A17" t="e">
        <f>'Entrada datos'!#REF!</f>
        <v>#REF!</v>
      </c>
      <c r="B17" t="e">
        <f>'Entrada datos'!#REF!</f>
        <v>#REF!</v>
      </c>
      <c r="C17" t="e">
        <f>'Entrada datos'!#REF!</f>
        <v>#REF!</v>
      </c>
      <c r="D17" t="e">
        <f>'Entrada datos'!#REF!</f>
        <v>#REF!</v>
      </c>
      <c r="E17" s="18" t="e">
        <f>'Entrada datos'!#REF!</f>
        <v>#REF!</v>
      </c>
      <c r="F17" s="18" t="e">
        <f>'Entrada datos'!#REF!</f>
        <v>#REF!</v>
      </c>
      <c r="G17" t="e">
        <f>'Entrada datos'!#REF!</f>
        <v>#REF!</v>
      </c>
      <c r="H17" t="e">
        <f>'Entrada datos'!#REF!</f>
        <v>#REF!</v>
      </c>
      <c r="I17" t="e">
        <f>'Entrada datos'!#REF!</f>
        <v>#REF!</v>
      </c>
      <c r="J17" t="e">
        <f>'Entrada datos'!#REF!</f>
        <v>#REF!</v>
      </c>
      <c r="K17" t="e">
        <f>'Entrada datos'!#REF!</f>
        <v>#REF!</v>
      </c>
      <c r="L17" t="e">
        <f>'Entrada datos'!#REF!</f>
        <v>#REF!</v>
      </c>
      <c r="M17" t="e">
        <f>'Entrada datos'!#REF!</f>
        <v>#REF!</v>
      </c>
      <c r="N17" t="e">
        <f>'Entrada datos'!#REF!</f>
        <v>#REF!</v>
      </c>
      <c r="O17" t="e">
        <f>'Entrada datos'!#REF!</f>
        <v>#REF!</v>
      </c>
      <c r="P17" s="17" t="e">
        <f t="shared" si="1"/>
        <v>#REF!</v>
      </c>
      <c r="Q17" t="e">
        <f>'Entrada datos'!#REF!</f>
        <v>#REF!</v>
      </c>
      <c r="R17" t="e">
        <f>'Entrada datos'!#REF!</f>
        <v>#REF!</v>
      </c>
      <c r="S17" t="e">
        <f>'Entrada datos'!#REF!</f>
        <v>#REF!</v>
      </c>
      <c r="T17" t="e">
        <f>'Entrada datos'!#REF!</f>
        <v>#REF!</v>
      </c>
      <c r="U17" t="e">
        <f>'Entrada datos'!#REF!</f>
        <v>#REF!</v>
      </c>
      <c r="V17" t="e">
        <f>'Entrada datos'!#REF!</f>
        <v>#REF!</v>
      </c>
      <c r="W17" s="17" t="e">
        <f t="shared" si="2"/>
        <v>#REF!</v>
      </c>
      <c r="X17" t="e">
        <f>'Entrada datos'!#REF!</f>
        <v>#REF!</v>
      </c>
      <c r="Y17" t="e">
        <f>'Entrada datos'!#REF!</f>
        <v>#REF!</v>
      </c>
      <c r="Z17" t="e">
        <f>'Entrada datos'!#REF!</f>
        <v>#REF!</v>
      </c>
      <c r="AA17" t="e">
        <f>'Entrada datos'!#REF!</f>
        <v>#REF!</v>
      </c>
      <c r="AB17" t="e">
        <f>'Entrada datos'!#REF!</f>
        <v>#REF!</v>
      </c>
      <c r="AC17" t="e">
        <f>'Entrada datos'!#REF!</f>
        <v>#REF!</v>
      </c>
      <c r="AD17" s="17" t="e">
        <f t="shared" si="3"/>
        <v>#REF!</v>
      </c>
      <c r="AE17" t="e">
        <f>'Entrada datos'!#REF!</f>
        <v>#REF!</v>
      </c>
      <c r="AF17" t="e">
        <f>'Entrada datos'!#REF!</f>
        <v>#REF!</v>
      </c>
      <c r="AG17" t="e">
        <f>'Entrada datos'!#REF!</f>
        <v>#REF!</v>
      </c>
      <c r="AH17" t="e">
        <f>'Entrada datos'!#REF!</f>
        <v>#REF!</v>
      </c>
      <c r="AI17" t="e">
        <f>'Entrada datos'!#REF!</f>
        <v>#REF!</v>
      </c>
      <c r="AJ17" t="e">
        <f>'Entrada datos'!#REF!</f>
        <v>#REF!</v>
      </c>
      <c r="AK17" s="17" t="e">
        <f t="shared" si="4"/>
        <v>#REF!</v>
      </c>
      <c r="AL17" t="e">
        <f>'Entrada datos'!#REF!</f>
        <v>#REF!</v>
      </c>
      <c r="AM17" t="e">
        <f>'Entrada datos'!#REF!</f>
        <v>#REF!</v>
      </c>
      <c r="AN17" t="e">
        <f>'Entrada datos'!#REF!</f>
        <v>#REF!</v>
      </c>
      <c r="AO17" t="e">
        <f>'Entrada datos'!#REF!</f>
        <v>#REF!</v>
      </c>
      <c r="AP17" t="e">
        <f>'Entrada datos'!#REF!</f>
        <v>#REF!</v>
      </c>
      <c r="AQ17" t="e">
        <f>'Entrada datos'!#REF!</f>
        <v>#REF!</v>
      </c>
      <c r="AR17" s="17" t="e">
        <f t="shared" si="5"/>
        <v>#REF!</v>
      </c>
      <c r="AS17" s="23" t="e">
        <f t="shared" si="6"/>
        <v>#REF!</v>
      </c>
      <c r="AT17" t="e">
        <f t="shared" si="7"/>
        <v>#REF!</v>
      </c>
      <c r="AU17" s="40" t="e">
        <f t="shared" si="8"/>
        <v>#REF!</v>
      </c>
      <c r="AV17" t="e">
        <f t="shared" si="9"/>
        <v>#REF!</v>
      </c>
      <c r="AW17" t="e">
        <f t="shared" si="10"/>
        <v>#REF!</v>
      </c>
      <c r="AX17" s="24">
        <f t="shared" si="11"/>
        <v>0</v>
      </c>
      <c r="AY17" s="24">
        <f t="shared" si="12"/>
        <v>0</v>
      </c>
      <c r="AZ17" s="24">
        <f t="shared" si="13"/>
        <v>0</v>
      </c>
      <c r="BA17" t="e">
        <f t="shared" si="14"/>
        <v>#REF!</v>
      </c>
      <c r="BB17">
        <f t="shared" si="15"/>
        <v>0</v>
      </c>
      <c r="BC17" s="24">
        <f t="shared" si="16"/>
        <v>0</v>
      </c>
      <c r="BD17" t="e">
        <f t="shared" si="17"/>
        <v>#REF!</v>
      </c>
    </row>
    <row r="18" spans="1:56" x14ac:dyDescent="0.3">
      <c r="A18" t="e">
        <f>'Entrada datos'!#REF!</f>
        <v>#REF!</v>
      </c>
      <c r="B18" t="e">
        <f>'Entrada datos'!#REF!</f>
        <v>#REF!</v>
      </c>
      <c r="C18" t="e">
        <f>'Entrada datos'!#REF!</f>
        <v>#REF!</v>
      </c>
      <c r="D18" t="e">
        <f>'Entrada datos'!#REF!</f>
        <v>#REF!</v>
      </c>
      <c r="E18" s="18" t="e">
        <f>'Entrada datos'!#REF!</f>
        <v>#REF!</v>
      </c>
      <c r="F18" s="18" t="e">
        <f>'Entrada datos'!#REF!</f>
        <v>#REF!</v>
      </c>
      <c r="G18" t="e">
        <f>'Entrada datos'!#REF!</f>
        <v>#REF!</v>
      </c>
      <c r="H18" t="e">
        <f>'Entrada datos'!#REF!</f>
        <v>#REF!</v>
      </c>
      <c r="I18" t="e">
        <f>'Entrada datos'!#REF!</f>
        <v>#REF!</v>
      </c>
      <c r="J18" t="e">
        <f>'Entrada datos'!#REF!</f>
        <v>#REF!</v>
      </c>
      <c r="K18" t="e">
        <f>'Entrada datos'!#REF!</f>
        <v>#REF!</v>
      </c>
      <c r="L18" t="e">
        <f>'Entrada datos'!#REF!</f>
        <v>#REF!</v>
      </c>
      <c r="M18" t="e">
        <f>'Entrada datos'!#REF!</f>
        <v>#REF!</v>
      </c>
      <c r="N18" t="e">
        <f>'Entrada datos'!#REF!</f>
        <v>#REF!</v>
      </c>
      <c r="O18" t="e">
        <f>'Entrada datos'!#REF!</f>
        <v>#REF!</v>
      </c>
      <c r="P18" s="17" t="e">
        <f t="shared" si="1"/>
        <v>#REF!</v>
      </c>
      <c r="Q18" t="e">
        <f>'Entrada datos'!#REF!</f>
        <v>#REF!</v>
      </c>
      <c r="R18" t="e">
        <f>'Entrada datos'!#REF!</f>
        <v>#REF!</v>
      </c>
      <c r="S18" t="e">
        <f>'Entrada datos'!#REF!</f>
        <v>#REF!</v>
      </c>
      <c r="T18" t="e">
        <f>'Entrada datos'!#REF!</f>
        <v>#REF!</v>
      </c>
      <c r="U18" t="e">
        <f>'Entrada datos'!#REF!</f>
        <v>#REF!</v>
      </c>
      <c r="V18" t="e">
        <f>'Entrada datos'!#REF!</f>
        <v>#REF!</v>
      </c>
      <c r="W18" s="17" t="e">
        <f t="shared" si="2"/>
        <v>#REF!</v>
      </c>
      <c r="X18" t="e">
        <f>'Entrada datos'!#REF!</f>
        <v>#REF!</v>
      </c>
      <c r="Y18" t="e">
        <f>'Entrada datos'!#REF!</f>
        <v>#REF!</v>
      </c>
      <c r="Z18" t="e">
        <f>'Entrada datos'!#REF!</f>
        <v>#REF!</v>
      </c>
      <c r="AA18" t="e">
        <f>'Entrada datos'!#REF!</f>
        <v>#REF!</v>
      </c>
      <c r="AB18" t="e">
        <f>'Entrada datos'!#REF!</f>
        <v>#REF!</v>
      </c>
      <c r="AC18" t="e">
        <f>'Entrada datos'!#REF!</f>
        <v>#REF!</v>
      </c>
      <c r="AD18" s="17" t="e">
        <f t="shared" si="3"/>
        <v>#REF!</v>
      </c>
      <c r="AE18" t="e">
        <f>'Entrada datos'!#REF!</f>
        <v>#REF!</v>
      </c>
      <c r="AF18" t="e">
        <f>'Entrada datos'!#REF!</f>
        <v>#REF!</v>
      </c>
      <c r="AG18" t="e">
        <f>'Entrada datos'!#REF!</f>
        <v>#REF!</v>
      </c>
      <c r="AH18" t="e">
        <f>'Entrada datos'!#REF!</f>
        <v>#REF!</v>
      </c>
      <c r="AI18" t="e">
        <f>'Entrada datos'!#REF!</f>
        <v>#REF!</v>
      </c>
      <c r="AJ18" t="e">
        <f>'Entrada datos'!#REF!</f>
        <v>#REF!</v>
      </c>
      <c r="AK18" s="17" t="e">
        <f t="shared" si="4"/>
        <v>#REF!</v>
      </c>
      <c r="AL18" t="e">
        <f>'Entrada datos'!#REF!</f>
        <v>#REF!</v>
      </c>
      <c r="AM18" t="e">
        <f>'Entrada datos'!#REF!</f>
        <v>#REF!</v>
      </c>
      <c r="AN18" t="e">
        <f>'Entrada datos'!#REF!</f>
        <v>#REF!</v>
      </c>
      <c r="AO18" t="e">
        <f>'Entrada datos'!#REF!</f>
        <v>#REF!</v>
      </c>
      <c r="AP18" t="e">
        <f>'Entrada datos'!#REF!</f>
        <v>#REF!</v>
      </c>
      <c r="AQ18" t="e">
        <f>'Entrada datos'!#REF!</f>
        <v>#REF!</v>
      </c>
      <c r="AR18" s="17" t="e">
        <f t="shared" si="5"/>
        <v>#REF!</v>
      </c>
      <c r="AS18" s="23" t="e">
        <f t="shared" si="6"/>
        <v>#REF!</v>
      </c>
      <c r="AT18" t="e">
        <f t="shared" si="7"/>
        <v>#REF!</v>
      </c>
      <c r="AU18" s="40" t="e">
        <f t="shared" si="8"/>
        <v>#REF!</v>
      </c>
      <c r="AV18" t="e">
        <f t="shared" si="9"/>
        <v>#REF!</v>
      </c>
      <c r="AW18" t="e">
        <f t="shared" si="10"/>
        <v>#REF!</v>
      </c>
      <c r="AX18" s="24">
        <f t="shared" si="11"/>
        <v>0</v>
      </c>
      <c r="AY18" s="24">
        <f t="shared" si="12"/>
        <v>0</v>
      </c>
      <c r="AZ18" s="24">
        <f t="shared" si="13"/>
        <v>0</v>
      </c>
      <c r="BA18" t="e">
        <f t="shared" si="14"/>
        <v>#REF!</v>
      </c>
      <c r="BB18">
        <f t="shared" si="15"/>
        <v>0</v>
      </c>
      <c r="BC18" s="24">
        <f t="shared" si="16"/>
        <v>0</v>
      </c>
      <c r="BD18" t="e">
        <f t="shared" si="17"/>
        <v>#REF!</v>
      </c>
    </row>
    <row r="19" spans="1:56" x14ac:dyDescent="0.3">
      <c r="A19" t="e">
        <f>'Entrada datos'!#REF!</f>
        <v>#REF!</v>
      </c>
      <c r="B19" t="e">
        <f>'Entrada datos'!#REF!</f>
        <v>#REF!</v>
      </c>
      <c r="C19" t="e">
        <f>'Entrada datos'!#REF!</f>
        <v>#REF!</v>
      </c>
      <c r="D19" t="e">
        <f>'Entrada datos'!#REF!</f>
        <v>#REF!</v>
      </c>
      <c r="E19" s="18" t="e">
        <f>'Entrada datos'!#REF!</f>
        <v>#REF!</v>
      </c>
      <c r="F19" s="18" t="e">
        <f>'Entrada datos'!#REF!</f>
        <v>#REF!</v>
      </c>
      <c r="G19" t="e">
        <f>'Entrada datos'!#REF!</f>
        <v>#REF!</v>
      </c>
      <c r="H19" t="e">
        <f>'Entrada datos'!#REF!</f>
        <v>#REF!</v>
      </c>
      <c r="I19" t="e">
        <f>'Entrada datos'!#REF!</f>
        <v>#REF!</v>
      </c>
      <c r="J19" t="e">
        <f>'Entrada datos'!#REF!</f>
        <v>#REF!</v>
      </c>
      <c r="K19" t="e">
        <f>'Entrada datos'!#REF!</f>
        <v>#REF!</v>
      </c>
      <c r="L19" t="e">
        <f>'Entrada datos'!#REF!</f>
        <v>#REF!</v>
      </c>
      <c r="M19" t="e">
        <f>'Entrada datos'!#REF!</f>
        <v>#REF!</v>
      </c>
      <c r="N19" t="e">
        <f>'Entrada datos'!#REF!</f>
        <v>#REF!</v>
      </c>
      <c r="O19" t="e">
        <f>'Entrada datos'!#REF!</f>
        <v>#REF!</v>
      </c>
      <c r="P19" s="17" t="e">
        <f t="shared" si="1"/>
        <v>#REF!</v>
      </c>
      <c r="Q19" t="e">
        <f>'Entrada datos'!#REF!</f>
        <v>#REF!</v>
      </c>
      <c r="R19" t="e">
        <f>'Entrada datos'!#REF!</f>
        <v>#REF!</v>
      </c>
      <c r="S19" t="e">
        <f>'Entrada datos'!#REF!</f>
        <v>#REF!</v>
      </c>
      <c r="T19" t="e">
        <f>'Entrada datos'!#REF!</f>
        <v>#REF!</v>
      </c>
      <c r="U19" t="e">
        <f>'Entrada datos'!#REF!</f>
        <v>#REF!</v>
      </c>
      <c r="V19" t="e">
        <f>'Entrada datos'!#REF!</f>
        <v>#REF!</v>
      </c>
      <c r="W19" s="17" t="e">
        <f t="shared" si="2"/>
        <v>#REF!</v>
      </c>
      <c r="X19" t="e">
        <f>'Entrada datos'!#REF!</f>
        <v>#REF!</v>
      </c>
      <c r="Y19" t="e">
        <f>'Entrada datos'!#REF!</f>
        <v>#REF!</v>
      </c>
      <c r="Z19" t="e">
        <f>'Entrada datos'!#REF!</f>
        <v>#REF!</v>
      </c>
      <c r="AA19" t="e">
        <f>'Entrada datos'!#REF!</f>
        <v>#REF!</v>
      </c>
      <c r="AB19" t="e">
        <f>'Entrada datos'!#REF!</f>
        <v>#REF!</v>
      </c>
      <c r="AC19" t="e">
        <f>'Entrada datos'!#REF!</f>
        <v>#REF!</v>
      </c>
      <c r="AD19" s="17" t="e">
        <f t="shared" si="3"/>
        <v>#REF!</v>
      </c>
      <c r="AE19" t="e">
        <f>'Entrada datos'!#REF!</f>
        <v>#REF!</v>
      </c>
      <c r="AF19" t="e">
        <f>'Entrada datos'!#REF!</f>
        <v>#REF!</v>
      </c>
      <c r="AG19" t="e">
        <f>'Entrada datos'!#REF!</f>
        <v>#REF!</v>
      </c>
      <c r="AH19" t="e">
        <f>'Entrada datos'!#REF!</f>
        <v>#REF!</v>
      </c>
      <c r="AI19" t="e">
        <f>'Entrada datos'!#REF!</f>
        <v>#REF!</v>
      </c>
      <c r="AJ19" t="e">
        <f>'Entrada datos'!#REF!</f>
        <v>#REF!</v>
      </c>
      <c r="AK19" s="17" t="e">
        <f t="shared" si="4"/>
        <v>#REF!</v>
      </c>
      <c r="AL19" t="e">
        <f>'Entrada datos'!#REF!</f>
        <v>#REF!</v>
      </c>
      <c r="AM19" t="e">
        <f>'Entrada datos'!#REF!</f>
        <v>#REF!</v>
      </c>
      <c r="AN19" t="e">
        <f>'Entrada datos'!#REF!</f>
        <v>#REF!</v>
      </c>
      <c r="AO19" t="e">
        <f>'Entrada datos'!#REF!</f>
        <v>#REF!</v>
      </c>
      <c r="AP19" t="e">
        <f>'Entrada datos'!#REF!</f>
        <v>#REF!</v>
      </c>
      <c r="AQ19" t="e">
        <f>'Entrada datos'!#REF!</f>
        <v>#REF!</v>
      </c>
      <c r="AR19" s="17" t="e">
        <f t="shared" si="5"/>
        <v>#REF!</v>
      </c>
      <c r="AS19" s="23" t="e">
        <f t="shared" si="6"/>
        <v>#REF!</v>
      </c>
      <c r="AT19" t="e">
        <f t="shared" si="7"/>
        <v>#REF!</v>
      </c>
      <c r="AU19" s="40" t="e">
        <f t="shared" si="8"/>
        <v>#REF!</v>
      </c>
      <c r="AV19" t="e">
        <f t="shared" si="9"/>
        <v>#REF!</v>
      </c>
      <c r="AW19" t="e">
        <f t="shared" si="10"/>
        <v>#REF!</v>
      </c>
      <c r="AX19" s="24">
        <f t="shared" si="11"/>
        <v>0</v>
      </c>
      <c r="AY19" s="24">
        <f t="shared" si="12"/>
        <v>0</v>
      </c>
      <c r="AZ19" s="24">
        <f t="shared" si="13"/>
        <v>0</v>
      </c>
      <c r="BA19" t="e">
        <f t="shared" si="14"/>
        <v>#REF!</v>
      </c>
      <c r="BB19">
        <f t="shared" si="15"/>
        <v>0</v>
      </c>
      <c r="BC19" s="24">
        <f t="shared" si="16"/>
        <v>0</v>
      </c>
      <c r="BD19" t="e">
        <f t="shared" si="17"/>
        <v>#REF!</v>
      </c>
    </row>
    <row r="20" spans="1:56" x14ac:dyDescent="0.3">
      <c r="A20" t="e">
        <f>'Entrada datos'!#REF!</f>
        <v>#REF!</v>
      </c>
      <c r="B20" t="e">
        <f>'Entrada datos'!#REF!</f>
        <v>#REF!</v>
      </c>
      <c r="C20" t="e">
        <f>'Entrada datos'!#REF!</f>
        <v>#REF!</v>
      </c>
      <c r="D20" t="e">
        <f>'Entrada datos'!#REF!</f>
        <v>#REF!</v>
      </c>
      <c r="E20" s="18" t="e">
        <f>'Entrada datos'!#REF!</f>
        <v>#REF!</v>
      </c>
      <c r="F20" s="18" t="e">
        <f>'Entrada datos'!#REF!</f>
        <v>#REF!</v>
      </c>
      <c r="G20" t="e">
        <f>'Entrada datos'!#REF!</f>
        <v>#REF!</v>
      </c>
      <c r="H20" t="e">
        <f>'Entrada datos'!#REF!</f>
        <v>#REF!</v>
      </c>
      <c r="I20" t="e">
        <f>'Entrada datos'!#REF!</f>
        <v>#REF!</v>
      </c>
      <c r="J20" t="e">
        <f>'Entrada datos'!#REF!</f>
        <v>#REF!</v>
      </c>
      <c r="K20" t="e">
        <f>'Entrada datos'!#REF!</f>
        <v>#REF!</v>
      </c>
      <c r="L20" t="e">
        <f>'Entrada datos'!#REF!</f>
        <v>#REF!</v>
      </c>
      <c r="M20" t="e">
        <f>'Entrada datos'!#REF!</f>
        <v>#REF!</v>
      </c>
      <c r="N20" t="e">
        <f>'Entrada datos'!#REF!</f>
        <v>#REF!</v>
      </c>
      <c r="O20" t="e">
        <f>'Entrada datos'!#REF!</f>
        <v>#REF!</v>
      </c>
      <c r="P20" s="17" t="e">
        <f t="shared" si="1"/>
        <v>#REF!</v>
      </c>
      <c r="Q20" t="e">
        <f>'Entrada datos'!#REF!</f>
        <v>#REF!</v>
      </c>
      <c r="R20" t="e">
        <f>'Entrada datos'!#REF!</f>
        <v>#REF!</v>
      </c>
      <c r="S20" t="e">
        <f>'Entrada datos'!#REF!</f>
        <v>#REF!</v>
      </c>
      <c r="T20" t="e">
        <f>'Entrada datos'!#REF!</f>
        <v>#REF!</v>
      </c>
      <c r="U20" t="e">
        <f>'Entrada datos'!#REF!</f>
        <v>#REF!</v>
      </c>
      <c r="V20" t="e">
        <f>'Entrada datos'!#REF!</f>
        <v>#REF!</v>
      </c>
      <c r="W20" s="17" t="e">
        <f t="shared" si="2"/>
        <v>#REF!</v>
      </c>
      <c r="X20" t="e">
        <f>'Entrada datos'!#REF!</f>
        <v>#REF!</v>
      </c>
      <c r="Y20" t="e">
        <f>'Entrada datos'!#REF!</f>
        <v>#REF!</v>
      </c>
      <c r="Z20" t="e">
        <f>'Entrada datos'!#REF!</f>
        <v>#REF!</v>
      </c>
      <c r="AA20" t="e">
        <f>'Entrada datos'!#REF!</f>
        <v>#REF!</v>
      </c>
      <c r="AB20" t="e">
        <f>'Entrada datos'!#REF!</f>
        <v>#REF!</v>
      </c>
      <c r="AC20" t="e">
        <f>'Entrada datos'!#REF!</f>
        <v>#REF!</v>
      </c>
      <c r="AD20" s="17" t="e">
        <f t="shared" si="3"/>
        <v>#REF!</v>
      </c>
      <c r="AE20" t="e">
        <f>'Entrada datos'!#REF!</f>
        <v>#REF!</v>
      </c>
      <c r="AF20" t="e">
        <f>'Entrada datos'!#REF!</f>
        <v>#REF!</v>
      </c>
      <c r="AG20" t="e">
        <f>'Entrada datos'!#REF!</f>
        <v>#REF!</v>
      </c>
      <c r="AH20" t="e">
        <f>'Entrada datos'!#REF!</f>
        <v>#REF!</v>
      </c>
      <c r="AI20" t="e">
        <f>'Entrada datos'!#REF!</f>
        <v>#REF!</v>
      </c>
      <c r="AJ20" t="e">
        <f>'Entrada datos'!#REF!</f>
        <v>#REF!</v>
      </c>
      <c r="AK20" s="17" t="e">
        <f t="shared" si="4"/>
        <v>#REF!</v>
      </c>
      <c r="AL20" t="e">
        <f>'Entrada datos'!#REF!</f>
        <v>#REF!</v>
      </c>
      <c r="AM20" t="e">
        <f>'Entrada datos'!#REF!</f>
        <v>#REF!</v>
      </c>
      <c r="AN20" t="e">
        <f>'Entrada datos'!#REF!</f>
        <v>#REF!</v>
      </c>
      <c r="AO20" t="e">
        <f>'Entrada datos'!#REF!</f>
        <v>#REF!</v>
      </c>
      <c r="AP20" t="e">
        <f>'Entrada datos'!#REF!</f>
        <v>#REF!</v>
      </c>
      <c r="AQ20" t="e">
        <f>'Entrada datos'!#REF!</f>
        <v>#REF!</v>
      </c>
      <c r="AR20" s="17" t="e">
        <f t="shared" si="5"/>
        <v>#REF!</v>
      </c>
      <c r="AS20" s="23" t="e">
        <f t="shared" si="6"/>
        <v>#REF!</v>
      </c>
      <c r="AT20" t="e">
        <f t="shared" si="7"/>
        <v>#REF!</v>
      </c>
      <c r="AU20" s="40" t="e">
        <f t="shared" si="8"/>
        <v>#REF!</v>
      </c>
      <c r="AV20" t="e">
        <f t="shared" si="9"/>
        <v>#REF!</v>
      </c>
      <c r="AW20" t="e">
        <f t="shared" si="10"/>
        <v>#REF!</v>
      </c>
      <c r="AX20" s="24">
        <f t="shared" si="11"/>
        <v>0</v>
      </c>
      <c r="AY20" s="24">
        <f t="shared" si="12"/>
        <v>0</v>
      </c>
      <c r="AZ20" s="24">
        <f t="shared" si="13"/>
        <v>0</v>
      </c>
      <c r="BA20" t="e">
        <f t="shared" si="14"/>
        <v>#REF!</v>
      </c>
      <c r="BB20">
        <f t="shared" si="15"/>
        <v>0</v>
      </c>
      <c r="BC20" s="24">
        <f t="shared" si="16"/>
        <v>0</v>
      </c>
      <c r="BD20" t="e">
        <f t="shared" si="17"/>
        <v>#REF!</v>
      </c>
    </row>
    <row r="21" spans="1:56" x14ac:dyDescent="0.3">
      <c r="A21" t="e">
        <f>'Entrada datos'!#REF!</f>
        <v>#REF!</v>
      </c>
      <c r="B21" t="e">
        <f>'Entrada datos'!#REF!</f>
        <v>#REF!</v>
      </c>
      <c r="C21" t="e">
        <f>'Entrada datos'!#REF!</f>
        <v>#REF!</v>
      </c>
      <c r="D21" t="e">
        <f>'Entrada datos'!#REF!</f>
        <v>#REF!</v>
      </c>
      <c r="E21" s="18" t="e">
        <f>'Entrada datos'!#REF!</f>
        <v>#REF!</v>
      </c>
      <c r="F21" s="18" t="e">
        <f>'Entrada datos'!#REF!</f>
        <v>#REF!</v>
      </c>
      <c r="G21" t="e">
        <f>'Entrada datos'!#REF!</f>
        <v>#REF!</v>
      </c>
      <c r="H21" t="e">
        <f>'Entrada datos'!#REF!</f>
        <v>#REF!</v>
      </c>
      <c r="I21" t="e">
        <f>'Entrada datos'!#REF!</f>
        <v>#REF!</v>
      </c>
      <c r="J21" t="e">
        <f>'Entrada datos'!#REF!</f>
        <v>#REF!</v>
      </c>
      <c r="K21" t="e">
        <f>'Entrada datos'!#REF!</f>
        <v>#REF!</v>
      </c>
      <c r="L21" t="e">
        <f>'Entrada datos'!#REF!</f>
        <v>#REF!</v>
      </c>
      <c r="M21" t="e">
        <f>'Entrada datos'!#REF!</f>
        <v>#REF!</v>
      </c>
      <c r="N21" t="e">
        <f>'Entrada datos'!#REF!</f>
        <v>#REF!</v>
      </c>
      <c r="O21" t="e">
        <f>'Entrada datos'!#REF!</f>
        <v>#REF!</v>
      </c>
      <c r="P21" s="17" t="e">
        <f t="shared" si="1"/>
        <v>#REF!</v>
      </c>
      <c r="Q21" t="e">
        <f>'Entrada datos'!#REF!</f>
        <v>#REF!</v>
      </c>
      <c r="R21" t="e">
        <f>'Entrada datos'!#REF!</f>
        <v>#REF!</v>
      </c>
      <c r="S21" t="e">
        <f>'Entrada datos'!#REF!</f>
        <v>#REF!</v>
      </c>
      <c r="T21" t="e">
        <f>'Entrada datos'!#REF!</f>
        <v>#REF!</v>
      </c>
      <c r="U21" t="e">
        <f>'Entrada datos'!#REF!</f>
        <v>#REF!</v>
      </c>
      <c r="V21" t="e">
        <f>'Entrada datos'!#REF!</f>
        <v>#REF!</v>
      </c>
      <c r="W21" s="17" t="e">
        <f t="shared" si="2"/>
        <v>#REF!</v>
      </c>
      <c r="X21" t="e">
        <f>'Entrada datos'!#REF!</f>
        <v>#REF!</v>
      </c>
      <c r="Y21" t="e">
        <f>'Entrada datos'!#REF!</f>
        <v>#REF!</v>
      </c>
      <c r="Z21" t="e">
        <f>'Entrada datos'!#REF!</f>
        <v>#REF!</v>
      </c>
      <c r="AA21" t="e">
        <f>'Entrada datos'!#REF!</f>
        <v>#REF!</v>
      </c>
      <c r="AB21" t="e">
        <f>'Entrada datos'!#REF!</f>
        <v>#REF!</v>
      </c>
      <c r="AC21" t="e">
        <f>'Entrada datos'!#REF!</f>
        <v>#REF!</v>
      </c>
      <c r="AD21" s="17" t="e">
        <f t="shared" si="3"/>
        <v>#REF!</v>
      </c>
      <c r="AE21" t="e">
        <f>'Entrada datos'!#REF!</f>
        <v>#REF!</v>
      </c>
      <c r="AF21" t="e">
        <f>'Entrada datos'!#REF!</f>
        <v>#REF!</v>
      </c>
      <c r="AG21" t="e">
        <f>'Entrada datos'!#REF!</f>
        <v>#REF!</v>
      </c>
      <c r="AH21" t="e">
        <f>'Entrada datos'!#REF!</f>
        <v>#REF!</v>
      </c>
      <c r="AI21" t="e">
        <f>'Entrada datos'!#REF!</f>
        <v>#REF!</v>
      </c>
      <c r="AJ21" t="e">
        <f>'Entrada datos'!#REF!</f>
        <v>#REF!</v>
      </c>
      <c r="AK21" s="17" t="e">
        <f t="shared" si="4"/>
        <v>#REF!</v>
      </c>
      <c r="AL21" t="e">
        <f>'Entrada datos'!#REF!</f>
        <v>#REF!</v>
      </c>
      <c r="AM21" t="e">
        <f>'Entrada datos'!#REF!</f>
        <v>#REF!</v>
      </c>
      <c r="AN21" t="e">
        <f>'Entrada datos'!#REF!</f>
        <v>#REF!</v>
      </c>
      <c r="AO21" t="e">
        <f>'Entrada datos'!#REF!</f>
        <v>#REF!</v>
      </c>
      <c r="AP21" t="e">
        <f>'Entrada datos'!#REF!</f>
        <v>#REF!</v>
      </c>
      <c r="AQ21" t="e">
        <f>'Entrada datos'!#REF!</f>
        <v>#REF!</v>
      </c>
      <c r="AR21" s="17" t="e">
        <f t="shared" si="5"/>
        <v>#REF!</v>
      </c>
      <c r="AS21" s="23" t="e">
        <f t="shared" si="6"/>
        <v>#REF!</v>
      </c>
      <c r="AT21" t="e">
        <f t="shared" si="7"/>
        <v>#REF!</v>
      </c>
      <c r="AU21" s="40" t="e">
        <f t="shared" si="8"/>
        <v>#REF!</v>
      </c>
      <c r="AV21" t="e">
        <f t="shared" si="9"/>
        <v>#REF!</v>
      </c>
      <c r="AW21" t="e">
        <f t="shared" si="10"/>
        <v>#REF!</v>
      </c>
      <c r="AX21" s="24">
        <f t="shared" si="11"/>
        <v>0</v>
      </c>
      <c r="AY21" s="24">
        <f t="shared" si="12"/>
        <v>0</v>
      </c>
      <c r="AZ21" s="24">
        <f t="shared" si="13"/>
        <v>0</v>
      </c>
      <c r="BA21" t="e">
        <f t="shared" si="14"/>
        <v>#REF!</v>
      </c>
      <c r="BB21">
        <f t="shared" si="15"/>
        <v>0</v>
      </c>
      <c r="BC21" s="24">
        <f t="shared" si="16"/>
        <v>0</v>
      </c>
      <c r="BD21" t="e">
        <f t="shared" si="17"/>
        <v>#REF!</v>
      </c>
    </row>
    <row r="22" spans="1:56" x14ac:dyDescent="0.3">
      <c r="A22" t="e">
        <f>'Entrada datos'!#REF!</f>
        <v>#REF!</v>
      </c>
      <c r="B22" t="e">
        <f>'Entrada datos'!#REF!</f>
        <v>#REF!</v>
      </c>
      <c r="C22" t="e">
        <f>'Entrada datos'!#REF!</f>
        <v>#REF!</v>
      </c>
      <c r="D22" t="e">
        <f>'Entrada datos'!#REF!</f>
        <v>#REF!</v>
      </c>
      <c r="E22" s="18" t="e">
        <f>'Entrada datos'!#REF!</f>
        <v>#REF!</v>
      </c>
      <c r="F22" s="18" t="e">
        <f>'Entrada datos'!#REF!</f>
        <v>#REF!</v>
      </c>
      <c r="G22" t="e">
        <f>'Entrada datos'!#REF!</f>
        <v>#REF!</v>
      </c>
      <c r="H22" t="e">
        <f>'Entrada datos'!#REF!</f>
        <v>#REF!</v>
      </c>
      <c r="I22" t="e">
        <f>'Entrada datos'!#REF!</f>
        <v>#REF!</v>
      </c>
      <c r="J22" t="e">
        <f>'Entrada datos'!#REF!</f>
        <v>#REF!</v>
      </c>
      <c r="K22" t="e">
        <f>'Entrada datos'!#REF!</f>
        <v>#REF!</v>
      </c>
      <c r="L22" t="e">
        <f>'Entrada datos'!#REF!</f>
        <v>#REF!</v>
      </c>
      <c r="M22" t="e">
        <f>'Entrada datos'!#REF!</f>
        <v>#REF!</v>
      </c>
      <c r="N22" t="e">
        <f>'Entrada datos'!#REF!</f>
        <v>#REF!</v>
      </c>
      <c r="O22" t="e">
        <f>'Entrada datos'!#REF!</f>
        <v>#REF!</v>
      </c>
      <c r="P22" s="17" t="e">
        <f t="shared" si="1"/>
        <v>#REF!</v>
      </c>
      <c r="Q22" t="e">
        <f>'Entrada datos'!#REF!</f>
        <v>#REF!</v>
      </c>
      <c r="R22" t="e">
        <f>'Entrada datos'!#REF!</f>
        <v>#REF!</v>
      </c>
      <c r="S22" t="e">
        <f>'Entrada datos'!#REF!</f>
        <v>#REF!</v>
      </c>
      <c r="T22" t="e">
        <f>'Entrada datos'!#REF!</f>
        <v>#REF!</v>
      </c>
      <c r="U22" t="e">
        <f>'Entrada datos'!#REF!</f>
        <v>#REF!</v>
      </c>
      <c r="V22" t="e">
        <f>'Entrada datos'!#REF!</f>
        <v>#REF!</v>
      </c>
      <c r="W22" s="17" t="e">
        <f t="shared" si="2"/>
        <v>#REF!</v>
      </c>
      <c r="X22" t="e">
        <f>'Entrada datos'!#REF!</f>
        <v>#REF!</v>
      </c>
      <c r="Y22" t="e">
        <f>'Entrada datos'!#REF!</f>
        <v>#REF!</v>
      </c>
      <c r="Z22" t="e">
        <f>'Entrada datos'!#REF!</f>
        <v>#REF!</v>
      </c>
      <c r="AA22" t="e">
        <f>'Entrada datos'!#REF!</f>
        <v>#REF!</v>
      </c>
      <c r="AB22" t="e">
        <f>'Entrada datos'!#REF!</f>
        <v>#REF!</v>
      </c>
      <c r="AC22" t="e">
        <f>'Entrada datos'!#REF!</f>
        <v>#REF!</v>
      </c>
      <c r="AD22" s="17" t="e">
        <f t="shared" si="3"/>
        <v>#REF!</v>
      </c>
      <c r="AE22" t="e">
        <f>'Entrada datos'!#REF!</f>
        <v>#REF!</v>
      </c>
      <c r="AF22" t="e">
        <f>'Entrada datos'!#REF!</f>
        <v>#REF!</v>
      </c>
      <c r="AG22" t="e">
        <f>'Entrada datos'!#REF!</f>
        <v>#REF!</v>
      </c>
      <c r="AH22" t="e">
        <f>'Entrada datos'!#REF!</f>
        <v>#REF!</v>
      </c>
      <c r="AI22" t="e">
        <f>'Entrada datos'!#REF!</f>
        <v>#REF!</v>
      </c>
      <c r="AJ22" t="e">
        <f>'Entrada datos'!#REF!</f>
        <v>#REF!</v>
      </c>
      <c r="AK22" s="17" t="e">
        <f t="shared" si="4"/>
        <v>#REF!</v>
      </c>
      <c r="AL22" t="e">
        <f>'Entrada datos'!#REF!</f>
        <v>#REF!</v>
      </c>
      <c r="AM22" t="e">
        <f>'Entrada datos'!#REF!</f>
        <v>#REF!</v>
      </c>
      <c r="AN22" t="e">
        <f>'Entrada datos'!#REF!</f>
        <v>#REF!</v>
      </c>
      <c r="AO22" t="e">
        <f>'Entrada datos'!#REF!</f>
        <v>#REF!</v>
      </c>
      <c r="AP22" t="e">
        <f>'Entrada datos'!#REF!</f>
        <v>#REF!</v>
      </c>
      <c r="AQ22" t="e">
        <f>'Entrada datos'!#REF!</f>
        <v>#REF!</v>
      </c>
      <c r="AR22" s="17" t="e">
        <f t="shared" si="5"/>
        <v>#REF!</v>
      </c>
      <c r="AS22" s="23" t="e">
        <f t="shared" si="6"/>
        <v>#REF!</v>
      </c>
      <c r="AT22" t="e">
        <f t="shared" si="7"/>
        <v>#REF!</v>
      </c>
      <c r="AU22" s="40" t="e">
        <f t="shared" si="8"/>
        <v>#REF!</v>
      </c>
      <c r="AV22" t="e">
        <f t="shared" si="9"/>
        <v>#REF!</v>
      </c>
      <c r="AW22" t="e">
        <f t="shared" si="10"/>
        <v>#REF!</v>
      </c>
      <c r="AX22" s="24">
        <f t="shared" si="11"/>
        <v>0</v>
      </c>
      <c r="AY22" s="24">
        <f t="shared" si="12"/>
        <v>0</v>
      </c>
      <c r="AZ22" s="24">
        <f t="shared" si="13"/>
        <v>0</v>
      </c>
      <c r="BA22" t="e">
        <f t="shared" si="14"/>
        <v>#REF!</v>
      </c>
      <c r="BB22">
        <f t="shared" si="15"/>
        <v>0</v>
      </c>
      <c r="BC22" s="24">
        <f t="shared" si="16"/>
        <v>0</v>
      </c>
      <c r="BD22" t="e">
        <f t="shared" si="17"/>
        <v>#REF!</v>
      </c>
    </row>
    <row r="23" spans="1:56" x14ac:dyDescent="0.3">
      <c r="A23" t="e">
        <f>'Entrada datos'!#REF!</f>
        <v>#REF!</v>
      </c>
      <c r="B23" t="e">
        <f>'Entrada datos'!#REF!</f>
        <v>#REF!</v>
      </c>
      <c r="C23" t="e">
        <f>'Entrada datos'!#REF!</f>
        <v>#REF!</v>
      </c>
      <c r="D23" t="e">
        <f>'Entrada datos'!#REF!</f>
        <v>#REF!</v>
      </c>
      <c r="E23" s="18" t="e">
        <f>'Entrada datos'!#REF!</f>
        <v>#REF!</v>
      </c>
      <c r="F23" s="18" t="e">
        <f>'Entrada datos'!#REF!</f>
        <v>#REF!</v>
      </c>
      <c r="G23" t="e">
        <f>'Entrada datos'!#REF!</f>
        <v>#REF!</v>
      </c>
      <c r="H23" t="e">
        <f>'Entrada datos'!#REF!</f>
        <v>#REF!</v>
      </c>
      <c r="I23" t="e">
        <f>'Entrada datos'!#REF!</f>
        <v>#REF!</v>
      </c>
      <c r="J23" t="e">
        <f>'Entrada datos'!#REF!</f>
        <v>#REF!</v>
      </c>
      <c r="K23" t="e">
        <f>'Entrada datos'!#REF!</f>
        <v>#REF!</v>
      </c>
      <c r="L23" t="e">
        <f>'Entrada datos'!#REF!</f>
        <v>#REF!</v>
      </c>
      <c r="M23" t="e">
        <f>'Entrada datos'!#REF!</f>
        <v>#REF!</v>
      </c>
      <c r="N23" t="e">
        <f>'Entrada datos'!#REF!</f>
        <v>#REF!</v>
      </c>
      <c r="O23" t="e">
        <f>'Entrada datos'!#REF!</f>
        <v>#REF!</v>
      </c>
      <c r="P23" s="17" t="e">
        <f t="shared" si="1"/>
        <v>#REF!</v>
      </c>
      <c r="Q23" t="e">
        <f>'Entrada datos'!#REF!</f>
        <v>#REF!</v>
      </c>
      <c r="R23" t="e">
        <f>'Entrada datos'!#REF!</f>
        <v>#REF!</v>
      </c>
      <c r="S23" t="e">
        <f>'Entrada datos'!#REF!</f>
        <v>#REF!</v>
      </c>
      <c r="T23" t="e">
        <f>'Entrada datos'!#REF!</f>
        <v>#REF!</v>
      </c>
      <c r="U23" t="e">
        <f>'Entrada datos'!#REF!</f>
        <v>#REF!</v>
      </c>
      <c r="V23" t="e">
        <f>'Entrada datos'!#REF!</f>
        <v>#REF!</v>
      </c>
      <c r="W23" s="17" t="e">
        <f t="shared" si="2"/>
        <v>#REF!</v>
      </c>
      <c r="X23" t="e">
        <f>'Entrada datos'!#REF!</f>
        <v>#REF!</v>
      </c>
      <c r="Y23" t="e">
        <f>'Entrada datos'!#REF!</f>
        <v>#REF!</v>
      </c>
      <c r="Z23" t="e">
        <f>'Entrada datos'!#REF!</f>
        <v>#REF!</v>
      </c>
      <c r="AA23" t="e">
        <f>'Entrada datos'!#REF!</f>
        <v>#REF!</v>
      </c>
      <c r="AB23" t="e">
        <f>'Entrada datos'!#REF!</f>
        <v>#REF!</v>
      </c>
      <c r="AC23" t="e">
        <f>'Entrada datos'!#REF!</f>
        <v>#REF!</v>
      </c>
      <c r="AD23" s="17" t="e">
        <f t="shared" si="3"/>
        <v>#REF!</v>
      </c>
      <c r="AE23" t="e">
        <f>'Entrada datos'!#REF!</f>
        <v>#REF!</v>
      </c>
      <c r="AF23" t="e">
        <f>'Entrada datos'!#REF!</f>
        <v>#REF!</v>
      </c>
      <c r="AG23" t="e">
        <f>'Entrada datos'!#REF!</f>
        <v>#REF!</v>
      </c>
      <c r="AH23" t="e">
        <f>'Entrada datos'!#REF!</f>
        <v>#REF!</v>
      </c>
      <c r="AI23" t="e">
        <f>'Entrada datos'!#REF!</f>
        <v>#REF!</v>
      </c>
      <c r="AJ23" t="e">
        <f>'Entrada datos'!#REF!</f>
        <v>#REF!</v>
      </c>
      <c r="AK23" s="17" t="e">
        <f t="shared" si="4"/>
        <v>#REF!</v>
      </c>
      <c r="AL23" t="e">
        <f>'Entrada datos'!#REF!</f>
        <v>#REF!</v>
      </c>
      <c r="AM23" t="e">
        <f>'Entrada datos'!#REF!</f>
        <v>#REF!</v>
      </c>
      <c r="AN23" t="e">
        <f>'Entrada datos'!#REF!</f>
        <v>#REF!</v>
      </c>
      <c r="AO23" t="e">
        <f>'Entrada datos'!#REF!</f>
        <v>#REF!</v>
      </c>
      <c r="AP23" t="e">
        <f>'Entrada datos'!#REF!</f>
        <v>#REF!</v>
      </c>
      <c r="AQ23" t="e">
        <f>'Entrada datos'!#REF!</f>
        <v>#REF!</v>
      </c>
      <c r="AR23" s="17" t="e">
        <f t="shared" si="5"/>
        <v>#REF!</v>
      </c>
      <c r="AS23" s="23" t="e">
        <f t="shared" si="6"/>
        <v>#REF!</v>
      </c>
      <c r="AT23" t="e">
        <f t="shared" si="7"/>
        <v>#REF!</v>
      </c>
      <c r="AU23" s="40" t="e">
        <f t="shared" si="8"/>
        <v>#REF!</v>
      </c>
      <c r="AV23" t="e">
        <f t="shared" si="9"/>
        <v>#REF!</v>
      </c>
      <c r="AW23" t="e">
        <f t="shared" si="10"/>
        <v>#REF!</v>
      </c>
      <c r="AX23" s="24">
        <f t="shared" si="11"/>
        <v>0</v>
      </c>
      <c r="AY23" s="24">
        <f t="shared" si="12"/>
        <v>0</v>
      </c>
      <c r="AZ23" s="24">
        <f t="shared" si="13"/>
        <v>0</v>
      </c>
      <c r="BA23" t="e">
        <f t="shared" si="14"/>
        <v>#REF!</v>
      </c>
      <c r="BB23">
        <f t="shared" si="15"/>
        <v>0</v>
      </c>
      <c r="BC23" s="24">
        <f t="shared" si="16"/>
        <v>0</v>
      </c>
      <c r="BD23" t="e">
        <f t="shared" si="17"/>
        <v>#REF!</v>
      </c>
    </row>
    <row r="24" spans="1:56" x14ac:dyDescent="0.3">
      <c r="A24" t="e">
        <f>'Entrada datos'!#REF!</f>
        <v>#REF!</v>
      </c>
      <c r="B24" t="e">
        <f>'Entrada datos'!#REF!</f>
        <v>#REF!</v>
      </c>
      <c r="C24" t="e">
        <f>'Entrada datos'!#REF!</f>
        <v>#REF!</v>
      </c>
      <c r="D24" t="e">
        <f>'Entrada datos'!#REF!</f>
        <v>#REF!</v>
      </c>
      <c r="E24" s="18" t="e">
        <f>'Entrada datos'!#REF!</f>
        <v>#REF!</v>
      </c>
      <c r="F24" s="18" t="e">
        <f>'Entrada datos'!#REF!</f>
        <v>#REF!</v>
      </c>
      <c r="G24" t="e">
        <f>'Entrada datos'!#REF!</f>
        <v>#REF!</v>
      </c>
      <c r="H24" t="e">
        <f>'Entrada datos'!#REF!</f>
        <v>#REF!</v>
      </c>
      <c r="I24" t="e">
        <f>'Entrada datos'!#REF!</f>
        <v>#REF!</v>
      </c>
      <c r="J24" t="e">
        <f>'Entrada datos'!#REF!</f>
        <v>#REF!</v>
      </c>
      <c r="K24" t="e">
        <f>'Entrada datos'!#REF!</f>
        <v>#REF!</v>
      </c>
      <c r="L24" t="e">
        <f>'Entrada datos'!#REF!</f>
        <v>#REF!</v>
      </c>
      <c r="M24" t="e">
        <f>'Entrada datos'!#REF!</f>
        <v>#REF!</v>
      </c>
      <c r="N24" t="e">
        <f>'Entrada datos'!#REF!</f>
        <v>#REF!</v>
      </c>
      <c r="O24" t="e">
        <f>'Entrada datos'!#REF!</f>
        <v>#REF!</v>
      </c>
      <c r="P24" s="17" t="e">
        <f t="shared" si="1"/>
        <v>#REF!</v>
      </c>
      <c r="Q24" t="e">
        <f>'Entrada datos'!#REF!</f>
        <v>#REF!</v>
      </c>
      <c r="R24" t="e">
        <f>'Entrada datos'!#REF!</f>
        <v>#REF!</v>
      </c>
      <c r="S24" t="e">
        <f>'Entrada datos'!#REF!</f>
        <v>#REF!</v>
      </c>
      <c r="T24" t="e">
        <f>'Entrada datos'!#REF!</f>
        <v>#REF!</v>
      </c>
      <c r="U24" t="e">
        <f>'Entrada datos'!#REF!</f>
        <v>#REF!</v>
      </c>
      <c r="V24" t="e">
        <f>'Entrada datos'!#REF!</f>
        <v>#REF!</v>
      </c>
      <c r="W24" s="17" t="e">
        <f t="shared" si="2"/>
        <v>#REF!</v>
      </c>
      <c r="X24" t="e">
        <f>'Entrada datos'!#REF!</f>
        <v>#REF!</v>
      </c>
      <c r="Y24" t="e">
        <f>'Entrada datos'!#REF!</f>
        <v>#REF!</v>
      </c>
      <c r="Z24" t="e">
        <f>'Entrada datos'!#REF!</f>
        <v>#REF!</v>
      </c>
      <c r="AA24" t="e">
        <f>'Entrada datos'!#REF!</f>
        <v>#REF!</v>
      </c>
      <c r="AB24" t="e">
        <f>'Entrada datos'!#REF!</f>
        <v>#REF!</v>
      </c>
      <c r="AC24" t="e">
        <f>'Entrada datos'!#REF!</f>
        <v>#REF!</v>
      </c>
      <c r="AD24" s="17" t="e">
        <f t="shared" si="3"/>
        <v>#REF!</v>
      </c>
      <c r="AE24" t="e">
        <f>'Entrada datos'!#REF!</f>
        <v>#REF!</v>
      </c>
      <c r="AF24" t="e">
        <f>'Entrada datos'!#REF!</f>
        <v>#REF!</v>
      </c>
      <c r="AG24" t="e">
        <f>'Entrada datos'!#REF!</f>
        <v>#REF!</v>
      </c>
      <c r="AH24" t="e">
        <f>'Entrada datos'!#REF!</f>
        <v>#REF!</v>
      </c>
      <c r="AI24" t="e">
        <f>'Entrada datos'!#REF!</f>
        <v>#REF!</v>
      </c>
      <c r="AJ24" t="e">
        <f>'Entrada datos'!#REF!</f>
        <v>#REF!</v>
      </c>
      <c r="AK24" s="17" t="e">
        <f t="shared" si="4"/>
        <v>#REF!</v>
      </c>
      <c r="AL24" t="e">
        <f>'Entrada datos'!#REF!</f>
        <v>#REF!</v>
      </c>
      <c r="AM24" t="e">
        <f>'Entrada datos'!#REF!</f>
        <v>#REF!</v>
      </c>
      <c r="AN24" t="e">
        <f>'Entrada datos'!#REF!</f>
        <v>#REF!</v>
      </c>
      <c r="AO24" t="e">
        <f>'Entrada datos'!#REF!</f>
        <v>#REF!</v>
      </c>
      <c r="AP24" t="e">
        <f>'Entrada datos'!#REF!</f>
        <v>#REF!</v>
      </c>
      <c r="AQ24" t="e">
        <f>'Entrada datos'!#REF!</f>
        <v>#REF!</v>
      </c>
      <c r="AR24" s="17" t="e">
        <f t="shared" si="5"/>
        <v>#REF!</v>
      </c>
      <c r="AS24" s="23" t="e">
        <f t="shared" si="6"/>
        <v>#REF!</v>
      </c>
      <c r="AT24" t="e">
        <f t="shared" si="7"/>
        <v>#REF!</v>
      </c>
      <c r="AU24" s="40" t="e">
        <f t="shared" si="8"/>
        <v>#REF!</v>
      </c>
      <c r="AV24" t="e">
        <f t="shared" si="9"/>
        <v>#REF!</v>
      </c>
      <c r="AW24" t="e">
        <f t="shared" si="10"/>
        <v>#REF!</v>
      </c>
      <c r="AX24" s="24">
        <f t="shared" si="11"/>
        <v>0</v>
      </c>
      <c r="AY24" s="24">
        <f t="shared" si="12"/>
        <v>0</v>
      </c>
      <c r="AZ24" s="24">
        <f t="shared" si="13"/>
        <v>0</v>
      </c>
      <c r="BA24" t="e">
        <f t="shared" si="14"/>
        <v>#REF!</v>
      </c>
      <c r="BB24">
        <f t="shared" si="15"/>
        <v>0</v>
      </c>
      <c r="BC24" s="24">
        <f t="shared" si="16"/>
        <v>0</v>
      </c>
      <c r="BD24" t="e">
        <f t="shared" si="17"/>
        <v>#REF!</v>
      </c>
    </row>
    <row r="25" spans="1:56" x14ac:dyDescent="0.3">
      <c r="A25" t="e">
        <f>'Entrada datos'!#REF!</f>
        <v>#REF!</v>
      </c>
      <c r="B25" t="e">
        <f>'Entrada datos'!#REF!</f>
        <v>#REF!</v>
      </c>
      <c r="C25" t="e">
        <f>'Entrada datos'!#REF!</f>
        <v>#REF!</v>
      </c>
      <c r="D25" t="e">
        <f>'Entrada datos'!#REF!</f>
        <v>#REF!</v>
      </c>
      <c r="E25" s="18" t="e">
        <f>'Entrada datos'!#REF!</f>
        <v>#REF!</v>
      </c>
      <c r="F25" s="18" t="e">
        <f>'Entrada datos'!#REF!</f>
        <v>#REF!</v>
      </c>
      <c r="G25" t="e">
        <f>'Entrada datos'!#REF!</f>
        <v>#REF!</v>
      </c>
      <c r="H25" t="e">
        <f>'Entrada datos'!#REF!</f>
        <v>#REF!</v>
      </c>
      <c r="I25" t="e">
        <f>'Entrada datos'!#REF!</f>
        <v>#REF!</v>
      </c>
      <c r="J25" t="e">
        <f>'Entrada datos'!#REF!</f>
        <v>#REF!</v>
      </c>
      <c r="K25" t="e">
        <f>'Entrada datos'!#REF!</f>
        <v>#REF!</v>
      </c>
      <c r="L25" t="e">
        <f>'Entrada datos'!#REF!</f>
        <v>#REF!</v>
      </c>
      <c r="M25" t="e">
        <f>'Entrada datos'!#REF!</f>
        <v>#REF!</v>
      </c>
      <c r="N25" t="e">
        <f>'Entrada datos'!#REF!</f>
        <v>#REF!</v>
      </c>
      <c r="O25" t="e">
        <f>'Entrada datos'!#REF!</f>
        <v>#REF!</v>
      </c>
      <c r="P25" s="17" t="e">
        <f t="shared" si="1"/>
        <v>#REF!</v>
      </c>
      <c r="Q25" t="e">
        <f>'Entrada datos'!#REF!</f>
        <v>#REF!</v>
      </c>
      <c r="R25" t="e">
        <f>'Entrada datos'!#REF!</f>
        <v>#REF!</v>
      </c>
      <c r="S25" t="e">
        <f>'Entrada datos'!#REF!</f>
        <v>#REF!</v>
      </c>
      <c r="T25" t="e">
        <f>'Entrada datos'!#REF!</f>
        <v>#REF!</v>
      </c>
      <c r="U25" t="e">
        <f>'Entrada datos'!#REF!</f>
        <v>#REF!</v>
      </c>
      <c r="V25" t="e">
        <f>'Entrada datos'!#REF!</f>
        <v>#REF!</v>
      </c>
      <c r="W25" s="17" t="e">
        <f t="shared" si="2"/>
        <v>#REF!</v>
      </c>
      <c r="X25" t="e">
        <f>'Entrada datos'!#REF!</f>
        <v>#REF!</v>
      </c>
      <c r="Y25" t="e">
        <f>'Entrada datos'!#REF!</f>
        <v>#REF!</v>
      </c>
      <c r="Z25" t="e">
        <f>'Entrada datos'!#REF!</f>
        <v>#REF!</v>
      </c>
      <c r="AA25" t="e">
        <f>'Entrada datos'!#REF!</f>
        <v>#REF!</v>
      </c>
      <c r="AB25" t="e">
        <f>'Entrada datos'!#REF!</f>
        <v>#REF!</v>
      </c>
      <c r="AC25" t="e">
        <f>'Entrada datos'!#REF!</f>
        <v>#REF!</v>
      </c>
      <c r="AD25" s="17" t="e">
        <f t="shared" si="3"/>
        <v>#REF!</v>
      </c>
      <c r="AE25" t="e">
        <f>'Entrada datos'!#REF!</f>
        <v>#REF!</v>
      </c>
      <c r="AF25" t="e">
        <f>'Entrada datos'!#REF!</f>
        <v>#REF!</v>
      </c>
      <c r="AG25" t="e">
        <f>'Entrada datos'!#REF!</f>
        <v>#REF!</v>
      </c>
      <c r="AH25" t="e">
        <f>'Entrada datos'!#REF!</f>
        <v>#REF!</v>
      </c>
      <c r="AI25" t="e">
        <f>'Entrada datos'!#REF!</f>
        <v>#REF!</v>
      </c>
      <c r="AJ25" t="e">
        <f>'Entrada datos'!#REF!</f>
        <v>#REF!</v>
      </c>
      <c r="AK25" s="17" t="e">
        <f t="shared" si="4"/>
        <v>#REF!</v>
      </c>
      <c r="AL25" t="e">
        <f>'Entrada datos'!#REF!</f>
        <v>#REF!</v>
      </c>
      <c r="AM25" t="e">
        <f>'Entrada datos'!#REF!</f>
        <v>#REF!</v>
      </c>
      <c r="AN25" t="e">
        <f>'Entrada datos'!#REF!</f>
        <v>#REF!</v>
      </c>
      <c r="AO25" t="e">
        <f>'Entrada datos'!#REF!</f>
        <v>#REF!</v>
      </c>
      <c r="AP25" t="e">
        <f>'Entrada datos'!#REF!</f>
        <v>#REF!</v>
      </c>
      <c r="AQ25" t="e">
        <f>'Entrada datos'!#REF!</f>
        <v>#REF!</v>
      </c>
      <c r="AR25" s="17" t="e">
        <f t="shared" si="5"/>
        <v>#REF!</v>
      </c>
      <c r="AS25" s="23" t="e">
        <f t="shared" si="6"/>
        <v>#REF!</v>
      </c>
      <c r="AT25" t="e">
        <f t="shared" si="7"/>
        <v>#REF!</v>
      </c>
      <c r="AU25" s="40" t="e">
        <f t="shared" si="8"/>
        <v>#REF!</v>
      </c>
      <c r="AV25" t="e">
        <f t="shared" si="9"/>
        <v>#REF!</v>
      </c>
      <c r="AW25" t="e">
        <f t="shared" si="10"/>
        <v>#REF!</v>
      </c>
      <c r="AX25" s="24">
        <f t="shared" si="11"/>
        <v>0</v>
      </c>
      <c r="AY25" s="24">
        <f t="shared" si="12"/>
        <v>0</v>
      </c>
      <c r="AZ25" s="24">
        <f t="shared" si="13"/>
        <v>0</v>
      </c>
      <c r="BA25" t="e">
        <f t="shared" si="14"/>
        <v>#REF!</v>
      </c>
      <c r="BB25">
        <f t="shared" si="15"/>
        <v>0</v>
      </c>
      <c r="BC25" s="24">
        <f t="shared" si="16"/>
        <v>0</v>
      </c>
      <c r="BD25" t="e">
        <f t="shared" si="17"/>
        <v>#REF!</v>
      </c>
    </row>
    <row r="26" spans="1:56" x14ac:dyDescent="0.3">
      <c r="A26" t="e">
        <f>'Entrada datos'!#REF!</f>
        <v>#REF!</v>
      </c>
      <c r="B26" t="e">
        <f>'Entrada datos'!#REF!</f>
        <v>#REF!</v>
      </c>
      <c r="C26" t="e">
        <f>'Entrada datos'!#REF!</f>
        <v>#REF!</v>
      </c>
      <c r="D26" t="e">
        <f>'Entrada datos'!#REF!</f>
        <v>#REF!</v>
      </c>
      <c r="E26" s="18" t="e">
        <f>'Entrada datos'!#REF!</f>
        <v>#REF!</v>
      </c>
      <c r="F26" s="18" t="e">
        <f>'Entrada datos'!#REF!</f>
        <v>#REF!</v>
      </c>
      <c r="G26" t="e">
        <f>'Entrada datos'!#REF!</f>
        <v>#REF!</v>
      </c>
      <c r="H26" t="e">
        <f>'Entrada datos'!#REF!</f>
        <v>#REF!</v>
      </c>
      <c r="I26" t="e">
        <f>'Entrada datos'!#REF!</f>
        <v>#REF!</v>
      </c>
      <c r="J26" t="e">
        <f>'Entrada datos'!#REF!</f>
        <v>#REF!</v>
      </c>
      <c r="K26" t="e">
        <f>'Entrada datos'!#REF!</f>
        <v>#REF!</v>
      </c>
      <c r="L26" t="e">
        <f>'Entrada datos'!#REF!</f>
        <v>#REF!</v>
      </c>
      <c r="M26" t="e">
        <f>'Entrada datos'!#REF!</f>
        <v>#REF!</v>
      </c>
      <c r="N26" t="e">
        <f>'Entrada datos'!#REF!</f>
        <v>#REF!</v>
      </c>
      <c r="O26" t="e">
        <f>'Entrada datos'!#REF!</f>
        <v>#REF!</v>
      </c>
      <c r="P26" s="17" t="e">
        <f t="shared" si="1"/>
        <v>#REF!</v>
      </c>
      <c r="Q26" t="e">
        <f>'Entrada datos'!#REF!</f>
        <v>#REF!</v>
      </c>
      <c r="R26" t="e">
        <f>'Entrada datos'!#REF!</f>
        <v>#REF!</v>
      </c>
      <c r="S26" t="e">
        <f>'Entrada datos'!#REF!</f>
        <v>#REF!</v>
      </c>
      <c r="T26" t="e">
        <f>'Entrada datos'!#REF!</f>
        <v>#REF!</v>
      </c>
      <c r="U26" t="e">
        <f>'Entrada datos'!#REF!</f>
        <v>#REF!</v>
      </c>
      <c r="V26" t="e">
        <f>'Entrada datos'!#REF!</f>
        <v>#REF!</v>
      </c>
      <c r="W26" s="17" t="e">
        <f t="shared" si="2"/>
        <v>#REF!</v>
      </c>
      <c r="X26" t="e">
        <f>'Entrada datos'!#REF!</f>
        <v>#REF!</v>
      </c>
      <c r="Y26" t="e">
        <f>'Entrada datos'!#REF!</f>
        <v>#REF!</v>
      </c>
      <c r="Z26" t="e">
        <f>'Entrada datos'!#REF!</f>
        <v>#REF!</v>
      </c>
      <c r="AA26" t="e">
        <f>'Entrada datos'!#REF!</f>
        <v>#REF!</v>
      </c>
      <c r="AB26" t="e">
        <f>'Entrada datos'!#REF!</f>
        <v>#REF!</v>
      </c>
      <c r="AC26" t="e">
        <f>'Entrada datos'!#REF!</f>
        <v>#REF!</v>
      </c>
      <c r="AD26" s="17" t="e">
        <f t="shared" si="3"/>
        <v>#REF!</v>
      </c>
      <c r="AE26" t="e">
        <f>'Entrada datos'!#REF!</f>
        <v>#REF!</v>
      </c>
      <c r="AF26" t="e">
        <f>'Entrada datos'!#REF!</f>
        <v>#REF!</v>
      </c>
      <c r="AG26" t="e">
        <f>'Entrada datos'!#REF!</f>
        <v>#REF!</v>
      </c>
      <c r="AH26" t="e">
        <f>'Entrada datos'!#REF!</f>
        <v>#REF!</v>
      </c>
      <c r="AI26" t="e">
        <f>'Entrada datos'!#REF!</f>
        <v>#REF!</v>
      </c>
      <c r="AJ26" t="e">
        <f>'Entrada datos'!#REF!</f>
        <v>#REF!</v>
      </c>
      <c r="AK26" s="17" t="e">
        <f t="shared" si="4"/>
        <v>#REF!</v>
      </c>
      <c r="AL26" t="e">
        <f>'Entrada datos'!#REF!</f>
        <v>#REF!</v>
      </c>
      <c r="AM26" t="e">
        <f>'Entrada datos'!#REF!</f>
        <v>#REF!</v>
      </c>
      <c r="AN26" t="e">
        <f>'Entrada datos'!#REF!</f>
        <v>#REF!</v>
      </c>
      <c r="AO26" t="e">
        <f>'Entrada datos'!#REF!</f>
        <v>#REF!</v>
      </c>
      <c r="AP26" t="e">
        <f>'Entrada datos'!#REF!</f>
        <v>#REF!</v>
      </c>
      <c r="AQ26" t="e">
        <f>'Entrada datos'!#REF!</f>
        <v>#REF!</v>
      </c>
      <c r="AR26" s="17" t="e">
        <f t="shared" si="5"/>
        <v>#REF!</v>
      </c>
      <c r="AS26" s="23" t="e">
        <f t="shared" si="6"/>
        <v>#REF!</v>
      </c>
      <c r="AT26" t="e">
        <f t="shared" si="7"/>
        <v>#REF!</v>
      </c>
      <c r="AU26" s="40" t="e">
        <f t="shared" si="8"/>
        <v>#REF!</v>
      </c>
      <c r="AV26" t="e">
        <f t="shared" si="9"/>
        <v>#REF!</v>
      </c>
      <c r="AW26" t="e">
        <f t="shared" si="10"/>
        <v>#REF!</v>
      </c>
      <c r="AX26" s="24">
        <f t="shared" si="11"/>
        <v>0</v>
      </c>
      <c r="AY26" s="24">
        <f t="shared" si="12"/>
        <v>0</v>
      </c>
      <c r="AZ26" s="24">
        <f t="shared" si="13"/>
        <v>0</v>
      </c>
      <c r="BA26" t="e">
        <f t="shared" si="14"/>
        <v>#REF!</v>
      </c>
      <c r="BB26">
        <f t="shared" si="15"/>
        <v>0</v>
      </c>
      <c r="BC26" s="24">
        <f t="shared" si="16"/>
        <v>0</v>
      </c>
      <c r="BD26" t="e">
        <f t="shared" si="17"/>
        <v>#REF!</v>
      </c>
    </row>
    <row r="27" spans="1:56" x14ac:dyDescent="0.3">
      <c r="A27" t="e">
        <f>'Entrada datos'!#REF!</f>
        <v>#REF!</v>
      </c>
      <c r="B27" t="e">
        <f>'Entrada datos'!#REF!</f>
        <v>#REF!</v>
      </c>
      <c r="C27" t="e">
        <f>'Entrada datos'!#REF!</f>
        <v>#REF!</v>
      </c>
      <c r="D27" t="e">
        <f>'Entrada datos'!#REF!</f>
        <v>#REF!</v>
      </c>
      <c r="E27" s="18" t="e">
        <f>'Entrada datos'!#REF!</f>
        <v>#REF!</v>
      </c>
      <c r="F27" s="18" t="e">
        <f>'Entrada datos'!#REF!</f>
        <v>#REF!</v>
      </c>
      <c r="G27" t="e">
        <f>'Entrada datos'!#REF!</f>
        <v>#REF!</v>
      </c>
      <c r="H27" t="e">
        <f>'Entrada datos'!#REF!</f>
        <v>#REF!</v>
      </c>
      <c r="I27" t="e">
        <f>'Entrada datos'!#REF!</f>
        <v>#REF!</v>
      </c>
      <c r="J27" t="e">
        <f>'Entrada datos'!#REF!</f>
        <v>#REF!</v>
      </c>
      <c r="K27" t="e">
        <f>'Entrada datos'!#REF!</f>
        <v>#REF!</v>
      </c>
      <c r="L27" t="e">
        <f>'Entrada datos'!#REF!</f>
        <v>#REF!</v>
      </c>
      <c r="M27" t="e">
        <f>'Entrada datos'!#REF!</f>
        <v>#REF!</v>
      </c>
      <c r="N27" t="e">
        <f>'Entrada datos'!#REF!</f>
        <v>#REF!</v>
      </c>
      <c r="O27" t="e">
        <f>'Entrada datos'!#REF!</f>
        <v>#REF!</v>
      </c>
      <c r="P27" s="17" t="e">
        <f t="shared" si="1"/>
        <v>#REF!</v>
      </c>
      <c r="Q27" t="e">
        <f>'Entrada datos'!#REF!</f>
        <v>#REF!</v>
      </c>
      <c r="R27" t="e">
        <f>'Entrada datos'!#REF!</f>
        <v>#REF!</v>
      </c>
      <c r="S27" t="e">
        <f>'Entrada datos'!#REF!</f>
        <v>#REF!</v>
      </c>
      <c r="T27" t="e">
        <f>'Entrada datos'!#REF!</f>
        <v>#REF!</v>
      </c>
      <c r="U27" t="e">
        <f>'Entrada datos'!#REF!</f>
        <v>#REF!</v>
      </c>
      <c r="V27" t="e">
        <f>'Entrada datos'!#REF!</f>
        <v>#REF!</v>
      </c>
      <c r="W27" s="17" t="e">
        <f t="shared" si="2"/>
        <v>#REF!</v>
      </c>
      <c r="X27" t="e">
        <f>'Entrada datos'!#REF!</f>
        <v>#REF!</v>
      </c>
      <c r="Y27" t="e">
        <f>'Entrada datos'!#REF!</f>
        <v>#REF!</v>
      </c>
      <c r="Z27" t="e">
        <f>'Entrada datos'!#REF!</f>
        <v>#REF!</v>
      </c>
      <c r="AA27" t="e">
        <f>'Entrada datos'!#REF!</f>
        <v>#REF!</v>
      </c>
      <c r="AB27" t="e">
        <f>'Entrada datos'!#REF!</f>
        <v>#REF!</v>
      </c>
      <c r="AC27" t="e">
        <f>'Entrada datos'!#REF!</f>
        <v>#REF!</v>
      </c>
      <c r="AD27" s="17" t="e">
        <f t="shared" si="3"/>
        <v>#REF!</v>
      </c>
      <c r="AE27" t="e">
        <f>'Entrada datos'!#REF!</f>
        <v>#REF!</v>
      </c>
      <c r="AF27" t="e">
        <f>'Entrada datos'!#REF!</f>
        <v>#REF!</v>
      </c>
      <c r="AG27" t="e">
        <f>'Entrada datos'!#REF!</f>
        <v>#REF!</v>
      </c>
      <c r="AH27" t="e">
        <f>'Entrada datos'!#REF!</f>
        <v>#REF!</v>
      </c>
      <c r="AI27" t="e">
        <f>'Entrada datos'!#REF!</f>
        <v>#REF!</v>
      </c>
      <c r="AJ27" t="e">
        <f>'Entrada datos'!#REF!</f>
        <v>#REF!</v>
      </c>
      <c r="AK27" s="17" t="e">
        <f t="shared" si="4"/>
        <v>#REF!</v>
      </c>
      <c r="AL27" t="e">
        <f>'Entrada datos'!#REF!</f>
        <v>#REF!</v>
      </c>
      <c r="AM27" t="e">
        <f>'Entrada datos'!#REF!</f>
        <v>#REF!</v>
      </c>
      <c r="AN27" t="e">
        <f>'Entrada datos'!#REF!</f>
        <v>#REF!</v>
      </c>
      <c r="AO27" t="e">
        <f>'Entrada datos'!#REF!</f>
        <v>#REF!</v>
      </c>
      <c r="AP27" t="e">
        <f>'Entrada datos'!#REF!</f>
        <v>#REF!</v>
      </c>
      <c r="AQ27" t="e">
        <f>'Entrada datos'!#REF!</f>
        <v>#REF!</v>
      </c>
      <c r="AR27" s="17" t="e">
        <f t="shared" si="5"/>
        <v>#REF!</v>
      </c>
      <c r="AS27" s="23" t="e">
        <f t="shared" si="6"/>
        <v>#REF!</v>
      </c>
      <c r="AT27" t="e">
        <f t="shared" si="7"/>
        <v>#REF!</v>
      </c>
      <c r="AU27" s="40" t="e">
        <f t="shared" si="8"/>
        <v>#REF!</v>
      </c>
      <c r="AV27" t="e">
        <f t="shared" si="9"/>
        <v>#REF!</v>
      </c>
      <c r="AW27" t="e">
        <f t="shared" si="10"/>
        <v>#REF!</v>
      </c>
      <c r="AX27" s="24">
        <f t="shared" si="11"/>
        <v>0</v>
      </c>
      <c r="AY27" s="24">
        <f t="shared" si="12"/>
        <v>0</v>
      </c>
      <c r="AZ27" s="24">
        <f t="shared" si="13"/>
        <v>0</v>
      </c>
      <c r="BA27" t="e">
        <f t="shared" si="14"/>
        <v>#REF!</v>
      </c>
      <c r="BB27">
        <f t="shared" si="15"/>
        <v>0</v>
      </c>
      <c r="BC27" s="24">
        <f t="shared" si="16"/>
        <v>0</v>
      </c>
      <c r="BD27" t="e">
        <f t="shared" si="17"/>
        <v>#REF!</v>
      </c>
    </row>
    <row r="28" spans="1:56" x14ac:dyDescent="0.3">
      <c r="A28" t="e">
        <f>'Entrada datos'!#REF!</f>
        <v>#REF!</v>
      </c>
      <c r="B28" t="e">
        <f>'Entrada datos'!#REF!</f>
        <v>#REF!</v>
      </c>
      <c r="C28" t="e">
        <f>'Entrada datos'!#REF!</f>
        <v>#REF!</v>
      </c>
      <c r="D28" t="e">
        <f>'Entrada datos'!#REF!</f>
        <v>#REF!</v>
      </c>
      <c r="E28" s="18" t="e">
        <f>'Entrada datos'!#REF!</f>
        <v>#REF!</v>
      </c>
      <c r="F28" s="18" t="e">
        <f>'Entrada datos'!#REF!</f>
        <v>#REF!</v>
      </c>
      <c r="G28" t="e">
        <f>'Entrada datos'!#REF!</f>
        <v>#REF!</v>
      </c>
      <c r="H28" t="e">
        <f>'Entrada datos'!#REF!</f>
        <v>#REF!</v>
      </c>
      <c r="I28" t="e">
        <f>'Entrada datos'!#REF!</f>
        <v>#REF!</v>
      </c>
      <c r="J28" t="e">
        <f>'Entrada datos'!#REF!</f>
        <v>#REF!</v>
      </c>
      <c r="K28" t="e">
        <f>'Entrada datos'!#REF!</f>
        <v>#REF!</v>
      </c>
      <c r="L28" t="e">
        <f>'Entrada datos'!#REF!</f>
        <v>#REF!</v>
      </c>
      <c r="M28" t="e">
        <f>'Entrada datos'!#REF!</f>
        <v>#REF!</v>
      </c>
      <c r="N28" t="e">
        <f>'Entrada datos'!#REF!</f>
        <v>#REF!</v>
      </c>
      <c r="O28" t="e">
        <f>'Entrada datos'!#REF!</f>
        <v>#REF!</v>
      </c>
      <c r="P28" s="17" t="e">
        <f t="shared" si="1"/>
        <v>#REF!</v>
      </c>
      <c r="Q28" t="e">
        <f>'Entrada datos'!#REF!</f>
        <v>#REF!</v>
      </c>
      <c r="R28" t="e">
        <f>'Entrada datos'!#REF!</f>
        <v>#REF!</v>
      </c>
      <c r="S28" t="e">
        <f>'Entrada datos'!#REF!</f>
        <v>#REF!</v>
      </c>
      <c r="T28" t="e">
        <f>'Entrada datos'!#REF!</f>
        <v>#REF!</v>
      </c>
      <c r="U28" t="e">
        <f>'Entrada datos'!#REF!</f>
        <v>#REF!</v>
      </c>
      <c r="V28" t="e">
        <f>'Entrada datos'!#REF!</f>
        <v>#REF!</v>
      </c>
      <c r="W28" s="17" t="e">
        <f t="shared" si="2"/>
        <v>#REF!</v>
      </c>
      <c r="X28" t="e">
        <f>'Entrada datos'!#REF!</f>
        <v>#REF!</v>
      </c>
      <c r="Y28" t="e">
        <f>'Entrada datos'!#REF!</f>
        <v>#REF!</v>
      </c>
      <c r="Z28" t="e">
        <f>'Entrada datos'!#REF!</f>
        <v>#REF!</v>
      </c>
      <c r="AA28" t="e">
        <f>'Entrada datos'!#REF!</f>
        <v>#REF!</v>
      </c>
      <c r="AB28" t="e">
        <f>'Entrada datos'!#REF!</f>
        <v>#REF!</v>
      </c>
      <c r="AC28" t="e">
        <f>'Entrada datos'!#REF!</f>
        <v>#REF!</v>
      </c>
      <c r="AD28" s="17" t="e">
        <f t="shared" si="3"/>
        <v>#REF!</v>
      </c>
      <c r="AE28" t="e">
        <f>'Entrada datos'!#REF!</f>
        <v>#REF!</v>
      </c>
      <c r="AF28" t="e">
        <f>'Entrada datos'!#REF!</f>
        <v>#REF!</v>
      </c>
      <c r="AG28" t="e">
        <f>'Entrada datos'!#REF!</f>
        <v>#REF!</v>
      </c>
      <c r="AH28" t="e">
        <f>'Entrada datos'!#REF!</f>
        <v>#REF!</v>
      </c>
      <c r="AI28" t="e">
        <f>'Entrada datos'!#REF!</f>
        <v>#REF!</v>
      </c>
      <c r="AJ28" t="e">
        <f>'Entrada datos'!#REF!</f>
        <v>#REF!</v>
      </c>
      <c r="AK28" s="17" t="e">
        <f t="shared" si="4"/>
        <v>#REF!</v>
      </c>
      <c r="AL28" t="e">
        <f>'Entrada datos'!#REF!</f>
        <v>#REF!</v>
      </c>
      <c r="AM28" t="e">
        <f>'Entrada datos'!#REF!</f>
        <v>#REF!</v>
      </c>
      <c r="AN28" t="e">
        <f>'Entrada datos'!#REF!</f>
        <v>#REF!</v>
      </c>
      <c r="AO28" t="e">
        <f>'Entrada datos'!#REF!</f>
        <v>#REF!</v>
      </c>
      <c r="AP28" t="e">
        <f>'Entrada datos'!#REF!</f>
        <v>#REF!</v>
      </c>
      <c r="AQ28" t="e">
        <f>'Entrada datos'!#REF!</f>
        <v>#REF!</v>
      </c>
      <c r="AR28" s="17" t="e">
        <f t="shared" si="5"/>
        <v>#REF!</v>
      </c>
      <c r="AS28" s="23" t="e">
        <f t="shared" si="6"/>
        <v>#REF!</v>
      </c>
      <c r="AT28" t="e">
        <f t="shared" si="7"/>
        <v>#REF!</v>
      </c>
      <c r="AU28" s="40" t="e">
        <f t="shared" si="8"/>
        <v>#REF!</v>
      </c>
      <c r="AV28" t="e">
        <f t="shared" si="9"/>
        <v>#REF!</v>
      </c>
      <c r="AW28" t="e">
        <f t="shared" si="10"/>
        <v>#REF!</v>
      </c>
      <c r="AX28" s="24">
        <f t="shared" si="11"/>
        <v>0</v>
      </c>
      <c r="AY28" s="24">
        <f t="shared" si="12"/>
        <v>0</v>
      </c>
      <c r="AZ28" s="24">
        <f t="shared" si="13"/>
        <v>0</v>
      </c>
      <c r="BA28" t="e">
        <f t="shared" si="14"/>
        <v>#REF!</v>
      </c>
      <c r="BB28">
        <f t="shared" si="15"/>
        <v>0</v>
      </c>
      <c r="BC28" s="24">
        <f t="shared" si="16"/>
        <v>0</v>
      </c>
      <c r="BD28" t="e">
        <f t="shared" si="17"/>
        <v>#REF!</v>
      </c>
    </row>
    <row r="29" spans="1:56" x14ac:dyDescent="0.3">
      <c r="A29" t="e">
        <f>'Entrada datos'!#REF!</f>
        <v>#REF!</v>
      </c>
      <c r="B29" t="e">
        <f>'Entrada datos'!#REF!</f>
        <v>#REF!</v>
      </c>
      <c r="C29" t="e">
        <f>'Entrada datos'!#REF!</f>
        <v>#REF!</v>
      </c>
      <c r="D29" t="e">
        <f>'Entrada datos'!#REF!</f>
        <v>#REF!</v>
      </c>
      <c r="E29" s="18" t="e">
        <f>'Entrada datos'!#REF!</f>
        <v>#REF!</v>
      </c>
      <c r="F29" s="18" t="e">
        <f>'Entrada datos'!#REF!</f>
        <v>#REF!</v>
      </c>
      <c r="G29" t="e">
        <f>'Entrada datos'!#REF!</f>
        <v>#REF!</v>
      </c>
      <c r="H29" t="e">
        <f>'Entrada datos'!#REF!</f>
        <v>#REF!</v>
      </c>
      <c r="I29" t="e">
        <f>'Entrada datos'!#REF!</f>
        <v>#REF!</v>
      </c>
      <c r="J29" t="e">
        <f>'Entrada datos'!#REF!</f>
        <v>#REF!</v>
      </c>
      <c r="K29" t="e">
        <f>'Entrada datos'!#REF!</f>
        <v>#REF!</v>
      </c>
      <c r="L29" t="e">
        <f>'Entrada datos'!#REF!</f>
        <v>#REF!</v>
      </c>
      <c r="M29" t="e">
        <f>'Entrada datos'!#REF!</f>
        <v>#REF!</v>
      </c>
      <c r="N29" t="e">
        <f>'Entrada datos'!#REF!</f>
        <v>#REF!</v>
      </c>
      <c r="O29" t="e">
        <f>'Entrada datos'!#REF!</f>
        <v>#REF!</v>
      </c>
      <c r="P29" s="17" t="e">
        <f t="shared" si="1"/>
        <v>#REF!</v>
      </c>
      <c r="Q29" t="e">
        <f>'Entrada datos'!#REF!</f>
        <v>#REF!</v>
      </c>
      <c r="R29" t="e">
        <f>'Entrada datos'!#REF!</f>
        <v>#REF!</v>
      </c>
      <c r="S29" t="e">
        <f>'Entrada datos'!#REF!</f>
        <v>#REF!</v>
      </c>
      <c r="T29" t="e">
        <f>'Entrada datos'!#REF!</f>
        <v>#REF!</v>
      </c>
      <c r="U29" t="e">
        <f>'Entrada datos'!#REF!</f>
        <v>#REF!</v>
      </c>
      <c r="V29" t="e">
        <f>'Entrada datos'!#REF!</f>
        <v>#REF!</v>
      </c>
      <c r="W29" s="17" t="e">
        <f t="shared" si="2"/>
        <v>#REF!</v>
      </c>
      <c r="X29" t="e">
        <f>'Entrada datos'!#REF!</f>
        <v>#REF!</v>
      </c>
      <c r="Y29" t="e">
        <f>'Entrada datos'!#REF!</f>
        <v>#REF!</v>
      </c>
      <c r="Z29" t="e">
        <f>'Entrada datos'!#REF!</f>
        <v>#REF!</v>
      </c>
      <c r="AA29" t="e">
        <f>'Entrada datos'!#REF!</f>
        <v>#REF!</v>
      </c>
      <c r="AB29" t="e">
        <f>'Entrada datos'!#REF!</f>
        <v>#REF!</v>
      </c>
      <c r="AC29" t="e">
        <f>'Entrada datos'!#REF!</f>
        <v>#REF!</v>
      </c>
      <c r="AD29" s="17" t="e">
        <f t="shared" si="3"/>
        <v>#REF!</v>
      </c>
      <c r="AE29" t="e">
        <f>'Entrada datos'!#REF!</f>
        <v>#REF!</v>
      </c>
      <c r="AF29" t="e">
        <f>'Entrada datos'!#REF!</f>
        <v>#REF!</v>
      </c>
      <c r="AG29" t="e">
        <f>'Entrada datos'!#REF!</f>
        <v>#REF!</v>
      </c>
      <c r="AH29" t="e">
        <f>'Entrada datos'!#REF!</f>
        <v>#REF!</v>
      </c>
      <c r="AI29" t="e">
        <f>'Entrada datos'!#REF!</f>
        <v>#REF!</v>
      </c>
      <c r="AJ29" t="e">
        <f>'Entrada datos'!#REF!</f>
        <v>#REF!</v>
      </c>
      <c r="AK29" s="17" t="e">
        <f t="shared" si="4"/>
        <v>#REF!</v>
      </c>
      <c r="AL29" t="e">
        <f>'Entrada datos'!#REF!</f>
        <v>#REF!</v>
      </c>
      <c r="AM29" t="e">
        <f>'Entrada datos'!#REF!</f>
        <v>#REF!</v>
      </c>
      <c r="AN29" t="e">
        <f>'Entrada datos'!#REF!</f>
        <v>#REF!</v>
      </c>
      <c r="AO29" t="e">
        <f>'Entrada datos'!#REF!</f>
        <v>#REF!</v>
      </c>
      <c r="AP29" t="e">
        <f>'Entrada datos'!#REF!</f>
        <v>#REF!</v>
      </c>
      <c r="AQ29" t="e">
        <f>'Entrada datos'!#REF!</f>
        <v>#REF!</v>
      </c>
      <c r="AR29" s="17" t="e">
        <f t="shared" si="5"/>
        <v>#REF!</v>
      </c>
      <c r="AS29" s="23" t="e">
        <f t="shared" si="6"/>
        <v>#REF!</v>
      </c>
      <c r="AT29" t="e">
        <f t="shared" si="7"/>
        <v>#REF!</v>
      </c>
      <c r="AU29" s="40" t="e">
        <f t="shared" si="8"/>
        <v>#REF!</v>
      </c>
      <c r="AV29" t="e">
        <f t="shared" si="9"/>
        <v>#REF!</v>
      </c>
      <c r="AW29" t="e">
        <f t="shared" si="10"/>
        <v>#REF!</v>
      </c>
      <c r="AX29" s="24">
        <f t="shared" si="11"/>
        <v>0</v>
      </c>
      <c r="AY29" s="24">
        <f t="shared" si="12"/>
        <v>0</v>
      </c>
      <c r="AZ29" s="24">
        <f t="shared" si="13"/>
        <v>0</v>
      </c>
      <c r="BA29" t="e">
        <f t="shared" si="14"/>
        <v>#REF!</v>
      </c>
      <c r="BB29">
        <f t="shared" si="15"/>
        <v>0</v>
      </c>
      <c r="BC29" s="24">
        <f t="shared" si="16"/>
        <v>0</v>
      </c>
      <c r="BD29" t="e">
        <f t="shared" si="17"/>
        <v>#REF!</v>
      </c>
    </row>
    <row r="30" spans="1:56" x14ac:dyDescent="0.3">
      <c r="A30" t="e">
        <f>'Entrada datos'!#REF!</f>
        <v>#REF!</v>
      </c>
      <c r="B30" t="e">
        <f>'Entrada datos'!#REF!</f>
        <v>#REF!</v>
      </c>
      <c r="C30" t="e">
        <f>'Entrada datos'!#REF!</f>
        <v>#REF!</v>
      </c>
      <c r="D30" t="e">
        <f>'Entrada datos'!#REF!</f>
        <v>#REF!</v>
      </c>
      <c r="E30" s="18" t="e">
        <f>'Entrada datos'!#REF!</f>
        <v>#REF!</v>
      </c>
      <c r="F30" s="18" t="e">
        <f>'Entrada datos'!#REF!</f>
        <v>#REF!</v>
      </c>
      <c r="G30" t="e">
        <f>'Entrada datos'!#REF!</f>
        <v>#REF!</v>
      </c>
      <c r="H30" t="e">
        <f>'Entrada datos'!#REF!</f>
        <v>#REF!</v>
      </c>
      <c r="I30" t="e">
        <f>'Entrada datos'!#REF!</f>
        <v>#REF!</v>
      </c>
      <c r="J30" t="e">
        <f>'Entrada datos'!#REF!</f>
        <v>#REF!</v>
      </c>
      <c r="K30" t="e">
        <f>'Entrada datos'!#REF!</f>
        <v>#REF!</v>
      </c>
      <c r="L30" t="e">
        <f>'Entrada datos'!#REF!</f>
        <v>#REF!</v>
      </c>
      <c r="M30" t="e">
        <f>'Entrada datos'!#REF!</f>
        <v>#REF!</v>
      </c>
      <c r="N30" t="e">
        <f>'Entrada datos'!#REF!</f>
        <v>#REF!</v>
      </c>
      <c r="O30" t="e">
        <f>'Entrada datos'!#REF!</f>
        <v>#REF!</v>
      </c>
      <c r="P30" s="17" t="e">
        <f t="shared" si="1"/>
        <v>#REF!</v>
      </c>
      <c r="Q30" t="e">
        <f>'Entrada datos'!#REF!</f>
        <v>#REF!</v>
      </c>
      <c r="R30" t="e">
        <f>'Entrada datos'!#REF!</f>
        <v>#REF!</v>
      </c>
      <c r="S30" t="e">
        <f>'Entrada datos'!#REF!</f>
        <v>#REF!</v>
      </c>
      <c r="T30" t="e">
        <f>'Entrada datos'!#REF!</f>
        <v>#REF!</v>
      </c>
      <c r="U30" t="e">
        <f>'Entrada datos'!#REF!</f>
        <v>#REF!</v>
      </c>
      <c r="V30" t="e">
        <f>'Entrada datos'!#REF!</f>
        <v>#REF!</v>
      </c>
      <c r="W30" s="17" t="e">
        <f t="shared" si="2"/>
        <v>#REF!</v>
      </c>
      <c r="X30" t="e">
        <f>'Entrada datos'!#REF!</f>
        <v>#REF!</v>
      </c>
      <c r="Y30" t="e">
        <f>'Entrada datos'!#REF!</f>
        <v>#REF!</v>
      </c>
      <c r="Z30" t="e">
        <f>'Entrada datos'!#REF!</f>
        <v>#REF!</v>
      </c>
      <c r="AA30" t="e">
        <f>'Entrada datos'!#REF!</f>
        <v>#REF!</v>
      </c>
      <c r="AB30" t="e">
        <f>'Entrada datos'!#REF!</f>
        <v>#REF!</v>
      </c>
      <c r="AC30" t="e">
        <f>'Entrada datos'!#REF!</f>
        <v>#REF!</v>
      </c>
      <c r="AD30" s="17" t="e">
        <f t="shared" si="3"/>
        <v>#REF!</v>
      </c>
      <c r="AE30" t="e">
        <f>'Entrada datos'!#REF!</f>
        <v>#REF!</v>
      </c>
      <c r="AF30" t="e">
        <f>'Entrada datos'!#REF!</f>
        <v>#REF!</v>
      </c>
      <c r="AG30" t="e">
        <f>'Entrada datos'!#REF!</f>
        <v>#REF!</v>
      </c>
      <c r="AH30" t="e">
        <f>'Entrada datos'!#REF!</f>
        <v>#REF!</v>
      </c>
      <c r="AI30" t="e">
        <f>'Entrada datos'!#REF!</f>
        <v>#REF!</v>
      </c>
      <c r="AJ30" t="e">
        <f>'Entrada datos'!#REF!</f>
        <v>#REF!</v>
      </c>
      <c r="AK30" s="17" t="e">
        <f t="shared" si="4"/>
        <v>#REF!</v>
      </c>
      <c r="AL30" t="e">
        <f>'Entrada datos'!#REF!</f>
        <v>#REF!</v>
      </c>
      <c r="AM30" t="e">
        <f>'Entrada datos'!#REF!</f>
        <v>#REF!</v>
      </c>
      <c r="AN30" t="e">
        <f>'Entrada datos'!#REF!</f>
        <v>#REF!</v>
      </c>
      <c r="AO30" t="e">
        <f>'Entrada datos'!#REF!</f>
        <v>#REF!</v>
      </c>
      <c r="AP30" t="e">
        <f>'Entrada datos'!#REF!</f>
        <v>#REF!</v>
      </c>
      <c r="AQ30" t="e">
        <f>'Entrada datos'!#REF!</f>
        <v>#REF!</v>
      </c>
      <c r="AR30" s="17" t="e">
        <f t="shared" si="5"/>
        <v>#REF!</v>
      </c>
      <c r="AS30" s="23" t="e">
        <f t="shared" si="6"/>
        <v>#REF!</v>
      </c>
      <c r="AT30" t="e">
        <f t="shared" si="7"/>
        <v>#REF!</v>
      </c>
      <c r="AU30" s="40" t="e">
        <f t="shared" si="8"/>
        <v>#REF!</v>
      </c>
      <c r="AV30" t="e">
        <f t="shared" si="9"/>
        <v>#REF!</v>
      </c>
      <c r="AW30" t="e">
        <f t="shared" si="10"/>
        <v>#REF!</v>
      </c>
      <c r="AX30" s="24">
        <f t="shared" si="11"/>
        <v>0</v>
      </c>
      <c r="AY30" s="24">
        <f t="shared" si="12"/>
        <v>0</v>
      </c>
      <c r="AZ30" s="24">
        <f t="shared" si="13"/>
        <v>0</v>
      </c>
      <c r="BA30" t="e">
        <f t="shared" si="14"/>
        <v>#REF!</v>
      </c>
      <c r="BB30">
        <f t="shared" si="15"/>
        <v>0</v>
      </c>
      <c r="BC30" s="24">
        <f t="shared" si="16"/>
        <v>0</v>
      </c>
      <c r="BD30" t="e">
        <f t="shared" si="17"/>
        <v>#REF!</v>
      </c>
    </row>
    <row r="31" spans="1:56" x14ac:dyDescent="0.3">
      <c r="A31" t="e">
        <f>'Entrada datos'!#REF!</f>
        <v>#REF!</v>
      </c>
      <c r="B31" t="e">
        <f>'Entrada datos'!#REF!</f>
        <v>#REF!</v>
      </c>
      <c r="C31" t="e">
        <f>'Entrada datos'!#REF!</f>
        <v>#REF!</v>
      </c>
      <c r="D31" t="e">
        <f>'Entrada datos'!#REF!</f>
        <v>#REF!</v>
      </c>
      <c r="E31" s="18" t="e">
        <f>'Entrada datos'!#REF!</f>
        <v>#REF!</v>
      </c>
      <c r="F31" s="18" t="e">
        <f>'Entrada datos'!#REF!</f>
        <v>#REF!</v>
      </c>
      <c r="G31" t="e">
        <f>'Entrada datos'!#REF!</f>
        <v>#REF!</v>
      </c>
      <c r="H31" t="e">
        <f>'Entrada datos'!#REF!</f>
        <v>#REF!</v>
      </c>
      <c r="I31" t="e">
        <f>'Entrada datos'!#REF!</f>
        <v>#REF!</v>
      </c>
      <c r="J31" t="e">
        <f>'Entrada datos'!#REF!</f>
        <v>#REF!</v>
      </c>
      <c r="K31" t="e">
        <f>'Entrada datos'!#REF!</f>
        <v>#REF!</v>
      </c>
      <c r="L31" t="e">
        <f>'Entrada datos'!#REF!</f>
        <v>#REF!</v>
      </c>
      <c r="M31" t="e">
        <f>'Entrada datos'!#REF!</f>
        <v>#REF!</v>
      </c>
      <c r="N31" t="e">
        <f>'Entrada datos'!#REF!</f>
        <v>#REF!</v>
      </c>
      <c r="O31" t="e">
        <f>'Entrada datos'!#REF!</f>
        <v>#REF!</v>
      </c>
      <c r="P31" s="17" t="e">
        <f t="shared" si="1"/>
        <v>#REF!</v>
      </c>
      <c r="Q31" t="e">
        <f>'Entrada datos'!#REF!</f>
        <v>#REF!</v>
      </c>
      <c r="R31" t="e">
        <f>'Entrada datos'!#REF!</f>
        <v>#REF!</v>
      </c>
      <c r="S31" t="e">
        <f>'Entrada datos'!#REF!</f>
        <v>#REF!</v>
      </c>
      <c r="T31" t="e">
        <f>'Entrada datos'!#REF!</f>
        <v>#REF!</v>
      </c>
      <c r="U31" t="e">
        <f>'Entrada datos'!#REF!</f>
        <v>#REF!</v>
      </c>
      <c r="V31" t="e">
        <f>'Entrada datos'!#REF!</f>
        <v>#REF!</v>
      </c>
      <c r="W31" s="17" t="e">
        <f t="shared" si="2"/>
        <v>#REF!</v>
      </c>
      <c r="X31" t="e">
        <f>'Entrada datos'!#REF!</f>
        <v>#REF!</v>
      </c>
      <c r="Y31" t="e">
        <f>'Entrada datos'!#REF!</f>
        <v>#REF!</v>
      </c>
      <c r="Z31" t="e">
        <f>'Entrada datos'!#REF!</f>
        <v>#REF!</v>
      </c>
      <c r="AA31" t="e">
        <f>'Entrada datos'!#REF!</f>
        <v>#REF!</v>
      </c>
      <c r="AB31" t="e">
        <f>'Entrada datos'!#REF!</f>
        <v>#REF!</v>
      </c>
      <c r="AC31" t="e">
        <f>'Entrada datos'!#REF!</f>
        <v>#REF!</v>
      </c>
      <c r="AD31" s="17" t="e">
        <f t="shared" si="3"/>
        <v>#REF!</v>
      </c>
      <c r="AE31" t="e">
        <f>'Entrada datos'!#REF!</f>
        <v>#REF!</v>
      </c>
      <c r="AF31" t="e">
        <f>'Entrada datos'!#REF!</f>
        <v>#REF!</v>
      </c>
      <c r="AG31" t="e">
        <f>'Entrada datos'!#REF!</f>
        <v>#REF!</v>
      </c>
      <c r="AH31" t="e">
        <f>'Entrada datos'!#REF!</f>
        <v>#REF!</v>
      </c>
      <c r="AI31" t="e">
        <f>'Entrada datos'!#REF!</f>
        <v>#REF!</v>
      </c>
      <c r="AJ31" t="e">
        <f>'Entrada datos'!#REF!</f>
        <v>#REF!</v>
      </c>
      <c r="AK31" s="17" t="e">
        <f t="shared" si="4"/>
        <v>#REF!</v>
      </c>
      <c r="AL31" t="e">
        <f>'Entrada datos'!#REF!</f>
        <v>#REF!</v>
      </c>
      <c r="AM31" t="e">
        <f>'Entrada datos'!#REF!</f>
        <v>#REF!</v>
      </c>
      <c r="AN31" t="e">
        <f>'Entrada datos'!#REF!</f>
        <v>#REF!</v>
      </c>
      <c r="AO31" t="e">
        <f>'Entrada datos'!#REF!</f>
        <v>#REF!</v>
      </c>
      <c r="AP31" t="e">
        <f>'Entrada datos'!#REF!</f>
        <v>#REF!</v>
      </c>
      <c r="AQ31" t="e">
        <f>'Entrada datos'!#REF!</f>
        <v>#REF!</v>
      </c>
      <c r="AR31" s="17" t="e">
        <f t="shared" si="5"/>
        <v>#REF!</v>
      </c>
      <c r="AS31" s="23" t="e">
        <f t="shared" si="6"/>
        <v>#REF!</v>
      </c>
      <c r="AT31" t="e">
        <f t="shared" si="7"/>
        <v>#REF!</v>
      </c>
      <c r="AU31" s="40" t="e">
        <f t="shared" si="8"/>
        <v>#REF!</v>
      </c>
      <c r="AV31" t="e">
        <f t="shared" si="9"/>
        <v>#REF!</v>
      </c>
      <c r="AW31" t="e">
        <f t="shared" si="10"/>
        <v>#REF!</v>
      </c>
      <c r="AX31" s="24">
        <f t="shared" si="11"/>
        <v>0</v>
      </c>
      <c r="AY31" s="24">
        <f t="shared" si="12"/>
        <v>0</v>
      </c>
      <c r="AZ31" s="24">
        <f t="shared" si="13"/>
        <v>0</v>
      </c>
      <c r="BA31" t="e">
        <f t="shared" si="14"/>
        <v>#REF!</v>
      </c>
      <c r="BB31">
        <f t="shared" si="15"/>
        <v>0</v>
      </c>
      <c r="BC31" s="24">
        <f t="shared" si="16"/>
        <v>0</v>
      </c>
      <c r="BD31" t="e">
        <f t="shared" si="17"/>
        <v>#REF!</v>
      </c>
    </row>
    <row r="32" spans="1:56" x14ac:dyDescent="0.3">
      <c r="A32" t="e">
        <f>'Entrada datos'!#REF!</f>
        <v>#REF!</v>
      </c>
      <c r="B32" t="e">
        <f>'Entrada datos'!#REF!</f>
        <v>#REF!</v>
      </c>
      <c r="C32" t="e">
        <f>'Entrada datos'!#REF!</f>
        <v>#REF!</v>
      </c>
      <c r="D32" t="e">
        <f>'Entrada datos'!#REF!</f>
        <v>#REF!</v>
      </c>
      <c r="E32" s="18" t="e">
        <f>'Entrada datos'!#REF!</f>
        <v>#REF!</v>
      </c>
      <c r="F32" s="18" t="e">
        <f>'Entrada datos'!#REF!</f>
        <v>#REF!</v>
      </c>
      <c r="G32" t="e">
        <f>'Entrada datos'!#REF!</f>
        <v>#REF!</v>
      </c>
      <c r="H32" t="e">
        <f>'Entrada datos'!#REF!</f>
        <v>#REF!</v>
      </c>
      <c r="I32" t="e">
        <f>'Entrada datos'!#REF!</f>
        <v>#REF!</v>
      </c>
      <c r="J32" t="e">
        <f>'Entrada datos'!#REF!</f>
        <v>#REF!</v>
      </c>
      <c r="K32" t="e">
        <f>'Entrada datos'!#REF!</f>
        <v>#REF!</v>
      </c>
      <c r="L32" t="e">
        <f>'Entrada datos'!#REF!</f>
        <v>#REF!</v>
      </c>
      <c r="M32" t="e">
        <f>'Entrada datos'!#REF!</f>
        <v>#REF!</v>
      </c>
      <c r="N32" t="e">
        <f>'Entrada datos'!#REF!</f>
        <v>#REF!</v>
      </c>
      <c r="O32" t="e">
        <f>'Entrada datos'!#REF!</f>
        <v>#REF!</v>
      </c>
      <c r="P32" s="17" t="e">
        <f t="shared" si="1"/>
        <v>#REF!</v>
      </c>
      <c r="Q32" t="e">
        <f>'Entrada datos'!#REF!</f>
        <v>#REF!</v>
      </c>
      <c r="R32" t="e">
        <f>'Entrada datos'!#REF!</f>
        <v>#REF!</v>
      </c>
      <c r="S32" t="e">
        <f>'Entrada datos'!#REF!</f>
        <v>#REF!</v>
      </c>
      <c r="T32" t="e">
        <f>'Entrada datos'!#REF!</f>
        <v>#REF!</v>
      </c>
      <c r="U32" t="e">
        <f>'Entrada datos'!#REF!</f>
        <v>#REF!</v>
      </c>
      <c r="V32" t="e">
        <f>'Entrada datos'!#REF!</f>
        <v>#REF!</v>
      </c>
      <c r="W32" s="17" t="e">
        <f t="shared" si="2"/>
        <v>#REF!</v>
      </c>
      <c r="X32" t="e">
        <f>'Entrada datos'!#REF!</f>
        <v>#REF!</v>
      </c>
      <c r="Y32" t="e">
        <f>'Entrada datos'!#REF!</f>
        <v>#REF!</v>
      </c>
      <c r="Z32" t="e">
        <f>'Entrada datos'!#REF!</f>
        <v>#REF!</v>
      </c>
      <c r="AA32" t="e">
        <f>'Entrada datos'!#REF!</f>
        <v>#REF!</v>
      </c>
      <c r="AB32" t="e">
        <f>'Entrada datos'!#REF!</f>
        <v>#REF!</v>
      </c>
      <c r="AC32" t="e">
        <f>'Entrada datos'!#REF!</f>
        <v>#REF!</v>
      </c>
      <c r="AD32" s="17" t="e">
        <f t="shared" si="3"/>
        <v>#REF!</v>
      </c>
      <c r="AE32" t="e">
        <f>'Entrada datos'!#REF!</f>
        <v>#REF!</v>
      </c>
      <c r="AF32" t="e">
        <f>'Entrada datos'!#REF!</f>
        <v>#REF!</v>
      </c>
      <c r="AG32" t="e">
        <f>'Entrada datos'!#REF!</f>
        <v>#REF!</v>
      </c>
      <c r="AH32" t="e">
        <f>'Entrada datos'!#REF!</f>
        <v>#REF!</v>
      </c>
      <c r="AI32" t="e">
        <f>'Entrada datos'!#REF!</f>
        <v>#REF!</v>
      </c>
      <c r="AJ32" t="e">
        <f>'Entrada datos'!#REF!</f>
        <v>#REF!</v>
      </c>
      <c r="AK32" s="17" t="e">
        <f t="shared" si="4"/>
        <v>#REF!</v>
      </c>
      <c r="AL32" t="e">
        <f>'Entrada datos'!#REF!</f>
        <v>#REF!</v>
      </c>
      <c r="AM32" t="e">
        <f>'Entrada datos'!#REF!</f>
        <v>#REF!</v>
      </c>
      <c r="AN32" t="e">
        <f>'Entrada datos'!#REF!</f>
        <v>#REF!</v>
      </c>
      <c r="AO32" t="e">
        <f>'Entrada datos'!#REF!</f>
        <v>#REF!</v>
      </c>
      <c r="AP32" t="e">
        <f>'Entrada datos'!#REF!</f>
        <v>#REF!</v>
      </c>
      <c r="AQ32" t="e">
        <f>'Entrada datos'!#REF!</f>
        <v>#REF!</v>
      </c>
      <c r="AR32" s="17" t="e">
        <f t="shared" si="5"/>
        <v>#REF!</v>
      </c>
      <c r="AS32" s="23" t="e">
        <f t="shared" si="6"/>
        <v>#REF!</v>
      </c>
      <c r="AT32" t="e">
        <f t="shared" si="7"/>
        <v>#REF!</v>
      </c>
      <c r="AU32" s="40" t="e">
        <f t="shared" si="8"/>
        <v>#REF!</v>
      </c>
      <c r="AV32" t="e">
        <f t="shared" si="9"/>
        <v>#REF!</v>
      </c>
      <c r="AW32" t="e">
        <f t="shared" si="10"/>
        <v>#REF!</v>
      </c>
      <c r="AX32" s="24">
        <f t="shared" si="11"/>
        <v>0</v>
      </c>
      <c r="AY32" s="24">
        <f t="shared" si="12"/>
        <v>0</v>
      </c>
      <c r="AZ32" s="24">
        <f t="shared" si="13"/>
        <v>0</v>
      </c>
      <c r="BA32" t="e">
        <f t="shared" si="14"/>
        <v>#REF!</v>
      </c>
      <c r="BB32">
        <f t="shared" si="15"/>
        <v>0</v>
      </c>
      <c r="BC32" s="24">
        <f t="shared" si="16"/>
        <v>0</v>
      </c>
      <c r="BD32" t="e">
        <f t="shared" si="17"/>
        <v>#REF!</v>
      </c>
    </row>
    <row r="33" spans="1:56" x14ac:dyDescent="0.3">
      <c r="A33" t="e">
        <f>'Entrada datos'!#REF!</f>
        <v>#REF!</v>
      </c>
      <c r="B33" t="e">
        <f>'Entrada datos'!#REF!</f>
        <v>#REF!</v>
      </c>
      <c r="C33" t="e">
        <f>'Entrada datos'!#REF!</f>
        <v>#REF!</v>
      </c>
      <c r="D33" t="e">
        <f>'Entrada datos'!#REF!</f>
        <v>#REF!</v>
      </c>
      <c r="E33" s="18" t="e">
        <f>'Entrada datos'!#REF!</f>
        <v>#REF!</v>
      </c>
      <c r="F33" s="18" t="e">
        <f>'Entrada datos'!#REF!</f>
        <v>#REF!</v>
      </c>
      <c r="G33" t="e">
        <f>'Entrada datos'!#REF!</f>
        <v>#REF!</v>
      </c>
      <c r="H33" t="e">
        <f>'Entrada datos'!#REF!</f>
        <v>#REF!</v>
      </c>
      <c r="I33" t="e">
        <f>'Entrada datos'!#REF!</f>
        <v>#REF!</v>
      </c>
      <c r="J33" t="e">
        <f>'Entrada datos'!#REF!</f>
        <v>#REF!</v>
      </c>
      <c r="K33" t="e">
        <f>'Entrada datos'!#REF!</f>
        <v>#REF!</v>
      </c>
      <c r="L33" t="e">
        <f>'Entrada datos'!#REF!</f>
        <v>#REF!</v>
      </c>
      <c r="M33" t="e">
        <f>'Entrada datos'!#REF!</f>
        <v>#REF!</v>
      </c>
      <c r="N33" t="e">
        <f>'Entrada datos'!#REF!</f>
        <v>#REF!</v>
      </c>
      <c r="O33" t="e">
        <f>'Entrada datos'!#REF!</f>
        <v>#REF!</v>
      </c>
      <c r="P33" s="17" t="e">
        <f t="shared" si="1"/>
        <v>#REF!</v>
      </c>
      <c r="Q33" t="e">
        <f>'Entrada datos'!#REF!</f>
        <v>#REF!</v>
      </c>
      <c r="R33" t="e">
        <f>'Entrada datos'!#REF!</f>
        <v>#REF!</v>
      </c>
      <c r="S33" t="e">
        <f>'Entrada datos'!#REF!</f>
        <v>#REF!</v>
      </c>
      <c r="T33" t="e">
        <f>'Entrada datos'!#REF!</f>
        <v>#REF!</v>
      </c>
      <c r="U33" t="e">
        <f>'Entrada datos'!#REF!</f>
        <v>#REF!</v>
      </c>
      <c r="V33" t="e">
        <f>'Entrada datos'!#REF!</f>
        <v>#REF!</v>
      </c>
      <c r="W33" s="17" t="e">
        <f t="shared" si="2"/>
        <v>#REF!</v>
      </c>
      <c r="X33" t="e">
        <f>'Entrada datos'!#REF!</f>
        <v>#REF!</v>
      </c>
      <c r="Y33" t="e">
        <f>'Entrada datos'!#REF!</f>
        <v>#REF!</v>
      </c>
      <c r="Z33" t="e">
        <f>'Entrada datos'!#REF!</f>
        <v>#REF!</v>
      </c>
      <c r="AA33" t="e">
        <f>'Entrada datos'!#REF!</f>
        <v>#REF!</v>
      </c>
      <c r="AB33" t="e">
        <f>'Entrada datos'!#REF!</f>
        <v>#REF!</v>
      </c>
      <c r="AC33" t="e">
        <f>'Entrada datos'!#REF!</f>
        <v>#REF!</v>
      </c>
      <c r="AD33" s="17" t="e">
        <f t="shared" si="3"/>
        <v>#REF!</v>
      </c>
      <c r="AE33" t="e">
        <f>'Entrada datos'!#REF!</f>
        <v>#REF!</v>
      </c>
      <c r="AF33" t="e">
        <f>'Entrada datos'!#REF!</f>
        <v>#REF!</v>
      </c>
      <c r="AG33" t="e">
        <f>'Entrada datos'!#REF!</f>
        <v>#REF!</v>
      </c>
      <c r="AH33" t="e">
        <f>'Entrada datos'!#REF!</f>
        <v>#REF!</v>
      </c>
      <c r="AI33" t="e">
        <f>'Entrada datos'!#REF!</f>
        <v>#REF!</v>
      </c>
      <c r="AJ33" t="e">
        <f>'Entrada datos'!#REF!</f>
        <v>#REF!</v>
      </c>
      <c r="AK33" s="17" t="e">
        <f t="shared" si="4"/>
        <v>#REF!</v>
      </c>
      <c r="AL33" t="e">
        <f>'Entrada datos'!#REF!</f>
        <v>#REF!</v>
      </c>
      <c r="AM33" t="e">
        <f>'Entrada datos'!#REF!</f>
        <v>#REF!</v>
      </c>
      <c r="AN33" t="e">
        <f>'Entrada datos'!#REF!</f>
        <v>#REF!</v>
      </c>
      <c r="AO33" t="e">
        <f>'Entrada datos'!#REF!</f>
        <v>#REF!</v>
      </c>
      <c r="AP33" t="e">
        <f>'Entrada datos'!#REF!</f>
        <v>#REF!</v>
      </c>
      <c r="AQ33" t="e">
        <f>'Entrada datos'!#REF!</f>
        <v>#REF!</v>
      </c>
      <c r="AR33" s="17" t="e">
        <f t="shared" si="5"/>
        <v>#REF!</v>
      </c>
      <c r="AS33" s="23" t="e">
        <f t="shared" si="6"/>
        <v>#REF!</v>
      </c>
      <c r="AT33" t="e">
        <f t="shared" si="7"/>
        <v>#REF!</v>
      </c>
      <c r="AU33" s="40" t="e">
        <f t="shared" si="8"/>
        <v>#REF!</v>
      </c>
      <c r="AV33" t="e">
        <f t="shared" si="9"/>
        <v>#REF!</v>
      </c>
      <c r="AW33" t="e">
        <f t="shared" si="10"/>
        <v>#REF!</v>
      </c>
      <c r="AX33" s="24">
        <f t="shared" si="11"/>
        <v>0</v>
      </c>
      <c r="AY33" s="24">
        <f t="shared" si="12"/>
        <v>0</v>
      </c>
      <c r="AZ33" s="24">
        <f t="shared" si="13"/>
        <v>0</v>
      </c>
      <c r="BA33" t="e">
        <f t="shared" si="14"/>
        <v>#REF!</v>
      </c>
      <c r="BB33">
        <f t="shared" si="15"/>
        <v>0</v>
      </c>
      <c r="BC33" s="24">
        <f t="shared" si="16"/>
        <v>0</v>
      </c>
      <c r="BD33" t="e">
        <f t="shared" si="17"/>
        <v>#REF!</v>
      </c>
    </row>
    <row r="34" spans="1:56" x14ac:dyDescent="0.3">
      <c r="A34" t="e">
        <f>'Entrada datos'!#REF!</f>
        <v>#REF!</v>
      </c>
      <c r="B34" t="e">
        <f>'Entrada datos'!#REF!</f>
        <v>#REF!</v>
      </c>
      <c r="C34" t="e">
        <f>'Entrada datos'!#REF!</f>
        <v>#REF!</v>
      </c>
      <c r="D34" t="e">
        <f>'Entrada datos'!#REF!</f>
        <v>#REF!</v>
      </c>
      <c r="E34" s="18" t="e">
        <f>'Entrada datos'!#REF!</f>
        <v>#REF!</v>
      </c>
      <c r="F34" s="18" t="e">
        <f>'Entrada datos'!#REF!</f>
        <v>#REF!</v>
      </c>
      <c r="G34" t="e">
        <f>'Entrada datos'!#REF!</f>
        <v>#REF!</v>
      </c>
      <c r="H34" t="e">
        <f>'Entrada datos'!#REF!</f>
        <v>#REF!</v>
      </c>
      <c r="I34" t="e">
        <f>'Entrada datos'!#REF!</f>
        <v>#REF!</v>
      </c>
      <c r="J34" t="e">
        <f>'Entrada datos'!#REF!</f>
        <v>#REF!</v>
      </c>
      <c r="K34" t="e">
        <f>'Entrada datos'!#REF!</f>
        <v>#REF!</v>
      </c>
      <c r="L34" t="e">
        <f>'Entrada datos'!#REF!</f>
        <v>#REF!</v>
      </c>
      <c r="M34" t="e">
        <f>'Entrada datos'!#REF!</f>
        <v>#REF!</v>
      </c>
      <c r="N34" t="e">
        <f>'Entrada datos'!#REF!</f>
        <v>#REF!</v>
      </c>
      <c r="O34" t="e">
        <f>'Entrada datos'!#REF!</f>
        <v>#REF!</v>
      </c>
      <c r="P34" s="17" t="e">
        <f t="shared" si="1"/>
        <v>#REF!</v>
      </c>
      <c r="Q34" t="e">
        <f>'Entrada datos'!#REF!</f>
        <v>#REF!</v>
      </c>
      <c r="R34" t="e">
        <f>'Entrada datos'!#REF!</f>
        <v>#REF!</v>
      </c>
      <c r="S34" t="e">
        <f>'Entrada datos'!#REF!</f>
        <v>#REF!</v>
      </c>
      <c r="T34" t="e">
        <f>'Entrada datos'!#REF!</f>
        <v>#REF!</v>
      </c>
      <c r="U34" t="e">
        <f>'Entrada datos'!#REF!</f>
        <v>#REF!</v>
      </c>
      <c r="V34" t="e">
        <f>'Entrada datos'!#REF!</f>
        <v>#REF!</v>
      </c>
      <c r="W34" s="17" t="e">
        <f t="shared" si="2"/>
        <v>#REF!</v>
      </c>
      <c r="X34" t="e">
        <f>'Entrada datos'!#REF!</f>
        <v>#REF!</v>
      </c>
      <c r="Y34" t="e">
        <f>'Entrada datos'!#REF!</f>
        <v>#REF!</v>
      </c>
      <c r="Z34" t="e">
        <f>'Entrada datos'!#REF!</f>
        <v>#REF!</v>
      </c>
      <c r="AA34" t="e">
        <f>'Entrada datos'!#REF!</f>
        <v>#REF!</v>
      </c>
      <c r="AB34" t="e">
        <f>'Entrada datos'!#REF!</f>
        <v>#REF!</v>
      </c>
      <c r="AC34" t="e">
        <f>'Entrada datos'!#REF!</f>
        <v>#REF!</v>
      </c>
      <c r="AD34" s="17" t="e">
        <f t="shared" si="3"/>
        <v>#REF!</v>
      </c>
      <c r="AE34" t="e">
        <f>'Entrada datos'!#REF!</f>
        <v>#REF!</v>
      </c>
      <c r="AF34" t="e">
        <f>'Entrada datos'!#REF!</f>
        <v>#REF!</v>
      </c>
      <c r="AG34" t="e">
        <f>'Entrada datos'!#REF!</f>
        <v>#REF!</v>
      </c>
      <c r="AH34" t="e">
        <f>'Entrada datos'!#REF!</f>
        <v>#REF!</v>
      </c>
      <c r="AI34" t="e">
        <f>'Entrada datos'!#REF!</f>
        <v>#REF!</v>
      </c>
      <c r="AJ34" t="e">
        <f>'Entrada datos'!#REF!</f>
        <v>#REF!</v>
      </c>
      <c r="AK34" s="17" t="e">
        <f t="shared" si="4"/>
        <v>#REF!</v>
      </c>
      <c r="AL34" t="e">
        <f>'Entrada datos'!#REF!</f>
        <v>#REF!</v>
      </c>
      <c r="AM34" t="e">
        <f>'Entrada datos'!#REF!</f>
        <v>#REF!</v>
      </c>
      <c r="AN34" t="e">
        <f>'Entrada datos'!#REF!</f>
        <v>#REF!</v>
      </c>
      <c r="AO34" t="e">
        <f>'Entrada datos'!#REF!</f>
        <v>#REF!</v>
      </c>
      <c r="AP34" t="e">
        <f>'Entrada datos'!#REF!</f>
        <v>#REF!</v>
      </c>
      <c r="AQ34" t="e">
        <f>'Entrada datos'!#REF!</f>
        <v>#REF!</v>
      </c>
      <c r="AR34" s="17" t="e">
        <f t="shared" si="5"/>
        <v>#REF!</v>
      </c>
      <c r="AS34" s="23" t="e">
        <f t="shared" si="6"/>
        <v>#REF!</v>
      </c>
      <c r="AT34" t="e">
        <f t="shared" si="7"/>
        <v>#REF!</v>
      </c>
      <c r="AU34" s="40" t="e">
        <f t="shared" si="8"/>
        <v>#REF!</v>
      </c>
      <c r="AV34" t="e">
        <f t="shared" si="9"/>
        <v>#REF!</v>
      </c>
      <c r="AW34" t="e">
        <f t="shared" si="10"/>
        <v>#REF!</v>
      </c>
      <c r="AX34" s="24">
        <f t="shared" si="11"/>
        <v>0</v>
      </c>
      <c r="AY34" s="24">
        <f t="shared" si="12"/>
        <v>0</v>
      </c>
      <c r="AZ34" s="24">
        <f t="shared" si="13"/>
        <v>0</v>
      </c>
      <c r="BA34" t="e">
        <f t="shared" si="14"/>
        <v>#REF!</v>
      </c>
      <c r="BB34">
        <f t="shared" si="15"/>
        <v>0</v>
      </c>
      <c r="BC34" s="24">
        <f t="shared" si="16"/>
        <v>0</v>
      </c>
      <c r="BD34" t="e">
        <f t="shared" si="17"/>
        <v>#REF!</v>
      </c>
    </row>
    <row r="35" spans="1:56" x14ac:dyDescent="0.3">
      <c r="A35" t="e">
        <f>'Entrada datos'!#REF!</f>
        <v>#REF!</v>
      </c>
      <c r="B35" t="e">
        <f>'Entrada datos'!#REF!</f>
        <v>#REF!</v>
      </c>
      <c r="C35" t="e">
        <f>'Entrada datos'!#REF!</f>
        <v>#REF!</v>
      </c>
      <c r="D35" t="e">
        <f>'Entrada datos'!#REF!</f>
        <v>#REF!</v>
      </c>
      <c r="E35" s="18" t="e">
        <f>'Entrada datos'!#REF!</f>
        <v>#REF!</v>
      </c>
      <c r="F35" s="18" t="e">
        <f>'Entrada datos'!#REF!</f>
        <v>#REF!</v>
      </c>
      <c r="G35" t="e">
        <f>'Entrada datos'!#REF!</f>
        <v>#REF!</v>
      </c>
      <c r="H35" t="e">
        <f>'Entrada datos'!#REF!</f>
        <v>#REF!</v>
      </c>
      <c r="I35" t="e">
        <f>'Entrada datos'!#REF!</f>
        <v>#REF!</v>
      </c>
      <c r="J35" t="e">
        <f>'Entrada datos'!#REF!</f>
        <v>#REF!</v>
      </c>
      <c r="K35" t="e">
        <f>'Entrada datos'!#REF!</f>
        <v>#REF!</v>
      </c>
      <c r="L35" t="e">
        <f>'Entrada datos'!#REF!</f>
        <v>#REF!</v>
      </c>
      <c r="M35" t="e">
        <f>'Entrada datos'!#REF!</f>
        <v>#REF!</v>
      </c>
      <c r="N35" t="e">
        <f>'Entrada datos'!#REF!</f>
        <v>#REF!</v>
      </c>
      <c r="O35" t="e">
        <f>'Entrada datos'!#REF!</f>
        <v>#REF!</v>
      </c>
      <c r="P35" s="17" t="e">
        <f t="shared" si="1"/>
        <v>#REF!</v>
      </c>
      <c r="Q35" t="e">
        <f>'Entrada datos'!#REF!</f>
        <v>#REF!</v>
      </c>
      <c r="R35" t="e">
        <f>'Entrada datos'!#REF!</f>
        <v>#REF!</v>
      </c>
      <c r="S35" t="e">
        <f>'Entrada datos'!#REF!</f>
        <v>#REF!</v>
      </c>
      <c r="T35" t="e">
        <f>'Entrada datos'!#REF!</f>
        <v>#REF!</v>
      </c>
      <c r="U35" t="e">
        <f>'Entrada datos'!#REF!</f>
        <v>#REF!</v>
      </c>
      <c r="V35" t="e">
        <f>'Entrada datos'!#REF!</f>
        <v>#REF!</v>
      </c>
      <c r="W35" s="17" t="e">
        <f t="shared" si="2"/>
        <v>#REF!</v>
      </c>
      <c r="X35" t="e">
        <f>'Entrada datos'!#REF!</f>
        <v>#REF!</v>
      </c>
      <c r="Y35" t="e">
        <f>'Entrada datos'!#REF!</f>
        <v>#REF!</v>
      </c>
      <c r="Z35" t="e">
        <f>'Entrada datos'!#REF!</f>
        <v>#REF!</v>
      </c>
      <c r="AA35" t="e">
        <f>'Entrada datos'!#REF!</f>
        <v>#REF!</v>
      </c>
      <c r="AB35" t="e">
        <f>'Entrada datos'!#REF!</f>
        <v>#REF!</v>
      </c>
      <c r="AC35" t="e">
        <f>'Entrada datos'!#REF!</f>
        <v>#REF!</v>
      </c>
      <c r="AD35" s="17" t="e">
        <f t="shared" si="3"/>
        <v>#REF!</v>
      </c>
      <c r="AE35" t="e">
        <f>'Entrada datos'!#REF!</f>
        <v>#REF!</v>
      </c>
      <c r="AF35" t="e">
        <f>'Entrada datos'!#REF!</f>
        <v>#REF!</v>
      </c>
      <c r="AG35" t="e">
        <f>'Entrada datos'!#REF!</f>
        <v>#REF!</v>
      </c>
      <c r="AH35" t="e">
        <f>'Entrada datos'!#REF!</f>
        <v>#REF!</v>
      </c>
      <c r="AI35" t="e">
        <f>'Entrada datos'!#REF!</f>
        <v>#REF!</v>
      </c>
      <c r="AJ35" t="e">
        <f>'Entrada datos'!#REF!</f>
        <v>#REF!</v>
      </c>
      <c r="AK35" s="17" t="e">
        <f t="shared" si="4"/>
        <v>#REF!</v>
      </c>
      <c r="AL35" t="e">
        <f>'Entrada datos'!#REF!</f>
        <v>#REF!</v>
      </c>
      <c r="AM35" t="e">
        <f>'Entrada datos'!#REF!</f>
        <v>#REF!</v>
      </c>
      <c r="AN35" t="e">
        <f>'Entrada datos'!#REF!</f>
        <v>#REF!</v>
      </c>
      <c r="AO35" t="e">
        <f>'Entrada datos'!#REF!</f>
        <v>#REF!</v>
      </c>
      <c r="AP35" t="e">
        <f>'Entrada datos'!#REF!</f>
        <v>#REF!</v>
      </c>
      <c r="AQ35" t="e">
        <f>'Entrada datos'!#REF!</f>
        <v>#REF!</v>
      </c>
      <c r="AR35" s="17" t="e">
        <f t="shared" si="5"/>
        <v>#REF!</v>
      </c>
      <c r="AS35" s="23" t="e">
        <f t="shared" si="6"/>
        <v>#REF!</v>
      </c>
      <c r="AT35" t="e">
        <f t="shared" si="7"/>
        <v>#REF!</v>
      </c>
      <c r="AU35" s="40" t="e">
        <f t="shared" si="8"/>
        <v>#REF!</v>
      </c>
      <c r="AV35" t="e">
        <f t="shared" si="9"/>
        <v>#REF!</v>
      </c>
      <c r="AW35" t="e">
        <f t="shared" si="10"/>
        <v>#REF!</v>
      </c>
      <c r="AX35" s="24">
        <f t="shared" si="11"/>
        <v>0</v>
      </c>
      <c r="AY35" s="24">
        <f t="shared" si="12"/>
        <v>0</v>
      </c>
      <c r="AZ35" s="24">
        <f t="shared" si="13"/>
        <v>0</v>
      </c>
      <c r="BA35" t="e">
        <f t="shared" si="14"/>
        <v>#REF!</v>
      </c>
      <c r="BB35">
        <f t="shared" si="15"/>
        <v>0</v>
      </c>
      <c r="BC35" s="24">
        <f t="shared" si="16"/>
        <v>0</v>
      </c>
      <c r="BD35" t="e">
        <f t="shared" si="17"/>
        <v>#REF!</v>
      </c>
    </row>
    <row r="36" spans="1:56" x14ac:dyDescent="0.3">
      <c r="A36" t="e">
        <f>'Entrada datos'!#REF!</f>
        <v>#REF!</v>
      </c>
      <c r="B36" t="e">
        <f>'Entrada datos'!#REF!</f>
        <v>#REF!</v>
      </c>
      <c r="C36" t="e">
        <f>'Entrada datos'!#REF!</f>
        <v>#REF!</v>
      </c>
      <c r="D36" t="e">
        <f>'Entrada datos'!#REF!</f>
        <v>#REF!</v>
      </c>
      <c r="E36" s="18" t="e">
        <f>'Entrada datos'!#REF!</f>
        <v>#REF!</v>
      </c>
      <c r="F36" s="18" t="e">
        <f>'Entrada datos'!#REF!</f>
        <v>#REF!</v>
      </c>
      <c r="G36" t="e">
        <f>'Entrada datos'!#REF!</f>
        <v>#REF!</v>
      </c>
      <c r="H36" t="e">
        <f>'Entrada datos'!#REF!</f>
        <v>#REF!</v>
      </c>
      <c r="I36" t="e">
        <f>'Entrada datos'!#REF!</f>
        <v>#REF!</v>
      </c>
      <c r="J36" t="e">
        <f>'Entrada datos'!#REF!</f>
        <v>#REF!</v>
      </c>
      <c r="K36" t="e">
        <f>'Entrada datos'!#REF!</f>
        <v>#REF!</v>
      </c>
      <c r="L36" t="e">
        <f>'Entrada datos'!#REF!</f>
        <v>#REF!</v>
      </c>
      <c r="M36" t="e">
        <f>'Entrada datos'!#REF!</f>
        <v>#REF!</v>
      </c>
      <c r="N36" t="e">
        <f>'Entrada datos'!#REF!</f>
        <v>#REF!</v>
      </c>
      <c r="O36" t="e">
        <f>'Entrada datos'!#REF!</f>
        <v>#REF!</v>
      </c>
      <c r="P36" s="17" t="e">
        <f t="shared" si="1"/>
        <v>#REF!</v>
      </c>
      <c r="Q36" t="e">
        <f>'Entrada datos'!#REF!</f>
        <v>#REF!</v>
      </c>
      <c r="R36" t="e">
        <f>'Entrada datos'!#REF!</f>
        <v>#REF!</v>
      </c>
      <c r="S36" t="e">
        <f>'Entrada datos'!#REF!</f>
        <v>#REF!</v>
      </c>
      <c r="T36" t="e">
        <f>'Entrada datos'!#REF!</f>
        <v>#REF!</v>
      </c>
      <c r="U36" t="e">
        <f>'Entrada datos'!#REF!</f>
        <v>#REF!</v>
      </c>
      <c r="V36" t="e">
        <f>'Entrada datos'!#REF!</f>
        <v>#REF!</v>
      </c>
      <c r="W36" s="17" t="e">
        <f t="shared" si="2"/>
        <v>#REF!</v>
      </c>
      <c r="X36" t="e">
        <f>'Entrada datos'!#REF!</f>
        <v>#REF!</v>
      </c>
      <c r="Y36" t="e">
        <f>'Entrada datos'!#REF!</f>
        <v>#REF!</v>
      </c>
      <c r="Z36" t="e">
        <f>'Entrada datos'!#REF!</f>
        <v>#REF!</v>
      </c>
      <c r="AA36" t="e">
        <f>'Entrada datos'!#REF!</f>
        <v>#REF!</v>
      </c>
      <c r="AB36" t="e">
        <f>'Entrada datos'!#REF!</f>
        <v>#REF!</v>
      </c>
      <c r="AC36" t="e">
        <f>'Entrada datos'!#REF!</f>
        <v>#REF!</v>
      </c>
      <c r="AD36" s="17" t="e">
        <f t="shared" si="3"/>
        <v>#REF!</v>
      </c>
      <c r="AE36" t="e">
        <f>'Entrada datos'!#REF!</f>
        <v>#REF!</v>
      </c>
      <c r="AF36" t="e">
        <f>'Entrada datos'!#REF!</f>
        <v>#REF!</v>
      </c>
      <c r="AG36" t="e">
        <f>'Entrada datos'!#REF!</f>
        <v>#REF!</v>
      </c>
      <c r="AH36" t="e">
        <f>'Entrada datos'!#REF!</f>
        <v>#REF!</v>
      </c>
      <c r="AI36" t="e">
        <f>'Entrada datos'!#REF!</f>
        <v>#REF!</v>
      </c>
      <c r="AJ36" t="e">
        <f>'Entrada datos'!#REF!</f>
        <v>#REF!</v>
      </c>
      <c r="AK36" s="17" t="e">
        <f t="shared" si="4"/>
        <v>#REF!</v>
      </c>
      <c r="AL36" t="e">
        <f>'Entrada datos'!#REF!</f>
        <v>#REF!</v>
      </c>
      <c r="AM36" t="e">
        <f>'Entrada datos'!#REF!</f>
        <v>#REF!</v>
      </c>
      <c r="AN36" t="e">
        <f>'Entrada datos'!#REF!</f>
        <v>#REF!</v>
      </c>
      <c r="AO36" t="e">
        <f>'Entrada datos'!#REF!</f>
        <v>#REF!</v>
      </c>
      <c r="AP36" t="e">
        <f>'Entrada datos'!#REF!</f>
        <v>#REF!</v>
      </c>
      <c r="AQ36" t="e">
        <f>'Entrada datos'!#REF!</f>
        <v>#REF!</v>
      </c>
      <c r="AR36" s="17" t="e">
        <f t="shared" si="5"/>
        <v>#REF!</v>
      </c>
      <c r="AS36" s="23" t="e">
        <f t="shared" si="6"/>
        <v>#REF!</v>
      </c>
      <c r="AT36" t="e">
        <f t="shared" si="7"/>
        <v>#REF!</v>
      </c>
      <c r="AU36" s="40" t="e">
        <f t="shared" si="8"/>
        <v>#REF!</v>
      </c>
      <c r="AV36" t="e">
        <f t="shared" si="9"/>
        <v>#REF!</v>
      </c>
      <c r="AW36" t="e">
        <f t="shared" si="10"/>
        <v>#REF!</v>
      </c>
      <c r="AX36" s="24">
        <f t="shared" si="11"/>
        <v>0</v>
      </c>
      <c r="AY36" s="24">
        <f t="shared" si="12"/>
        <v>0</v>
      </c>
      <c r="AZ36" s="24">
        <f t="shared" si="13"/>
        <v>0</v>
      </c>
      <c r="BA36" t="e">
        <f t="shared" si="14"/>
        <v>#REF!</v>
      </c>
      <c r="BB36">
        <f t="shared" si="15"/>
        <v>0</v>
      </c>
      <c r="BC36" s="24">
        <f t="shared" si="16"/>
        <v>0</v>
      </c>
      <c r="BD36" t="e">
        <f t="shared" si="17"/>
        <v>#REF!</v>
      </c>
    </row>
    <row r="37" spans="1:56" x14ac:dyDescent="0.3">
      <c r="A37" t="e">
        <f>'Entrada datos'!#REF!</f>
        <v>#REF!</v>
      </c>
      <c r="B37" t="e">
        <f>'Entrada datos'!#REF!</f>
        <v>#REF!</v>
      </c>
      <c r="C37" t="e">
        <f>'Entrada datos'!#REF!</f>
        <v>#REF!</v>
      </c>
      <c r="D37" t="e">
        <f>'Entrada datos'!#REF!</f>
        <v>#REF!</v>
      </c>
      <c r="E37" s="18" t="e">
        <f>'Entrada datos'!#REF!</f>
        <v>#REF!</v>
      </c>
      <c r="F37" s="18" t="e">
        <f>'Entrada datos'!#REF!</f>
        <v>#REF!</v>
      </c>
      <c r="G37" t="e">
        <f>'Entrada datos'!#REF!</f>
        <v>#REF!</v>
      </c>
      <c r="H37" t="e">
        <f>'Entrada datos'!#REF!</f>
        <v>#REF!</v>
      </c>
      <c r="I37" t="e">
        <f>'Entrada datos'!#REF!</f>
        <v>#REF!</v>
      </c>
      <c r="J37" t="e">
        <f>'Entrada datos'!#REF!</f>
        <v>#REF!</v>
      </c>
      <c r="K37" t="e">
        <f>'Entrada datos'!#REF!</f>
        <v>#REF!</v>
      </c>
      <c r="L37" t="e">
        <f>'Entrada datos'!#REF!</f>
        <v>#REF!</v>
      </c>
      <c r="M37" t="e">
        <f>'Entrada datos'!#REF!</f>
        <v>#REF!</v>
      </c>
      <c r="N37" t="e">
        <f>'Entrada datos'!#REF!</f>
        <v>#REF!</v>
      </c>
      <c r="O37" t="e">
        <f>'Entrada datos'!#REF!</f>
        <v>#REF!</v>
      </c>
      <c r="P37" s="17" t="e">
        <f t="shared" si="1"/>
        <v>#REF!</v>
      </c>
      <c r="Q37" t="e">
        <f>'Entrada datos'!#REF!</f>
        <v>#REF!</v>
      </c>
      <c r="R37" t="e">
        <f>'Entrada datos'!#REF!</f>
        <v>#REF!</v>
      </c>
      <c r="S37" t="e">
        <f>'Entrada datos'!#REF!</f>
        <v>#REF!</v>
      </c>
      <c r="T37" t="e">
        <f>'Entrada datos'!#REF!</f>
        <v>#REF!</v>
      </c>
      <c r="U37" t="e">
        <f>'Entrada datos'!#REF!</f>
        <v>#REF!</v>
      </c>
      <c r="V37" t="e">
        <f>'Entrada datos'!#REF!</f>
        <v>#REF!</v>
      </c>
      <c r="W37" s="17" t="e">
        <f t="shared" si="2"/>
        <v>#REF!</v>
      </c>
      <c r="X37" t="e">
        <f>'Entrada datos'!#REF!</f>
        <v>#REF!</v>
      </c>
      <c r="Y37" t="e">
        <f>'Entrada datos'!#REF!</f>
        <v>#REF!</v>
      </c>
      <c r="Z37" t="e">
        <f>'Entrada datos'!#REF!</f>
        <v>#REF!</v>
      </c>
      <c r="AA37" t="e">
        <f>'Entrada datos'!#REF!</f>
        <v>#REF!</v>
      </c>
      <c r="AB37" t="e">
        <f>'Entrada datos'!#REF!</f>
        <v>#REF!</v>
      </c>
      <c r="AC37" t="e">
        <f>'Entrada datos'!#REF!</f>
        <v>#REF!</v>
      </c>
      <c r="AD37" s="17" t="e">
        <f t="shared" si="3"/>
        <v>#REF!</v>
      </c>
      <c r="AE37" t="e">
        <f>'Entrada datos'!#REF!</f>
        <v>#REF!</v>
      </c>
      <c r="AF37" t="e">
        <f>'Entrada datos'!#REF!</f>
        <v>#REF!</v>
      </c>
      <c r="AG37" t="e">
        <f>'Entrada datos'!#REF!</f>
        <v>#REF!</v>
      </c>
      <c r="AH37" t="e">
        <f>'Entrada datos'!#REF!</f>
        <v>#REF!</v>
      </c>
      <c r="AI37" t="e">
        <f>'Entrada datos'!#REF!</f>
        <v>#REF!</v>
      </c>
      <c r="AJ37" t="e">
        <f>'Entrada datos'!#REF!</f>
        <v>#REF!</v>
      </c>
      <c r="AK37" s="17" t="e">
        <f t="shared" si="4"/>
        <v>#REF!</v>
      </c>
      <c r="AL37" t="e">
        <f>'Entrada datos'!#REF!</f>
        <v>#REF!</v>
      </c>
      <c r="AM37" t="e">
        <f>'Entrada datos'!#REF!</f>
        <v>#REF!</v>
      </c>
      <c r="AN37" t="e">
        <f>'Entrada datos'!#REF!</f>
        <v>#REF!</v>
      </c>
      <c r="AO37" t="e">
        <f>'Entrada datos'!#REF!</f>
        <v>#REF!</v>
      </c>
      <c r="AP37" t="e">
        <f>'Entrada datos'!#REF!</f>
        <v>#REF!</v>
      </c>
      <c r="AQ37" t="e">
        <f>'Entrada datos'!#REF!</f>
        <v>#REF!</v>
      </c>
      <c r="AR37" s="17" t="e">
        <f t="shared" si="5"/>
        <v>#REF!</v>
      </c>
      <c r="AS37" s="23" t="e">
        <f t="shared" si="6"/>
        <v>#REF!</v>
      </c>
      <c r="AT37" t="e">
        <f t="shared" si="7"/>
        <v>#REF!</v>
      </c>
      <c r="AU37" s="40" t="e">
        <f t="shared" si="8"/>
        <v>#REF!</v>
      </c>
      <c r="AV37" t="e">
        <f t="shared" si="9"/>
        <v>#REF!</v>
      </c>
      <c r="AW37" t="e">
        <f t="shared" si="10"/>
        <v>#REF!</v>
      </c>
      <c r="AX37" s="24">
        <f t="shared" si="11"/>
        <v>0</v>
      </c>
      <c r="AY37" s="24">
        <f t="shared" si="12"/>
        <v>0</v>
      </c>
      <c r="AZ37" s="24">
        <f t="shared" si="13"/>
        <v>0</v>
      </c>
      <c r="BA37" t="e">
        <f t="shared" si="14"/>
        <v>#REF!</v>
      </c>
      <c r="BB37">
        <f t="shared" si="15"/>
        <v>0</v>
      </c>
      <c r="BC37" s="24">
        <f t="shared" si="16"/>
        <v>0</v>
      </c>
      <c r="BD37" t="e">
        <f t="shared" si="17"/>
        <v>#REF!</v>
      </c>
    </row>
    <row r="38" spans="1:56" x14ac:dyDescent="0.3">
      <c r="A38" t="e">
        <f>'Entrada datos'!#REF!</f>
        <v>#REF!</v>
      </c>
      <c r="B38" t="e">
        <f>'Entrada datos'!#REF!</f>
        <v>#REF!</v>
      </c>
      <c r="C38" t="e">
        <f>'Entrada datos'!#REF!</f>
        <v>#REF!</v>
      </c>
      <c r="D38" t="e">
        <f>'Entrada datos'!#REF!</f>
        <v>#REF!</v>
      </c>
      <c r="E38" s="18" t="e">
        <f>'Entrada datos'!#REF!</f>
        <v>#REF!</v>
      </c>
      <c r="F38" s="18" t="e">
        <f>'Entrada datos'!#REF!</f>
        <v>#REF!</v>
      </c>
      <c r="G38" t="e">
        <f>'Entrada datos'!#REF!</f>
        <v>#REF!</v>
      </c>
      <c r="H38" t="e">
        <f>'Entrada datos'!#REF!</f>
        <v>#REF!</v>
      </c>
      <c r="I38" t="e">
        <f>'Entrada datos'!#REF!</f>
        <v>#REF!</v>
      </c>
      <c r="J38" t="e">
        <f>'Entrada datos'!#REF!</f>
        <v>#REF!</v>
      </c>
      <c r="K38" t="e">
        <f>'Entrada datos'!#REF!</f>
        <v>#REF!</v>
      </c>
      <c r="L38" t="e">
        <f>'Entrada datos'!#REF!</f>
        <v>#REF!</v>
      </c>
      <c r="M38" t="e">
        <f>'Entrada datos'!#REF!</f>
        <v>#REF!</v>
      </c>
      <c r="N38" t="e">
        <f>'Entrada datos'!#REF!</f>
        <v>#REF!</v>
      </c>
      <c r="O38" t="e">
        <f>'Entrada datos'!#REF!</f>
        <v>#REF!</v>
      </c>
      <c r="P38" s="17" t="e">
        <f t="shared" si="1"/>
        <v>#REF!</v>
      </c>
      <c r="Q38" t="e">
        <f>'Entrada datos'!#REF!</f>
        <v>#REF!</v>
      </c>
      <c r="R38" t="e">
        <f>'Entrada datos'!#REF!</f>
        <v>#REF!</v>
      </c>
      <c r="S38" t="e">
        <f>'Entrada datos'!#REF!</f>
        <v>#REF!</v>
      </c>
      <c r="T38" t="e">
        <f>'Entrada datos'!#REF!</f>
        <v>#REF!</v>
      </c>
      <c r="U38" t="e">
        <f>'Entrada datos'!#REF!</f>
        <v>#REF!</v>
      </c>
      <c r="V38" t="e">
        <f>'Entrada datos'!#REF!</f>
        <v>#REF!</v>
      </c>
      <c r="W38" s="17" t="e">
        <f t="shared" si="2"/>
        <v>#REF!</v>
      </c>
      <c r="X38" t="e">
        <f>'Entrada datos'!#REF!</f>
        <v>#REF!</v>
      </c>
      <c r="Y38" t="e">
        <f>'Entrada datos'!#REF!</f>
        <v>#REF!</v>
      </c>
      <c r="Z38" t="e">
        <f>'Entrada datos'!#REF!</f>
        <v>#REF!</v>
      </c>
      <c r="AA38" t="e">
        <f>'Entrada datos'!#REF!</f>
        <v>#REF!</v>
      </c>
      <c r="AB38" t="e">
        <f>'Entrada datos'!#REF!</f>
        <v>#REF!</v>
      </c>
      <c r="AC38" t="e">
        <f>'Entrada datos'!#REF!</f>
        <v>#REF!</v>
      </c>
      <c r="AD38" s="17" t="e">
        <f t="shared" si="3"/>
        <v>#REF!</v>
      </c>
      <c r="AE38" t="e">
        <f>'Entrada datos'!#REF!</f>
        <v>#REF!</v>
      </c>
      <c r="AF38" t="e">
        <f>'Entrada datos'!#REF!</f>
        <v>#REF!</v>
      </c>
      <c r="AG38" t="e">
        <f>'Entrada datos'!#REF!</f>
        <v>#REF!</v>
      </c>
      <c r="AH38" t="e">
        <f>'Entrada datos'!#REF!</f>
        <v>#REF!</v>
      </c>
      <c r="AI38" t="e">
        <f>'Entrada datos'!#REF!</f>
        <v>#REF!</v>
      </c>
      <c r="AJ38" t="e">
        <f>'Entrada datos'!#REF!</f>
        <v>#REF!</v>
      </c>
      <c r="AK38" s="17" t="e">
        <f t="shared" si="4"/>
        <v>#REF!</v>
      </c>
      <c r="AL38" t="e">
        <f>'Entrada datos'!#REF!</f>
        <v>#REF!</v>
      </c>
      <c r="AM38" t="e">
        <f>'Entrada datos'!#REF!</f>
        <v>#REF!</v>
      </c>
      <c r="AN38" t="e">
        <f>'Entrada datos'!#REF!</f>
        <v>#REF!</v>
      </c>
      <c r="AO38" t="e">
        <f>'Entrada datos'!#REF!</f>
        <v>#REF!</v>
      </c>
      <c r="AP38" t="e">
        <f>'Entrada datos'!#REF!</f>
        <v>#REF!</v>
      </c>
      <c r="AQ38" t="e">
        <f>'Entrada datos'!#REF!</f>
        <v>#REF!</v>
      </c>
      <c r="AR38" s="17" t="e">
        <f t="shared" si="5"/>
        <v>#REF!</v>
      </c>
      <c r="AS38" s="23" t="e">
        <f t="shared" si="6"/>
        <v>#REF!</v>
      </c>
      <c r="AT38" t="e">
        <f t="shared" si="7"/>
        <v>#REF!</v>
      </c>
      <c r="AU38" s="40" t="e">
        <f t="shared" si="8"/>
        <v>#REF!</v>
      </c>
      <c r="AV38" t="e">
        <f t="shared" si="9"/>
        <v>#REF!</v>
      </c>
      <c r="AW38" t="e">
        <f t="shared" si="10"/>
        <v>#REF!</v>
      </c>
      <c r="AX38" s="24">
        <f t="shared" si="11"/>
        <v>0</v>
      </c>
      <c r="AY38" s="24">
        <f t="shared" si="12"/>
        <v>0</v>
      </c>
      <c r="AZ38" s="24">
        <f t="shared" si="13"/>
        <v>0</v>
      </c>
      <c r="BA38" t="e">
        <f t="shared" si="14"/>
        <v>#REF!</v>
      </c>
      <c r="BB38">
        <f t="shared" si="15"/>
        <v>0</v>
      </c>
      <c r="BC38" s="24">
        <f t="shared" si="16"/>
        <v>0</v>
      </c>
      <c r="BD38" t="e">
        <f t="shared" si="17"/>
        <v>#REF!</v>
      </c>
    </row>
    <row r="39" spans="1:56" x14ac:dyDescent="0.3">
      <c r="A39" t="e">
        <f>'Entrada datos'!#REF!</f>
        <v>#REF!</v>
      </c>
      <c r="B39" t="e">
        <f>'Entrada datos'!#REF!</f>
        <v>#REF!</v>
      </c>
      <c r="C39" t="e">
        <f>'Entrada datos'!#REF!</f>
        <v>#REF!</v>
      </c>
      <c r="D39" t="e">
        <f>'Entrada datos'!#REF!</f>
        <v>#REF!</v>
      </c>
      <c r="E39" s="18" t="e">
        <f>'Entrada datos'!#REF!</f>
        <v>#REF!</v>
      </c>
      <c r="F39" s="18" t="e">
        <f>'Entrada datos'!#REF!</f>
        <v>#REF!</v>
      </c>
      <c r="G39" t="e">
        <f>'Entrada datos'!#REF!</f>
        <v>#REF!</v>
      </c>
      <c r="H39" t="e">
        <f>'Entrada datos'!#REF!</f>
        <v>#REF!</v>
      </c>
      <c r="I39" t="e">
        <f>'Entrada datos'!#REF!</f>
        <v>#REF!</v>
      </c>
      <c r="J39" t="e">
        <f>'Entrada datos'!#REF!</f>
        <v>#REF!</v>
      </c>
      <c r="K39" t="e">
        <f>'Entrada datos'!#REF!</f>
        <v>#REF!</v>
      </c>
      <c r="L39" t="e">
        <f>'Entrada datos'!#REF!</f>
        <v>#REF!</v>
      </c>
      <c r="M39" t="e">
        <f>'Entrada datos'!#REF!</f>
        <v>#REF!</v>
      </c>
      <c r="N39" t="e">
        <f>'Entrada datos'!#REF!</f>
        <v>#REF!</v>
      </c>
      <c r="O39" t="e">
        <f>'Entrada datos'!#REF!</f>
        <v>#REF!</v>
      </c>
      <c r="P39" s="17" t="e">
        <f t="shared" si="1"/>
        <v>#REF!</v>
      </c>
      <c r="Q39" t="e">
        <f>'Entrada datos'!#REF!</f>
        <v>#REF!</v>
      </c>
      <c r="R39" t="e">
        <f>'Entrada datos'!#REF!</f>
        <v>#REF!</v>
      </c>
      <c r="S39" t="e">
        <f>'Entrada datos'!#REF!</f>
        <v>#REF!</v>
      </c>
      <c r="T39" t="e">
        <f>'Entrada datos'!#REF!</f>
        <v>#REF!</v>
      </c>
      <c r="U39" t="e">
        <f>'Entrada datos'!#REF!</f>
        <v>#REF!</v>
      </c>
      <c r="V39" t="e">
        <f>'Entrada datos'!#REF!</f>
        <v>#REF!</v>
      </c>
      <c r="W39" s="17" t="e">
        <f t="shared" si="2"/>
        <v>#REF!</v>
      </c>
      <c r="X39" t="e">
        <f>'Entrada datos'!#REF!</f>
        <v>#REF!</v>
      </c>
      <c r="Y39" t="e">
        <f>'Entrada datos'!#REF!</f>
        <v>#REF!</v>
      </c>
      <c r="Z39" t="e">
        <f>'Entrada datos'!#REF!</f>
        <v>#REF!</v>
      </c>
      <c r="AA39" t="e">
        <f>'Entrada datos'!#REF!</f>
        <v>#REF!</v>
      </c>
      <c r="AB39" t="e">
        <f>'Entrada datos'!#REF!</f>
        <v>#REF!</v>
      </c>
      <c r="AC39" t="e">
        <f>'Entrada datos'!#REF!</f>
        <v>#REF!</v>
      </c>
      <c r="AD39" s="17" t="e">
        <f t="shared" si="3"/>
        <v>#REF!</v>
      </c>
      <c r="AE39" t="e">
        <f>'Entrada datos'!#REF!</f>
        <v>#REF!</v>
      </c>
      <c r="AF39" t="e">
        <f>'Entrada datos'!#REF!</f>
        <v>#REF!</v>
      </c>
      <c r="AG39" t="e">
        <f>'Entrada datos'!#REF!</f>
        <v>#REF!</v>
      </c>
      <c r="AH39" t="e">
        <f>'Entrada datos'!#REF!</f>
        <v>#REF!</v>
      </c>
      <c r="AI39" t="e">
        <f>'Entrada datos'!#REF!</f>
        <v>#REF!</v>
      </c>
      <c r="AJ39" t="e">
        <f>'Entrada datos'!#REF!</f>
        <v>#REF!</v>
      </c>
      <c r="AK39" s="17" t="e">
        <f t="shared" si="4"/>
        <v>#REF!</v>
      </c>
      <c r="AL39" t="e">
        <f>'Entrada datos'!#REF!</f>
        <v>#REF!</v>
      </c>
      <c r="AM39" t="e">
        <f>'Entrada datos'!#REF!</f>
        <v>#REF!</v>
      </c>
      <c r="AN39" t="e">
        <f>'Entrada datos'!#REF!</f>
        <v>#REF!</v>
      </c>
      <c r="AO39" t="e">
        <f>'Entrada datos'!#REF!</f>
        <v>#REF!</v>
      </c>
      <c r="AP39" t="e">
        <f>'Entrada datos'!#REF!</f>
        <v>#REF!</v>
      </c>
      <c r="AQ39" t="e">
        <f>'Entrada datos'!#REF!</f>
        <v>#REF!</v>
      </c>
      <c r="AR39" s="17" t="e">
        <f t="shared" si="5"/>
        <v>#REF!</v>
      </c>
      <c r="AS39" s="23" t="e">
        <f t="shared" si="6"/>
        <v>#REF!</v>
      </c>
      <c r="AT39" t="e">
        <f t="shared" si="7"/>
        <v>#REF!</v>
      </c>
      <c r="AU39" s="40" t="e">
        <f t="shared" si="8"/>
        <v>#REF!</v>
      </c>
      <c r="AV39" t="e">
        <f t="shared" si="9"/>
        <v>#REF!</v>
      </c>
      <c r="AW39" t="e">
        <f t="shared" si="10"/>
        <v>#REF!</v>
      </c>
      <c r="AX39" s="24">
        <f t="shared" si="11"/>
        <v>0</v>
      </c>
      <c r="AY39" s="24">
        <f t="shared" si="12"/>
        <v>0</v>
      </c>
      <c r="AZ39" s="24">
        <f t="shared" si="13"/>
        <v>0</v>
      </c>
      <c r="BA39" t="e">
        <f t="shared" si="14"/>
        <v>#REF!</v>
      </c>
      <c r="BB39">
        <f t="shared" si="15"/>
        <v>0</v>
      </c>
      <c r="BC39" s="24">
        <f t="shared" si="16"/>
        <v>0</v>
      </c>
      <c r="BD39" t="e">
        <f t="shared" si="17"/>
        <v>#REF!</v>
      </c>
    </row>
    <row r="40" spans="1:56" x14ac:dyDescent="0.3">
      <c r="A40" t="e">
        <f>'Entrada datos'!#REF!</f>
        <v>#REF!</v>
      </c>
      <c r="B40" t="e">
        <f>'Entrada datos'!#REF!</f>
        <v>#REF!</v>
      </c>
      <c r="C40" t="e">
        <f>'Entrada datos'!#REF!</f>
        <v>#REF!</v>
      </c>
      <c r="D40" t="e">
        <f>'Entrada datos'!#REF!</f>
        <v>#REF!</v>
      </c>
      <c r="E40" s="18" t="e">
        <f>'Entrada datos'!#REF!</f>
        <v>#REF!</v>
      </c>
      <c r="F40" s="18" t="e">
        <f>'Entrada datos'!#REF!</f>
        <v>#REF!</v>
      </c>
      <c r="G40" t="e">
        <f>'Entrada datos'!#REF!</f>
        <v>#REF!</v>
      </c>
      <c r="H40" t="e">
        <f>'Entrada datos'!#REF!</f>
        <v>#REF!</v>
      </c>
      <c r="I40" t="e">
        <f>'Entrada datos'!#REF!</f>
        <v>#REF!</v>
      </c>
      <c r="J40" t="e">
        <f>'Entrada datos'!#REF!</f>
        <v>#REF!</v>
      </c>
      <c r="K40" t="e">
        <f>'Entrada datos'!#REF!</f>
        <v>#REF!</v>
      </c>
      <c r="L40" t="e">
        <f>'Entrada datos'!#REF!</f>
        <v>#REF!</v>
      </c>
      <c r="M40" t="e">
        <f>'Entrada datos'!#REF!</f>
        <v>#REF!</v>
      </c>
      <c r="N40" t="e">
        <f>'Entrada datos'!#REF!</f>
        <v>#REF!</v>
      </c>
      <c r="O40" t="e">
        <f>'Entrada datos'!#REF!</f>
        <v>#REF!</v>
      </c>
      <c r="P40" s="17" t="e">
        <f t="shared" si="1"/>
        <v>#REF!</v>
      </c>
      <c r="Q40" t="e">
        <f>'Entrada datos'!#REF!</f>
        <v>#REF!</v>
      </c>
      <c r="R40" t="e">
        <f>'Entrada datos'!#REF!</f>
        <v>#REF!</v>
      </c>
      <c r="S40" t="e">
        <f>'Entrada datos'!#REF!</f>
        <v>#REF!</v>
      </c>
      <c r="T40" t="e">
        <f>'Entrada datos'!#REF!</f>
        <v>#REF!</v>
      </c>
      <c r="U40" t="e">
        <f>'Entrada datos'!#REF!</f>
        <v>#REF!</v>
      </c>
      <c r="V40" t="e">
        <f>'Entrada datos'!#REF!</f>
        <v>#REF!</v>
      </c>
      <c r="W40" s="17" t="e">
        <f t="shared" si="2"/>
        <v>#REF!</v>
      </c>
      <c r="X40" t="e">
        <f>'Entrada datos'!#REF!</f>
        <v>#REF!</v>
      </c>
      <c r="Y40" t="e">
        <f>'Entrada datos'!#REF!</f>
        <v>#REF!</v>
      </c>
      <c r="Z40" t="e">
        <f>'Entrada datos'!#REF!</f>
        <v>#REF!</v>
      </c>
      <c r="AA40" t="e">
        <f>'Entrada datos'!#REF!</f>
        <v>#REF!</v>
      </c>
      <c r="AB40" t="e">
        <f>'Entrada datos'!#REF!</f>
        <v>#REF!</v>
      </c>
      <c r="AC40" t="e">
        <f>'Entrada datos'!#REF!</f>
        <v>#REF!</v>
      </c>
      <c r="AD40" s="17" t="e">
        <f t="shared" si="3"/>
        <v>#REF!</v>
      </c>
      <c r="AE40" t="e">
        <f>'Entrada datos'!#REF!</f>
        <v>#REF!</v>
      </c>
      <c r="AF40" t="e">
        <f>'Entrada datos'!#REF!</f>
        <v>#REF!</v>
      </c>
      <c r="AG40" t="e">
        <f>'Entrada datos'!#REF!</f>
        <v>#REF!</v>
      </c>
      <c r="AH40" t="e">
        <f>'Entrada datos'!#REF!</f>
        <v>#REF!</v>
      </c>
      <c r="AI40" t="e">
        <f>'Entrada datos'!#REF!</f>
        <v>#REF!</v>
      </c>
      <c r="AJ40" t="e">
        <f>'Entrada datos'!#REF!</f>
        <v>#REF!</v>
      </c>
      <c r="AK40" s="17" t="e">
        <f t="shared" si="4"/>
        <v>#REF!</v>
      </c>
      <c r="AL40" t="e">
        <f>'Entrada datos'!#REF!</f>
        <v>#REF!</v>
      </c>
      <c r="AM40" t="e">
        <f>'Entrada datos'!#REF!</f>
        <v>#REF!</v>
      </c>
      <c r="AN40" t="e">
        <f>'Entrada datos'!#REF!</f>
        <v>#REF!</v>
      </c>
      <c r="AO40" t="e">
        <f>'Entrada datos'!#REF!</f>
        <v>#REF!</v>
      </c>
      <c r="AP40" t="e">
        <f>'Entrada datos'!#REF!</f>
        <v>#REF!</v>
      </c>
      <c r="AQ40" t="e">
        <f>'Entrada datos'!#REF!</f>
        <v>#REF!</v>
      </c>
      <c r="AR40" s="17" t="e">
        <f t="shared" si="5"/>
        <v>#REF!</v>
      </c>
      <c r="AS40" s="23" t="e">
        <f t="shared" si="6"/>
        <v>#REF!</v>
      </c>
      <c r="AT40" t="e">
        <f t="shared" si="7"/>
        <v>#REF!</v>
      </c>
      <c r="AU40" s="40" t="e">
        <f t="shared" si="8"/>
        <v>#REF!</v>
      </c>
      <c r="AV40" t="e">
        <f t="shared" si="9"/>
        <v>#REF!</v>
      </c>
      <c r="AW40" t="e">
        <f t="shared" si="10"/>
        <v>#REF!</v>
      </c>
      <c r="AX40" s="24">
        <f t="shared" si="11"/>
        <v>0</v>
      </c>
      <c r="AY40" s="24">
        <f t="shared" si="12"/>
        <v>0</v>
      </c>
      <c r="AZ40" s="24">
        <f t="shared" si="13"/>
        <v>0</v>
      </c>
      <c r="BA40" t="e">
        <f t="shared" si="14"/>
        <v>#REF!</v>
      </c>
      <c r="BB40">
        <f t="shared" si="15"/>
        <v>0</v>
      </c>
      <c r="BC40" s="24">
        <f t="shared" si="16"/>
        <v>0</v>
      </c>
      <c r="BD40" t="e">
        <f t="shared" si="17"/>
        <v>#REF!</v>
      </c>
    </row>
    <row r="41" spans="1:56" x14ac:dyDescent="0.3">
      <c r="A41" t="e">
        <f>'Entrada datos'!#REF!</f>
        <v>#REF!</v>
      </c>
      <c r="B41" t="e">
        <f>'Entrada datos'!#REF!</f>
        <v>#REF!</v>
      </c>
      <c r="C41" t="e">
        <f>'Entrada datos'!#REF!</f>
        <v>#REF!</v>
      </c>
      <c r="D41" t="e">
        <f>'Entrada datos'!#REF!</f>
        <v>#REF!</v>
      </c>
      <c r="E41" s="18" t="e">
        <f>'Entrada datos'!#REF!</f>
        <v>#REF!</v>
      </c>
      <c r="F41" s="18" t="e">
        <f>'Entrada datos'!#REF!</f>
        <v>#REF!</v>
      </c>
      <c r="G41" t="e">
        <f>'Entrada datos'!#REF!</f>
        <v>#REF!</v>
      </c>
      <c r="H41" t="e">
        <f>'Entrada datos'!#REF!</f>
        <v>#REF!</v>
      </c>
      <c r="I41" t="e">
        <f>'Entrada datos'!#REF!</f>
        <v>#REF!</v>
      </c>
      <c r="J41" t="e">
        <f>'Entrada datos'!#REF!</f>
        <v>#REF!</v>
      </c>
      <c r="K41" t="e">
        <f>'Entrada datos'!#REF!</f>
        <v>#REF!</v>
      </c>
      <c r="L41" t="e">
        <f>'Entrada datos'!#REF!</f>
        <v>#REF!</v>
      </c>
      <c r="M41" t="e">
        <f>'Entrada datos'!#REF!</f>
        <v>#REF!</v>
      </c>
      <c r="N41" t="e">
        <f>'Entrada datos'!#REF!</f>
        <v>#REF!</v>
      </c>
      <c r="O41" t="e">
        <f>'Entrada datos'!#REF!</f>
        <v>#REF!</v>
      </c>
      <c r="P41" s="17" t="e">
        <f t="shared" si="1"/>
        <v>#REF!</v>
      </c>
      <c r="Q41" t="e">
        <f>'Entrada datos'!#REF!</f>
        <v>#REF!</v>
      </c>
      <c r="R41" t="e">
        <f>'Entrada datos'!#REF!</f>
        <v>#REF!</v>
      </c>
      <c r="S41" t="e">
        <f>'Entrada datos'!#REF!</f>
        <v>#REF!</v>
      </c>
      <c r="T41" t="e">
        <f>'Entrada datos'!#REF!</f>
        <v>#REF!</v>
      </c>
      <c r="U41" t="e">
        <f>'Entrada datos'!#REF!</f>
        <v>#REF!</v>
      </c>
      <c r="V41" t="e">
        <f>'Entrada datos'!#REF!</f>
        <v>#REF!</v>
      </c>
      <c r="W41" s="17" t="e">
        <f t="shared" si="2"/>
        <v>#REF!</v>
      </c>
      <c r="X41" t="e">
        <f>'Entrada datos'!#REF!</f>
        <v>#REF!</v>
      </c>
      <c r="Y41" t="e">
        <f>'Entrada datos'!#REF!</f>
        <v>#REF!</v>
      </c>
      <c r="Z41" t="e">
        <f>'Entrada datos'!#REF!</f>
        <v>#REF!</v>
      </c>
      <c r="AA41" t="e">
        <f>'Entrada datos'!#REF!</f>
        <v>#REF!</v>
      </c>
      <c r="AB41" t="e">
        <f>'Entrada datos'!#REF!</f>
        <v>#REF!</v>
      </c>
      <c r="AC41" t="e">
        <f>'Entrada datos'!#REF!</f>
        <v>#REF!</v>
      </c>
      <c r="AD41" s="17" t="e">
        <f t="shared" si="3"/>
        <v>#REF!</v>
      </c>
      <c r="AE41" t="e">
        <f>'Entrada datos'!#REF!</f>
        <v>#REF!</v>
      </c>
      <c r="AF41" t="e">
        <f>'Entrada datos'!#REF!</f>
        <v>#REF!</v>
      </c>
      <c r="AG41" t="e">
        <f>'Entrada datos'!#REF!</f>
        <v>#REF!</v>
      </c>
      <c r="AH41" t="e">
        <f>'Entrada datos'!#REF!</f>
        <v>#REF!</v>
      </c>
      <c r="AI41" t="e">
        <f>'Entrada datos'!#REF!</f>
        <v>#REF!</v>
      </c>
      <c r="AJ41" t="e">
        <f>'Entrada datos'!#REF!</f>
        <v>#REF!</v>
      </c>
      <c r="AK41" s="17" t="e">
        <f t="shared" si="4"/>
        <v>#REF!</v>
      </c>
      <c r="AL41" t="e">
        <f>'Entrada datos'!#REF!</f>
        <v>#REF!</v>
      </c>
      <c r="AM41" t="e">
        <f>'Entrada datos'!#REF!</f>
        <v>#REF!</v>
      </c>
      <c r="AN41" t="e">
        <f>'Entrada datos'!#REF!</f>
        <v>#REF!</v>
      </c>
      <c r="AO41" t="e">
        <f>'Entrada datos'!#REF!</f>
        <v>#REF!</v>
      </c>
      <c r="AP41" t="e">
        <f>'Entrada datos'!#REF!</f>
        <v>#REF!</v>
      </c>
      <c r="AQ41" t="e">
        <f>'Entrada datos'!#REF!</f>
        <v>#REF!</v>
      </c>
      <c r="AR41" s="17" t="e">
        <f t="shared" si="5"/>
        <v>#REF!</v>
      </c>
      <c r="AS41" s="23" t="e">
        <f t="shared" si="6"/>
        <v>#REF!</v>
      </c>
      <c r="AT41" t="e">
        <f t="shared" si="7"/>
        <v>#REF!</v>
      </c>
      <c r="AU41" s="40" t="e">
        <f t="shared" si="8"/>
        <v>#REF!</v>
      </c>
      <c r="AV41" t="e">
        <f t="shared" si="9"/>
        <v>#REF!</v>
      </c>
      <c r="AW41" t="e">
        <f t="shared" si="10"/>
        <v>#REF!</v>
      </c>
      <c r="AX41" s="24">
        <f t="shared" si="11"/>
        <v>0</v>
      </c>
      <c r="AY41" s="24">
        <f t="shared" si="12"/>
        <v>0</v>
      </c>
      <c r="AZ41" s="24">
        <f t="shared" si="13"/>
        <v>0</v>
      </c>
      <c r="BA41" t="e">
        <f t="shared" si="14"/>
        <v>#REF!</v>
      </c>
      <c r="BB41">
        <f t="shared" si="15"/>
        <v>0</v>
      </c>
      <c r="BC41" s="24">
        <f t="shared" si="16"/>
        <v>0</v>
      </c>
      <c r="BD41" t="e">
        <f t="shared" si="17"/>
        <v>#REF!</v>
      </c>
    </row>
    <row r="42" spans="1:56" x14ac:dyDescent="0.3">
      <c r="A42" t="e">
        <f>'Entrada datos'!#REF!</f>
        <v>#REF!</v>
      </c>
      <c r="B42" t="e">
        <f>'Entrada datos'!#REF!</f>
        <v>#REF!</v>
      </c>
      <c r="C42" t="e">
        <f>'Entrada datos'!#REF!</f>
        <v>#REF!</v>
      </c>
      <c r="D42" t="e">
        <f>'Entrada datos'!#REF!</f>
        <v>#REF!</v>
      </c>
      <c r="E42" s="18" t="e">
        <f>'Entrada datos'!#REF!</f>
        <v>#REF!</v>
      </c>
      <c r="F42" s="18" t="e">
        <f>'Entrada datos'!#REF!</f>
        <v>#REF!</v>
      </c>
      <c r="G42" t="e">
        <f>'Entrada datos'!#REF!</f>
        <v>#REF!</v>
      </c>
      <c r="H42" t="e">
        <f>'Entrada datos'!#REF!</f>
        <v>#REF!</v>
      </c>
      <c r="I42" t="e">
        <f>'Entrada datos'!#REF!</f>
        <v>#REF!</v>
      </c>
      <c r="J42" t="e">
        <f>'Entrada datos'!#REF!</f>
        <v>#REF!</v>
      </c>
      <c r="K42" t="e">
        <f>'Entrada datos'!#REF!</f>
        <v>#REF!</v>
      </c>
      <c r="L42" t="e">
        <f>'Entrada datos'!#REF!</f>
        <v>#REF!</v>
      </c>
      <c r="M42" t="e">
        <f>'Entrada datos'!#REF!</f>
        <v>#REF!</v>
      </c>
      <c r="N42" t="e">
        <f>'Entrada datos'!#REF!</f>
        <v>#REF!</v>
      </c>
      <c r="O42" t="e">
        <f>'Entrada datos'!#REF!</f>
        <v>#REF!</v>
      </c>
      <c r="P42" s="17" t="e">
        <f t="shared" si="1"/>
        <v>#REF!</v>
      </c>
      <c r="Q42" t="e">
        <f>'Entrada datos'!#REF!</f>
        <v>#REF!</v>
      </c>
      <c r="R42" t="e">
        <f>'Entrada datos'!#REF!</f>
        <v>#REF!</v>
      </c>
      <c r="S42" t="e">
        <f>'Entrada datos'!#REF!</f>
        <v>#REF!</v>
      </c>
      <c r="T42" t="e">
        <f>'Entrada datos'!#REF!</f>
        <v>#REF!</v>
      </c>
      <c r="U42" t="e">
        <f>'Entrada datos'!#REF!</f>
        <v>#REF!</v>
      </c>
      <c r="V42" t="e">
        <f>'Entrada datos'!#REF!</f>
        <v>#REF!</v>
      </c>
      <c r="W42" s="17" t="e">
        <f t="shared" si="2"/>
        <v>#REF!</v>
      </c>
      <c r="X42" t="e">
        <f>'Entrada datos'!#REF!</f>
        <v>#REF!</v>
      </c>
      <c r="Y42" t="e">
        <f>'Entrada datos'!#REF!</f>
        <v>#REF!</v>
      </c>
      <c r="Z42" t="e">
        <f>'Entrada datos'!#REF!</f>
        <v>#REF!</v>
      </c>
      <c r="AA42" t="e">
        <f>'Entrada datos'!#REF!</f>
        <v>#REF!</v>
      </c>
      <c r="AB42" t="e">
        <f>'Entrada datos'!#REF!</f>
        <v>#REF!</v>
      </c>
      <c r="AC42" t="e">
        <f>'Entrada datos'!#REF!</f>
        <v>#REF!</v>
      </c>
      <c r="AD42" s="17" t="e">
        <f t="shared" si="3"/>
        <v>#REF!</v>
      </c>
      <c r="AE42" t="e">
        <f>'Entrada datos'!#REF!</f>
        <v>#REF!</v>
      </c>
      <c r="AF42" t="e">
        <f>'Entrada datos'!#REF!</f>
        <v>#REF!</v>
      </c>
      <c r="AG42" t="e">
        <f>'Entrada datos'!#REF!</f>
        <v>#REF!</v>
      </c>
      <c r="AH42" t="e">
        <f>'Entrada datos'!#REF!</f>
        <v>#REF!</v>
      </c>
      <c r="AI42" t="e">
        <f>'Entrada datos'!#REF!</f>
        <v>#REF!</v>
      </c>
      <c r="AJ42" t="e">
        <f>'Entrada datos'!#REF!</f>
        <v>#REF!</v>
      </c>
      <c r="AK42" s="17" t="e">
        <f t="shared" si="4"/>
        <v>#REF!</v>
      </c>
      <c r="AL42" t="e">
        <f>'Entrada datos'!#REF!</f>
        <v>#REF!</v>
      </c>
      <c r="AM42" t="e">
        <f>'Entrada datos'!#REF!</f>
        <v>#REF!</v>
      </c>
      <c r="AN42" t="e">
        <f>'Entrada datos'!#REF!</f>
        <v>#REF!</v>
      </c>
      <c r="AO42" t="e">
        <f>'Entrada datos'!#REF!</f>
        <v>#REF!</v>
      </c>
      <c r="AP42" t="e">
        <f>'Entrada datos'!#REF!</f>
        <v>#REF!</v>
      </c>
      <c r="AQ42" t="e">
        <f>'Entrada datos'!#REF!</f>
        <v>#REF!</v>
      </c>
      <c r="AR42" s="17" t="e">
        <f t="shared" si="5"/>
        <v>#REF!</v>
      </c>
      <c r="AS42" s="23" t="e">
        <f t="shared" si="6"/>
        <v>#REF!</v>
      </c>
      <c r="AT42" t="e">
        <f t="shared" si="7"/>
        <v>#REF!</v>
      </c>
      <c r="AU42" s="40" t="e">
        <f t="shared" si="8"/>
        <v>#REF!</v>
      </c>
      <c r="AV42" t="e">
        <f t="shared" si="9"/>
        <v>#REF!</v>
      </c>
      <c r="AW42" t="e">
        <f t="shared" si="10"/>
        <v>#REF!</v>
      </c>
      <c r="AX42" s="24">
        <f t="shared" si="11"/>
        <v>0</v>
      </c>
      <c r="AY42" s="24">
        <f t="shared" si="12"/>
        <v>0</v>
      </c>
      <c r="AZ42" s="24">
        <f t="shared" si="13"/>
        <v>0</v>
      </c>
      <c r="BA42" t="e">
        <f t="shared" si="14"/>
        <v>#REF!</v>
      </c>
      <c r="BB42">
        <f t="shared" si="15"/>
        <v>0</v>
      </c>
      <c r="BC42" s="24">
        <f t="shared" si="16"/>
        <v>0</v>
      </c>
      <c r="BD42" t="e">
        <f t="shared" si="17"/>
        <v>#REF!</v>
      </c>
    </row>
    <row r="43" spans="1:56" x14ac:dyDescent="0.3">
      <c r="A43" t="e">
        <f>'Entrada datos'!#REF!</f>
        <v>#REF!</v>
      </c>
      <c r="B43" t="e">
        <f>'Entrada datos'!#REF!</f>
        <v>#REF!</v>
      </c>
      <c r="C43" t="e">
        <f>'Entrada datos'!#REF!</f>
        <v>#REF!</v>
      </c>
      <c r="D43" t="e">
        <f>'Entrada datos'!#REF!</f>
        <v>#REF!</v>
      </c>
      <c r="E43" s="18" t="e">
        <f>'Entrada datos'!#REF!</f>
        <v>#REF!</v>
      </c>
      <c r="F43" s="18" t="e">
        <f>'Entrada datos'!#REF!</f>
        <v>#REF!</v>
      </c>
      <c r="G43" t="e">
        <f>'Entrada datos'!#REF!</f>
        <v>#REF!</v>
      </c>
      <c r="H43" t="e">
        <f>'Entrada datos'!#REF!</f>
        <v>#REF!</v>
      </c>
      <c r="I43" t="e">
        <f>'Entrada datos'!#REF!</f>
        <v>#REF!</v>
      </c>
      <c r="J43" t="e">
        <f>'Entrada datos'!#REF!</f>
        <v>#REF!</v>
      </c>
      <c r="K43" t="e">
        <f>'Entrada datos'!#REF!</f>
        <v>#REF!</v>
      </c>
      <c r="L43" t="e">
        <f>'Entrada datos'!#REF!</f>
        <v>#REF!</v>
      </c>
      <c r="M43" t="e">
        <f>'Entrada datos'!#REF!</f>
        <v>#REF!</v>
      </c>
      <c r="N43" t="e">
        <f>'Entrada datos'!#REF!</f>
        <v>#REF!</v>
      </c>
      <c r="O43" t="e">
        <f>'Entrada datos'!#REF!</f>
        <v>#REF!</v>
      </c>
      <c r="P43" s="17" t="e">
        <f t="shared" si="1"/>
        <v>#REF!</v>
      </c>
      <c r="Q43" t="e">
        <f>'Entrada datos'!#REF!</f>
        <v>#REF!</v>
      </c>
      <c r="R43" t="e">
        <f>'Entrada datos'!#REF!</f>
        <v>#REF!</v>
      </c>
      <c r="S43" t="e">
        <f>'Entrada datos'!#REF!</f>
        <v>#REF!</v>
      </c>
      <c r="T43" t="e">
        <f>'Entrada datos'!#REF!</f>
        <v>#REF!</v>
      </c>
      <c r="U43" t="e">
        <f>'Entrada datos'!#REF!</f>
        <v>#REF!</v>
      </c>
      <c r="V43" t="e">
        <f>'Entrada datos'!#REF!</f>
        <v>#REF!</v>
      </c>
      <c r="W43" s="17" t="e">
        <f t="shared" si="2"/>
        <v>#REF!</v>
      </c>
      <c r="X43" t="e">
        <f>'Entrada datos'!#REF!</f>
        <v>#REF!</v>
      </c>
      <c r="Y43" t="e">
        <f>'Entrada datos'!#REF!</f>
        <v>#REF!</v>
      </c>
      <c r="Z43" t="e">
        <f>'Entrada datos'!#REF!</f>
        <v>#REF!</v>
      </c>
      <c r="AA43" t="e">
        <f>'Entrada datos'!#REF!</f>
        <v>#REF!</v>
      </c>
      <c r="AB43" t="e">
        <f>'Entrada datos'!#REF!</f>
        <v>#REF!</v>
      </c>
      <c r="AC43" t="e">
        <f>'Entrada datos'!#REF!</f>
        <v>#REF!</v>
      </c>
      <c r="AD43" s="17" t="e">
        <f t="shared" si="3"/>
        <v>#REF!</v>
      </c>
      <c r="AE43" t="e">
        <f>'Entrada datos'!#REF!</f>
        <v>#REF!</v>
      </c>
      <c r="AF43" t="e">
        <f>'Entrada datos'!#REF!</f>
        <v>#REF!</v>
      </c>
      <c r="AG43" t="e">
        <f>'Entrada datos'!#REF!</f>
        <v>#REF!</v>
      </c>
      <c r="AH43" t="e">
        <f>'Entrada datos'!#REF!</f>
        <v>#REF!</v>
      </c>
      <c r="AI43" t="e">
        <f>'Entrada datos'!#REF!</f>
        <v>#REF!</v>
      </c>
      <c r="AJ43" t="e">
        <f>'Entrada datos'!#REF!</f>
        <v>#REF!</v>
      </c>
      <c r="AK43" s="17" t="e">
        <f t="shared" si="4"/>
        <v>#REF!</v>
      </c>
      <c r="AL43" t="e">
        <f>'Entrada datos'!#REF!</f>
        <v>#REF!</v>
      </c>
      <c r="AM43" t="e">
        <f>'Entrada datos'!#REF!</f>
        <v>#REF!</v>
      </c>
      <c r="AN43" t="e">
        <f>'Entrada datos'!#REF!</f>
        <v>#REF!</v>
      </c>
      <c r="AO43" t="e">
        <f>'Entrada datos'!#REF!</f>
        <v>#REF!</v>
      </c>
      <c r="AP43" t="e">
        <f>'Entrada datos'!#REF!</f>
        <v>#REF!</v>
      </c>
      <c r="AQ43" t="e">
        <f>'Entrada datos'!#REF!</f>
        <v>#REF!</v>
      </c>
      <c r="AR43" s="17" t="e">
        <f t="shared" si="5"/>
        <v>#REF!</v>
      </c>
      <c r="AS43" s="23" t="e">
        <f t="shared" si="6"/>
        <v>#REF!</v>
      </c>
      <c r="AT43" t="e">
        <f t="shared" si="7"/>
        <v>#REF!</v>
      </c>
      <c r="AU43" s="40" t="e">
        <f t="shared" si="8"/>
        <v>#REF!</v>
      </c>
      <c r="AV43" t="e">
        <f t="shared" si="9"/>
        <v>#REF!</v>
      </c>
      <c r="AW43" t="e">
        <f t="shared" si="10"/>
        <v>#REF!</v>
      </c>
      <c r="AX43" s="24">
        <f t="shared" si="11"/>
        <v>0</v>
      </c>
      <c r="AY43" s="24">
        <f t="shared" si="12"/>
        <v>0</v>
      </c>
      <c r="AZ43" s="24">
        <f t="shared" si="13"/>
        <v>0</v>
      </c>
      <c r="BA43" t="e">
        <f t="shared" si="14"/>
        <v>#REF!</v>
      </c>
      <c r="BB43">
        <f t="shared" si="15"/>
        <v>0</v>
      </c>
      <c r="BC43" s="24">
        <f t="shared" si="16"/>
        <v>0</v>
      </c>
      <c r="BD43" t="e">
        <f t="shared" si="17"/>
        <v>#REF!</v>
      </c>
    </row>
    <row r="44" spans="1:56" x14ac:dyDescent="0.3">
      <c r="A44" t="e">
        <f>'Entrada datos'!#REF!</f>
        <v>#REF!</v>
      </c>
      <c r="B44" t="e">
        <f>'Entrada datos'!#REF!</f>
        <v>#REF!</v>
      </c>
      <c r="C44" t="e">
        <f>'Entrada datos'!#REF!</f>
        <v>#REF!</v>
      </c>
      <c r="D44" t="e">
        <f>'Entrada datos'!#REF!</f>
        <v>#REF!</v>
      </c>
      <c r="E44" s="18" t="e">
        <f>'Entrada datos'!#REF!</f>
        <v>#REF!</v>
      </c>
      <c r="F44" s="18" t="e">
        <f>'Entrada datos'!#REF!</f>
        <v>#REF!</v>
      </c>
      <c r="G44" t="e">
        <f>'Entrada datos'!#REF!</f>
        <v>#REF!</v>
      </c>
      <c r="H44" t="e">
        <f>'Entrada datos'!#REF!</f>
        <v>#REF!</v>
      </c>
      <c r="I44" t="e">
        <f>'Entrada datos'!#REF!</f>
        <v>#REF!</v>
      </c>
      <c r="J44" t="e">
        <f>'Entrada datos'!#REF!</f>
        <v>#REF!</v>
      </c>
      <c r="K44" t="e">
        <f>'Entrada datos'!#REF!</f>
        <v>#REF!</v>
      </c>
      <c r="L44" t="e">
        <f>'Entrada datos'!#REF!</f>
        <v>#REF!</v>
      </c>
      <c r="M44" t="e">
        <f>'Entrada datos'!#REF!</f>
        <v>#REF!</v>
      </c>
      <c r="N44" t="e">
        <f>'Entrada datos'!#REF!</f>
        <v>#REF!</v>
      </c>
      <c r="O44" t="e">
        <f>'Entrada datos'!#REF!</f>
        <v>#REF!</v>
      </c>
      <c r="P44" s="17" t="e">
        <f t="shared" si="1"/>
        <v>#REF!</v>
      </c>
      <c r="Q44" t="e">
        <f>'Entrada datos'!#REF!</f>
        <v>#REF!</v>
      </c>
      <c r="R44" t="e">
        <f>'Entrada datos'!#REF!</f>
        <v>#REF!</v>
      </c>
      <c r="S44" t="e">
        <f>'Entrada datos'!#REF!</f>
        <v>#REF!</v>
      </c>
      <c r="T44" t="e">
        <f>'Entrada datos'!#REF!</f>
        <v>#REF!</v>
      </c>
      <c r="U44" t="e">
        <f>'Entrada datos'!#REF!</f>
        <v>#REF!</v>
      </c>
      <c r="V44" t="e">
        <f>'Entrada datos'!#REF!</f>
        <v>#REF!</v>
      </c>
      <c r="W44" s="17" t="e">
        <f t="shared" si="2"/>
        <v>#REF!</v>
      </c>
      <c r="X44" t="e">
        <f>'Entrada datos'!#REF!</f>
        <v>#REF!</v>
      </c>
      <c r="Y44" t="e">
        <f>'Entrada datos'!#REF!</f>
        <v>#REF!</v>
      </c>
      <c r="Z44" t="e">
        <f>'Entrada datos'!#REF!</f>
        <v>#REF!</v>
      </c>
      <c r="AA44" t="e">
        <f>'Entrada datos'!#REF!</f>
        <v>#REF!</v>
      </c>
      <c r="AB44" t="e">
        <f>'Entrada datos'!#REF!</f>
        <v>#REF!</v>
      </c>
      <c r="AC44" t="e">
        <f>'Entrada datos'!#REF!</f>
        <v>#REF!</v>
      </c>
      <c r="AD44" s="17" t="e">
        <f t="shared" si="3"/>
        <v>#REF!</v>
      </c>
      <c r="AE44" t="e">
        <f>'Entrada datos'!#REF!</f>
        <v>#REF!</v>
      </c>
      <c r="AF44" t="e">
        <f>'Entrada datos'!#REF!</f>
        <v>#REF!</v>
      </c>
      <c r="AG44" t="e">
        <f>'Entrada datos'!#REF!</f>
        <v>#REF!</v>
      </c>
      <c r="AH44" t="e">
        <f>'Entrada datos'!#REF!</f>
        <v>#REF!</v>
      </c>
      <c r="AI44" t="e">
        <f>'Entrada datos'!#REF!</f>
        <v>#REF!</v>
      </c>
      <c r="AJ44" t="e">
        <f>'Entrada datos'!#REF!</f>
        <v>#REF!</v>
      </c>
      <c r="AK44" s="17" t="e">
        <f t="shared" si="4"/>
        <v>#REF!</v>
      </c>
      <c r="AL44" t="e">
        <f>'Entrada datos'!#REF!</f>
        <v>#REF!</v>
      </c>
      <c r="AM44" t="e">
        <f>'Entrada datos'!#REF!</f>
        <v>#REF!</v>
      </c>
      <c r="AN44" t="e">
        <f>'Entrada datos'!#REF!</f>
        <v>#REF!</v>
      </c>
      <c r="AO44" t="e">
        <f>'Entrada datos'!#REF!</f>
        <v>#REF!</v>
      </c>
      <c r="AP44" t="e">
        <f>'Entrada datos'!#REF!</f>
        <v>#REF!</v>
      </c>
      <c r="AQ44" t="e">
        <f>'Entrada datos'!#REF!</f>
        <v>#REF!</v>
      </c>
      <c r="AR44" s="17" t="e">
        <f t="shared" si="5"/>
        <v>#REF!</v>
      </c>
      <c r="AS44" s="23" t="e">
        <f t="shared" si="6"/>
        <v>#REF!</v>
      </c>
      <c r="AT44" t="e">
        <f t="shared" si="7"/>
        <v>#REF!</v>
      </c>
      <c r="AU44" s="40" t="e">
        <f t="shared" si="8"/>
        <v>#REF!</v>
      </c>
      <c r="AV44" t="e">
        <f t="shared" si="9"/>
        <v>#REF!</v>
      </c>
      <c r="AW44" t="e">
        <f t="shared" si="10"/>
        <v>#REF!</v>
      </c>
      <c r="AX44" s="24">
        <f t="shared" si="11"/>
        <v>0</v>
      </c>
      <c r="AY44" s="24">
        <f t="shared" si="12"/>
        <v>0</v>
      </c>
      <c r="AZ44" s="24">
        <f t="shared" si="13"/>
        <v>0</v>
      </c>
      <c r="BA44" t="e">
        <f t="shared" si="14"/>
        <v>#REF!</v>
      </c>
      <c r="BB44">
        <f t="shared" si="15"/>
        <v>0</v>
      </c>
      <c r="BC44" s="24">
        <f t="shared" si="16"/>
        <v>0</v>
      </c>
      <c r="BD44" t="e">
        <f t="shared" si="17"/>
        <v>#REF!</v>
      </c>
    </row>
    <row r="45" spans="1:56" x14ac:dyDescent="0.3">
      <c r="A45" t="e">
        <f>'Entrada datos'!#REF!</f>
        <v>#REF!</v>
      </c>
      <c r="B45" t="e">
        <f>'Entrada datos'!#REF!</f>
        <v>#REF!</v>
      </c>
      <c r="C45" t="e">
        <f>'Entrada datos'!#REF!</f>
        <v>#REF!</v>
      </c>
      <c r="D45" t="e">
        <f>'Entrada datos'!#REF!</f>
        <v>#REF!</v>
      </c>
      <c r="E45" s="18" t="e">
        <f>'Entrada datos'!#REF!</f>
        <v>#REF!</v>
      </c>
      <c r="F45" s="18" t="e">
        <f>'Entrada datos'!#REF!</f>
        <v>#REF!</v>
      </c>
      <c r="G45" t="e">
        <f>'Entrada datos'!#REF!</f>
        <v>#REF!</v>
      </c>
      <c r="H45" t="e">
        <f>'Entrada datos'!#REF!</f>
        <v>#REF!</v>
      </c>
      <c r="I45" t="e">
        <f>'Entrada datos'!#REF!</f>
        <v>#REF!</v>
      </c>
      <c r="J45" t="e">
        <f>'Entrada datos'!#REF!</f>
        <v>#REF!</v>
      </c>
      <c r="K45" t="e">
        <f>'Entrada datos'!#REF!</f>
        <v>#REF!</v>
      </c>
      <c r="L45" t="e">
        <f>'Entrada datos'!#REF!</f>
        <v>#REF!</v>
      </c>
      <c r="M45" t="e">
        <f>'Entrada datos'!#REF!</f>
        <v>#REF!</v>
      </c>
      <c r="N45" t="e">
        <f>'Entrada datos'!#REF!</f>
        <v>#REF!</v>
      </c>
      <c r="O45" t="e">
        <f>'Entrada datos'!#REF!</f>
        <v>#REF!</v>
      </c>
      <c r="P45" s="17" t="e">
        <f t="shared" si="1"/>
        <v>#REF!</v>
      </c>
      <c r="Q45" t="e">
        <f>'Entrada datos'!#REF!</f>
        <v>#REF!</v>
      </c>
      <c r="R45" t="e">
        <f>'Entrada datos'!#REF!</f>
        <v>#REF!</v>
      </c>
      <c r="S45" t="e">
        <f>'Entrada datos'!#REF!</f>
        <v>#REF!</v>
      </c>
      <c r="T45" t="e">
        <f>'Entrada datos'!#REF!</f>
        <v>#REF!</v>
      </c>
      <c r="U45" t="e">
        <f>'Entrada datos'!#REF!</f>
        <v>#REF!</v>
      </c>
      <c r="V45" t="e">
        <f>'Entrada datos'!#REF!</f>
        <v>#REF!</v>
      </c>
      <c r="W45" s="17" t="e">
        <f t="shared" si="2"/>
        <v>#REF!</v>
      </c>
      <c r="X45" t="e">
        <f>'Entrada datos'!#REF!</f>
        <v>#REF!</v>
      </c>
      <c r="Y45" t="e">
        <f>'Entrada datos'!#REF!</f>
        <v>#REF!</v>
      </c>
      <c r="Z45" t="e">
        <f>'Entrada datos'!#REF!</f>
        <v>#REF!</v>
      </c>
      <c r="AA45" t="e">
        <f>'Entrada datos'!#REF!</f>
        <v>#REF!</v>
      </c>
      <c r="AB45" t="e">
        <f>'Entrada datos'!#REF!</f>
        <v>#REF!</v>
      </c>
      <c r="AC45" t="e">
        <f>'Entrada datos'!#REF!</f>
        <v>#REF!</v>
      </c>
      <c r="AD45" s="17" t="e">
        <f t="shared" si="3"/>
        <v>#REF!</v>
      </c>
      <c r="AE45" t="e">
        <f>'Entrada datos'!#REF!</f>
        <v>#REF!</v>
      </c>
      <c r="AF45" t="e">
        <f>'Entrada datos'!#REF!</f>
        <v>#REF!</v>
      </c>
      <c r="AG45" t="e">
        <f>'Entrada datos'!#REF!</f>
        <v>#REF!</v>
      </c>
      <c r="AH45" t="e">
        <f>'Entrada datos'!#REF!</f>
        <v>#REF!</v>
      </c>
      <c r="AI45" t="e">
        <f>'Entrada datos'!#REF!</f>
        <v>#REF!</v>
      </c>
      <c r="AJ45" t="e">
        <f>'Entrada datos'!#REF!</f>
        <v>#REF!</v>
      </c>
      <c r="AK45" s="17" t="e">
        <f t="shared" si="4"/>
        <v>#REF!</v>
      </c>
      <c r="AL45" t="e">
        <f>'Entrada datos'!#REF!</f>
        <v>#REF!</v>
      </c>
      <c r="AM45" t="e">
        <f>'Entrada datos'!#REF!</f>
        <v>#REF!</v>
      </c>
      <c r="AN45" t="e">
        <f>'Entrada datos'!#REF!</f>
        <v>#REF!</v>
      </c>
      <c r="AO45" t="e">
        <f>'Entrada datos'!#REF!</f>
        <v>#REF!</v>
      </c>
      <c r="AP45" t="e">
        <f>'Entrada datos'!#REF!</f>
        <v>#REF!</v>
      </c>
      <c r="AQ45" t="e">
        <f>'Entrada datos'!#REF!</f>
        <v>#REF!</v>
      </c>
      <c r="AR45" s="17" t="e">
        <f t="shared" si="5"/>
        <v>#REF!</v>
      </c>
      <c r="AS45" s="23" t="e">
        <f t="shared" si="6"/>
        <v>#REF!</v>
      </c>
      <c r="AT45" t="e">
        <f t="shared" si="7"/>
        <v>#REF!</v>
      </c>
      <c r="AU45" s="40" t="e">
        <f t="shared" si="8"/>
        <v>#REF!</v>
      </c>
      <c r="AV45" t="e">
        <f t="shared" si="9"/>
        <v>#REF!</v>
      </c>
      <c r="AW45" t="e">
        <f t="shared" si="10"/>
        <v>#REF!</v>
      </c>
      <c r="AX45" s="24">
        <f t="shared" si="11"/>
        <v>0</v>
      </c>
      <c r="AY45" s="24">
        <f t="shared" si="12"/>
        <v>0</v>
      </c>
      <c r="AZ45" s="24">
        <f t="shared" si="13"/>
        <v>0</v>
      </c>
      <c r="BA45" t="e">
        <f t="shared" si="14"/>
        <v>#REF!</v>
      </c>
      <c r="BB45">
        <f t="shared" si="15"/>
        <v>0</v>
      </c>
      <c r="BC45" s="24">
        <f t="shared" si="16"/>
        <v>0</v>
      </c>
      <c r="BD45" t="e">
        <f t="shared" si="17"/>
        <v>#REF!</v>
      </c>
    </row>
    <row r="46" spans="1:56" x14ac:dyDescent="0.3">
      <c r="A46" t="e">
        <f>'Entrada datos'!#REF!</f>
        <v>#REF!</v>
      </c>
      <c r="B46" t="e">
        <f>'Entrada datos'!#REF!</f>
        <v>#REF!</v>
      </c>
      <c r="C46" t="e">
        <f>'Entrada datos'!#REF!</f>
        <v>#REF!</v>
      </c>
      <c r="D46" t="e">
        <f>'Entrada datos'!#REF!</f>
        <v>#REF!</v>
      </c>
      <c r="E46" s="18" t="e">
        <f>'Entrada datos'!#REF!</f>
        <v>#REF!</v>
      </c>
      <c r="F46" s="18" t="e">
        <f>'Entrada datos'!#REF!</f>
        <v>#REF!</v>
      </c>
      <c r="G46" t="e">
        <f>'Entrada datos'!#REF!</f>
        <v>#REF!</v>
      </c>
      <c r="H46" t="e">
        <f>'Entrada datos'!#REF!</f>
        <v>#REF!</v>
      </c>
      <c r="I46" t="e">
        <f>'Entrada datos'!#REF!</f>
        <v>#REF!</v>
      </c>
      <c r="J46" t="e">
        <f>'Entrada datos'!#REF!</f>
        <v>#REF!</v>
      </c>
      <c r="K46" t="e">
        <f>'Entrada datos'!#REF!</f>
        <v>#REF!</v>
      </c>
      <c r="L46" t="e">
        <f>'Entrada datos'!#REF!</f>
        <v>#REF!</v>
      </c>
      <c r="M46" t="e">
        <f>'Entrada datos'!#REF!</f>
        <v>#REF!</v>
      </c>
      <c r="N46" t="e">
        <f>'Entrada datos'!#REF!</f>
        <v>#REF!</v>
      </c>
      <c r="O46" t="e">
        <f>'Entrada datos'!#REF!</f>
        <v>#REF!</v>
      </c>
      <c r="P46" s="17" t="e">
        <f t="shared" si="1"/>
        <v>#REF!</v>
      </c>
      <c r="Q46" t="e">
        <f>'Entrada datos'!#REF!</f>
        <v>#REF!</v>
      </c>
      <c r="R46" t="e">
        <f>'Entrada datos'!#REF!</f>
        <v>#REF!</v>
      </c>
      <c r="S46" t="e">
        <f>'Entrada datos'!#REF!</f>
        <v>#REF!</v>
      </c>
      <c r="T46" t="e">
        <f>'Entrada datos'!#REF!</f>
        <v>#REF!</v>
      </c>
      <c r="U46" t="e">
        <f>'Entrada datos'!#REF!</f>
        <v>#REF!</v>
      </c>
      <c r="V46" t="e">
        <f>'Entrada datos'!#REF!</f>
        <v>#REF!</v>
      </c>
      <c r="W46" s="17" t="e">
        <f t="shared" si="2"/>
        <v>#REF!</v>
      </c>
      <c r="X46" t="e">
        <f>'Entrada datos'!#REF!</f>
        <v>#REF!</v>
      </c>
      <c r="Y46" t="e">
        <f>'Entrada datos'!#REF!</f>
        <v>#REF!</v>
      </c>
      <c r="Z46" t="e">
        <f>'Entrada datos'!#REF!</f>
        <v>#REF!</v>
      </c>
      <c r="AA46" t="e">
        <f>'Entrada datos'!#REF!</f>
        <v>#REF!</v>
      </c>
      <c r="AB46" t="e">
        <f>'Entrada datos'!#REF!</f>
        <v>#REF!</v>
      </c>
      <c r="AC46" t="e">
        <f>'Entrada datos'!#REF!</f>
        <v>#REF!</v>
      </c>
      <c r="AD46" s="17" t="e">
        <f t="shared" si="3"/>
        <v>#REF!</v>
      </c>
      <c r="AE46" t="e">
        <f>'Entrada datos'!#REF!</f>
        <v>#REF!</v>
      </c>
      <c r="AF46" t="e">
        <f>'Entrada datos'!#REF!</f>
        <v>#REF!</v>
      </c>
      <c r="AG46" t="e">
        <f>'Entrada datos'!#REF!</f>
        <v>#REF!</v>
      </c>
      <c r="AH46" t="e">
        <f>'Entrada datos'!#REF!</f>
        <v>#REF!</v>
      </c>
      <c r="AI46" t="e">
        <f>'Entrada datos'!#REF!</f>
        <v>#REF!</v>
      </c>
      <c r="AJ46" t="e">
        <f>'Entrada datos'!#REF!</f>
        <v>#REF!</v>
      </c>
      <c r="AK46" s="17" t="e">
        <f t="shared" si="4"/>
        <v>#REF!</v>
      </c>
      <c r="AL46" t="e">
        <f>'Entrada datos'!#REF!</f>
        <v>#REF!</v>
      </c>
      <c r="AM46" t="e">
        <f>'Entrada datos'!#REF!</f>
        <v>#REF!</v>
      </c>
      <c r="AN46" t="e">
        <f>'Entrada datos'!#REF!</f>
        <v>#REF!</v>
      </c>
      <c r="AO46" t="e">
        <f>'Entrada datos'!#REF!</f>
        <v>#REF!</v>
      </c>
      <c r="AP46" t="e">
        <f>'Entrada datos'!#REF!</f>
        <v>#REF!</v>
      </c>
      <c r="AQ46" t="e">
        <f>'Entrada datos'!#REF!</f>
        <v>#REF!</v>
      </c>
      <c r="AR46" s="17" t="e">
        <f t="shared" si="5"/>
        <v>#REF!</v>
      </c>
      <c r="AS46" s="23" t="e">
        <f t="shared" si="6"/>
        <v>#REF!</v>
      </c>
      <c r="AT46" t="e">
        <f t="shared" si="7"/>
        <v>#REF!</v>
      </c>
      <c r="AU46" s="40" t="e">
        <f t="shared" si="8"/>
        <v>#REF!</v>
      </c>
      <c r="AV46" t="e">
        <f t="shared" si="9"/>
        <v>#REF!</v>
      </c>
      <c r="AW46" t="e">
        <f t="shared" si="10"/>
        <v>#REF!</v>
      </c>
      <c r="AX46" s="24">
        <f t="shared" si="11"/>
        <v>0</v>
      </c>
      <c r="AY46" s="24">
        <f t="shared" si="12"/>
        <v>0</v>
      </c>
      <c r="AZ46" s="24">
        <f t="shared" si="13"/>
        <v>0</v>
      </c>
      <c r="BA46" t="e">
        <f t="shared" si="14"/>
        <v>#REF!</v>
      </c>
      <c r="BB46">
        <f t="shared" si="15"/>
        <v>0</v>
      </c>
      <c r="BC46" s="24">
        <f t="shared" si="16"/>
        <v>0</v>
      </c>
      <c r="BD46" t="e">
        <f t="shared" si="17"/>
        <v>#REF!</v>
      </c>
    </row>
    <row r="47" spans="1:56" x14ac:dyDescent="0.3">
      <c r="A47" t="e">
        <f>'Entrada datos'!#REF!</f>
        <v>#REF!</v>
      </c>
      <c r="B47" t="e">
        <f>'Entrada datos'!#REF!</f>
        <v>#REF!</v>
      </c>
      <c r="C47" t="e">
        <f>'Entrada datos'!#REF!</f>
        <v>#REF!</v>
      </c>
      <c r="D47" t="e">
        <f>'Entrada datos'!#REF!</f>
        <v>#REF!</v>
      </c>
      <c r="E47" s="18" t="e">
        <f>'Entrada datos'!#REF!</f>
        <v>#REF!</v>
      </c>
      <c r="F47" s="18" t="e">
        <f>'Entrada datos'!#REF!</f>
        <v>#REF!</v>
      </c>
      <c r="G47" t="e">
        <f>'Entrada datos'!#REF!</f>
        <v>#REF!</v>
      </c>
      <c r="H47" t="e">
        <f>'Entrada datos'!#REF!</f>
        <v>#REF!</v>
      </c>
      <c r="I47" t="e">
        <f>'Entrada datos'!#REF!</f>
        <v>#REF!</v>
      </c>
      <c r="J47" t="e">
        <f>'Entrada datos'!#REF!</f>
        <v>#REF!</v>
      </c>
      <c r="K47" t="e">
        <f>'Entrada datos'!#REF!</f>
        <v>#REF!</v>
      </c>
      <c r="L47" t="e">
        <f>'Entrada datos'!#REF!</f>
        <v>#REF!</v>
      </c>
      <c r="M47" t="e">
        <f>'Entrada datos'!#REF!</f>
        <v>#REF!</v>
      </c>
      <c r="N47" t="e">
        <f>'Entrada datos'!#REF!</f>
        <v>#REF!</v>
      </c>
      <c r="O47" t="e">
        <f>'Entrada datos'!#REF!</f>
        <v>#REF!</v>
      </c>
      <c r="P47" s="17" t="e">
        <f t="shared" si="1"/>
        <v>#REF!</v>
      </c>
      <c r="Q47" t="e">
        <f>'Entrada datos'!#REF!</f>
        <v>#REF!</v>
      </c>
      <c r="R47" t="e">
        <f>'Entrada datos'!#REF!</f>
        <v>#REF!</v>
      </c>
      <c r="S47" t="e">
        <f>'Entrada datos'!#REF!</f>
        <v>#REF!</v>
      </c>
      <c r="T47" t="e">
        <f>'Entrada datos'!#REF!</f>
        <v>#REF!</v>
      </c>
      <c r="U47" t="e">
        <f>'Entrada datos'!#REF!</f>
        <v>#REF!</v>
      </c>
      <c r="V47" t="e">
        <f>'Entrada datos'!#REF!</f>
        <v>#REF!</v>
      </c>
      <c r="W47" s="17" t="e">
        <f t="shared" si="2"/>
        <v>#REF!</v>
      </c>
      <c r="X47" t="e">
        <f>'Entrada datos'!#REF!</f>
        <v>#REF!</v>
      </c>
      <c r="Y47" t="e">
        <f>'Entrada datos'!#REF!</f>
        <v>#REF!</v>
      </c>
      <c r="Z47" t="e">
        <f>'Entrada datos'!#REF!</f>
        <v>#REF!</v>
      </c>
      <c r="AA47" t="e">
        <f>'Entrada datos'!#REF!</f>
        <v>#REF!</v>
      </c>
      <c r="AB47" t="e">
        <f>'Entrada datos'!#REF!</f>
        <v>#REF!</v>
      </c>
      <c r="AC47" t="e">
        <f>'Entrada datos'!#REF!</f>
        <v>#REF!</v>
      </c>
      <c r="AD47" s="17" t="e">
        <f t="shared" si="3"/>
        <v>#REF!</v>
      </c>
      <c r="AE47" t="e">
        <f>'Entrada datos'!#REF!</f>
        <v>#REF!</v>
      </c>
      <c r="AF47" t="e">
        <f>'Entrada datos'!#REF!</f>
        <v>#REF!</v>
      </c>
      <c r="AG47" t="e">
        <f>'Entrada datos'!#REF!</f>
        <v>#REF!</v>
      </c>
      <c r="AH47" t="e">
        <f>'Entrada datos'!#REF!</f>
        <v>#REF!</v>
      </c>
      <c r="AI47" t="e">
        <f>'Entrada datos'!#REF!</f>
        <v>#REF!</v>
      </c>
      <c r="AJ47" t="e">
        <f>'Entrada datos'!#REF!</f>
        <v>#REF!</v>
      </c>
      <c r="AK47" s="17" t="e">
        <f t="shared" si="4"/>
        <v>#REF!</v>
      </c>
      <c r="AL47" t="e">
        <f>'Entrada datos'!#REF!</f>
        <v>#REF!</v>
      </c>
      <c r="AM47" t="e">
        <f>'Entrada datos'!#REF!</f>
        <v>#REF!</v>
      </c>
      <c r="AN47" t="e">
        <f>'Entrada datos'!#REF!</f>
        <v>#REF!</v>
      </c>
      <c r="AO47" t="e">
        <f>'Entrada datos'!#REF!</f>
        <v>#REF!</v>
      </c>
      <c r="AP47" t="e">
        <f>'Entrada datos'!#REF!</f>
        <v>#REF!</v>
      </c>
      <c r="AQ47" t="e">
        <f>'Entrada datos'!#REF!</f>
        <v>#REF!</v>
      </c>
      <c r="AR47" s="17" t="e">
        <f t="shared" si="5"/>
        <v>#REF!</v>
      </c>
      <c r="AS47" s="23" t="e">
        <f t="shared" si="6"/>
        <v>#REF!</v>
      </c>
      <c r="AT47" t="e">
        <f t="shared" si="7"/>
        <v>#REF!</v>
      </c>
      <c r="AU47" s="40" t="e">
        <f t="shared" si="8"/>
        <v>#REF!</v>
      </c>
      <c r="AV47" t="e">
        <f t="shared" si="9"/>
        <v>#REF!</v>
      </c>
      <c r="AW47" t="e">
        <f t="shared" si="10"/>
        <v>#REF!</v>
      </c>
      <c r="AX47" s="24">
        <f t="shared" si="11"/>
        <v>0</v>
      </c>
      <c r="AY47" s="24">
        <f t="shared" si="12"/>
        <v>0</v>
      </c>
      <c r="AZ47" s="24">
        <f t="shared" si="13"/>
        <v>0</v>
      </c>
      <c r="BA47" t="e">
        <f t="shared" si="14"/>
        <v>#REF!</v>
      </c>
      <c r="BB47">
        <f t="shared" si="15"/>
        <v>0</v>
      </c>
      <c r="BC47" s="24">
        <f t="shared" si="16"/>
        <v>0</v>
      </c>
      <c r="BD47" t="e">
        <f t="shared" si="17"/>
        <v>#REF!</v>
      </c>
    </row>
    <row r="48" spans="1:56" x14ac:dyDescent="0.3">
      <c r="A48" t="e">
        <f>'Entrada datos'!#REF!</f>
        <v>#REF!</v>
      </c>
      <c r="B48" t="e">
        <f>'Entrada datos'!#REF!</f>
        <v>#REF!</v>
      </c>
      <c r="C48" t="e">
        <f>'Entrada datos'!#REF!</f>
        <v>#REF!</v>
      </c>
      <c r="D48" t="e">
        <f>'Entrada datos'!#REF!</f>
        <v>#REF!</v>
      </c>
      <c r="E48" s="18" t="e">
        <f>'Entrada datos'!#REF!</f>
        <v>#REF!</v>
      </c>
      <c r="F48" s="18" t="e">
        <f>'Entrada datos'!#REF!</f>
        <v>#REF!</v>
      </c>
      <c r="G48" t="e">
        <f>'Entrada datos'!#REF!</f>
        <v>#REF!</v>
      </c>
      <c r="H48" t="e">
        <f>'Entrada datos'!#REF!</f>
        <v>#REF!</v>
      </c>
      <c r="I48" t="e">
        <f>'Entrada datos'!#REF!</f>
        <v>#REF!</v>
      </c>
      <c r="J48" t="e">
        <f>'Entrada datos'!#REF!</f>
        <v>#REF!</v>
      </c>
      <c r="K48" t="e">
        <f>'Entrada datos'!#REF!</f>
        <v>#REF!</v>
      </c>
      <c r="L48" t="e">
        <f>'Entrada datos'!#REF!</f>
        <v>#REF!</v>
      </c>
      <c r="M48" t="e">
        <f>'Entrada datos'!#REF!</f>
        <v>#REF!</v>
      </c>
      <c r="N48" t="e">
        <f>'Entrada datos'!#REF!</f>
        <v>#REF!</v>
      </c>
      <c r="O48" t="e">
        <f>'Entrada datos'!#REF!</f>
        <v>#REF!</v>
      </c>
      <c r="P48" s="17" t="e">
        <f t="shared" si="1"/>
        <v>#REF!</v>
      </c>
      <c r="Q48" t="e">
        <f>'Entrada datos'!#REF!</f>
        <v>#REF!</v>
      </c>
      <c r="R48" t="e">
        <f>'Entrada datos'!#REF!</f>
        <v>#REF!</v>
      </c>
      <c r="S48" t="e">
        <f>'Entrada datos'!#REF!</f>
        <v>#REF!</v>
      </c>
      <c r="T48" t="e">
        <f>'Entrada datos'!#REF!</f>
        <v>#REF!</v>
      </c>
      <c r="U48" t="e">
        <f>'Entrada datos'!#REF!</f>
        <v>#REF!</v>
      </c>
      <c r="V48" t="e">
        <f>'Entrada datos'!#REF!</f>
        <v>#REF!</v>
      </c>
      <c r="W48" s="17" t="e">
        <f t="shared" si="2"/>
        <v>#REF!</v>
      </c>
      <c r="X48" t="e">
        <f>'Entrada datos'!#REF!</f>
        <v>#REF!</v>
      </c>
      <c r="Y48" t="e">
        <f>'Entrada datos'!#REF!</f>
        <v>#REF!</v>
      </c>
      <c r="Z48" t="e">
        <f>'Entrada datos'!#REF!</f>
        <v>#REF!</v>
      </c>
      <c r="AA48" t="e">
        <f>'Entrada datos'!#REF!</f>
        <v>#REF!</v>
      </c>
      <c r="AB48" t="e">
        <f>'Entrada datos'!#REF!</f>
        <v>#REF!</v>
      </c>
      <c r="AC48" t="e">
        <f>'Entrada datos'!#REF!</f>
        <v>#REF!</v>
      </c>
      <c r="AD48" s="17" t="e">
        <f t="shared" si="3"/>
        <v>#REF!</v>
      </c>
      <c r="AE48" t="e">
        <f>'Entrada datos'!#REF!</f>
        <v>#REF!</v>
      </c>
      <c r="AF48" t="e">
        <f>'Entrada datos'!#REF!</f>
        <v>#REF!</v>
      </c>
      <c r="AG48" t="e">
        <f>'Entrada datos'!#REF!</f>
        <v>#REF!</v>
      </c>
      <c r="AH48" t="e">
        <f>'Entrada datos'!#REF!</f>
        <v>#REF!</v>
      </c>
      <c r="AI48" t="e">
        <f>'Entrada datos'!#REF!</f>
        <v>#REF!</v>
      </c>
      <c r="AJ48" t="e">
        <f>'Entrada datos'!#REF!</f>
        <v>#REF!</v>
      </c>
      <c r="AK48" s="17" t="e">
        <f t="shared" si="4"/>
        <v>#REF!</v>
      </c>
      <c r="AL48" t="e">
        <f>'Entrada datos'!#REF!</f>
        <v>#REF!</v>
      </c>
      <c r="AM48" t="e">
        <f>'Entrada datos'!#REF!</f>
        <v>#REF!</v>
      </c>
      <c r="AN48" t="e">
        <f>'Entrada datos'!#REF!</f>
        <v>#REF!</v>
      </c>
      <c r="AO48" t="e">
        <f>'Entrada datos'!#REF!</f>
        <v>#REF!</v>
      </c>
      <c r="AP48" t="e">
        <f>'Entrada datos'!#REF!</f>
        <v>#REF!</v>
      </c>
      <c r="AQ48" t="e">
        <f>'Entrada datos'!#REF!</f>
        <v>#REF!</v>
      </c>
      <c r="AR48" s="17" t="e">
        <f t="shared" si="5"/>
        <v>#REF!</v>
      </c>
      <c r="AS48" s="23" t="e">
        <f t="shared" si="6"/>
        <v>#REF!</v>
      </c>
      <c r="AT48" t="e">
        <f t="shared" si="7"/>
        <v>#REF!</v>
      </c>
      <c r="AU48" s="40" t="e">
        <f t="shared" si="8"/>
        <v>#REF!</v>
      </c>
      <c r="AV48" t="e">
        <f t="shared" si="9"/>
        <v>#REF!</v>
      </c>
      <c r="AW48" t="e">
        <f t="shared" si="10"/>
        <v>#REF!</v>
      </c>
      <c r="AX48" s="24">
        <f t="shared" si="11"/>
        <v>0</v>
      </c>
      <c r="AY48" s="24">
        <f t="shared" si="12"/>
        <v>0</v>
      </c>
      <c r="AZ48" s="24">
        <f t="shared" si="13"/>
        <v>0</v>
      </c>
      <c r="BA48" t="e">
        <f t="shared" si="14"/>
        <v>#REF!</v>
      </c>
      <c r="BB48">
        <f t="shared" si="15"/>
        <v>0</v>
      </c>
      <c r="BC48" s="24">
        <f t="shared" si="16"/>
        <v>0</v>
      </c>
      <c r="BD48" t="e">
        <f t="shared" si="17"/>
        <v>#REF!</v>
      </c>
    </row>
    <row r="49" spans="1:56" x14ac:dyDescent="0.3">
      <c r="A49" t="e">
        <f>'Entrada datos'!#REF!</f>
        <v>#REF!</v>
      </c>
      <c r="B49" t="e">
        <f>'Entrada datos'!#REF!</f>
        <v>#REF!</v>
      </c>
      <c r="C49" t="e">
        <f>'Entrada datos'!#REF!</f>
        <v>#REF!</v>
      </c>
      <c r="D49" t="e">
        <f>'Entrada datos'!#REF!</f>
        <v>#REF!</v>
      </c>
      <c r="E49" s="18" t="e">
        <f>'Entrada datos'!#REF!</f>
        <v>#REF!</v>
      </c>
      <c r="F49" s="18" t="e">
        <f>'Entrada datos'!#REF!</f>
        <v>#REF!</v>
      </c>
      <c r="G49" t="e">
        <f>'Entrada datos'!#REF!</f>
        <v>#REF!</v>
      </c>
      <c r="H49" t="e">
        <f>'Entrada datos'!#REF!</f>
        <v>#REF!</v>
      </c>
      <c r="I49" t="e">
        <f>'Entrada datos'!#REF!</f>
        <v>#REF!</v>
      </c>
      <c r="J49" t="e">
        <f>'Entrada datos'!#REF!</f>
        <v>#REF!</v>
      </c>
      <c r="K49" t="e">
        <f>'Entrada datos'!#REF!</f>
        <v>#REF!</v>
      </c>
      <c r="L49" t="e">
        <f>'Entrada datos'!#REF!</f>
        <v>#REF!</v>
      </c>
      <c r="M49" t="e">
        <f>'Entrada datos'!#REF!</f>
        <v>#REF!</v>
      </c>
      <c r="N49" t="e">
        <f>'Entrada datos'!#REF!</f>
        <v>#REF!</v>
      </c>
      <c r="O49" t="e">
        <f>'Entrada datos'!#REF!</f>
        <v>#REF!</v>
      </c>
      <c r="P49" s="17" t="e">
        <f t="shared" si="1"/>
        <v>#REF!</v>
      </c>
      <c r="Q49" t="e">
        <f>'Entrada datos'!#REF!</f>
        <v>#REF!</v>
      </c>
      <c r="R49" t="e">
        <f>'Entrada datos'!#REF!</f>
        <v>#REF!</v>
      </c>
      <c r="S49" t="e">
        <f>'Entrada datos'!#REF!</f>
        <v>#REF!</v>
      </c>
      <c r="T49" t="e">
        <f>'Entrada datos'!#REF!</f>
        <v>#REF!</v>
      </c>
      <c r="U49" t="e">
        <f>'Entrada datos'!#REF!</f>
        <v>#REF!</v>
      </c>
      <c r="V49" t="e">
        <f>'Entrada datos'!#REF!</f>
        <v>#REF!</v>
      </c>
      <c r="W49" s="17" t="e">
        <f t="shared" si="2"/>
        <v>#REF!</v>
      </c>
      <c r="X49" t="e">
        <f>'Entrada datos'!#REF!</f>
        <v>#REF!</v>
      </c>
      <c r="Y49" t="e">
        <f>'Entrada datos'!#REF!</f>
        <v>#REF!</v>
      </c>
      <c r="Z49" t="e">
        <f>'Entrada datos'!#REF!</f>
        <v>#REF!</v>
      </c>
      <c r="AA49" t="e">
        <f>'Entrada datos'!#REF!</f>
        <v>#REF!</v>
      </c>
      <c r="AB49" t="e">
        <f>'Entrada datos'!#REF!</f>
        <v>#REF!</v>
      </c>
      <c r="AC49" t="e">
        <f>'Entrada datos'!#REF!</f>
        <v>#REF!</v>
      </c>
      <c r="AD49" s="17" t="e">
        <f t="shared" si="3"/>
        <v>#REF!</v>
      </c>
      <c r="AE49" t="e">
        <f>'Entrada datos'!#REF!</f>
        <v>#REF!</v>
      </c>
      <c r="AF49" t="e">
        <f>'Entrada datos'!#REF!</f>
        <v>#REF!</v>
      </c>
      <c r="AG49" t="e">
        <f>'Entrada datos'!#REF!</f>
        <v>#REF!</v>
      </c>
      <c r="AH49" t="e">
        <f>'Entrada datos'!#REF!</f>
        <v>#REF!</v>
      </c>
      <c r="AI49" t="e">
        <f>'Entrada datos'!#REF!</f>
        <v>#REF!</v>
      </c>
      <c r="AJ49" t="e">
        <f>'Entrada datos'!#REF!</f>
        <v>#REF!</v>
      </c>
      <c r="AK49" s="17" t="e">
        <f t="shared" si="4"/>
        <v>#REF!</v>
      </c>
      <c r="AL49" t="e">
        <f>'Entrada datos'!#REF!</f>
        <v>#REF!</v>
      </c>
      <c r="AM49" t="e">
        <f>'Entrada datos'!#REF!</f>
        <v>#REF!</v>
      </c>
      <c r="AN49" t="e">
        <f>'Entrada datos'!#REF!</f>
        <v>#REF!</v>
      </c>
      <c r="AO49" t="e">
        <f>'Entrada datos'!#REF!</f>
        <v>#REF!</v>
      </c>
      <c r="AP49" t="e">
        <f>'Entrada datos'!#REF!</f>
        <v>#REF!</v>
      </c>
      <c r="AQ49" t="e">
        <f>'Entrada datos'!#REF!</f>
        <v>#REF!</v>
      </c>
      <c r="AR49" s="17" t="e">
        <f t="shared" si="5"/>
        <v>#REF!</v>
      </c>
      <c r="AS49" s="23" t="e">
        <f t="shared" si="6"/>
        <v>#REF!</v>
      </c>
      <c r="AT49" t="e">
        <f t="shared" si="7"/>
        <v>#REF!</v>
      </c>
      <c r="AU49" s="40" t="e">
        <f t="shared" si="8"/>
        <v>#REF!</v>
      </c>
      <c r="AV49" t="e">
        <f t="shared" si="9"/>
        <v>#REF!</v>
      </c>
      <c r="AW49" t="e">
        <f t="shared" si="10"/>
        <v>#REF!</v>
      </c>
      <c r="AX49" s="24">
        <f t="shared" si="11"/>
        <v>0</v>
      </c>
      <c r="AY49" s="24">
        <f t="shared" si="12"/>
        <v>0</v>
      </c>
      <c r="AZ49" s="24">
        <f t="shared" si="13"/>
        <v>0</v>
      </c>
      <c r="BA49" t="e">
        <f t="shared" si="14"/>
        <v>#REF!</v>
      </c>
      <c r="BB49">
        <f t="shared" si="15"/>
        <v>0</v>
      </c>
      <c r="BC49" s="24">
        <f t="shared" si="16"/>
        <v>0</v>
      </c>
      <c r="BD49" t="e">
        <f t="shared" si="17"/>
        <v>#REF!</v>
      </c>
    </row>
    <row r="50" spans="1:56" x14ac:dyDescent="0.3">
      <c r="A50" t="e">
        <f>'Entrada datos'!#REF!</f>
        <v>#REF!</v>
      </c>
      <c r="B50" t="e">
        <f>'Entrada datos'!#REF!</f>
        <v>#REF!</v>
      </c>
      <c r="C50" t="e">
        <f>'Entrada datos'!#REF!</f>
        <v>#REF!</v>
      </c>
      <c r="D50" t="e">
        <f>'Entrada datos'!#REF!</f>
        <v>#REF!</v>
      </c>
      <c r="E50" s="18" t="e">
        <f>'Entrada datos'!#REF!</f>
        <v>#REF!</v>
      </c>
      <c r="F50" s="18" t="e">
        <f>'Entrada datos'!#REF!</f>
        <v>#REF!</v>
      </c>
      <c r="G50" t="e">
        <f>'Entrada datos'!#REF!</f>
        <v>#REF!</v>
      </c>
      <c r="H50" t="e">
        <f>'Entrada datos'!#REF!</f>
        <v>#REF!</v>
      </c>
      <c r="I50" t="e">
        <f>'Entrada datos'!#REF!</f>
        <v>#REF!</v>
      </c>
      <c r="J50" t="e">
        <f>'Entrada datos'!#REF!</f>
        <v>#REF!</v>
      </c>
      <c r="K50" t="e">
        <f>'Entrada datos'!#REF!</f>
        <v>#REF!</v>
      </c>
      <c r="L50" t="e">
        <f>'Entrada datos'!#REF!</f>
        <v>#REF!</v>
      </c>
      <c r="M50" t="e">
        <f>'Entrada datos'!#REF!</f>
        <v>#REF!</v>
      </c>
      <c r="N50" t="e">
        <f>'Entrada datos'!#REF!</f>
        <v>#REF!</v>
      </c>
      <c r="O50" t="e">
        <f>'Entrada datos'!#REF!</f>
        <v>#REF!</v>
      </c>
      <c r="P50" s="17" t="e">
        <f t="shared" si="1"/>
        <v>#REF!</v>
      </c>
      <c r="Q50" t="e">
        <f>'Entrada datos'!#REF!</f>
        <v>#REF!</v>
      </c>
      <c r="R50" t="e">
        <f>'Entrada datos'!#REF!</f>
        <v>#REF!</v>
      </c>
      <c r="S50" t="e">
        <f>'Entrada datos'!#REF!</f>
        <v>#REF!</v>
      </c>
      <c r="T50" t="e">
        <f>'Entrada datos'!#REF!</f>
        <v>#REF!</v>
      </c>
      <c r="U50" t="e">
        <f>'Entrada datos'!#REF!</f>
        <v>#REF!</v>
      </c>
      <c r="V50" t="e">
        <f>'Entrada datos'!#REF!</f>
        <v>#REF!</v>
      </c>
      <c r="W50" s="17" t="e">
        <f t="shared" si="2"/>
        <v>#REF!</v>
      </c>
      <c r="X50" t="e">
        <f>'Entrada datos'!#REF!</f>
        <v>#REF!</v>
      </c>
      <c r="Y50" t="e">
        <f>'Entrada datos'!#REF!</f>
        <v>#REF!</v>
      </c>
      <c r="Z50" t="e">
        <f>'Entrada datos'!#REF!</f>
        <v>#REF!</v>
      </c>
      <c r="AA50" t="e">
        <f>'Entrada datos'!#REF!</f>
        <v>#REF!</v>
      </c>
      <c r="AB50" t="e">
        <f>'Entrada datos'!#REF!</f>
        <v>#REF!</v>
      </c>
      <c r="AC50" t="e">
        <f>'Entrada datos'!#REF!</f>
        <v>#REF!</v>
      </c>
      <c r="AD50" s="17" t="e">
        <f t="shared" si="3"/>
        <v>#REF!</v>
      </c>
      <c r="AE50" t="e">
        <f>'Entrada datos'!#REF!</f>
        <v>#REF!</v>
      </c>
      <c r="AF50" t="e">
        <f>'Entrada datos'!#REF!</f>
        <v>#REF!</v>
      </c>
      <c r="AG50" t="e">
        <f>'Entrada datos'!#REF!</f>
        <v>#REF!</v>
      </c>
      <c r="AH50" t="e">
        <f>'Entrada datos'!#REF!</f>
        <v>#REF!</v>
      </c>
      <c r="AI50" t="e">
        <f>'Entrada datos'!#REF!</f>
        <v>#REF!</v>
      </c>
      <c r="AJ50" t="e">
        <f>'Entrada datos'!#REF!</f>
        <v>#REF!</v>
      </c>
      <c r="AK50" s="17" t="e">
        <f t="shared" si="4"/>
        <v>#REF!</v>
      </c>
      <c r="AL50" t="e">
        <f>'Entrada datos'!#REF!</f>
        <v>#REF!</v>
      </c>
      <c r="AM50" t="e">
        <f>'Entrada datos'!#REF!</f>
        <v>#REF!</v>
      </c>
      <c r="AN50" t="e">
        <f>'Entrada datos'!#REF!</f>
        <v>#REF!</v>
      </c>
      <c r="AO50" t="e">
        <f>'Entrada datos'!#REF!</f>
        <v>#REF!</v>
      </c>
      <c r="AP50" t="e">
        <f>'Entrada datos'!#REF!</f>
        <v>#REF!</v>
      </c>
      <c r="AQ50" t="e">
        <f>'Entrada datos'!#REF!</f>
        <v>#REF!</v>
      </c>
      <c r="AR50" s="17" t="e">
        <f t="shared" si="5"/>
        <v>#REF!</v>
      </c>
      <c r="AS50" s="23" t="e">
        <f t="shared" si="6"/>
        <v>#REF!</v>
      </c>
      <c r="AT50" t="e">
        <f t="shared" si="7"/>
        <v>#REF!</v>
      </c>
      <c r="AU50" s="40" t="e">
        <f t="shared" si="8"/>
        <v>#REF!</v>
      </c>
      <c r="AV50" t="e">
        <f t="shared" si="9"/>
        <v>#REF!</v>
      </c>
      <c r="AW50" t="e">
        <f t="shared" si="10"/>
        <v>#REF!</v>
      </c>
      <c r="AX50" s="24">
        <f t="shared" si="11"/>
        <v>0</v>
      </c>
      <c r="AY50" s="24">
        <f t="shared" si="12"/>
        <v>0</v>
      </c>
      <c r="AZ50" s="24">
        <f t="shared" si="13"/>
        <v>0</v>
      </c>
      <c r="BA50" t="e">
        <f t="shared" si="14"/>
        <v>#REF!</v>
      </c>
      <c r="BB50">
        <f t="shared" si="15"/>
        <v>0</v>
      </c>
      <c r="BC50" s="24">
        <f t="shared" si="16"/>
        <v>0</v>
      </c>
      <c r="BD50" t="e">
        <f t="shared" si="17"/>
        <v>#REF!</v>
      </c>
    </row>
    <row r="51" spans="1:56" x14ac:dyDescent="0.3">
      <c r="A51" t="e">
        <f>'Entrada datos'!#REF!</f>
        <v>#REF!</v>
      </c>
      <c r="B51" t="e">
        <f>'Entrada datos'!#REF!</f>
        <v>#REF!</v>
      </c>
      <c r="C51" t="e">
        <f>'Entrada datos'!#REF!</f>
        <v>#REF!</v>
      </c>
      <c r="D51" t="e">
        <f>'Entrada datos'!#REF!</f>
        <v>#REF!</v>
      </c>
      <c r="E51" s="18" t="e">
        <f>'Entrada datos'!#REF!</f>
        <v>#REF!</v>
      </c>
      <c r="F51" s="18" t="e">
        <f>'Entrada datos'!#REF!</f>
        <v>#REF!</v>
      </c>
      <c r="G51" t="e">
        <f>'Entrada datos'!#REF!</f>
        <v>#REF!</v>
      </c>
      <c r="H51" t="e">
        <f>'Entrada datos'!#REF!</f>
        <v>#REF!</v>
      </c>
      <c r="I51" t="e">
        <f>'Entrada datos'!#REF!</f>
        <v>#REF!</v>
      </c>
      <c r="J51" t="e">
        <f>'Entrada datos'!#REF!</f>
        <v>#REF!</v>
      </c>
      <c r="K51" t="e">
        <f>'Entrada datos'!#REF!</f>
        <v>#REF!</v>
      </c>
      <c r="L51" t="e">
        <f>'Entrada datos'!#REF!</f>
        <v>#REF!</v>
      </c>
      <c r="M51" t="e">
        <f>'Entrada datos'!#REF!</f>
        <v>#REF!</v>
      </c>
      <c r="N51" t="e">
        <f>'Entrada datos'!#REF!</f>
        <v>#REF!</v>
      </c>
      <c r="O51" t="e">
        <f>'Entrada datos'!#REF!</f>
        <v>#REF!</v>
      </c>
      <c r="P51" s="17" t="e">
        <f t="shared" si="1"/>
        <v>#REF!</v>
      </c>
      <c r="Q51" t="e">
        <f>'Entrada datos'!#REF!</f>
        <v>#REF!</v>
      </c>
      <c r="R51" t="e">
        <f>'Entrada datos'!#REF!</f>
        <v>#REF!</v>
      </c>
      <c r="S51" t="e">
        <f>'Entrada datos'!#REF!</f>
        <v>#REF!</v>
      </c>
      <c r="T51" t="e">
        <f>'Entrada datos'!#REF!</f>
        <v>#REF!</v>
      </c>
      <c r="U51" t="e">
        <f>'Entrada datos'!#REF!</f>
        <v>#REF!</v>
      </c>
      <c r="V51" t="e">
        <f>'Entrada datos'!#REF!</f>
        <v>#REF!</v>
      </c>
      <c r="W51" s="17" t="e">
        <f t="shared" si="2"/>
        <v>#REF!</v>
      </c>
      <c r="X51" t="e">
        <f>'Entrada datos'!#REF!</f>
        <v>#REF!</v>
      </c>
      <c r="Y51" t="e">
        <f>'Entrada datos'!#REF!</f>
        <v>#REF!</v>
      </c>
      <c r="Z51" t="e">
        <f>'Entrada datos'!#REF!</f>
        <v>#REF!</v>
      </c>
      <c r="AA51" t="e">
        <f>'Entrada datos'!#REF!</f>
        <v>#REF!</v>
      </c>
      <c r="AB51" t="e">
        <f>'Entrada datos'!#REF!</f>
        <v>#REF!</v>
      </c>
      <c r="AC51" t="e">
        <f>'Entrada datos'!#REF!</f>
        <v>#REF!</v>
      </c>
      <c r="AD51" s="17" t="e">
        <f t="shared" si="3"/>
        <v>#REF!</v>
      </c>
      <c r="AE51" t="e">
        <f>'Entrada datos'!#REF!</f>
        <v>#REF!</v>
      </c>
      <c r="AF51" t="e">
        <f>'Entrada datos'!#REF!</f>
        <v>#REF!</v>
      </c>
      <c r="AG51" t="e">
        <f>'Entrada datos'!#REF!</f>
        <v>#REF!</v>
      </c>
      <c r="AH51" t="e">
        <f>'Entrada datos'!#REF!</f>
        <v>#REF!</v>
      </c>
      <c r="AI51" t="e">
        <f>'Entrada datos'!#REF!</f>
        <v>#REF!</v>
      </c>
      <c r="AJ51" t="e">
        <f>'Entrada datos'!#REF!</f>
        <v>#REF!</v>
      </c>
      <c r="AK51" s="17" t="e">
        <f t="shared" si="4"/>
        <v>#REF!</v>
      </c>
      <c r="AL51" t="e">
        <f>'Entrada datos'!#REF!</f>
        <v>#REF!</v>
      </c>
      <c r="AM51" t="e">
        <f>'Entrada datos'!#REF!</f>
        <v>#REF!</v>
      </c>
      <c r="AN51" t="e">
        <f>'Entrada datos'!#REF!</f>
        <v>#REF!</v>
      </c>
      <c r="AO51" t="e">
        <f>'Entrada datos'!#REF!</f>
        <v>#REF!</v>
      </c>
      <c r="AP51" t="e">
        <f>'Entrada datos'!#REF!</f>
        <v>#REF!</v>
      </c>
      <c r="AQ51" t="e">
        <f>'Entrada datos'!#REF!</f>
        <v>#REF!</v>
      </c>
      <c r="AR51" s="17" t="e">
        <f t="shared" si="5"/>
        <v>#REF!</v>
      </c>
      <c r="AS51" s="23" t="e">
        <f t="shared" si="6"/>
        <v>#REF!</v>
      </c>
      <c r="AT51" t="e">
        <f t="shared" si="7"/>
        <v>#REF!</v>
      </c>
      <c r="AU51" s="40" t="e">
        <f t="shared" si="8"/>
        <v>#REF!</v>
      </c>
      <c r="AV51" t="e">
        <f t="shared" si="9"/>
        <v>#REF!</v>
      </c>
      <c r="AW51" t="e">
        <f t="shared" si="10"/>
        <v>#REF!</v>
      </c>
      <c r="AX51" s="24">
        <f t="shared" si="11"/>
        <v>0</v>
      </c>
      <c r="AY51" s="24">
        <f t="shared" si="12"/>
        <v>0</v>
      </c>
      <c r="AZ51" s="24">
        <f t="shared" si="13"/>
        <v>0</v>
      </c>
      <c r="BA51" t="e">
        <f t="shared" si="14"/>
        <v>#REF!</v>
      </c>
      <c r="BB51">
        <f t="shared" si="15"/>
        <v>0</v>
      </c>
      <c r="BC51" s="24">
        <f t="shared" si="16"/>
        <v>0</v>
      </c>
      <c r="BD51" t="e">
        <f t="shared" si="17"/>
        <v>#REF!</v>
      </c>
    </row>
    <row r="52" spans="1:56" x14ac:dyDescent="0.3">
      <c r="A52" t="e">
        <f>'Entrada datos'!#REF!</f>
        <v>#REF!</v>
      </c>
      <c r="B52" t="e">
        <f>'Entrada datos'!#REF!</f>
        <v>#REF!</v>
      </c>
      <c r="C52" t="e">
        <f>'Entrada datos'!#REF!</f>
        <v>#REF!</v>
      </c>
      <c r="D52" t="e">
        <f>'Entrada datos'!#REF!</f>
        <v>#REF!</v>
      </c>
      <c r="E52" s="18" t="e">
        <f>'Entrada datos'!#REF!</f>
        <v>#REF!</v>
      </c>
      <c r="F52" s="18" t="e">
        <f>'Entrada datos'!#REF!</f>
        <v>#REF!</v>
      </c>
      <c r="G52" t="e">
        <f>'Entrada datos'!#REF!</f>
        <v>#REF!</v>
      </c>
      <c r="H52" t="e">
        <f>'Entrada datos'!#REF!</f>
        <v>#REF!</v>
      </c>
      <c r="I52" t="e">
        <f>'Entrada datos'!#REF!</f>
        <v>#REF!</v>
      </c>
      <c r="J52" t="e">
        <f>'Entrada datos'!#REF!</f>
        <v>#REF!</v>
      </c>
      <c r="K52" t="e">
        <f>'Entrada datos'!#REF!</f>
        <v>#REF!</v>
      </c>
      <c r="L52" t="e">
        <f>'Entrada datos'!#REF!</f>
        <v>#REF!</v>
      </c>
      <c r="M52" t="e">
        <f>'Entrada datos'!#REF!</f>
        <v>#REF!</v>
      </c>
      <c r="N52" t="e">
        <f>'Entrada datos'!#REF!</f>
        <v>#REF!</v>
      </c>
      <c r="O52" t="e">
        <f>'Entrada datos'!#REF!</f>
        <v>#REF!</v>
      </c>
      <c r="P52" s="17" t="e">
        <f t="shared" si="1"/>
        <v>#REF!</v>
      </c>
      <c r="Q52" t="e">
        <f>'Entrada datos'!#REF!</f>
        <v>#REF!</v>
      </c>
      <c r="R52" t="e">
        <f>'Entrada datos'!#REF!</f>
        <v>#REF!</v>
      </c>
      <c r="S52" t="e">
        <f>'Entrada datos'!#REF!</f>
        <v>#REF!</v>
      </c>
      <c r="T52" t="e">
        <f>'Entrada datos'!#REF!</f>
        <v>#REF!</v>
      </c>
      <c r="U52" t="e">
        <f>'Entrada datos'!#REF!</f>
        <v>#REF!</v>
      </c>
      <c r="V52" t="e">
        <f>'Entrada datos'!#REF!</f>
        <v>#REF!</v>
      </c>
      <c r="W52" s="17" t="e">
        <f t="shared" si="2"/>
        <v>#REF!</v>
      </c>
      <c r="X52" t="e">
        <f>'Entrada datos'!#REF!</f>
        <v>#REF!</v>
      </c>
      <c r="Y52" t="e">
        <f>'Entrada datos'!#REF!</f>
        <v>#REF!</v>
      </c>
      <c r="Z52" t="e">
        <f>'Entrada datos'!#REF!</f>
        <v>#REF!</v>
      </c>
      <c r="AA52" t="e">
        <f>'Entrada datos'!#REF!</f>
        <v>#REF!</v>
      </c>
      <c r="AB52" t="e">
        <f>'Entrada datos'!#REF!</f>
        <v>#REF!</v>
      </c>
      <c r="AC52" t="e">
        <f>'Entrada datos'!#REF!</f>
        <v>#REF!</v>
      </c>
      <c r="AD52" s="17" t="e">
        <f t="shared" si="3"/>
        <v>#REF!</v>
      </c>
      <c r="AE52" t="e">
        <f>'Entrada datos'!#REF!</f>
        <v>#REF!</v>
      </c>
      <c r="AF52" t="e">
        <f>'Entrada datos'!#REF!</f>
        <v>#REF!</v>
      </c>
      <c r="AG52" t="e">
        <f>'Entrada datos'!#REF!</f>
        <v>#REF!</v>
      </c>
      <c r="AH52" t="e">
        <f>'Entrada datos'!#REF!</f>
        <v>#REF!</v>
      </c>
      <c r="AI52" t="e">
        <f>'Entrada datos'!#REF!</f>
        <v>#REF!</v>
      </c>
      <c r="AJ52" t="e">
        <f>'Entrada datos'!#REF!</f>
        <v>#REF!</v>
      </c>
      <c r="AK52" s="17" t="e">
        <f t="shared" si="4"/>
        <v>#REF!</v>
      </c>
      <c r="AL52" t="e">
        <f>'Entrada datos'!#REF!</f>
        <v>#REF!</v>
      </c>
      <c r="AM52" t="e">
        <f>'Entrada datos'!#REF!</f>
        <v>#REF!</v>
      </c>
      <c r="AN52" t="e">
        <f>'Entrada datos'!#REF!</f>
        <v>#REF!</v>
      </c>
      <c r="AO52" t="e">
        <f>'Entrada datos'!#REF!</f>
        <v>#REF!</v>
      </c>
      <c r="AP52" t="e">
        <f>'Entrada datos'!#REF!</f>
        <v>#REF!</v>
      </c>
      <c r="AQ52" t="e">
        <f>'Entrada datos'!#REF!</f>
        <v>#REF!</v>
      </c>
      <c r="AR52" s="17" t="e">
        <f t="shared" si="5"/>
        <v>#REF!</v>
      </c>
      <c r="AS52" s="23" t="e">
        <f t="shared" si="6"/>
        <v>#REF!</v>
      </c>
      <c r="AT52" t="e">
        <f t="shared" si="7"/>
        <v>#REF!</v>
      </c>
      <c r="AU52" s="40" t="e">
        <f t="shared" si="8"/>
        <v>#REF!</v>
      </c>
      <c r="AV52" t="e">
        <f t="shared" si="9"/>
        <v>#REF!</v>
      </c>
      <c r="AW52" t="e">
        <f t="shared" si="10"/>
        <v>#REF!</v>
      </c>
      <c r="AX52" s="24">
        <f t="shared" si="11"/>
        <v>0</v>
      </c>
      <c r="AY52" s="24">
        <f t="shared" si="12"/>
        <v>0</v>
      </c>
      <c r="AZ52" s="24">
        <f t="shared" si="13"/>
        <v>0</v>
      </c>
      <c r="BA52" t="e">
        <f t="shared" si="14"/>
        <v>#REF!</v>
      </c>
      <c r="BB52">
        <f t="shared" si="15"/>
        <v>0</v>
      </c>
      <c r="BC52" s="24">
        <f t="shared" si="16"/>
        <v>0</v>
      </c>
      <c r="BD52" t="e">
        <f t="shared" si="17"/>
        <v>#REF!</v>
      </c>
    </row>
    <row r="53" spans="1:56" x14ac:dyDescent="0.3">
      <c r="A53" t="e">
        <f>'Entrada datos'!#REF!</f>
        <v>#REF!</v>
      </c>
      <c r="B53" t="e">
        <f>'Entrada datos'!#REF!</f>
        <v>#REF!</v>
      </c>
      <c r="C53" t="e">
        <f>'Entrada datos'!#REF!</f>
        <v>#REF!</v>
      </c>
      <c r="D53" t="e">
        <f>'Entrada datos'!#REF!</f>
        <v>#REF!</v>
      </c>
      <c r="E53" s="18" t="e">
        <f>'Entrada datos'!#REF!</f>
        <v>#REF!</v>
      </c>
      <c r="F53" s="18" t="e">
        <f>'Entrada datos'!#REF!</f>
        <v>#REF!</v>
      </c>
      <c r="G53" t="e">
        <f>'Entrada datos'!#REF!</f>
        <v>#REF!</v>
      </c>
      <c r="H53" t="e">
        <f>'Entrada datos'!#REF!</f>
        <v>#REF!</v>
      </c>
      <c r="I53" t="e">
        <f>'Entrada datos'!#REF!</f>
        <v>#REF!</v>
      </c>
      <c r="J53" t="e">
        <f>'Entrada datos'!#REF!</f>
        <v>#REF!</v>
      </c>
      <c r="K53" t="e">
        <f>'Entrada datos'!#REF!</f>
        <v>#REF!</v>
      </c>
      <c r="L53" t="e">
        <f>'Entrada datos'!#REF!</f>
        <v>#REF!</v>
      </c>
      <c r="M53" t="e">
        <f>'Entrada datos'!#REF!</f>
        <v>#REF!</v>
      </c>
      <c r="N53" t="e">
        <f>'Entrada datos'!#REF!</f>
        <v>#REF!</v>
      </c>
      <c r="O53" t="e">
        <f>'Entrada datos'!#REF!</f>
        <v>#REF!</v>
      </c>
      <c r="P53" s="17" t="e">
        <f t="shared" si="1"/>
        <v>#REF!</v>
      </c>
      <c r="Q53" t="e">
        <f>'Entrada datos'!#REF!</f>
        <v>#REF!</v>
      </c>
      <c r="R53" t="e">
        <f>'Entrada datos'!#REF!</f>
        <v>#REF!</v>
      </c>
      <c r="S53" t="e">
        <f>'Entrada datos'!#REF!</f>
        <v>#REF!</v>
      </c>
      <c r="T53" t="e">
        <f>'Entrada datos'!#REF!</f>
        <v>#REF!</v>
      </c>
      <c r="U53" t="e">
        <f>'Entrada datos'!#REF!</f>
        <v>#REF!</v>
      </c>
      <c r="V53" t="e">
        <f>'Entrada datos'!#REF!</f>
        <v>#REF!</v>
      </c>
      <c r="W53" s="17" t="e">
        <f t="shared" si="2"/>
        <v>#REF!</v>
      </c>
      <c r="X53" t="e">
        <f>'Entrada datos'!#REF!</f>
        <v>#REF!</v>
      </c>
      <c r="Y53" t="e">
        <f>'Entrada datos'!#REF!</f>
        <v>#REF!</v>
      </c>
      <c r="Z53" t="e">
        <f>'Entrada datos'!#REF!</f>
        <v>#REF!</v>
      </c>
      <c r="AA53" t="e">
        <f>'Entrada datos'!#REF!</f>
        <v>#REF!</v>
      </c>
      <c r="AB53" t="e">
        <f>'Entrada datos'!#REF!</f>
        <v>#REF!</v>
      </c>
      <c r="AC53" t="e">
        <f>'Entrada datos'!#REF!</f>
        <v>#REF!</v>
      </c>
      <c r="AD53" s="17" t="e">
        <f t="shared" si="3"/>
        <v>#REF!</v>
      </c>
      <c r="AE53" t="e">
        <f>'Entrada datos'!#REF!</f>
        <v>#REF!</v>
      </c>
      <c r="AF53" t="e">
        <f>'Entrada datos'!#REF!</f>
        <v>#REF!</v>
      </c>
      <c r="AG53" t="e">
        <f>'Entrada datos'!#REF!</f>
        <v>#REF!</v>
      </c>
      <c r="AH53" t="e">
        <f>'Entrada datos'!#REF!</f>
        <v>#REF!</v>
      </c>
      <c r="AI53" t="e">
        <f>'Entrada datos'!#REF!</f>
        <v>#REF!</v>
      </c>
      <c r="AJ53" t="e">
        <f>'Entrada datos'!#REF!</f>
        <v>#REF!</v>
      </c>
      <c r="AK53" s="17" t="e">
        <f t="shared" si="4"/>
        <v>#REF!</v>
      </c>
      <c r="AL53" t="e">
        <f>'Entrada datos'!#REF!</f>
        <v>#REF!</v>
      </c>
      <c r="AM53" t="e">
        <f>'Entrada datos'!#REF!</f>
        <v>#REF!</v>
      </c>
      <c r="AN53" t="e">
        <f>'Entrada datos'!#REF!</f>
        <v>#REF!</v>
      </c>
      <c r="AO53" t="e">
        <f>'Entrada datos'!#REF!</f>
        <v>#REF!</v>
      </c>
      <c r="AP53" t="e">
        <f>'Entrada datos'!#REF!</f>
        <v>#REF!</v>
      </c>
      <c r="AQ53" t="e">
        <f>'Entrada datos'!#REF!</f>
        <v>#REF!</v>
      </c>
      <c r="AR53" s="17" t="e">
        <f t="shared" si="5"/>
        <v>#REF!</v>
      </c>
      <c r="AS53" s="23" t="e">
        <f t="shared" si="6"/>
        <v>#REF!</v>
      </c>
      <c r="AT53" t="e">
        <f t="shared" si="7"/>
        <v>#REF!</v>
      </c>
      <c r="AU53" s="40" t="e">
        <f t="shared" si="8"/>
        <v>#REF!</v>
      </c>
      <c r="AV53" t="e">
        <f t="shared" si="9"/>
        <v>#REF!</v>
      </c>
      <c r="AW53" t="e">
        <f t="shared" si="10"/>
        <v>#REF!</v>
      </c>
      <c r="AX53" s="24">
        <f t="shared" si="11"/>
        <v>0</v>
      </c>
      <c r="AY53" s="24">
        <f t="shared" si="12"/>
        <v>0</v>
      </c>
      <c r="AZ53" s="24">
        <f t="shared" si="13"/>
        <v>0</v>
      </c>
      <c r="BA53" t="e">
        <f t="shared" si="14"/>
        <v>#REF!</v>
      </c>
      <c r="BB53">
        <f t="shared" si="15"/>
        <v>0</v>
      </c>
      <c r="BC53" s="24">
        <f t="shared" si="16"/>
        <v>0</v>
      </c>
      <c r="BD53" t="e">
        <f t="shared" si="17"/>
        <v>#REF!</v>
      </c>
    </row>
    <row r="54" spans="1:56" x14ac:dyDescent="0.3">
      <c r="A54" t="e">
        <f>'Entrada datos'!#REF!</f>
        <v>#REF!</v>
      </c>
      <c r="B54" t="e">
        <f>'Entrada datos'!#REF!</f>
        <v>#REF!</v>
      </c>
      <c r="C54" t="e">
        <f>'Entrada datos'!#REF!</f>
        <v>#REF!</v>
      </c>
      <c r="D54" t="e">
        <f>'Entrada datos'!#REF!</f>
        <v>#REF!</v>
      </c>
      <c r="E54" s="18" t="e">
        <f>'Entrada datos'!#REF!</f>
        <v>#REF!</v>
      </c>
      <c r="F54" s="18" t="e">
        <f>'Entrada datos'!#REF!</f>
        <v>#REF!</v>
      </c>
      <c r="G54" t="e">
        <f>'Entrada datos'!#REF!</f>
        <v>#REF!</v>
      </c>
      <c r="H54" t="e">
        <f>'Entrada datos'!#REF!</f>
        <v>#REF!</v>
      </c>
      <c r="I54" t="e">
        <f>'Entrada datos'!#REF!</f>
        <v>#REF!</v>
      </c>
      <c r="J54" t="e">
        <f>'Entrada datos'!#REF!</f>
        <v>#REF!</v>
      </c>
      <c r="K54" t="e">
        <f>'Entrada datos'!#REF!</f>
        <v>#REF!</v>
      </c>
      <c r="L54" t="e">
        <f>'Entrada datos'!#REF!</f>
        <v>#REF!</v>
      </c>
      <c r="M54" t="e">
        <f>'Entrada datos'!#REF!</f>
        <v>#REF!</v>
      </c>
      <c r="N54" t="e">
        <f>'Entrada datos'!#REF!</f>
        <v>#REF!</v>
      </c>
      <c r="O54" t="e">
        <f>'Entrada datos'!#REF!</f>
        <v>#REF!</v>
      </c>
      <c r="P54" s="17" t="e">
        <f t="shared" si="1"/>
        <v>#REF!</v>
      </c>
      <c r="Q54" t="e">
        <f>'Entrada datos'!#REF!</f>
        <v>#REF!</v>
      </c>
      <c r="R54" t="e">
        <f>'Entrada datos'!#REF!</f>
        <v>#REF!</v>
      </c>
      <c r="S54" t="e">
        <f>'Entrada datos'!#REF!</f>
        <v>#REF!</v>
      </c>
      <c r="T54" t="e">
        <f>'Entrada datos'!#REF!</f>
        <v>#REF!</v>
      </c>
      <c r="U54" t="e">
        <f>'Entrada datos'!#REF!</f>
        <v>#REF!</v>
      </c>
      <c r="V54" t="e">
        <f>'Entrada datos'!#REF!</f>
        <v>#REF!</v>
      </c>
      <c r="W54" s="17" t="e">
        <f t="shared" si="2"/>
        <v>#REF!</v>
      </c>
      <c r="X54" t="e">
        <f>'Entrada datos'!#REF!</f>
        <v>#REF!</v>
      </c>
      <c r="Y54" t="e">
        <f>'Entrada datos'!#REF!</f>
        <v>#REF!</v>
      </c>
      <c r="Z54" t="e">
        <f>'Entrada datos'!#REF!</f>
        <v>#REF!</v>
      </c>
      <c r="AA54" t="e">
        <f>'Entrada datos'!#REF!</f>
        <v>#REF!</v>
      </c>
      <c r="AB54" t="e">
        <f>'Entrada datos'!#REF!</f>
        <v>#REF!</v>
      </c>
      <c r="AC54" t="e">
        <f>'Entrada datos'!#REF!</f>
        <v>#REF!</v>
      </c>
      <c r="AD54" s="17" t="e">
        <f t="shared" si="3"/>
        <v>#REF!</v>
      </c>
      <c r="AE54" t="e">
        <f>'Entrada datos'!#REF!</f>
        <v>#REF!</v>
      </c>
      <c r="AF54" t="e">
        <f>'Entrada datos'!#REF!</f>
        <v>#REF!</v>
      </c>
      <c r="AG54" t="e">
        <f>'Entrada datos'!#REF!</f>
        <v>#REF!</v>
      </c>
      <c r="AH54" t="e">
        <f>'Entrada datos'!#REF!</f>
        <v>#REF!</v>
      </c>
      <c r="AI54" t="e">
        <f>'Entrada datos'!#REF!</f>
        <v>#REF!</v>
      </c>
      <c r="AJ54" t="e">
        <f>'Entrada datos'!#REF!</f>
        <v>#REF!</v>
      </c>
      <c r="AK54" s="17" t="e">
        <f t="shared" si="4"/>
        <v>#REF!</v>
      </c>
      <c r="AL54" t="e">
        <f>'Entrada datos'!#REF!</f>
        <v>#REF!</v>
      </c>
      <c r="AM54" t="e">
        <f>'Entrada datos'!#REF!</f>
        <v>#REF!</v>
      </c>
      <c r="AN54" t="e">
        <f>'Entrada datos'!#REF!</f>
        <v>#REF!</v>
      </c>
      <c r="AO54" t="e">
        <f>'Entrada datos'!#REF!</f>
        <v>#REF!</v>
      </c>
      <c r="AP54" t="e">
        <f>'Entrada datos'!#REF!</f>
        <v>#REF!</v>
      </c>
      <c r="AQ54" t="e">
        <f>'Entrada datos'!#REF!</f>
        <v>#REF!</v>
      </c>
      <c r="AR54" s="17" t="e">
        <f t="shared" si="5"/>
        <v>#REF!</v>
      </c>
      <c r="AS54" s="23" t="e">
        <f t="shared" si="6"/>
        <v>#REF!</v>
      </c>
      <c r="AT54" t="e">
        <f t="shared" si="7"/>
        <v>#REF!</v>
      </c>
      <c r="AU54" s="40" t="e">
        <f t="shared" si="8"/>
        <v>#REF!</v>
      </c>
      <c r="AV54" t="e">
        <f t="shared" si="9"/>
        <v>#REF!</v>
      </c>
      <c r="AW54" t="e">
        <f t="shared" si="10"/>
        <v>#REF!</v>
      </c>
      <c r="AX54" s="24">
        <f t="shared" si="11"/>
        <v>0</v>
      </c>
      <c r="AY54" s="24">
        <f t="shared" si="12"/>
        <v>0</v>
      </c>
      <c r="AZ54" s="24">
        <f t="shared" si="13"/>
        <v>0</v>
      </c>
      <c r="BA54" t="e">
        <f t="shared" si="14"/>
        <v>#REF!</v>
      </c>
      <c r="BB54">
        <f t="shared" si="15"/>
        <v>0</v>
      </c>
      <c r="BC54" s="24">
        <f t="shared" si="16"/>
        <v>0</v>
      </c>
      <c r="BD54" t="e">
        <f t="shared" si="17"/>
        <v>#REF!</v>
      </c>
    </row>
    <row r="55" spans="1:56" x14ac:dyDescent="0.3">
      <c r="A55" t="e">
        <f>'Entrada datos'!#REF!</f>
        <v>#REF!</v>
      </c>
      <c r="B55" t="e">
        <f>'Entrada datos'!#REF!</f>
        <v>#REF!</v>
      </c>
      <c r="C55" t="e">
        <f>'Entrada datos'!#REF!</f>
        <v>#REF!</v>
      </c>
      <c r="D55" t="e">
        <f>'Entrada datos'!#REF!</f>
        <v>#REF!</v>
      </c>
      <c r="E55" s="18" t="e">
        <f>'Entrada datos'!#REF!</f>
        <v>#REF!</v>
      </c>
      <c r="F55" s="18" t="e">
        <f>'Entrada datos'!#REF!</f>
        <v>#REF!</v>
      </c>
      <c r="G55" t="e">
        <f>'Entrada datos'!#REF!</f>
        <v>#REF!</v>
      </c>
      <c r="H55" t="e">
        <f>'Entrada datos'!#REF!</f>
        <v>#REF!</v>
      </c>
      <c r="I55" t="e">
        <f>'Entrada datos'!#REF!</f>
        <v>#REF!</v>
      </c>
      <c r="J55" t="e">
        <f>'Entrada datos'!#REF!</f>
        <v>#REF!</v>
      </c>
      <c r="K55" t="e">
        <f>'Entrada datos'!#REF!</f>
        <v>#REF!</v>
      </c>
      <c r="L55" t="e">
        <f>'Entrada datos'!#REF!</f>
        <v>#REF!</v>
      </c>
      <c r="M55" t="e">
        <f>'Entrada datos'!#REF!</f>
        <v>#REF!</v>
      </c>
      <c r="N55" t="e">
        <f>'Entrada datos'!#REF!</f>
        <v>#REF!</v>
      </c>
      <c r="O55" t="e">
        <f>'Entrada datos'!#REF!</f>
        <v>#REF!</v>
      </c>
      <c r="P55" s="17" t="e">
        <f t="shared" si="1"/>
        <v>#REF!</v>
      </c>
      <c r="Q55" t="e">
        <f>'Entrada datos'!#REF!</f>
        <v>#REF!</v>
      </c>
      <c r="R55" t="e">
        <f>'Entrada datos'!#REF!</f>
        <v>#REF!</v>
      </c>
      <c r="S55" t="e">
        <f>'Entrada datos'!#REF!</f>
        <v>#REF!</v>
      </c>
      <c r="T55" t="e">
        <f>'Entrada datos'!#REF!</f>
        <v>#REF!</v>
      </c>
      <c r="U55" t="e">
        <f>'Entrada datos'!#REF!</f>
        <v>#REF!</v>
      </c>
      <c r="V55" t="e">
        <f>'Entrada datos'!#REF!</f>
        <v>#REF!</v>
      </c>
      <c r="W55" s="17" t="e">
        <f t="shared" si="2"/>
        <v>#REF!</v>
      </c>
      <c r="X55" t="e">
        <f>'Entrada datos'!#REF!</f>
        <v>#REF!</v>
      </c>
      <c r="Y55" t="e">
        <f>'Entrada datos'!#REF!</f>
        <v>#REF!</v>
      </c>
      <c r="Z55" t="e">
        <f>'Entrada datos'!#REF!</f>
        <v>#REF!</v>
      </c>
      <c r="AA55" t="e">
        <f>'Entrada datos'!#REF!</f>
        <v>#REF!</v>
      </c>
      <c r="AB55" t="e">
        <f>'Entrada datos'!#REF!</f>
        <v>#REF!</v>
      </c>
      <c r="AC55" t="e">
        <f>'Entrada datos'!#REF!</f>
        <v>#REF!</v>
      </c>
      <c r="AD55" s="17" t="e">
        <f t="shared" si="3"/>
        <v>#REF!</v>
      </c>
      <c r="AE55" t="e">
        <f>'Entrada datos'!#REF!</f>
        <v>#REF!</v>
      </c>
      <c r="AF55" t="e">
        <f>'Entrada datos'!#REF!</f>
        <v>#REF!</v>
      </c>
      <c r="AG55" t="e">
        <f>'Entrada datos'!#REF!</f>
        <v>#REF!</v>
      </c>
      <c r="AH55" t="e">
        <f>'Entrada datos'!#REF!</f>
        <v>#REF!</v>
      </c>
      <c r="AI55" t="e">
        <f>'Entrada datos'!#REF!</f>
        <v>#REF!</v>
      </c>
      <c r="AJ55" t="e">
        <f>'Entrada datos'!#REF!</f>
        <v>#REF!</v>
      </c>
      <c r="AK55" s="17" t="e">
        <f t="shared" si="4"/>
        <v>#REF!</v>
      </c>
      <c r="AL55" t="e">
        <f>'Entrada datos'!#REF!</f>
        <v>#REF!</v>
      </c>
      <c r="AM55" t="e">
        <f>'Entrada datos'!#REF!</f>
        <v>#REF!</v>
      </c>
      <c r="AN55" t="e">
        <f>'Entrada datos'!#REF!</f>
        <v>#REF!</v>
      </c>
      <c r="AO55" t="e">
        <f>'Entrada datos'!#REF!</f>
        <v>#REF!</v>
      </c>
      <c r="AP55" t="e">
        <f>'Entrada datos'!#REF!</f>
        <v>#REF!</v>
      </c>
      <c r="AQ55" t="e">
        <f>'Entrada datos'!#REF!</f>
        <v>#REF!</v>
      </c>
      <c r="AR55" s="17" t="e">
        <f t="shared" si="5"/>
        <v>#REF!</v>
      </c>
      <c r="AS55" s="23" t="e">
        <f t="shared" si="6"/>
        <v>#REF!</v>
      </c>
      <c r="AT55" t="e">
        <f t="shared" si="7"/>
        <v>#REF!</v>
      </c>
      <c r="AU55" s="40" t="e">
        <f t="shared" si="8"/>
        <v>#REF!</v>
      </c>
      <c r="AV55" t="e">
        <f t="shared" si="9"/>
        <v>#REF!</v>
      </c>
      <c r="AW55" t="e">
        <f t="shared" si="10"/>
        <v>#REF!</v>
      </c>
      <c r="AX55" s="24">
        <f t="shared" si="11"/>
        <v>0</v>
      </c>
      <c r="AY55" s="24">
        <f t="shared" si="12"/>
        <v>0</v>
      </c>
      <c r="AZ55" s="24">
        <f t="shared" si="13"/>
        <v>0</v>
      </c>
      <c r="BA55" t="e">
        <f t="shared" si="14"/>
        <v>#REF!</v>
      </c>
      <c r="BB55">
        <f t="shared" si="15"/>
        <v>0</v>
      </c>
      <c r="BC55" s="24">
        <f t="shared" si="16"/>
        <v>0</v>
      </c>
      <c r="BD55" t="e">
        <f t="shared" si="17"/>
        <v>#REF!</v>
      </c>
    </row>
    <row r="56" spans="1:56" x14ac:dyDescent="0.3">
      <c r="A56" t="e">
        <f>'Entrada datos'!#REF!</f>
        <v>#REF!</v>
      </c>
      <c r="B56" t="e">
        <f>'Entrada datos'!#REF!</f>
        <v>#REF!</v>
      </c>
      <c r="C56" t="e">
        <f>'Entrada datos'!#REF!</f>
        <v>#REF!</v>
      </c>
      <c r="D56" t="e">
        <f>'Entrada datos'!#REF!</f>
        <v>#REF!</v>
      </c>
      <c r="E56" s="18" t="e">
        <f>'Entrada datos'!#REF!</f>
        <v>#REF!</v>
      </c>
      <c r="F56" s="18" t="e">
        <f>'Entrada datos'!#REF!</f>
        <v>#REF!</v>
      </c>
      <c r="G56" t="e">
        <f>'Entrada datos'!#REF!</f>
        <v>#REF!</v>
      </c>
      <c r="H56" t="e">
        <f>'Entrada datos'!#REF!</f>
        <v>#REF!</v>
      </c>
      <c r="I56" t="e">
        <f>'Entrada datos'!#REF!</f>
        <v>#REF!</v>
      </c>
      <c r="J56" t="e">
        <f>'Entrada datos'!#REF!</f>
        <v>#REF!</v>
      </c>
      <c r="K56" t="e">
        <f>'Entrada datos'!#REF!</f>
        <v>#REF!</v>
      </c>
      <c r="L56" t="e">
        <f>'Entrada datos'!#REF!</f>
        <v>#REF!</v>
      </c>
      <c r="M56" t="e">
        <f>'Entrada datos'!#REF!</f>
        <v>#REF!</v>
      </c>
      <c r="N56" t="e">
        <f>'Entrada datos'!#REF!</f>
        <v>#REF!</v>
      </c>
      <c r="O56" t="e">
        <f>'Entrada datos'!#REF!</f>
        <v>#REF!</v>
      </c>
      <c r="P56" s="17" t="e">
        <f t="shared" si="1"/>
        <v>#REF!</v>
      </c>
      <c r="Q56" t="e">
        <f>'Entrada datos'!#REF!</f>
        <v>#REF!</v>
      </c>
      <c r="R56" t="e">
        <f>'Entrada datos'!#REF!</f>
        <v>#REF!</v>
      </c>
      <c r="S56" t="e">
        <f>'Entrada datos'!#REF!</f>
        <v>#REF!</v>
      </c>
      <c r="T56" t="e">
        <f>'Entrada datos'!#REF!</f>
        <v>#REF!</v>
      </c>
      <c r="U56" t="e">
        <f>'Entrada datos'!#REF!</f>
        <v>#REF!</v>
      </c>
      <c r="V56" t="e">
        <f>'Entrada datos'!#REF!</f>
        <v>#REF!</v>
      </c>
      <c r="W56" s="17" t="e">
        <f t="shared" si="2"/>
        <v>#REF!</v>
      </c>
      <c r="X56" t="e">
        <f>'Entrada datos'!#REF!</f>
        <v>#REF!</v>
      </c>
      <c r="Y56" t="e">
        <f>'Entrada datos'!#REF!</f>
        <v>#REF!</v>
      </c>
      <c r="Z56" t="e">
        <f>'Entrada datos'!#REF!</f>
        <v>#REF!</v>
      </c>
      <c r="AA56" t="e">
        <f>'Entrada datos'!#REF!</f>
        <v>#REF!</v>
      </c>
      <c r="AB56" t="e">
        <f>'Entrada datos'!#REF!</f>
        <v>#REF!</v>
      </c>
      <c r="AC56" t="e">
        <f>'Entrada datos'!#REF!</f>
        <v>#REF!</v>
      </c>
      <c r="AD56" s="17" t="e">
        <f t="shared" si="3"/>
        <v>#REF!</v>
      </c>
      <c r="AE56" t="e">
        <f>'Entrada datos'!#REF!</f>
        <v>#REF!</v>
      </c>
      <c r="AF56" t="e">
        <f>'Entrada datos'!#REF!</f>
        <v>#REF!</v>
      </c>
      <c r="AG56" t="e">
        <f>'Entrada datos'!#REF!</f>
        <v>#REF!</v>
      </c>
      <c r="AH56" t="e">
        <f>'Entrada datos'!#REF!</f>
        <v>#REF!</v>
      </c>
      <c r="AI56" t="e">
        <f>'Entrada datos'!#REF!</f>
        <v>#REF!</v>
      </c>
      <c r="AJ56" t="e">
        <f>'Entrada datos'!#REF!</f>
        <v>#REF!</v>
      </c>
      <c r="AK56" s="17" t="e">
        <f t="shared" si="4"/>
        <v>#REF!</v>
      </c>
      <c r="AL56" t="e">
        <f>'Entrada datos'!#REF!</f>
        <v>#REF!</v>
      </c>
      <c r="AM56" t="e">
        <f>'Entrada datos'!#REF!</f>
        <v>#REF!</v>
      </c>
      <c r="AN56" t="e">
        <f>'Entrada datos'!#REF!</f>
        <v>#REF!</v>
      </c>
      <c r="AO56" t="e">
        <f>'Entrada datos'!#REF!</f>
        <v>#REF!</v>
      </c>
      <c r="AP56" t="e">
        <f>'Entrada datos'!#REF!</f>
        <v>#REF!</v>
      </c>
      <c r="AQ56" t="e">
        <f>'Entrada datos'!#REF!</f>
        <v>#REF!</v>
      </c>
      <c r="AR56" s="17" t="e">
        <f t="shared" si="5"/>
        <v>#REF!</v>
      </c>
      <c r="AS56" s="23" t="e">
        <f t="shared" si="6"/>
        <v>#REF!</v>
      </c>
      <c r="AT56" t="e">
        <f t="shared" si="7"/>
        <v>#REF!</v>
      </c>
      <c r="AU56" s="40" t="e">
        <f t="shared" si="8"/>
        <v>#REF!</v>
      </c>
      <c r="AV56" t="e">
        <f t="shared" si="9"/>
        <v>#REF!</v>
      </c>
      <c r="AW56" t="e">
        <f t="shared" si="10"/>
        <v>#REF!</v>
      </c>
      <c r="AX56" s="24">
        <f t="shared" si="11"/>
        <v>0</v>
      </c>
      <c r="AY56" s="24">
        <f t="shared" si="12"/>
        <v>0</v>
      </c>
      <c r="AZ56" s="24">
        <f t="shared" si="13"/>
        <v>0</v>
      </c>
      <c r="BA56" t="e">
        <f t="shared" si="14"/>
        <v>#REF!</v>
      </c>
      <c r="BB56">
        <f t="shared" si="15"/>
        <v>0</v>
      </c>
      <c r="BC56" s="24">
        <f t="shared" si="16"/>
        <v>0</v>
      </c>
      <c r="BD56" t="e">
        <f t="shared" si="17"/>
        <v>#REF!</v>
      </c>
    </row>
    <row r="57" spans="1:56" x14ac:dyDescent="0.3">
      <c r="A57" t="e">
        <f>'Entrada datos'!#REF!</f>
        <v>#REF!</v>
      </c>
      <c r="B57" t="e">
        <f>'Entrada datos'!#REF!</f>
        <v>#REF!</v>
      </c>
      <c r="C57" t="e">
        <f>'Entrada datos'!#REF!</f>
        <v>#REF!</v>
      </c>
      <c r="D57" t="e">
        <f>'Entrada datos'!#REF!</f>
        <v>#REF!</v>
      </c>
      <c r="E57" s="18" t="e">
        <f>'Entrada datos'!#REF!</f>
        <v>#REF!</v>
      </c>
      <c r="F57" s="18" t="e">
        <f>'Entrada datos'!#REF!</f>
        <v>#REF!</v>
      </c>
      <c r="G57" t="e">
        <f>'Entrada datos'!#REF!</f>
        <v>#REF!</v>
      </c>
      <c r="H57" t="e">
        <f>'Entrada datos'!#REF!</f>
        <v>#REF!</v>
      </c>
      <c r="I57" t="e">
        <f>'Entrada datos'!#REF!</f>
        <v>#REF!</v>
      </c>
      <c r="J57" t="e">
        <f>'Entrada datos'!#REF!</f>
        <v>#REF!</v>
      </c>
      <c r="K57" t="e">
        <f>'Entrada datos'!#REF!</f>
        <v>#REF!</v>
      </c>
      <c r="L57" t="e">
        <f>'Entrada datos'!#REF!</f>
        <v>#REF!</v>
      </c>
      <c r="M57" t="e">
        <f>'Entrada datos'!#REF!</f>
        <v>#REF!</v>
      </c>
      <c r="N57" t="e">
        <f>'Entrada datos'!#REF!</f>
        <v>#REF!</v>
      </c>
      <c r="O57" t="e">
        <f>'Entrada datos'!#REF!</f>
        <v>#REF!</v>
      </c>
      <c r="P57" s="17" t="e">
        <f t="shared" si="1"/>
        <v>#REF!</v>
      </c>
      <c r="Q57" t="e">
        <f>'Entrada datos'!#REF!</f>
        <v>#REF!</v>
      </c>
      <c r="R57" t="e">
        <f>'Entrada datos'!#REF!</f>
        <v>#REF!</v>
      </c>
      <c r="S57" t="e">
        <f>'Entrada datos'!#REF!</f>
        <v>#REF!</v>
      </c>
      <c r="T57" t="e">
        <f>'Entrada datos'!#REF!</f>
        <v>#REF!</v>
      </c>
      <c r="U57" t="e">
        <f>'Entrada datos'!#REF!</f>
        <v>#REF!</v>
      </c>
      <c r="V57" t="e">
        <f>'Entrada datos'!#REF!</f>
        <v>#REF!</v>
      </c>
      <c r="W57" s="17" t="e">
        <f t="shared" si="2"/>
        <v>#REF!</v>
      </c>
      <c r="X57" t="e">
        <f>'Entrada datos'!#REF!</f>
        <v>#REF!</v>
      </c>
      <c r="Y57" t="e">
        <f>'Entrada datos'!#REF!</f>
        <v>#REF!</v>
      </c>
      <c r="Z57" t="e">
        <f>'Entrada datos'!#REF!</f>
        <v>#REF!</v>
      </c>
      <c r="AA57" t="e">
        <f>'Entrada datos'!#REF!</f>
        <v>#REF!</v>
      </c>
      <c r="AB57" t="e">
        <f>'Entrada datos'!#REF!</f>
        <v>#REF!</v>
      </c>
      <c r="AC57" t="e">
        <f>'Entrada datos'!#REF!</f>
        <v>#REF!</v>
      </c>
      <c r="AD57" s="17" t="e">
        <f t="shared" si="3"/>
        <v>#REF!</v>
      </c>
      <c r="AE57" t="e">
        <f>'Entrada datos'!#REF!</f>
        <v>#REF!</v>
      </c>
      <c r="AF57" t="e">
        <f>'Entrada datos'!#REF!</f>
        <v>#REF!</v>
      </c>
      <c r="AG57" t="e">
        <f>'Entrada datos'!#REF!</f>
        <v>#REF!</v>
      </c>
      <c r="AH57" t="e">
        <f>'Entrada datos'!#REF!</f>
        <v>#REF!</v>
      </c>
      <c r="AI57" t="e">
        <f>'Entrada datos'!#REF!</f>
        <v>#REF!</v>
      </c>
      <c r="AJ57" t="e">
        <f>'Entrada datos'!#REF!</f>
        <v>#REF!</v>
      </c>
      <c r="AK57" s="17" t="e">
        <f t="shared" si="4"/>
        <v>#REF!</v>
      </c>
      <c r="AL57" t="e">
        <f>'Entrada datos'!#REF!</f>
        <v>#REF!</v>
      </c>
      <c r="AM57" t="e">
        <f>'Entrada datos'!#REF!</f>
        <v>#REF!</v>
      </c>
      <c r="AN57" t="e">
        <f>'Entrada datos'!#REF!</f>
        <v>#REF!</v>
      </c>
      <c r="AO57" t="e">
        <f>'Entrada datos'!#REF!</f>
        <v>#REF!</v>
      </c>
      <c r="AP57" t="e">
        <f>'Entrada datos'!#REF!</f>
        <v>#REF!</v>
      </c>
      <c r="AQ57" t="e">
        <f>'Entrada datos'!#REF!</f>
        <v>#REF!</v>
      </c>
      <c r="AR57" s="17" t="e">
        <f t="shared" si="5"/>
        <v>#REF!</v>
      </c>
      <c r="AS57" s="23" t="e">
        <f t="shared" si="6"/>
        <v>#REF!</v>
      </c>
      <c r="AT57" t="e">
        <f t="shared" si="7"/>
        <v>#REF!</v>
      </c>
      <c r="AU57" s="40" t="e">
        <f t="shared" si="8"/>
        <v>#REF!</v>
      </c>
      <c r="AV57" t="e">
        <f t="shared" si="9"/>
        <v>#REF!</v>
      </c>
      <c r="AW57" t="e">
        <f t="shared" si="10"/>
        <v>#REF!</v>
      </c>
      <c r="AX57" s="24">
        <f t="shared" si="11"/>
        <v>0</v>
      </c>
      <c r="AY57" s="24">
        <f t="shared" si="12"/>
        <v>0</v>
      </c>
      <c r="AZ57" s="24">
        <f t="shared" si="13"/>
        <v>0</v>
      </c>
      <c r="BA57" t="e">
        <f t="shared" si="14"/>
        <v>#REF!</v>
      </c>
      <c r="BB57">
        <f t="shared" si="15"/>
        <v>0</v>
      </c>
      <c r="BC57" s="24">
        <f t="shared" si="16"/>
        <v>0</v>
      </c>
      <c r="BD57" t="e">
        <f t="shared" si="17"/>
        <v>#REF!</v>
      </c>
    </row>
    <row r="58" spans="1:56" x14ac:dyDescent="0.3">
      <c r="A58" t="e">
        <f>'Entrada datos'!#REF!</f>
        <v>#REF!</v>
      </c>
      <c r="B58" t="e">
        <f>'Entrada datos'!#REF!</f>
        <v>#REF!</v>
      </c>
      <c r="C58" t="e">
        <f>'Entrada datos'!#REF!</f>
        <v>#REF!</v>
      </c>
      <c r="D58" t="e">
        <f>'Entrada datos'!#REF!</f>
        <v>#REF!</v>
      </c>
      <c r="E58" s="18" t="e">
        <f>'Entrada datos'!#REF!</f>
        <v>#REF!</v>
      </c>
      <c r="F58" s="18" t="e">
        <f>'Entrada datos'!#REF!</f>
        <v>#REF!</v>
      </c>
      <c r="G58" t="e">
        <f>'Entrada datos'!#REF!</f>
        <v>#REF!</v>
      </c>
      <c r="H58" t="e">
        <f>'Entrada datos'!#REF!</f>
        <v>#REF!</v>
      </c>
      <c r="I58" t="e">
        <f>'Entrada datos'!#REF!</f>
        <v>#REF!</v>
      </c>
      <c r="J58" t="e">
        <f>'Entrada datos'!#REF!</f>
        <v>#REF!</v>
      </c>
      <c r="K58" t="e">
        <f>'Entrada datos'!#REF!</f>
        <v>#REF!</v>
      </c>
      <c r="L58" t="e">
        <f>'Entrada datos'!#REF!</f>
        <v>#REF!</v>
      </c>
      <c r="M58" t="e">
        <f>'Entrada datos'!#REF!</f>
        <v>#REF!</v>
      </c>
      <c r="N58" t="e">
        <f>'Entrada datos'!#REF!</f>
        <v>#REF!</v>
      </c>
      <c r="O58" t="e">
        <f>'Entrada datos'!#REF!</f>
        <v>#REF!</v>
      </c>
      <c r="P58" s="17" t="e">
        <f t="shared" si="1"/>
        <v>#REF!</v>
      </c>
      <c r="Q58" t="e">
        <f>'Entrada datos'!#REF!</f>
        <v>#REF!</v>
      </c>
      <c r="R58" t="e">
        <f>'Entrada datos'!#REF!</f>
        <v>#REF!</v>
      </c>
      <c r="S58" t="e">
        <f>'Entrada datos'!#REF!</f>
        <v>#REF!</v>
      </c>
      <c r="T58" t="e">
        <f>'Entrada datos'!#REF!</f>
        <v>#REF!</v>
      </c>
      <c r="U58" t="e">
        <f>'Entrada datos'!#REF!</f>
        <v>#REF!</v>
      </c>
      <c r="V58" t="e">
        <f>'Entrada datos'!#REF!</f>
        <v>#REF!</v>
      </c>
      <c r="W58" s="17" t="e">
        <f t="shared" si="2"/>
        <v>#REF!</v>
      </c>
      <c r="X58" t="e">
        <f>'Entrada datos'!#REF!</f>
        <v>#REF!</v>
      </c>
      <c r="Y58" t="e">
        <f>'Entrada datos'!#REF!</f>
        <v>#REF!</v>
      </c>
      <c r="Z58" t="e">
        <f>'Entrada datos'!#REF!</f>
        <v>#REF!</v>
      </c>
      <c r="AA58" t="e">
        <f>'Entrada datos'!#REF!</f>
        <v>#REF!</v>
      </c>
      <c r="AB58" t="e">
        <f>'Entrada datos'!#REF!</f>
        <v>#REF!</v>
      </c>
      <c r="AC58" t="e">
        <f>'Entrada datos'!#REF!</f>
        <v>#REF!</v>
      </c>
      <c r="AD58" s="17" t="e">
        <f t="shared" si="3"/>
        <v>#REF!</v>
      </c>
      <c r="AE58" t="e">
        <f>'Entrada datos'!#REF!</f>
        <v>#REF!</v>
      </c>
      <c r="AF58" t="e">
        <f>'Entrada datos'!#REF!</f>
        <v>#REF!</v>
      </c>
      <c r="AG58" t="e">
        <f>'Entrada datos'!#REF!</f>
        <v>#REF!</v>
      </c>
      <c r="AH58" t="e">
        <f>'Entrada datos'!#REF!</f>
        <v>#REF!</v>
      </c>
      <c r="AI58" t="e">
        <f>'Entrada datos'!#REF!</f>
        <v>#REF!</v>
      </c>
      <c r="AJ58" t="e">
        <f>'Entrada datos'!#REF!</f>
        <v>#REF!</v>
      </c>
      <c r="AK58" s="17" t="e">
        <f t="shared" si="4"/>
        <v>#REF!</v>
      </c>
      <c r="AL58" t="e">
        <f>'Entrada datos'!#REF!</f>
        <v>#REF!</v>
      </c>
      <c r="AM58" t="e">
        <f>'Entrada datos'!#REF!</f>
        <v>#REF!</v>
      </c>
      <c r="AN58" t="e">
        <f>'Entrada datos'!#REF!</f>
        <v>#REF!</v>
      </c>
      <c r="AO58" t="e">
        <f>'Entrada datos'!#REF!</f>
        <v>#REF!</v>
      </c>
      <c r="AP58" t="e">
        <f>'Entrada datos'!#REF!</f>
        <v>#REF!</v>
      </c>
      <c r="AQ58" t="e">
        <f>'Entrada datos'!#REF!</f>
        <v>#REF!</v>
      </c>
      <c r="AR58" s="17" t="e">
        <f t="shared" si="5"/>
        <v>#REF!</v>
      </c>
      <c r="AS58" s="23" t="e">
        <f t="shared" si="6"/>
        <v>#REF!</v>
      </c>
      <c r="AT58" t="e">
        <f t="shared" si="7"/>
        <v>#REF!</v>
      </c>
      <c r="AU58" s="40" t="e">
        <f t="shared" si="8"/>
        <v>#REF!</v>
      </c>
      <c r="AV58" t="e">
        <f t="shared" si="9"/>
        <v>#REF!</v>
      </c>
      <c r="AW58" t="e">
        <f t="shared" si="10"/>
        <v>#REF!</v>
      </c>
      <c r="AX58" s="24">
        <f t="shared" si="11"/>
        <v>0</v>
      </c>
      <c r="AY58" s="24">
        <f t="shared" si="12"/>
        <v>0</v>
      </c>
      <c r="AZ58" s="24">
        <f t="shared" si="13"/>
        <v>0</v>
      </c>
      <c r="BA58" t="e">
        <f t="shared" si="14"/>
        <v>#REF!</v>
      </c>
      <c r="BB58">
        <f t="shared" si="15"/>
        <v>0</v>
      </c>
      <c r="BC58" s="24">
        <f t="shared" si="16"/>
        <v>0</v>
      </c>
      <c r="BD58" t="e">
        <f t="shared" si="17"/>
        <v>#REF!</v>
      </c>
    </row>
    <row r="59" spans="1:56" x14ac:dyDescent="0.3">
      <c r="A59" t="e">
        <f>'Entrada datos'!#REF!</f>
        <v>#REF!</v>
      </c>
      <c r="B59" t="e">
        <f>'Entrada datos'!#REF!</f>
        <v>#REF!</v>
      </c>
      <c r="C59" t="e">
        <f>'Entrada datos'!#REF!</f>
        <v>#REF!</v>
      </c>
      <c r="D59" t="e">
        <f>'Entrada datos'!#REF!</f>
        <v>#REF!</v>
      </c>
      <c r="E59" s="18" t="e">
        <f>'Entrada datos'!#REF!</f>
        <v>#REF!</v>
      </c>
      <c r="F59" s="18" t="e">
        <f>'Entrada datos'!#REF!</f>
        <v>#REF!</v>
      </c>
      <c r="G59" t="e">
        <f>'Entrada datos'!#REF!</f>
        <v>#REF!</v>
      </c>
      <c r="H59" t="e">
        <f>'Entrada datos'!#REF!</f>
        <v>#REF!</v>
      </c>
      <c r="I59" t="e">
        <f>'Entrada datos'!#REF!</f>
        <v>#REF!</v>
      </c>
      <c r="J59" t="e">
        <f>'Entrada datos'!#REF!</f>
        <v>#REF!</v>
      </c>
      <c r="K59" t="e">
        <f>'Entrada datos'!#REF!</f>
        <v>#REF!</v>
      </c>
      <c r="L59" t="e">
        <f>'Entrada datos'!#REF!</f>
        <v>#REF!</v>
      </c>
      <c r="M59" t="e">
        <f>'Entrada datos'!#REF!</f>
        <v>#REF!</v>
      </c>
      <c r="N59" t="e">
        <f>'Entrada datos'!#REF!</f>
        <v>#REF!</v>
      </c>
      <c r="O59" t="e">
        <f>'Entrada datos'!#REF!</f>
        <v>#REF!</v>
      </c>
      <c r="P59" s="17" t="e">
        <f t="shared" si="1"/>
        <v>#REF!</v>
      </c>
      <c r="Q59" t="e">
        <f>'Entrada datos'!#REF!</f>
        <v>#REF!</v>
      </c>
      <c r="R59" t="e">
        <f>'Entrada datos'!#REF!</f>
        <v>#REF!</v>
      </c>
      <c r="S59" t="e">
        <f>'Entrada datos'!#REF!</f>
        <v>#REF!</v>
      </c>
      <c r="T59" t="e">
        <f>'Entrada datos'!#REF!</f>
        <v>#REF!</v>
      </c>
      <c r="U59" t="e">
        <f>'Entrada datos'!#REF!</f>
        <v>#REF!</v>
      </c>
      <c r="V59" t="e">
        <f>'Entrada datos'!#REF!</f>
        <v>#REF!</v>
      </c>
      <c r="W59" s="17" t="e">
        <f t="shared" si="2"/>
        <v>#REF!</v>
      </c>
      <c r="X59" t="e">
        <f>'Entrada datos'!#REF!</f>
        <v>#REF!</v>
      </c>
      <c r="Y59" t="e">
        <f>'Entrada datos'!#REF!</f>
        <v>#REF!</v>
      </c>
      <c r="Z59" t="e">
        <f>'Entrada datos'!#REF!</f>
        <v>#REF!</v>
      </c>
      <c r="AA59" t="e">
        <f>'Entrada datos'!#REF!</f>
        <v>#REF!</v>
      </c>
      <c r="AB59" t="e">
        <f>'Entrada datos'!#REF!</f>
        <v>#REF!</v>
      </c>
      <c r="AC59" t="e">
        <f>'Entrada datos'!#REF!</f>
        <v>#REF!</v>
      </c>
      <c r="AD59" s="17" t="e">
        <f t="shared" si="3"/>
        <v>#REF!</v>
      </c>
      <c r="AE59" t="e">
        <f>'Entrada datos'!#REF!</f>
        <v>#REF!</v>
      </c>
      <c r="AF59" t="e">
        <f>'Entrada datos'!#REF!</f>
        <v>#REF!</v>
      </c>
      <c r="AG59" t="e">
        <f>'Entrada datos'!#REF!</f>
        <v>#REF!</v>
      </c>
      <c r="AH59" t="e">
        <f>'Entrada datos'!#REF!</f>
        <v>#REF!</v>
      </c>
      <c r="AI59" t="e">
        <f>'Entrada datos'!#REF!</f>
        <v>#REF!</v>
      </c>
      <c r="AJ59" t="e">
        <f>'Entrada datos'!#REF!</f>
        <v>#REF!</v>
      </c>
      <c r="AK59" s="17" t="e">
        <f t="shared" si="4"/>
        <v>#REF!</v>
      </c>
      <c r="AL59" t="e">
        <f>'Entrada datos'!#REF!</f>
        <v>#REF!</v>
      </c>
      <c r="AM59" t="e">
        <f>'Entrada datos'!#REF!</f>
        <v>#REF!</v>
      </c>
      <c r="AN59" t="e">
        <f>'Entrada datos'!#REF!</f>
        <v>#REF!</v>
      </c>
      <c r="AO59" t="e">
        <f>'Entrada datos'!#REF!</f>
        <v>#REF!</v>
      </c>
      <c r="AP59" t="e">
        <f>'Entrada datos'!#REF!</f>
        <v>#REF!</v>
      </c>
      <c r="AQ59" t="e">
        <f>'Entrada datos'!#REF!</f>
        <v>#REF!</v>
      </c>
      <c r="AR59" s="17" t="e">
        <f t="shared" si="5"/>
        <v>#REF!</v>
      </c>
      <c r="AS59" s="23" t="e">
        <f t="shared" si="6"/>
        <v>#REF!</v>
      </c>
      <c r="AT59" t="e">
        <f t="shared" si="7"/>
        <v>#REF!</v>
      </c>
      <c r="AU59" s="40" t="e">
        <f t="shared" si="8"/>
        <v>#REF!</v>
      </c>
      <c r="AV59" t="e">
        <f t="shared" si="9"/>
        <v>#REF!</v>
      </c>
      <c r="AW59" t="e">
        <f t="shared" si="10"/>
        <v>#REF!</v>
      </c>
      <c r="AX59" s="24">
        <f t="shared" si="11"/>
        <v>0</v>
      </c>
      <c r="AY59" s="24">
        <f t="shared" si="12"/>
        <v>0</v>
      </c>
      <c r="AZ59" s="24">
        <f t="shared" si="13"/>
        <v>0</v>
      </c>
      <c r="BA59" t="e">
        <f t="shared" si="14"/>
        <v>#REF!</v>
      </c>
      <c r="BB59">
        <f t="shared" si="15"/>
        <v>0</v>
      </c>
      <c r="BC59" s="24">
        <f t="shared" si="16"/>
        <v>0</v>
      </c>
      <c r="BD59" t="e">
        <f t="shared" si="17"/>
        <v>#REF!</v>
      </c>
    </row>
    <row r="60" spans="1:56" x14ac:dyDescent="0.3">
      <c r="A60" t="e">
        <f>'Entrada datos'!#REF!</f>
        <v>#REF!</v>
      </c>
      <c r="B60" t="e">
        <f>'Entrada datos'!#REF!</f>
        <v>#REF!</v>
      </c>
      <c r="C60" t="e">
        <f>'Entrada datos'!#REF!</f>
        <v>#REF!</v>
      </c>
      <c r="D60" t="e">
        <f>'Entrada datos'!#REF!</f>
        <v>#REF!</v>
      </c>
      <c r="E60" s="18" t="e">
        <f>'Entrada datos'!#REF!</f>
        <v>#REF!</v>
      </c>
      <c r="F60" s="18" t="e">
        <f>'Entrada datos'!#REF!</f>
        <v>#REF!</v>
      </c>
      <c r="G60" t="e">
        <f>'Entrada datos'!#REF!</f>
        <v>#REF!</v>
      </c>
      <c r="H60" t="e">
        <f>'Entrada datos'!#REF!</f>
        <v>#REF!</v>
      </c>
      <c r="I60" t="e">
        <f>'Entrada datos'!#REF!</f>
        <v>#REF!</v>
      </c>
      <c r="J60" t="e">
        <f>'Entrada datos'!#REF!</f>
        <v>#REF!</v>
      </c>
      <c r="K60" t="e">
        <f>'Entrada datos'!#REF!</f>
        <v>#REF!</v>
      </c>
      <c r="L60" t="e">
        <f>'Entrada datos'!#REF!</f>
        <v>#REF!</v>
      </c>
      <c r="M60" t="e">
        <f>'Entrada datos'!#REF!</f>
        <v>#REF!</v>
      </c>
      <c r="N60" t="e">
        <f>'Entrada datos'!#REF!</f>
        <v>#REF!</v>
      </c>
      <c r="O60" t="e">
        <f>'Entrada datos'!#REF!</f>
        <v>#REF!</v>
      </c>
      <c r="P60" s="17" t="e">
        <f t="shared" si="1"/>
        <v>#REF!</v>
      </c>
      <c r="Q60" t="e">
        <f>'Entrada datos'!#REF!</f>
        <v>#REF!</v>
      </c>
      <c r="R60" t="e">
        <f>'Entrada datos'!#REF!</f>
        <v>#REF!</v>
      </c>
      <c r="S60" t="e">
        <f>'Entrada datos'!#REF!</f>
        <v>#REF!</v>
      </c>
      <c r="T60" t="e">
        <f>'Entrada datos'!#REF!</f>
        <v>#REF!</v>
      </c>
      <c r="U60" t="e">
        <f>'Entrada datos'!#REF!</f>
        <v>#REF!</v>
      </c>
      <c r="V60" t="e">
        <f>'Entrada datos'!#REF!</f>
        <v>#REF!</v>
      </c>
      <c r="W60" s="17" t="e">
        <f t="shared" si="2"/>
        <v>#REF!</v>
      </c>
      <c r="X60" t="e">
        <f>'Entrada datos'!#REF!</f>
        <v>#REF!</v>
      </c>
      <c r="Y60" t="e">
        <f>'Entrada datos'!#REF!</f>
        <v>#REF!</v>
      </c>
      <c r="Z60" t="e">
        <f>'Entrada datos'!#REF!</f>
        <v>#REF!</v>
      </c>
      <c r="AA60" t="e">
        <f>'Entrada datos'!#REF!</f>
        <v>#REF!</v>
      </c>
      <c r="AB60" t="e">
        <f>'Entrada datos'!#REF!</f>
        <v>#REF!</v>
      </c>
      <c r="AC60" t="e">
        <f>'Entrada datos'!#REF!</f>
        <v>#REF!</v>
      </c>
      <c r="AD60" s="17" t="e">
        <f t="shared" si="3"/>
        <v>#REF!</v>
      </c>
      <c r="AE60" t="e">
        <f>'Entrada datos'!#REF!</f>
        <v>#REF!</v>
      </c>
      <c r="AF60" t="e">
        <f>'Entrada datos'!#REF!</f>
        <v>#REF!</v>
      </c>
      <c r="AG60" t="e">
        <f>'Entrada datos'!#REF!</f>
        <v>#REF!</v>
      </c>
      <c r="AH60" t="e">
        <f>'Entrada datos'!#REF!</f>
        <v>#REF!</v>
      </c>
      <c r="AI60" t="e">
        <f>'Entrada datos'!#REF!</f>
        <v>#REF!</v>
      </c>
      <c r="AJ60" t="e">
        <f>'Entrada datos'!#REF!</f>
        <v>#REF!</v>
      </c>
      <c r="AK60" s="17" t="e">
        <f t="shared" si="4"/>
        <v>#REF!</v>
      </c>
      <c r="AL60" t="e">
        <f>'Entrada datos'!#REF!</f>
        <v>#REF!</v>
      </c>
      <c r="AM60" t="e">
        <f>'Entrada datos'!#REF!</f>
        <v>#REF!</v>
      </c>
      <c r="AN60" t="e">
        <f>'Entrada datos'!#REF!</f>
        <v>#REF!</v>
      </c>
      <c r="AO60" t="e">
        <f>'Entrada datos'!#REF!</f>
        <v>#REF!</v>
      </c>
      <c r="AP60" t="e">
        <f>'Entrada datos'!#REF!</f>
        <v>#REF!</v>
      </c>
      <c r="AQ60" t="e">
        <f>'Entrada datos'!#REF!</f>
        <v>#REF!</v>
      </c>
      <c r="AR60" s="17" t="e">
        <f t="shared" si="5"/>
        <v>#REF!</v>
      </c>
      <c r="AS60" s="23" t="e">
        <f t="shared" si="6"/>
        <v>#REF!</v>
      </c>
      <c r="AT60" t="e">
        <f t="shared" si="7"/>
        <v>#REF!</v>
      </c>
      <c r="AU60" s="40" t="e">
        <f t="shared" si="8"/>
        <v>#REF!</v>
      </c>
      <c r="AV60" t="e">
        <f t="shared" si="9"/>
        <v>#REF!</v>
      </c>
      <c r="AW60" t="e">
        <f t="shared" si="10"/>
        <v>#REF!</v>
      </c>
      <c r="AX60" s="24">
        <f t="shared" si="11"/>
        <v>0</v>
      </c>
      <c r="AY60" s="24">
        <f t="shared" si="12"/>
        <v>0</v>
      </c>
      <c r="AZ60" s="24">
        <f t="shared" si="13"/>
        <v>0</v>
      </c>
      <c r="BA60" t="e">
        <f t="shared" si="14"/>
        <v>#REF!</v>
      </c>
      <c r="BB60">
        <f t="shared" si="15"/>
        <v>0</v>
      </c>
      <c r="BC60" s="24">
        <f t="shared" si="16"/>
        <v>0</v>
      </c>
      <c r="BD60" t="e">
        <f t="shared" si="17"/>
        <v>#REF!</v>
      </c>
    </row>
    <row r="61" spans="1:56" x14ac:dyDescent="0.3">
      <c r="A61" t="e">
        <f>'Entrada datos'!#REF!</f>
        <v>#REF!</v>
      </c>
      <c r="B61" t="e">
        <f>'Entrada datos'!#REF!</f>
        <v>#REF!</v>
      </c>
      <c r="C61" t="e">
        <f>'Entrada datos'!#REF!</f>
        <v>#REF!</v>
      </c>
      <c r="D61" t="e">
        <f>'Entrada datos'!#REF!</f>
        <v>#REF!</v>
      </c>
      <c r="E61" s="18" t="e">
        <f>'Entrada datos'!#REF!</f>
        <v>#REF!</v>
      </c>
      <c r="F61" s="18" t="e">
        <f>'Entrada datos'!#REF!</f>
        <v>#REF!</v>
      </c>
      <c r="G61" t="e">
        <f>'Entrada datos'!#REF!</f>
        <v>#REF!</v>
      </c>
      <c r="H61" t="e">
        <f>'Entrada datos'!#REF!</f>
        <v>#REF!</v>
      </c>
      <c r="I61" t="e">
        <f>'Entrada datos'!#REF!</f>
        <v>#REF!</v>
      </c>
      <c r="J61" t="e">
        <f>'Entrada datos'!#REF!</f>
        <v>#REF!</v>
      </c>
      <c r="K61" t="e">
        <f>'Entrada datos'!#REF!</f>
        <v>#REF!</v>
      </c>
      <c r="L61" t="e">
        <f>'Entrada datos'!#REF!</f>
        <v>#REF!</v>
      </c>
      <c r="M61" t="e">
        <f>'Entrada datos'!#REF!</f>
        <v>#REF!</v>
      </c>
      <c r="N61" t="e">
        <f>'Entrada datos'!#REF!</f>
        <v>#REF!</v>
      </c>
      <c r="O61" t="e">
        <f>'Entrada datos'!#REF!</f>
        <v>#REF!</v>
      </c>
      <c r="P61" s="17" t="e">
        <f t="shared" si="1"/>
        <v>#REF!</v>
      </c>
      <c r="Q61" t="e">
        <f>'Entrada datos'!#REF!</f>
        <v>#REF!</v>
      </c>
      <c r="R61" t="e">
        <f>'Entrada datos'!#REF!</f>
        <v>#REF!</v>
      </c>
      <c r="S61" t="e">
        <f>'Entrada datos'!#REF!</f>
        <v>#REF!</v>
      </c>
      <c r="T61" t="e">
        <f>'Entrada datos'!#REF!</f>
        <v>#REF!</v>
      </c>
      <c r="U61" t="e">
        <f>'Entrada datos'!#REF!</f>
        <v>#REF!</v>
      </c>
      <c r="V61" t="e">
        <f>'Entrada datos'!#REF!</f>
        <v>#REF!</v>
      </c>
      <c r="W61" s="17" t="e">
        <f t="shared" si="2"/>
        <v>#REF!</v>
      </c>
      <c r="X61" t="e">
        <f>'Entrada datos'!#REF!</f>
        <v>#REF!</v>
      </c>
      <c r="Y61" t="e">
        <f>'Entrada datos'!#REF!</f>
        <v>#REF!</v>
      </c>
      <c r="Z61" t="e">
        <f>'Entrada datos'!#REF!</f>
        <v>#REF!</v>
      </c>
      <c r="AA61" t="e">
        <f>'Entrada datos'!#REF!</f>
        <v>#REF!</v>
      </c>
      <c r="AB61" t="e">
        <f>'Entrada datos'!#REF!</f>
        <v>#REF!</v>
      </c>
      <c r="AC61" t="e">
        <f>'Entrada datos'!#REF!</f>
        <v>#REF!</v>
      </c>
      <c r="AD61" s="17" t="e">
        <f t="shared" si="3"/>
        <v>#REF!</v>
      </c>
      <c r="AE61" t="e">
        <f>'Entrada datos'!#REF!</f>
        <v>#REF!</v>
      </c>
      <c r="AF61" t="e">
        <f>'Entrada datos'!#REF!</f>
        <v>#REF!</v>
      </c>
      <c r="AG61" t="e">
        <f>'Entrada datos'!#REF!</f>
        <v>#REF!</v>
      </c>
      <c r="AH61" t="e">
        <f>'Entrada datos'!#REF!</f>
        <v>#REF!</v>
      </c>
      <c r="AI61" t="e">
        <f>'Entrada datos'!#REF!</f>
        <v>#REF!</v>
      </c>
      <c r="AJ61" t="e">
        <f>'Entrada datos'!#REF!</f>
        <v>#REF!</v>
      </c>
      <c r="AK61" s="17" t="e">
        <f t="shared" si="4"/>
        <v>#REF!</v>
      </c>
      <c r="AL61" t="e">
        <f>'Entrada datos'!#REF!</f>
        <v>#REF!</v>
      </c>
      <c r="AM61" t="e">
        <f>'Entrada datos'!#REF!</f>
        <v>#REF!</v>
      </c>
      <c r="AN61" t="e">
        <f>'Entrada datos'!#REF!</f>
        <v>#REF!</v>
      </c>
      <c r="AO61" t="e">
        <f>'Entrada datos'!#REF!</f>
        <v>#REF!</v>
      </c>
      <c r="AP61" t="e">
        <f>'Entrada datos'!#REF!</f>
        <v>#REF!</v>
      </c>
      <c r="AQ61" t="e">
        <f>'Entrada datos'!#REF!</f>
        <v>#REF!</v>
      </c>
      <c r="AR61" s="17" t="e">
        <f t="shared" si="5"/>
        <v>#REF!</v>
      </c>
      <c r="AS61" s="23" t="e">
        <f t="shared" si="6"/>
        <v>#REF!</v>
      </c>
      <c r="AT61" t="e">
        <f t="shared" si="7"/>
        <v>#REF!</v>
      </c>
      <c r="AU61" s="40" t="e">
        <f t="shared" si="8"/>
        <v>#REF!</v>
      </c>
      <c r="AV61" t="e">
        <f t="shared" si="9"/>
        <v>#REF!</v>
      </c>
      <c r="AW61" t="e">
        <f t="shared" si="10"/>
        <v>#REF!</v>
      </c>
      <c r="AX61" s="24">
        <f t="shared" si="11"/>
        <v>0</v>
      </c>
      <c r="AY61" s="24">
        <f t="shared" si="12"/>
        <v>0</v>
      </c>
      <c r="AZ61" s="24">
        <f t="shared" si="13"/>
        <v>0</v>
      </c>
      <c r="BA61" t="e">
        <f t="shared" si="14"/>
        <v>#REF!</v>
      </c>
      <c r="BB61">
        <f t="shared" si="15"/>
        <v>0</v>
      </c>
      <c r="BC61" s="24">
        <f t="shared" si="16"/>
        <v>0</v>
      </c>
      <c r="BD61" t="e">
        <f t="shared" si="17"/>
        <v>#REF!</v>
      </c>
    </row>
    <row r="62" spans="1:56" x14ac:dyDescent="0.3">
      <c r="A62" t="e">
        <f>'Entrada datos'!#REF!</f>
        <v>#REF!</v>
      </c>
      <c r="B62" t="e">
        <f>'Entrada datos'!#REF!</f>
        <v>#REF!</v>
      </c>
      <c r="C62" t="e">
        <f>'Entrada datos'!#REF!</f>
        <v>#REF!</v>
      </c>
      <c r="D62" t="e">
        <f>'Entrada datos'!#REF!</f>
        <v>#REF!</v>
      </c>
      <c r="E62" s="18" t="e">
        <f>'Entrada datos'!#REF!</f>
        <v>#REF!</v>
      </c>
      <c r="F62" s="18" t="e">
        <f>'Entrada datos'!#REF!</f>
        <v>#REF!</v>
      </c>
      <c r="G62" t="e">
        <f>'Entrada datos'!#REF!</f>
        <v>#REF!</v>
      </c>
      <c r="H62" t="e">
        <f>'Entrada datos'!#REF!</f>
        <v>#REF!</v>
      </c>
      <c r="I62" t="e">
        <f>'Entrada datos'!#REF!</f>
        <v>#REF!</v>
      </c>
      <c r="J62" t="e">
        <f>'Entrada datos'!#REF!</f>
        <v>#REF!</v>
      </c>
      <c r="K62" t="e">
        <f>'Entrada datos'!#REF!</f>
        <v>#REF!</v>
      </c>
      <c r="L62" t="e">
        <f>'Entrada datos'!#REF!</f>
        <v>#REF!</v>
      </c>
      <c r="M62" t="e">
        <f>'Entrada datos'!#REF!</f>
        <v>#REF!</v>
      </c>
      <c r="N62" t="e">
        <f>'Entrada datos'!#REF!</f>
        <v>#REF!</v>
      </c>
      <c r="O62" t="e">
        <f>'Entrada datos'!#REF!</f>
        <v>#REF!</v>
      </c>
      <c r="P62" s="17" t="e">
        <f t="shared" si="1"/>
        <v>#REF!</v>
      </c>
      <c r="Q62" t="e">
        <f>'Entrada datos'!#REF!</f>
        <v>#REF!</v>
      </c>
      <c r="R62" t="e">
        <f>'Entrada datos'!#REF!</f>
        <v>#REF!</v>
      </c>
      <c r="S62" t="e">
        <f>'Entrada datos'!#REF!</f>
        <v>#REF!</v>
      </c>
      <c r="T62" t="e">
        <f>'Entrada datos'!#REF!</f>
        <v>#REF!</v>
      </c>
      <c r="U62" t="e">
        <f>'Entrada datos'!#REF!</f>
        <v>#REF!</v>
      </c>
      <c r="V62" t="e">
        <f>'Entrada datos'!#REF!</f>
        <v>#REF!</v>
      </c>
      <c r="W62" s="17" t="e">
        <f t="shared" si="2"/>
        <v>#REF!</v>
      </c>
      <c r="X62" t="e">
        <f>'Entrada datos'!#REF!</f>
        <v>#REF!</v>
      </c>
      <c r="Y62" t="e">
        <f>'Entrada datos'!#REF!</f>
        <v>#REF!</v>
      </c>
      <c r="Z62" t="e">
        <f>'Entrada datos'!#REF!</f>
        <v>#REF!</v>
      </c>
      <c r="AA62" t="e">
        <f>'Entrada datos'!#REF!</f>
        <v>#REF!</v>
      </c>
      <c r="AB62" t="e">
        <f>'Entrada datos'!#REF!</f>
        <v>#REF!</v>
      </c>
      <c r="AC62" t="e">
        <f>'Entrada datos'!#REF!</f>
        <v>#REF!</v>
      </c>
      <c r="AD62" s="17" t="e">
        <f t="shared" si="3"/>
        <v>#REF!</v>
      </c>
      <c r="AE62" t="e">
        <f>'Entrada datos'!#REF!</f>
        <v>#REF!</v>
      </c>
      <c r="AF62" t="e">
        <f>'Entrada datos'!#REF!</f>
        <v>#REF!</v>
      </c>
      <c r="AG62" t="e">
        <f>'Entrada datos'!#REF!</f>
        <v>#REF!</v>
      </c>
      <c r="AH62" t="e">
        <f>'Entrada datos'!#REF!</f>
        <v>#REF!</v>
      </c>
      <c r="AI62" t="e">
        <f>'Entrada datos'!#REF!</f>
        <v>#REF!</v>
      </c>
      <c r="AJ62" t="e">
        <f>'Entrada datos'!#REF!</f>
        <v>#REF!</v>
      </c>
      <c r="AK62" s="17" t="e">
        <f t="shared" si="4"/>
        <v>#REF!</v>
      </c>
      <c r="AL62" t="e">
        <f>'Entrada datos'!#REF!</f>
        <v>#REF!</v>
      </c>
      <c r="AM62" t="e">
        <f>'Entrada datos'!#REF!</f>
        <v>#REF!</v>
      </c>
      <c r="AN62" t="e">
        <f>'Entrada datos'!#REF!</f>
        <v>#REF!</v>
      </c>
      <c r="AO62" t="e">
        <f>'Entrada datos'!#REF!</f>
        <v>#REF!</v>
      </c>
      <c r="AP62" t="e">
        <f>'Entrada datos'!#REF!</f>
        <v>#REF!</v>
      </c>
      <c r="AQ62" t="e">
        <f>'Entrada datos'!#REF!</f>
        <v>#REF!</v>
      </c>
      <c r="AR62" s="17" t="e">
        <f t="shared" si="5"/>
        <v>#REF!</v>
      </c>
      <c r="AS62" s="23" t="e">
        <f t="shared" si="6"/>
        <v>#REF!</v>
      </c>
      <c r="AT62" t="e">
        <f t="shared" si="7"/>
        <v>#REF!</v>
      </c>
      <c r="AU62" s="40" t="e">
        <f t="shared" si="8"/>
        <v>#REF!</v>
      </c>
      <c r="AV62" t="e">
        <f t="shared" si="9"/>
        <v>#REF!</v>
      </c>
      <c r="AW62" t="e">
        <f t="shared" si="10"/>
        <v>#REF!</v>
      </c>
      <c r="AX62" s="24">
        <f t="shared" si="11"/>
        <v>0</v>
      </c>
      <c r="AY62" s="24">
        <f t="shared" si="12"/>
        <v>0</v>
      </c>
      <c r="AZ62" s="24">
        <f t="shared" si="13"/>
        <v>0</v>
      </c>
      <c r="BA62" t="e">
        <f t="shared" si="14"/>
        <v>#REF!</v>
      </c>
      <c r="BB62">
        <f t="shared" si="15"/>
        <v>0</v>
      </c>
      <c r="BC62" s="24">
        <f t="shared" si="16"/>
        <v>0</v>
      </c>
      <c r="BD62" t="e">
        <f t="shared" si="17"/>
        <v>#REF!</v>
      </c>
    </row>
    <row r="63" spans="1:56" x14ac:dyDescent="0.3">
      <c r="A63" t="e">
        <f>'Entrada datos'!#REF!</f>
        <v>#REF!</v>
      </c>
      <c r="B63" t="e">
        <f>'Entrada datos'!#REF!</f>
        <v>#REF!</v>
      </c>
      <c r="C63" t="e">
        <f>'Entrada datos'!#REF!</f>
        <v>#REF!</v>
      </c>
      <c r="D63" t="e">
        <f>'Entrada datos'!#REF!</f>
        <v>#REF!</v>
      </c>
      <c r="E63" s="18" t="e">
        <f>'Entrada datos'!#REF!</f>
        <v>#REF!</v>
      </c>
      <c r="F63" s="18" t="e">
        <f>'Entrada datos'!#REF!</f>
        <v>#REF!</v>
      </c>
      <c r="G63" t="e">
        <f>'Entrada datos'!#REF!</f>
        <v>#REF!</v>
      </c>
      <c r="H63" t="e">
        <f>'Entrada datos'!#REF!</f>
        <v>#REF!</v>
      </c>
      <c r="I63" t="e">
        <f>'Entrada datos'!#REF!</f>
        <v>#REF!</v>
      </c>
      <c r="J63" t="e">
        <f>'Entrada datos'!#REF!</f>
        <v>#REF!</v>
      </c>
      <c r="K63" t="e">
        <f>'Entrada datos'!#REF!</f>
        <v>#REF!</v>
      </c>
      <c r="L63" t="e">
        <f>'Entrada datos'!#REF!</f>
        <v>#REF!</v>
      </c>
      <c r="M63" t="e">
        <f>'Entrada datos'!#REF!</f>
        <v>#REF!</v>
      </c>
      <c r="N63" t="e">
        <f>'Entrada datos'!#REF!</f>
        <v>#REF!</v>
      </c>
      <c r="O63" t="e">
        <f>'Entrada datos'!#REF!</f>
        <v>#REF!</v>
      </c>
      <c r="P63" s="17" t="e">
        <f t="shared" si="1"/>
        <v>#REF!</v>
      </c>
      <c r="Q63" t="e">
        <f>'Entrada datos'!#REF!</f>
        <v>#REF!</v>
      </c>
      <c r="R63" t="e">
        <f>'Entrada datos'!#REF!</f>
        <v>#REF!</v>
      </c>
      <c r="S63" t="e">
        <f>'Entrada datos'!#REF!</f>
        <v>#REF!</v>
      </c>
      <c r="T63" t="e">
        <f>'Entrada datos'!#REF!</f>
        <v>#REF!</v>
      </c>
      <c r="U63" t="e">
        <f>'Entrada datos'!#REF!</f>
        <v>#REF!</v>
      </c>
      <c r="V63" t="e">
        <f>'Entrada datos'!#REF!</f>
        <v>#REF!</v>
      </c>
      <c r="W63" s="17" t="e">
        <f t="shared" si="2"/>
        <v>#REF!</v>
      </c>
      <c r="X63" t="e">
        <f>'Entrada datos'!#REF!</f>
        <v>#REF!</v>
      </c>
      <c r="Y63" t="e">
        <f>'Entrada datos'!#REF!</f>
        <v>#REF!</v>
      </c>
      <c r="Z63" t="e">
        <f>'Entrada datos'!#REF!</f>
        <v>#REF!</v>
      </c>
      <c r="AA63" t="e">
        <f>'Entrada datos'!#REF!</f>
        <v>#REF!</v>
      </c>
      <c r="AB63" t="e">
        <f>'Entrada datos'!#REF!</f>
        <v>#REF!</v>
      </c>
      <c r="AC63" t="e">
        <f>'Entrada datos'!#REF!</f>
        <v>#REF!</v>
      </c>
      <c r="AD63" s="17" t="e">
        <f t="shared" si="3"/>
        <v>#REF!</v>
      </c>
      <c r="AE63" t="e">
        <f>'Entrada datos'!#REF!</f>
        <v>#REF!</v>
      </c>
      <c r="AF63" t="e">
        <f>'Entrada datos'!#REF!</f>
        <v>#REF!</v>
      </c>
      <c r="AG63" t="e">
        <f>'Entrada datos'!#REF!</f>
        <v>#REF!</v>
      </c>
      <c r="AH63" t="e">
        <f>'Entrada datos'!#REF!</f>
        <v>#REF!</v>
      </c>
      <c r="AI63" t="e">
        <f>'Entrada datos'!#REF!</f>
        <v>#REF!</v>
      </c>
      <c r="AJ63" t="e">
        <f>'Entrada datos'!#REF!</f>
        <v>#REF!</v>
      </c>
      <c r="AK63" s="17" t="e">
        <f t="shared" si="4"/>
        <v>#REF!</v>
      </c>
      <c r="AL63" t="e">
        <f>'Entrada datos'!#REF!</f>
        <v>#REF!</v>
      </c>
      <c r="AM63" t="e">
        <f>'Entrada datos'!#REF!</f>
        <v>#REF!</v>
      </c>
      <c r="AN63" t="e">
        <f>'Entrada datos'!#REF!</f>
        <v>#REF!</v>
      </c>
      <c r="AO63" t="e">
        <f>'Entrada datos'!#REF!</f>
        <v>#REF!</v>
      </c>
      <c r="AP63" t="e">
        <f>'Entrada datos'!#REF!</f>
        <v>#REF!</v>
      </c>
      <c r="AQ63" t="e">
        <f>'Entrada datos'!#REF!</f>
        <v>#REF!</v>
      </c>
      <c r="AR63" s="17" t="e">
        <f t="shared" si="5"/>
        <v>#REF!</v>
      </c>
      <c r="AS63" s="23" t="e">
        <f t="shared" si="6"/>
        <v>#REF!</v>
      </c>
      <c r="AT63" t="e">
        <f t="shared" si="7"/>
        <v>#REF!</v>
      </c>
      <c r="AU63" s="40" t="e">
        <f t="shared" si="8"/>
        <v>#REF!</v>
      </c>
      <c r="AV63" t="e">
        <f t="shared" si="9"/>
        <v>#REF!</v>
      </c>
      <c r="AW63" t="e">
        <f t="shared" si="10"/>
        <v>#REF!</v>
      </c>
      <c r="AX63" s="24">
        <f t="shared" si="11"/>
        <v>0</v>
      </c>
      <c r="AY63" s="24">
        <f t="shared" si="12"/>
        <v>0</v>
      </c>
      <c r="AZ63" s="24">
        <f t="shared" si="13"/>
        <v>0</v>
      </c>
      <c r="BA63" t="e">
        <f t="shared" si="14"/>
        <v>#REF!</v>
      </c>
      <c r="BB63">
        <f t="shared" si="15"/>
        <v>0</v>
      </c>
      <c r="BC63" s="24">
        <f t="shared" si="16"/>
        <v>0</v>
      </c>
      <c r="BD63" t="e">
        <f t="shared" si="17"/>
        <v>#REF!</v>
      </c>
    </row>
    <row r="64" spans="1:56" x14ac:dyDescent="0.3">
      <c r="A64" t="e">
        <f>'Entrada datos'!#REF!</f>
        <v>#REF!</v>
      </c>
      <c r="B64" t="e">
        <f>'Entrada datos'!#REF!</f>
        <v>#REF!</v>
      </c>
      <c r="C64" t="e">
        <f>'Entrada datos'!#REF!</f>
        <v>#REF!</v>
      </c>
      <c r="D64" t="e">
        <f>'Entrada datos'!#REF!</f>
        <v>#REF!</v>
      </c>
      <c r="E64" s="18" t="e">
        <f>'Entrada datos'!#REF!</f>
        <v>#REF!</v>
      </c>
      <c r="F64" s="18" t="e">
        <f>'Entrada datos'!#REF!</f>
        <v>#REF!</v>
      </c>
      <c r="G64" t="e">
        <f>'Entrada datos'!#REF!</f>
        <v>#REF!</v>
      </c>
      <c r="H64" t="e">
        <f>'Entrada datos'!#REF!</f>
        <v>#REF!</v>
      </c>
      <c r="I64" t="e">
        <f>'Entrada datos'!#REF!</f>
        <v>#REF!</v>
      </c>
      <c r="J64" t="e">
        <f>'Entrada datos'!#REF!</f>
        <v>#REF!</v>
      </c>
      <c r="K64" t="e">
        <f>'Entrada datos'!#REF!</f>
        <v>#REF!</v>
      </c>
      <c r="L64" t="e">
        <f>'Entrada datos'!#REF!</f>
        <v>#REF!</v>
      </c>
      <c r="M64" t="e">
        <f>'Entrada datos'!#REF!</f>
        <v>#REF!</v>
      </c>
      <c r="N64" t="e">
        <f>'Entrada datos'!#REF!</f>
        <v>#REF!</v>
      </c>
      <c r="O64" t="e">
        <f>'Entrada datos'!#REF!</f>
        <v>#REF!</v>
      </c>
      <c r="P64" s="17" t="e">
        <f t="shared" si="1"/>
        <v>#REF!</v>
      </c>
      <c r="Q64" t="e">
        <f>'Entrada datos'!#REF!</f>
        <v>#REF!</v>
      </c>
      <c r="R64" t="e">
        <f>'Entrada datos'!#REF!</f>
        <v>#REF!</v>
      </c>
      <c r="S64" t="e">
        <f>'Entrada datos'!#REF!</f>
        <v>#REF!</v>
      </c>
      <c r="T64" t="e">
        <f>'Entrada datos'!#REF!</f>
        <v>#REF!</v>
      </c>
      <c r="U64" t="e">
        <f>'Entrada datos'!#REF!</f>
        <v>#REF!</v>
      </c>
      <c r="V64" t="e">
        <f>'Entrada datos'!#REF!</f>
        <v>#REF!</v>
      </c>
      <c r="W64" s="17" t="e">
        <f t="shared" si="2"/>
        <v>#REF!</v>
      </c>
      <c r="X64" t="e">
        <f>'Entrada datos'!#REF!</f>
        <v>#REF!</v>
      </c>
      <c r="Y64" t="e">
        <f>'Entrada datos'!#REF!</f>
        <v>#REF!</v>
      </c>
      <c r="Z64" t="e">
        <f>'Entrada datos'!#REF!</f>
        <v>#REF!</v>
      </c>
      <c r="AA64" t="e">
        <f>'Entrada datos'!#REF!</f>
        <v>#REF!</v>
      </c>
      <c r="AB64" t="e">
        <f>'Entrada datos'!#REF!</f>
        <v>#REF!</v>
      </c>
      <c r="AC64" t="e">
        <f>'Entrada datos'!#REF!</f>
        <v>#REF!</v>
      </c>
      <c r="AD64" s="17" t="e">
        <f t="shared" si="3"/>
        <v>#REF!</v>
      </c>
      <c r="AE64" t="e">
        <f>'Entrada datos'!#REF!</f>
        <v>#REF!</v>
      </c>
      <c r="AF64" t="e">
        <f>'Entrada datos'!#REF!</f>
        <v>#REF!</v>
      </c>
      <c r="AG64" t="e">
        <f>'Entrada datos'!#REF!</f>
        <v>#REF!</v>
      </c>
      <c r="AH64" t="e">
        <f>'Entrada datos'!#REF!</f>
        <v>#REF!</v>
      </c>
      <c r="AI64" t="e">
        <f>'Entrada datos'!#REF!</f>
        <v>#REF!</v>
      </c>
      <c r="AJ64" t="e">
        <f>'Entrada datos'!#REF!</f>
        <v>#REF!</v>
      </c>
      <c r="AK64" s="17" t="e">
        <f t="shared" si="4"/>
        <v>#REF!</v>
      </c>
      <c r="AL64" t="e">
        <f>'Entrada datos'!#REF!</f>
        <v>#REF!</v>
      </c>
      <c r="AM64" t="e">
        <f>'Entrada datos'!#REF!</f>
        <v>#REF!</v>
      </c>
      <c r="AN64" t="e">
        <f>'Entrada datos'!#REF!</f>
        <v>#REF!</v>
      </c>
      <c r="AO64" t="e">
        <f>'Entrada datos'!#REF!</f>
        <v>#REF!</v>
      </c>
      <c r="AP64" t="e">
        <f>'Entrada datos'!#REF!</f>
        <v>#REF!</v>
      </c>
      <c r="AQ64" t="e">
        <f>'Entrada datos'!#REF!</f>
        <v>#REF!</v>
      </c>
      <c r="AR64" s="17" t="e">
        <f t="shared" si="5"/>
        <v>#REF!</v>
      </c>
      <c r="AS64" s="23" t="e">
        <f t="shared" si="6"/>
        <v>#REF!</v>
      </c>
      <c r="AT64" t="e">
        <f t="shared" si="7"/>
        <v>#REF!</v>
      </c>
      <c r="AU64" s="40" t="e">
        <f t="shared" si="8"/>
        <v>#REF!</v>
      </c>
      <c r="AV64" t="e">
        <f t="shared" si="9"/>
        <v>#REF!</v>
      </c>
      <c r="AW64" t="e">
        <f t="shared" si="10"/>
        <v>#REF!</v>
      </c>
      <c r="AX64" s="24">
        <f t="shared" si="11"/>
        <v>0</v>
      </c>
      <c r="AY64" s="24">
        <f t="shared" si="12"/>
        <v>0</v>
      </c>
      <c r="AZ64" s="24">
        <f t="shared" si="13"/>
        <v>0</v>
      </c>
      <c r="BA64" t="e">
        <f t="shared" si="14"/>
        <v>#REF!</v>
      </c>
      <c r="BB64">
        <f t="shared" si="15"/>
        <v>0</v>
      </c>
      <c r="BC64" s="24">
        <f t="shared" si="16"/>
        <v>0</v>
      </c>
      <c r="BD64" t="e">
        <f t="shared" si="17"/>
        <v>#REF!</v>
      </c>
    </row>
    <row r="65" spans="1:56" x14ac:dyDescent="0.3">
      <c r="A65" t="e">
        <f>'Entrada datos'!#REF!</f>
        <v>#REF!</v>
      </c>
      <c r="B65" t="e">
        <f>'Entrada datos'!#REF!</f>
        <v>#REF!</v>
      </c>
      <c r="C65" t="e">
        <f>'Entrada datos'!#REF!</f>
        <v>#REF!</v>
      </c>
      <c r="D65" t="e">
        <f>'Entrada datos'!#REF!</f>
        <v>#REF!</v>
      </c>
      <c r="E65" s="18" t="e">
        <f>'Entrada datos'!#REF!</f>
        <v>#REF!</v>
      </c>
      <c r="F65" s="18" t="e">
        <f>'Entrada datos'!#REF!</f>
        <v>#REF!</v>
      </c>
      <c r="G65" t="e">
        <f>'Entrada datos'!#REF!</f>
        <v>#REF!</v>
      </c>
      <c r="H65" t="e">
        <f>'Entrada datos'!#REF!</f>
        <v>#REF!</v>
      </c>
      <c r="I65" t="e">
        <f>'Entrada datos'!#REF!</f>
        <v>#REF!</v>
      </c>
      <c r="J65" t="e">
        <f>'Entrada datos'!#REF!</f>
        <v>#REF!</v>
      </c>
      <c r="K65" t="e">
        <f>'Entrada datos'!#REF!</f>
        <v>#REF!</v>
      </c>
      <c r="L65" t="e">
        <f>'Entrada datos'!#REF!</f>
        <v>#REF!</v>
      </c>
      <c r="M65" t="e">
        <f>'Entrada datos'!#REF!</f>
        <v>#REF!</v>
      </c>
      <c r="N65" t="e">
        <f>'Entrada datos'!#REF!</f>
        <v>#REF!</v>
      </c>
      <c r="O65" t="e">
        <f>'Entrada datos'!#REF!</f>
        <v>#REF!</v>
      </c>
      <c r="P65" s="17" t="e">
        <f t="shared" si="1"/>
        <v>#REF!</v>
      </c>
      <c r="Q65" t="e">
        <f>'Entrada datos'!#REF!</f>
        <v>#REF!</v>
      </c>
      <c r="R65" t="e">
        <f>'Entrada datos'!#REF!</f>
        <v>#REF!</v>
      </c>
      <c r="S65" t="e">
        <f>'Entrada datos'!#REF!</f>
        <v>#REF!</v>
      </c>
      <c r="T65" t="e">
        <f>'Entrada datos'!#REF!</f>
        <v>#REF!</v>
      </c>
      <c r="U65" t="e">
        <f>'Entrada datos'!#REF!</f>
        <v>#REF!</v>
      </c>
      <c r="V65" t="e">
        <f>'Entrada datos'!#REF!</f>
        <v>#REF!</v>
      </c>
      <c r="W65" s="17" t="e">
        <f t="shared" si="2"/>
        <v>#REF!</v>
      </c>
      <c r="X65" t="e">
        <f>'Entrada datos'!#REF!</f>
        <v>#REF!</v>
      </c>
      <c r="Y65" t="e">
        <f>'Entrada datos'!#REF!</f>
        <v>#REF!</v>
      </c>
      <c r="Z65" t="e">
        <f>'Entrada datos'!#REF!</f>
        <v>#REF!</v>
      </c>
      <c r="AA65" t="e">
        <f>'Entrada datos'!#REF!</f>
        <v>#REF!</v>
      </c>
      <c r="AB65" t="e">
        <f>'Entrada datos'!#REF!</f>
        <v>#REF!</v>
      </c>
      <c r="AC65" t="e">
        <f>'Entrada datos'!#REF!</f>
        <v>#REF!</v>
      </c>
      <c r="AD65" s="17" t="e">
        <f t="shared" si="3"/>
        <v>#REF!</v>
      </c>
      <c r="AE65" t="e">
        <f>'Entrada datos'!#REF!</f>
        <v>#REF!</v>
      </c>
      <c r="AF65" t="e">
        <f>'Entrada datos'!#REF!</f>
        <v>#REF!</v>
      </c>
      <c r="AG65" t="e">
        <f>'Entrada datos'!#REF!</f>
        <v>#REF!</v>
      </c>
      <c r="AH65" t="e">
        <f>'Entrada datos'!#REF!</f>
        <v>#REF!</v>
      </c>
      <c r="AI65" t="e">
        <f>'Entrada datos'!#REF!</f>
        <v>#REF!</v>
      </c>
      <c r="AJ65" t="e">
        <f>'Entrada datos'!#REF!</f>
        <v>#REF!</v>
      </c>
      <c r="AK65" s="17" t="e">
        <f t="shared" si="4"/>
        <v>#REF!</v>
      </c>
      <c r="AL65" t="e">
        <f>'Entrada datos'!#REF!</f>
        <v>#REF!</v>
      </c>
      <c r="AM65" t="e">
        <f>'Entrada datos'!#REF!</f>
        <v>#REF!</v>
      </c>
      <c r="AN65" t="e">
        <f>'Entrada datos'!#REF!</f>
        <v>#REF!</v>
      </c>
      <c r="AO65" t="e">
        <f>'Entrada datos'!#REF!</f>
        <v>#REF!</v>
      </c>
      <c r="AP65" t="e">
        <f>'Entrada datos'!#REF!</f>
        <v>#REF!</v>
      </c>
      <c r="AQ65" t="e">
        <f>'Entrada datos'!#REF!</f>
        <v>#REF!</v>
      </c>
      <c r="AR65" s="17" t="e">
        <f t="shared" si="5"/>
        <v>#REF!</v>
      </c>
      <c r="AS65" s="23" t="e">
        <f t="shared" si="6"/>
        <v>#REF!</v>
      </c>
      <c r="AT65" t="e">
        <f t="shared" si="7"/>
        <v>#REF!</v>
      </c>
      <c r="AU65" s="40" t="e">
        <f t="shared" si="8"/>
        <v>#REF!</v>
      </c>
      <c r="AV65" t="e">
        <f t="shared" si="9"/>
        <v>#REF!</v>
      </c>
      <c r="AW65" t="e">
        <f t="shared" si="10"/>
        <v>#REF!</v>
      </c>
      <c r="AX65" s="24">
        <f t="shared" si="11"/>
        <v>0</v>
      </c>
      <c r="AY65" s="24">
        <f t="shared" si="12"/>
        <v>0</v>
      </c>
      <c r="AZ65" s="24">
        <f t="shared" si="13"/>
        <v>0</v>
      </c>
      <c r="BA65" t="e">
        <f t="shared" si="14"/>
        <v>#REF!</v>
      </c>
      <c r="BB65">
        <f t="shared" si="15"/>
        <v>0</v>
      </c>
      <c r="BC65" s="24">
        <f t="shared" si="16"/>
        <v>0</v>
      </c>
      <c r="BD65" t="e">
        <f t="shared" si="17"/>
        <v>#REF!</v>
      </c>
    </row>
    <row r="66" spans="1:56" x14ac:dyDescent="0.3">
      <c r="A66" t="e">
        <f>'Entrada datos'!#REF!</f>
        <v>#REF!</v>
      </c>
      <c r="B66" t="e">
        <f>'Entrada datos'!#REF!</f>
        <v>#REF!</v>
      </c>
      <c r="C66" t="e">
        <f>'Entrada datos'!#REF!</f>
        <v>#REF!</v>
      </c>
      <c r="D66" t="e">
        <f>'Entrada datos'!#REF!</f>
        <v>#REF!</v>
      </c>
      <c r="E66" s="18" t="e">
        <f>'Entrada datos'!#REF!</f>
        <v>#REF!</v>
      </c>
      <c r="F66" s="18" t="e">
        <f>'Entrada datos'!#REF!</f>
        <v>#REF!</v>
      </c>
      <c r="G66" t="e">
        <f>'Entrada datos'!#REF!</f>
        <v>#REF!</v>
      </c>
      <c r="H66" t="e">
        <f>'Entrada datos'!#REF!</f>
        <v>#REF!</v>
      </c>
      <c r="I66" t="e">
        <f>'Entrada datos'!#REF!</f>
        <v>#REF!</v>
      </c>
      <c r="J66" t="e">
        <f>'Entrada datos'!#REF!</f>
        <v>#REF!</v>
      </c>
      <c r="K66" t="e">
        <f>'Entrada datos'!#REF!</f>
        <v>#REF!</v>
      </c>
      <c r="L66" t="e">
        <f>'Entrada datos'!#REF!</f>
        <v>#REF!</v>
      </c>
      <c r="M66" t="e">
        <f>'Entrada datos'!#REF!</f>
        <v>#REF!</v>
      </c>
      <c r="N66" t="e">
        <f>'Entrada datos'!#REF!</f>
        <v>#REF!</v>
      </c>
      <c r="O66" t="e">
        <f>'Entrada datos'!#REF!</f>
        <v>#REF!</v>
      </c>
      <c r="P66" s="17" t="e">
        <f t="shared" si="1"/>
        <v>#REF!</v>
      </c>
      <c r="Q66" t="e">
        <f>'Entrada datos'!#REF!</f>
        <v>#REF!</v>
      </c>
      <c r="R66" t="e">
        <f>'Entrada datos'!#REF!</f>
        <v>#REF!</v>
      </c>
      <c r="S66" t="e">
        <f>'Entrada datos'!#REF!</f>
        <v>#REF!</v>
      </c>
      <c r="T66" t="e">
        <f>'Entrada datos'!#REF!</f>
        <v>#REF!</v>
      </c>
      <c r="U66" t="e">
        <f>'Entrada datos'!#REF!</f>
        <v>#REF!</v>
      </c>
      <c r="V66" t="e">
        <f>'Entrada datos'!#REF!</f>
        <v>#REF!</v>
      </c>
      <c r="W66" s="17" t="e">
        <f t="shared" si="2"/>
        <v>#REF!</v>
      </c>
      <c r="X66" t="e">
        <f>'Entrada datos'!#REF!</f>
        <v>#REF!</v>
      </c>
      <c r="Y66" t="e">
        <f>'Entrada datos'!#REF!</f>
        <v>#REF!</v>
      </c>
      <c r="Z66" t="e">
        <f>'Entrada datos'!#REF!</f>
        <v>#REF!</v>
      </c>
      <c r="AA66" t="e">
        <f>'Entrada datos'!#REF!</f>
        <v>#REF!</v>
      </c>
      <c r="AB66" t="e">
        <f>'Entrada datos'!#REF!</f>
        <v>#REF!</v>
      </c>
      <c r="AC66" t="e">
        <f>'Entrada datos'!#REF!</f>
        <v>#REF!</v>
      </c>
      <c r="AD66" s="17" t="e">
        <f t="shared" si="3"/>
        <v>#REF!</v>
      </c>
      <c r="AE66" t="e">
        <f>'Entrada datos'!#REF!</f>
        <v>#REF!</v>
      </c>
      <c r="AF66" t="e">
        <f>'Entrada datos'!#REF!</f>
        <v>#REF!</v>
      </c>
      <c r="AG66" t="e">
        <f>'Entrada datos'!#REF!</f>
        <v>#REF!</v>
      </c>
      <c r="AH66" t="e">
        <f>'Entrada datos'!#REF!</f>
        <v>#REF!</v>
      </c>
      <c r="AI66" t="e">
        <f>'Entrada datos'!#REF!</f>
        <v>#REF!</v>
      </c>
      <c r="AJ66" t="e">
        <f>'Entrada datos'!#REF!</f>
        <v>#REF!</v>
      </c>
      <c r="AK66" s="17" t="e">
        <f t="shared" si="4"/>
        <v>#REF!</v>
      </c>
      <c r="AL66" t="e">
        <f>'Entrada datos'!#REF!</f>
        <v>#REF!</v>
      </c>
      <c r="AM66" t="e">
        <f>'Entrada datos'!#REF!</f>
        <v>#REF!</v>
      </c>
      <c r="AN66" t="e">
        <f>'Entrada datos'!#REF!</f>
        <v>#REF!</v>
      </c>
      <c r="AO66" t="e">
        <f>'Entrada datos'!#REF!</f>
        <v>#REF!</v>
      </c>
      <c r="AP66" t="e">
        <f>'Entrada datos'!#REF!</f>
        <v>#REF!</v>
      </c>
      <c r="AQ66" t="e">
        <f>'Entrada datos'!#REF!</f>
        <v>#REF!</v>
      </c>
      <c r="AR66" s="17" t="e">
        <f t="shared" si="5"/>
        <v>#REF!</v>
      </c>
      <c r="AS66" s="23" t="e">
        <f t="shared" si="6"/>
        <v>#REF!</v>
      </c>
      <c r="AT66" t="e">
        <f t="shared" si="7"/>
        <v>#REF!</v>
      </c>
      <c r="AU66" s="40" t="e">
        <f t="shared" si="8"/>
        <v>#REF!</v>
      </c>
      <c r="AV66" t="e">
        <f t="shared" si="9"/>
        <v>#REF!</v>
      </c>
      <c r="AW66" t="e">
        <f t="shared" si="10"/>
        <v>#REF!</v>
      </c>
      <c r="AX66" s="24">
        <f t="shared" si="11"/>
        <v>0</v>
      </c>
      <c r="AY66" s="24">
        <f t="shared" si="12"/>
        <v>0</v>
      </c>
      <c r="AZ66" s="24">
        <f t="shared" si="13"/>
        <v>0</v>
      </c>
      <c r="BA66" t="e">
        <f t="shared" si="14"/>
        <v>#REF!</v>
      </c>
      <c r="BB66">
        <f t="shared" si="15"/>
        <v>0</v>
      </c>
      <c r="BC66" s="24">
        <f t="shared" si="16"/>
        <v>0</v>
      </c>
      <c r="BD66" t="e">
        <f t="shared" si="17"/>
        <v>#REF!</v>
      </c>
    </row>
    <row r="67" spans="1:56" x14ac:dyDescent="0.3">
      <c r="A67" t="e">
        <f>'Entrada datos'!#REF!</f>
        <v>#REF!</v>
      </c>
      <c r="B67" t="e">
        <f>'Entrada datos'!#REF!</f>
        <v>#REF!</v>
      </c>
      <c r="C67" t="e">
        <f>'Entrada datos'!#REF!</f>
        <v>#REF!</v>
      </c>
      <c r="D67" t="e">
        <f>'Entrada datos'!#REF!</f>
        <v>#REF!</v>
      </c>
      <c r="E67" s="18" t="e">
        <f>'Entrada datos'!#REF!</f>
        <v>#REF!</v>
      </c>
      <c r="F67" s="18" t="e">
        <f>'Entrada datos'!#REF!</f>
        <v>#REF!</v>
      </c>
      <c r="G67" t="e">
        <f>'Entrada datos'!#REF!</f>
        <v>#REF!</v>
      </c>
      <c r="H67" t="e">
        <f>'Entrada datos'!#REF!</f>
        <v>#REF!</v>
      </c>
      <c r="I67" t="e">
        <f>'Entrada datos'!#REF!</f>
        <v>#REF!</v>
      </c>
      <c r="J67" t="e">
        <f>'Entrada datos'!#REF!</f>
        <v>#REF!</v>
      </c>
      <c r="K67" t="e">
        <f>'Entrada datos'!#REF!</f>
        <v>#REF!</v>
      </c>
      <c r="L67" t="e">
        <f>'Entrada datos'!#REF!</f>
        <v>#REF!</v>
      </c>
      <c r="M67" t="e">
        <f>'Entrada datos'!#REF!</f>
        <v>#REF!</v>
      </c>
      <c r="N67" t="e">
        <f>'Entrada datos'!#REF!</f>
        <v>#REF!</v>
      </c>
      <c r="O67" t="e">
        <f>'Entrada datos'!#REF!</f>
        <v>#REF!</v>
      </c>
      <c r="P67" s="17" t="e">
        <f t="shared" ref="P67:P130" si="18">SUM(J67:O67)</f>
        <v>#REF!</v>
      </c>
      <c r="Q67" t="e">
        <f>'Entrada datos'!#REF!</f>
        <v>#REF!</v>
      </c>
      <c r="R67" t="e">
        <f>'Entrada datos'!#REF!</f>
        <v>#REF!</v>
      </c>
      <c r="S67" t="e">
        <f>'Entrada datos'!#REF!</f>
        <v>#REF!</v>
      </c>
      <c r="T67" t="e">
        <f>'Entrada datos'!#REF!</f>
        <v>#REF!</v>
      </c>
      <c r="U67" t="e">
        <f>'Entrada datos'!#REF!</f>
        <v>#REF!</v>
      </c>
      <c r="V67" t="e">
        <f>'Entrada datos'!#REF!</f>
        <v>#REF!</v>
      </c>
      <c r="W67" s="17" t="e">
        <f t="shared" ref="W67:W130" si="19">SUM(Q67:V67)</f>
        <v>#REF!</v>
      </c>
      <c r="X67" t="e">
        <f>'Entrada datos'!#REF!</f>
        <v>#REF!</v>
      </c>
      <c r="Y67" t="e">
        <f>'Entrada datos'!#REF!</f>
        <v>#REF!</v>
      </c>
      <c r="Z67" t="e">
        <f>'Entrada datos'!#REF!</f>
        <v>#REF!</v>
      </c>
      <c r="AA67" t="e">
        <f>'Entrada datos'!#REF!</f>
        <v>#REF!</v>
      </c>
      <c r="AB67" t="e">
        <f>'Entrada datos'!#REF!</f>
        <v>#REF!</v>
      </c>
      <c r="AC67" t="e">
        <f>'Entrada datos'!#REF!</f>
        <v>#REF!</v>
      </c>
      <c r="AD67" s="17" t="e">
        <f t="shared" ref="AD67:AD130" si="20">SUM(X67:AC67)</f>
        <v>#REF!</v>
      </c>
      <c r="AE67" t="e">
        <f>'Entrada datos'!#REF!</f>
        <v>#REF!</v>
      </c>
      <c r="AF67" t="e">
        <f>'Entrada datos'!#REF!</f>
        <v>#REF!</v>
      </c>
      <c r="AG67" t="e">
        <f>'Entrada datos'!#REF!</f>
        <v>#REF!</v>
      </c>
      <c r="AH67" t="e">
        <f>'Entrada datos'!#REF!</f>
        <v>#REF!</v>
      </c>
      <c r="AI67" t="e">
        <f>'Entrada datos'!#REF!</f>
        <v>#REF!</v>
      </c>
      <c r="AJ67" t="e">
        <f>'Entrada datos'!#REF!</f>
        <v>#REF!</v>
      </c>
      <c r="AK67" s="17" t="e">
        <f t="shared" ref="AK67:AK130" si="21">SUM(AE67:AJ67)</f>
        <v>#REF!</v>
      </c>
      <c r="AL67" t="e">
        <f>'Entrada datos'!#REF!</f>
        <v>#REF!</v>
      </c>
      <c r="AM67" t="e">
        <f>'Entrada datos'!#REF!</f>
        <v>#REF!</v>
      </c>
      <c r="AN67" t="e">
        <f>'Entrada datos'!#REF!</f>
        <v>#REF!</v>
      </c>
      <c r="AO67" t="e">
        <f>'Entrada datos'!#REF!</f>
        <v>#REF!</v>
      </c>
      <c r="AP67" t="e">
        <f>'Entrada datos'!#REF!</f>
        <v>#REF!</v>
      </c>
      <c r="AQ67" t="e">
        <f>'Entrada datos'!#REF!</f>
        <v>#REF!</v>
      </c>
      <c r="AR67" s="17" t="e">
        <f t="shared" ref="AR67:AR130" si="22">MAX(AL67:AQ67)</f>
        <v>#REF!</v>
      </c>
      <c r="AS67" s="23" t="e">
        <f t="shared" ref="AS67:AS130" si="23">IF(AR67&gt;900,AR67/1000,AR67)</f>
        <v>#REF!</v>
      </c>
      <c r="AT67" t="e">
        <f t="shared" ref="AT67:AT130" si="24">YEAR(E67)</f>
        <v>#REF!</v>
      </c>
      <c r="AU67" s="40" t="e">
        <f t="shared" ref="AU67:AU130" si="25">TEXT(E67,"mmmm")</f>
        <v>#REF!</v>
      </c>
      <c r="AV67" t="e">
        <f t="shared" ref="AV67:AV130" si="26">SUM(AD67,P67)</f>
        <v>#REF!</v>
      </c>
      <c r="AW67" t="e">
        <f t="shared" ref="AW67:AW130" si="27">F67-E67</f>
        <v>#REF!</v>
      </c>
      <c r="AX67" s="24">
        <f t="shared" ref="AX67:AX130" si="28">IFERROR(P67/AW67,0)</f>
        <v>0</v>
      </c>
      <c r="AY67" s="24">
        <f t="shared" ref="AY67:AY130" si="29">IFERROR(AV67/AW67,0)</f>
        <v>0</v>
      </c>
      <c r="AZ67" s="24">
        <f t="shared" ref="AZ67:AZ130" si="30">AY67-AX67</f>
        <v>0</v>
      </c>
      <c r="BA67" t="e">
        <f t="shared" ref="BA67:BA130" si="31">P67+AK67</f>
        <v>#REF!</v>
      </c>
      <c r="BB67">
        <f t="shared" ref="BB67:BB130" si="32">IFERROR(BA67/AW67,0)</f>
        <v>0</v>
      </c>
      <c r="BC67" s="24">
        <f t="shared" ref="BC67:BC130" si="33">IFERROR(BB67-AX67,0)</f>
        <v>0</v>
      </c>
      <c r="BD67" t="e">
        <f t="shared" ref="BD67:BD130" si="34">P67+AD67+AK67</f>
        <v>#REF!</v>
      </c>
    </row>
    <row r="68" spans="1:56" x14ac:dyDescent="0.3">
      <c r="A68" t="e">
        <f>'Entrada datos'!#REF!</f>
        <v>#REF!</v>
      </c>
      <c r="B68" t="e">
        <f>'Entrada datos'!#REF!</f>
        <v>#REF!</v>
      </c>
      <c r="C68" t="e">
        <f>'Entrada datos'!#REF!</f>
        <v>#REF!</v>
      </c>
      <c r="D68" t="e">
        <f>'Entrada datos'!#REF!</f>
        <v>#REF!</v>
      </c>
      <c r="E68" s="18" t="e">
        <f>'Entrada datos'!#REF!</f>
        <v>#REF!</v>
      </c>
      <c r="F68" s="18" t="e">
        <f>'Entrada datos'!#REF!</f>
        <v>#REF!</v>
      </c>
      <c r="G68" t="e">
        <f>'Entrada datos'!#REF!</f>
        <v>#REF!</v>
      </c>
      <c r="H68" t="e">
        <f>'Entrada datos'!#REF!</f>
        <v>#REF!</v>
      </c>
      <c r="I68" t="e">
        <f>'Entrada datos'!#REF!</f>
        <v>#REF!</v>
      </c>
      <c r="J68" t="e">
        <f>'Entrada datos'!#REF!</f>
        <v>#REF!</v>
      </c>
      <c r="K68" t="e">
        <f>'Entrada datos'!#REF!</f>
        <v>#REF!</v>
      </c>
      <c r="L68" t="e">
        <f>'Entrada datos'!#REF!</f>
        <v>#REF!</v>
      </c>
      <c r="M68" t="e">
        <f>'Entrada datos'!#REF!</f>
        <v>#REF!</v>
      </c>
      <c r="N68" t="e">
        <f>'Entrada datos'!#REF!</f>
        <v>#REF!</v>
      </c>
      <c r="O68" t="e">
        <f>'Entrada datos'!#REF!</f>
        <v>#REF!</v>
      </c>
      <c r="P68" s="17" t="e">
        <f t="shared" si="18"/>
        <v>#REF!</v>
      </c>
      <c r="Q68" t="e">
        <f>'Entrada datos'!#REF!</f>
        <v>#REF!</v>
      </c>
      <c r="R68" t="e">
        <f>'Entrada datos'!#REF!</f>
        <v>#REF!</v>
      </c>
      <c r="S68" t="e">
        <f>'Entrada datos'!#REF!</f>
        <v>#REF!</v>
      </c>
      <c r="T68" t="e">
        <f>'Entrada datos'!#REF!</f>
        <v>#REF!</v>
      </c>
      <c r="U68" t="e">
        <f>'Entrada datos'!#REF!</f>
        <v>#REF!</v>
      </c>
      <c r="V68" t="e">
        <f>'Entrada datos'!#REF!</f>
        <v>#REF!</v>
      </c>
      <c r="W68" s="17" t="e">
        <f t="shared" si="19"/>
        <v>#REF!</v>
      </c>
      <c r="X68" t="e">
        <f>'Entrada datos'!#REF!</f>
        <v>#REF!</v>
      </c>
      <c r="Y68" t="e">
        <f>'Entrada datos'!#REF!</f>
        <v>#REF!</v>
      </c>
      <c r="Z68" t="e">
        <f>'Entrada datos'!#REF!</f>
        <v>#REF!</v>
      </c>
      <c r="AA68" t="e">
        <f>'Entrada datos'!#REF!</f>
        <v>#REF!</v>
      </c>
      <c r="AB68" t="e">
        <f>'Entrada datos'!#REF!</f>
        <v>#REF!</v>
      </c>
      <c r="AC68" t="e">
        <f>'Entrada datos'!#REF!</f>
        <v>#REF!</v>
      </c>
      <c r="AD68" s="17" t="e">
        <f t="shared" si="20"/>
        <v>#REF!</v>
      </c>
      <c r="AE68" t="e">
        <f>'Entrada datos'!#REF!</f>
        <v>#REF!</v>
      </c>
      <c r="AF68" t="e">
        <f>'Entrada datos'!#REF!</f>
        <v>#REF!</v>
      </c>
      <c r="AG68" t="e">
        <f>'Entrada datos'!#REF!</f>
        <v>#REF!</v>
      </c>
      <c r="AH68" t="e">
        <f>'Entrada datos'!#REF!</f>
        <v>#REF!</v>
      </c>
      <c r="AI68" t="e">
        <f>'Entrada datos'!#REF!</f>
        <v>#REF!</v>
      </c>
      <c r="AJ68" t="e">
        <f>'Entrada datos'!#REF!</f>
        <v>#REF!</v>
      </c>
      <c r="AK68" s="17" t="e">
        <f t="shared" si="21"/>
        <v>#REF!</v>
      </c>
      <c r="AL68" t="e">
        <f>'Entrada datos'!#REF!</f>
        <v>#REF!</v>
      </c>
      <c r="AM68" t="e">
        <f>'Entrada datos'!#REF!</f>
        <v>#REF!</v>
      </c>
      <c r="AN68" t="e">
        <f>'Entrada datos'!#REF!</f>
        <v>#REF!</v>
      </c>
      <c r="AO68" t="e">
        <f>'Entrada datos'!#REF!</f>
        <v>#REF!</v>
      </c>
      <c r="AP68" t="e">
        <f>'Entrada datos'!#REF!</f>
        <v>#REF!</v>
      </c>
      <c r="AQ68" t="e">
        <f>'Entrada datos'!#REF!</f>
        <v>#REF!</v>
      </c>
      <c r="AR68" s="17" t="e">
        <f t="shared" si="22"/>
        <v>#REF!</v>
      </c>
      <c r="AS68" s="23" t="e">
        <f t="shared" si="23"/>
        <v>#REF!</v>
      </c>
      <c r="AT68" t="e">
        <f t="shared" si="24"/>
        <v>#REF!</v>
      </c>
      <c r="AU68" s="40" t="e">
        <f t="shared" si="25"/>
        <v>#REF!</v>
      </c>
      <c r="AV68" t="e">
        <f t="shared" si="26"/>
        <v>#REF!</v>
      </c>
      <c r="AW68" t="e">
        <f t="shared" si="27"/>
        <v>#REF!</v>
      </c>
      <c r="AX68" s="24">
        <f t="shared" si="28"/>
        <v>0</v>
      </c>
      <c r="AY68" s="24">
        <f t="shared" si="29"/>
        <v>0</v>
      </c>
      <c r="AZ68" s="24">
        <f t="shared" si="30"/>
        <v>0</v>
      </c>
      <c r="BA68" t="e">
        <f t="shared" si="31"/>
        <v>#REF!</v>
      </c>
      <c r="BB68">
        <f t="shared" si="32"/>
        <v>0</v>
      </c>
      <c r="BC68" s="24">
        <f t="shared" si="33"/>
        <v>0</v>
      </c>
      <c r="BD68" t="e">
        <f t="shared" si="34"/>
        <v>#REF!</v>
      </c>
    </row>
    <row r="69" spans="1:56" x14ac:dyDescent="0.3">
      <c r="A69" t="e">
        <f>'Entrada datos'!#REF!</f>
        <v>#REF!</v>
      </c>
      <c r="B69" t="e">
        <f>'Entrada datos'!#REF!</f>
        <v>#REF!</v>
      </c>
      <c r="C69" t="e">
        <f>'Entrada datos'!#REF!</f>
        <v>#REF!</v>
      </c>
      <c r="D69" t="e">
        <f>'Entrada datos'!#REF!</f>
        <v>#REF!</v>
      </c>
      <c r="E69" s="18" t="e">
        <f>'Entrada datos'!#REF!</f>
        <v>#REF!</v>
      </c>
      <c r="F69" s="18" t="e">
        <f>'Entrada datos'!#REF!</f>
        <v>#REF!</v>
      </c>
      <c r="G69" t="e">
        <f>'Entrada datos'!#REF!</f>
        <v>#REF!</v>
      </c>
      <c r="H69" t="e">
        <f>'Entrada datos'!#REF!</f>
        <v>#REF!</v>
      </c>
      <c r="I69" t="e">
        <f>'Entrada datos'!#REF!</f>
        <v>#REF!</v>
      </c>
      <c r="J69" t="e">
        <f>'Entrada datos'!#REF!</f>
        <v>#REF!</v>
      </c>
      <c r="K69" t="e">
        <f>'Entrada datos'!#REF!</f>
        <v>#REF!</v>
      </c>
      <c r="L69" t="e">
        <f>'Entrada datos'!#REF!</f>
        <v>#REF!</v>
      </c>
      <c r="M69" t="e">
        <f>'Entrada datos'!#REF!</f>
        <v>#REF!</v>
      </c>
      <c r="N69" t="e">
        <f>'Entrada datos'!#REF!</f>
        <v>#REF!</v>
      </c>
      <c r="O69" t="e">
        <f>'Entrada datos'!#REF!</f>
        <v>#REF!</v>
      </c>
      <c r="P69" s="17" t="e">
        <f t="shared" si="18"/>
        <v>#REF!</v>
      </c>
      <c r="Q69" t="e">
        <f>'Entrada datos'!#REF!</f>
        <v>#REF!</v>
      </c>
      <c r="R69" t="e">
        <f>'Entrada datos'!#REF!</f>
        <v>#REF!</v>
      </c>
      <c r="S69" t="e">
        <f>'Entrada datos'!#REF!</f>
        <v>#REF!</v>
      </c>
      <c r="T69" t="e">
        <f>'Entrada datos'!#REF!</f>
        <v>#REF!</v>
      </c>
      <c r="U69" t="e">
        <f>'Entrada datos'!#REF!</f>
        <v>#REF!</v>
      </c>
      <c r="V69" t="e">
        <f>'Entrada datos'!#REF!</f>
        <v>#REF!</v>
      </c>
      <c r="W69" s="17" t="e">
        <f t="shared" si="19"/>
        <v>#REF!</v>
      </c>
      <c r="X69" t="e">
        <f>'Entrada datos'!#REF!</f>
        <v>#REF!</v>
      </c>
      <c r="Y69" t="e">
        <f>'Entrada datos'!#REF!</f>
        <v>#REF!</v>
      </c>
      <c r="Z69" t="e">
        <f>'Entrada datos'!#REF!</f>
        <v>#REF!</v>
      </c>
      <c r="AA69" t="e">
        <f>'Entrada datos'!#REF!</f>
        <v>#REF!</v>
      </c>
      <c r="AB69" t="e">
        <f>'Entrada datos'!#REF!</f>
        <v>#REF!</v>
      </c>
      <c r="AC69" t="e">
        <f>'Entrada datos'!#REF!</f>
        <v>#REF!</v>
      </c>
      <c r="AD69" s="17" t="e">
        <f t="shared" si="20"/>
        <v>#REF!</v>
      </c>
      <c r="AE69" t="e">
        <f>'Entrada datos'!#REF!</f>
        <v>#REF!</v>
      </c>
      <c r="AF69" t="e">
        <f>'Entrada datos'!#REF!</f>
        <v>#REF!</v>
      </c>
      <c r="AG69" t="e">
        <f>'Entrada datos'!#REF!</f>
        <v>#REF!</v>
      </c>
      <c r="AH69" t="e">
        <f>'Entrada datos'!#REF!</f>
        <v>#REF!</v>
      </c>
      <c r="AI69" t="e">
        <f>'Entrada datos'!#REF!</f>
        <v>#REF!</v>
      </c>
      <c r="AJ69" t="e">
        <f>'Entrada datos'!#REF!</f>
        <v>#REF!</v>
      </c>
      <c r="AK69" s="17" t="e">
        <f t="shared" si="21"/>
        <v>#REF!</v>
      </c>
      <c r="AL69" t="e">
        <f>'Entrada datos'!#REF!</f>
        <v>#REF!</v>
      </c>
      <c r="AM69" t="e">
        <f>'Entrada datos'!#REF!</f>
        <v>#REF!</v>
      </c>
      <c r="AN69" t="e">
        <f>'Entrada datos'!#REF!</f>
        <v>#REF!</v>
      </c>
      <c r="AO69" t="e">
        <f>'Entrada datos'!#REF!</f>
        <v>#REF!</v>
      </c>
      <c r="AP69" t="e">
        <f>'Entrada datos'!#REF!</f>
        <v>#REF!</v>
      </c>
      <c r="AQ69" t="e">
        <f>'Entrada datos'!#REF!</f>
        <v>#REF!</v>
      </c>
      <c r="AR69" s="17" t="e">
        <f t="shared" si="22"/>
        <v>#REF!</v>
      </c>
      <c r="AS69" s="23" t="e">
        <f t="shared" si="23"/>
        <v>#REF!</v>
      </c>
      <c r="AT69" t="e">
        <f t="shared" si="24"/>
        <v>#REF!</v>
      </c>
      <c r="AU69" s="40" t="e">
        <f t="shared" si="25"/>
        <v>#REF!</v>
      </c>
      <c r="AV69" t="e">
        <f t="shared" si="26"/>
        <v>#REF!</v>
      </c>
      <c r="AW69" t="e">
        <f t="shared" si="27"/>
        <v>#REF!</v>
      </c>
      <c r="AX69" s="24">
        <f t="shared" si="28"/>
        <v>0</v>
      </c>
      <c r="AY69" s="24">
        <f t="shared" si="29"/>
        <v>0</v>
      </c>
      <c r="AZ69" s="24">
        <f t="shared" si="30"/>
        <v>0</v>
      </c>
      <c r="BA69" t="e">
        <f t="shared" si="31"/>
        <v>#REF!</v>
      </c>
      <c r="BB69">
        <f t="shared" si="32"/>
        <v>0</v>
      </c>
      <c r="BC69" s="24">
        <f t="shared" si="33"/>
        <v>0</v>
      </c>
      <c r="BD69" t="e">
        <f t="shared" si="34"/>
        <v>#REF!</v>
      </c>
    </row>
    <row r="70" spans="1:56" x14ac:dyDescent="0.3">
      <c r="A70" t="e">
        <f>'Entrada datos'!#REF!</f>
        <v>#REF!</v>
      </c>
      <c r="B70" t="e">
        <f>'Entrada datos'!#REF!</f>
        <v>#REF!</v>
      </c>
      <c r="C70" t="e">
        <f>'Entrada datos'!#REF!</f>
        <v>#REF!</v>
      </c>
      <c r="D70" t="e">
        <f>'Entrada datos'!#REF!</f>
        <v>#REF!</v>
      </c>
      <c r="E70" s="18" t="e">
        <f>'Entrada datos'!#REF!</f>
        <v>#REF!</v>
      </c>
      <c r="F70" s="18" t="e">
        <f>'Entrada datos'!#REF!</f>
        <v>#REF!</v>
      </c>
      <c r="G70" t="e">
        <f>'Entrada datos'!#REF!</f>
        <v>#REF!</v>
      </c>
      <c r="H70" t="e">
        <f>'Entrada datos'!#REF!</f>
        <v>#REF!</v>
      </c>
      <c r="I70" t="e">
        <f>'Entrada datos'!#REF!</f>
        <v>#REF!</v>
      </c>
      <c r="J70" t="e">
        <f>'Entrada datos'!#REF!</f>
        <v>#REF!</v>
      </c>
      <c r="K70" t="e">
        <f>'Entrada datos'!#REF!</f>
        <v>#REF!</v>
      </c>
      <c r="L70" t="e">
        <f>'Entrada datos'!#REF!</f>
        <v>#REF!</v>
      </c>
      <c r="M70" t="e">
        <f>'Entrada datos'!#REF!</f>
        <v>#REF!</v>
      </c>
      <c r="N70" t="e">
        <f>'Entrada datos'!#REF!</f>
        <v>#REF!</v>
      </c>
      <c r="O70" t="e">
        <f>'Entrada datos'!#REF!</f>
        <v>#REF!</v>
      </c>
      <c r="P70" s="17" t="e">
        <f t="shared" si="18"/>
        <v>#REF!</v>
      </c>
      <c r="Q70" t="e">
        <f>'Entrada datos'!#REF!</f>
        <v>#REF!</v>
      </c>
      <c r="R70" t="e">
        <f>'Entrada datos'!#REF!</f>
        <v>#REF!</v>
      </c>
      <c r="S70" t="e">
        <f>'Entrada datos'!#REF!</f>
        <v>#REF!</v>
      </c>
      <c r="T70" t="e">
        <f>'Entrada datos'!#REF!</f>
        <v>#REF!</v>
      </c>
      <c r="U70" t="e">
        <f>'Entrada datos'!#REF!</f>
        <v>#REF!</v>
      </c>
      <c r="V70" t="e">
        <f>'Entrada datos'!#REF!</f>
        <v>#REF!</v>
      </c>
      <c r="W70" s="17" t="e">
        <f t="shared" si="19"/>
        <v>#REF!</v>
      </c>
      <c r="X70" t="e">
        <f>'Entrada datos'!#REF!</f>
        <v>#REF!</v>
      </c>
      <c r="Y70" t="e">
        <f>'Entrada datos'!#REF!</f>
        <v>#REF!</v>
      </c>
      <c r="Z70" t="e">
        <f>'Entrada datos'!#REF!</f>
        <v>#REF!</v>
      </c>
      <c r="AA70" t="e">
        <f>'Entrada datos'!#REF!</f>
        <v>#REF!</v>
      </c>
      <c r="AB70" t="e">
        <f>'Entrada datos'!#REF!</f>
        <v>#REF!</v>
      </c>
      <c r="AC70" t="e">
        <f>'Entrada datos'!#REF!</f>
        <v>#REF!</v>
      </c>
      <c r="AD70" s="17" t="e">
        <f t="shared" si="20"/>
        <v>#REF!</v>
      </c>
      <c r="AE70" t="e">
        <f>'Entrada datos'!#REF!</f>
        <v>#REF!</v>
      </c>
      <c r="AF70" t="e">
        <f>'Entrada datos'!#REF!</f>
        <v>#REF!</v>
      </c>
      <c r="AG70" t="e">
        <f>'Entrada datos'!#REF!</f>
        <v>#REF!</v>
      </c>
      <c r="AH70" t="e">
        <f>'Entrada datos'!#REF!</f>
        <v>#REF!</v>
      </c>
      <c r="AI70" t="e">
        <f>'Entrada datos'!#REF!</f>
        <v>#REF!</v>
      </c>
      <c r="AJ70" t="e">
        <f>'Entrada datos'!#REF!</f>
        <v>#REF!</v>
      </c>
      <c r="AK70" s="17" t="e">
        <f t="shared" si="21"/>
        <v>#REF!</v>
      </c>
      <c r="AL70" t="e">
        <f>'Entrada datos'!#REF!</f>
        <v>#REF!</v>
      </c>
      <c r="AM70" t="e">
        <f>'Entrada datos'!#REF!</f>
        <v>#REF!</v>
      </c>
      <c r="AN70" t="e">
        <f>'Entrada datos'!#REF!</f>
        <v>#REF!</v>
      </c>
      <c r="AO70" t="e">
        <f>'Entrada datos'!#REF!</f>
        <v>#REF!</v>
      </c>
      <c r="AP70" t="e">
        <f>'Entrada datos'!#REF!</f>
        <v>#REF!</v>
      </c>
      <c r="AQ70" t="e">
        <f>'Entrada datos'!#REF!</f>
        <v>#REF!</v>
      </c>
      <c r="AR70" s="17" t="e">
        <f t="shared" si="22"/>
        <v>#REF!</v>
      </c>
      <c r="AS70" s="23" t="e">
        <f t="shared" si="23"/>
        <v>#REF!</v>
      </c>
      <c r="AT70" t="e">
        <f t="shared" si="24"/>
        <v>#REF!</v>
      </c>
      <c r="AU70" s="40" t="e">
        <f t="shared" si="25"/>
        <v>#REF!</v>
      </c>
      <c r="AV70" t="e">
        <f t="shared" si="26"/>
        <v>#REF!</v>
      </c>
      <c r="AW70" t="e">
        <f t="shared" si="27"/>
        <v>#REF!</v>
      </c>
      <c r="AX70" s="24">
        <f t="shared" si="28"/>
        <v>0</v>
      </c>
      <c r="AY70" s="24">
        <f t="shared" si="29"/>
        <v>0</v>
      </c>
      <c r="AZ70" s="24">
        <f t="shared" si="30"/>
        <v>0</v>
      </c>
      <c r="BA70" t="e">
        <f t="shared" si="31"/>
        <v>#REF!</v>
      </c>
      <c r="BB70">
        <f t="shared" si="32"/>
        <v>0</v>
      </c>
      <c r="BC70" s="24">
        <f t="shared" si="33"/>
        <v>0</v>
      </c>
      <c r="BD70" t="e">
        <f t="shared" si="34"/>
        <v>#REF!</v>
      </c>
    </row>
    <row r="71" spans="1:56" x14ac:dyDescent="0.3">
      <c r="A71" t="e">
        <f>'Entrada datos'!#REF!</f>
        <v>#REF!</v>
      </c>
      <c r="B71" t="e">
        <f>'Entrada datos'!#REF!</f>
        <v>#REF!</v>
      </c>
      <c r="C71" t="e">
        <f>'Entrada datos'!#REF!</f>
        <v>#REF!</v>
      </c>
      <c r="D71" t="e">
        <f>'Entrada datos'!#REF!</f>
        <v>#REF!</v>
      </c>
      <c r="E71" s="18" t="e">
        <f>'Entrada datos'!#REF!</f>
        <v>#REF!</v>
      </c>
      <c r="F71" s="18" t="e">
        <f>'Entrada datos'!#REF!</f>
        <v>#REF!</v>
      </c>
      <c r="G71" t="e">
        <f>'Entrada datos'!#REF!</f>
        <v>#REF!</v>
      </c>
      <c r="H71" t="e">
        <f>'Entrada datos'!#REF!</f>
        <v>#REF!</v>
      </c>
      <c r="I71" t="e">
        <f>'Entrada datos'!#REF!</f>
        <v>#REF!</v>
      </c>
      <c r="J71" t="e">
        <f>'Entrada datos'!#REF!</f>
        <v>#REF!</v>
      </c>
      <c r="K71" t="e">
        <f>'Entrada datos'!#REF!</f>
        <v>#REF!</v>
      </c>
      <c r="L71" t="e">
        <f>'Entrada datos'!#REF!</f>
        <v>#REF!</v>
      </c>
      <c r="M71" t="e">
        <f>'Entrada datos'!#REF!</f>
        <v>#REF!</v>
      </c>
      <c r="N71" t="e">
        <f>'Entrada datos'!#REF!</f>
        <v>#REF!</v>
      </c>
      <c r="O71" t="e">
        <f>'Entrada datos'!#REF!</f>
        <v>#REF!</v>
      </c>
      <c r="P71" s="17" t="e">
        <f t="shared" si="18"/>
        <v>#REF!</v>
      </c>
      <c r="Q71" t="e">
        <f>'Entrada datos'!#REF!</f>
        <v>#REF!</v>
      </c>
      <c r="R71" t="e">
        <f>'Entrada datos'!#REF!</f>
        <v>#REF!</v>
      </c>
      <c r="S71" t="e">
        <f>'Entrada datos'!#REF!</f>
        <v>#REF!</v>
      </c>
      <c r="T71" t="e">
        <f>'Entrada datos'!#REF!</f>
        <v>#REF!</v>
      </c>
      <c r="U71" t="e">
        <f>'Entrada datos'!#REF!</f>
        <v>#REF!</v>
      </c>
      <c r="V71" t="e">
        <f>'Entrada datos'!#REF!</f>
        <v>#REF!</v>
      </c>
      <c r="W71" s="17" t="e">
        <f t="shared" si="19"/>
        <v>#REF!</v>
      </c>
      <c r="X71" t="e">
        <f>'Entrada datos'!#REF!</f>
        <v>#REF!</v>
      </c>
      <c r="Y71" t="e">
        <f>'Entrada datos'!#REF!</f>
        <v>#REF!</v>
      </c>
      <c r="Z71" t="e">
        <f>'Entrada datos'!#REF!</f>
        <v>#REF!</v>
      </c>
      <c r="AA71" t="e">
        <f>'Entrada datos'!#REF!</f>
        <v>#REF!</v>
      </c>
      <c r="AB71" t="e">
        <f>'Entrada datos'!#REF!</f>
        <v>#REF!</v>
      </c>
      <c r="AC71" t="e">
        <f>'Entrada datos'!#REF!</f>
        <v>#REF!</v>
      </c>
      <c r="AD71" s="17" t="e">
        <f t="shared" si="20"/>
        <v>#REF!</v>
      </c>
      <c r="AE71" t="e">
        <f>'Entrada datos'!#REF!</f>
        <v>#REF!</v>
      </c>
      <c r="AF71" t="e">
        <f>'Entrada datos'!#REF!</f>
        <v>#REF!</v>
      </c>
      <c r="AG71" t="e">
        <f>'Entrada datos'!#REF!</f>
        <v>#REF!</v>
      </c>
      <c r="AH71" t="e">
        <f>'Entrada datos'!#REF!</f>
        <v>#REF!</v>
      </c>
      <c r="AI71" t="e">
        <f>'Entrada datos'!#REF!</f>
        <v>#REF!</v>
      </c>
      <c r="AJ71" t="e">
        <f>'Entrada datos'!#REF!</f>
        <v>#REF!</v>
      </c>
      <c r="AK71" s="17" t="e">
        <f t="shared" si="21"/>
        <v>#REF!</v>
      </c>
      <c r="AL71" t="e">
        <f>'Entrada datos'!#REF!</f>
        <v>#REF!</v>
      </c>
      <c r="AM71" t="e">
        <f>'Entrada datos'!#REF!</f>
        <v>#REF!</v>
      </c>
      <c r="AN71" t="e">
        <f>'Entrada datos'!#REF!</f>
        <v>#REF!</v>
      </c>
      <c r="AO71" t="e">
        <f>'Entrada datos'!#REF!</f>
        <v>#REF!</v>
      </c>
      <c r="AP71" t="e">
        <f>'Entrada datos'!#REF!</f>
        <v>#REF!</v>
      </c>
      <c r="AQ71" t="e">
        <f>'Entrada datos'!#REF!</f>
        <v>#REF!</v>
      </c>
      <c r="AR71" s="17" t="e">
        <f t="shared" si="22"/>
        <v>#REF!</v>
      </c>
      <c r="AS71" s="23" t="e">
        <f t="shared" si="23"/>
        <v>#REF!</v>
      </c>
      <c r="AT71" t="e">
        <f t="shared" si="24"/>
        <v>#REF!</v>
      </c>
      <c r="AU71" s="40" t="e">
        <f t="shared" si="25"/>
        <v>#REF!</v>
      </c>
      <c r="AV71" t="e">
        <f t="shared" si="26"/>
        <v>#REF!</v>
      </c>
      <c r="AW71" t="e">
        <f t="shared" si="27"/>
        <v>#REF!</v>
      </c>
      <c r="AX71" s="24">
        <f t="shared" si="28"/>
        <v>0</v>
      </c>
      <c r="AY71" s="24">
        <f t="shared" si="29"/>
        <v>0</v>
      </c>
      <c r="AZ71" s="24">
        <f t="shared" si="30"/>
        <v>0</v>
      </c>
      <c r="BA71" t="e">
        <f t="shared" si="31"/>
        <v>#REF!</v>
      </c>
      <c r="BB71">
        <f t="shared" si="32"/>
        <v>0</v>
      </c>
      <c r="BC71" s="24">
        <f t="shared" si="33"/>
        <v>0</v>
      </c>
      <c r="BD71" t="e">
        <f t="shared" si="34"/>
        <v>#REF!</v>
      </c>
    </row>
    <row r="72" spans="1:56" x14ac:dyDescent="0.3">
      <c r="A72" t="e">
        <f>'Entrada datos'!#REF!</f>
        <v>#REF!</v>
      </c>
      <c r="B72" t="e">
        <f>'Entrada datos'!#REF!</f>
        <v>#REF!</v>
      </c>
      <c r="C72" t="e">
        <f>'Entrada datos'!#REF!</f>
        <v>#REF!</v>
      </c>
      <c r="D72" t="e">
        <f>'Entrada datos'!#REF!</f>
        <v>#REF!</v>
      </c>
      <c r="E72" s="18" t="e">
        <f>'Entrada datos'!#REF!</f>
        <v>#REF!</v>
      </c>
      <c r="F72" s="18" t="e">
        <f>'Entrada datos'!#REF!</f>
        <v>#REF!</v>
      </c>
      <c r="G72" t="e">
        <f>'Entrada datos'!#REF!</f>
        <v>#REF!</v>
      </c>
      <c r="H72" t="e">
        <f>'Entrada datos'!#REF!</f>
        <v>#REF!</v>
      </c>
      <c r="I72" t="e">
        <f>'Entrada datos'!#REF!</f>
        <v>#REF!</v>
      </c>
      <c r="J72" t="e">
        <f>'Entrada datos'!#REF!</f>
        <v>#REF!</v>
      </c>
      <c r="K72" t="e">
        <f>'Entrada datos'!#REF!</f>
        <v>#REF!</v>
      </c>
      <c r="L72" t="e">
        <f>'Entrada datos'!#REF!</f>
        <v>#REF!</v>
      </c>
      <c r="M72" t="e">
        <f>'Entrada datos'!#REF!</f>
        <v>#REF!</v>
      </c>
      <c r="N72" t="e">
        <f>'Entrada datos'!#REF!</f>
        <v>#REF!</v>
      </c>
      <c r="O72" t="e">
        <f>'Entrada datos'!#REF!</f>
        <v>#REF!</v>
      </c>
      <c r="P72" s="17" t="e">
        <f t="shared" si="18"/>
        <v>#REF!</v>
      </c>
      <c r="Q72" t="e">
        <f>'Entrada datos'!#REF!</f>
        <v>#REF!</v>
      </c>
      <c r="R72" t="e">
        <f>'Entrada datos'!#REF!</f>
        <v>#REF!</v>
      </c>
      <c r="S72" t="e">
        <f>'Entrada datos'!#REF!</f>
        <v>#REF!</v>
      </c>
      <c r="T72" t="e">
        <f>'Entrada datos'!#REF!</f>
        <v>#REF!</v>
      </c>
      <c r="U72" t="e">
        <f>'Entrada datos'!#REF!</f>
        <v>#REF!</v>
      </c>
      <c r="V72" t="e">
        <f>'Entrada datos'!#REF!</f>
        <v>#REF!</v>
      </c>
      <c r="W72" s="17" t="e">
        <f t="shared" si="19"/>
        <v>#REF!</v>
      </c>
      <c r="X72" t="e">
        <f>'Entrada datos'!#REF!</f>
        <v>#REF!</v>
      </c>
      <c r="Y72" t="e">
        <f>'Entrada datos'!#REF!</f>
        <v>#REF!</v>
      </c>
      <c r="Z72" t="e">
        <f>'Entrada datos'!#REF!</f>
        <v>#REF!</v>
      </c>
      <c r="AA72" t="e">
        <f>'Entrada datos'!#REF!</f>
        <v>#REF!</v>
      </c>
      <c r="AB72" t="e">
        <f>'Entrada datos'!#REF!</f>
        <v>#REF!</v>
      </c>
      <c r="AC72" t="e">
        <f>'Entrada datos'!#REF!</f>
        <v>#REF!</v>
      </c>
      <c r="AD72" s="17" t="e">
        <f t="shared" si="20"/>
        <v>#REF!</v>
      </c>
      <c r="AE72" t="e">
        <f>'Entrada datos'!#REF!</f>
        <v>#REF!</v>
      </c>
      <c r="AF72" t="e">
        <f>'Entrada datos'!#REF!</f>
        <v>#REF!</v>
      </c>
      <c r="AG72" t="e">
        <f>'Entrada datos'!#REF!</f>
        <v>#REF!</v>
      </c>
      <c r="AH72" t="e">
        <f>'Entrada datos'!#REF!</f>
        <v>#REF!</v>
      </c>
      <c r="AI72" t="e">
        <f>'Entrada datos'!#REF!</f>
        <v>#REF!</v>
      </c>
      <c r="AJ72" t="e">
        <f>'Entrada datos'!#REF!</f>
        <v>#REF!</v>
      </c>
      <c r="AK72" s="17" t="e">
        <f t="shared" si="21"/>
        <v>#REF!</v>
      </c>
      <c r="AL72" t="e">
        <f>'Entrada datos'!#REF!</f>
        <v>#REF!</v>
      </c>
      <c r="AM72" t="e">
        <f>'Entrada datos'!#REF!</f>
        <v>#REF!</v>
      </c>
      <c r="AN72" t="e">
        <f>'Entrada datos'!#REF!</f>
        <v>#REF!</v>
      </c>
      <c r="AO72" t="e">
        <f>'Entrada datos'!#REF!</f>
        <v>#REF!</v>
      </c>
      <c r="AP72" t="e">
        <f>'Entrada datos'!#REF!</f>
        <v>#REF!</v>
      </c>
      <c r="AQ72" t="e">
        <f>'Entrada datos'!#REF!</f>
        <v>#REF!</v>
      </c>
      <c r="AR72" s="17" t="e">
        <f t="shared" si="22"/>
        <v>#REF!</v>
      </c>
      <c r="AS72" s="23" t="e">
        <f t="shared" si="23"/>
        <v>#REF!</v>
      </c>
      <c r="AT72" t="e">
        <f t="shared" si="24"/>
        <v>#REF!</v>
      </c>
      <c r="AU72" s="40" t="e">
        <f t="shared" si="25"/>
        <v>#REF!</v>
      </c>
      <c r="AV72" t="e">
        <f t="shared" si="26"/>
        <v>#REF!</v>
      </c>
      <c r="AW72" t="e">
        <f t="shared" si="27"/>
        <v>#REF!</v>
      </c>
      <c r="AX72" s="24">
        <f t="shared" si="28"/>
        <v>0</v>
      </c>
      <c r="AY72" s="24">
        <f t="shared" si="29"/>
        <v>0</v>
      </c>
      <c r="AZ72" s="24">
        <f t="shared" si="30"/>
        <v>0</v>
      </c>
      <c r="BA72" t="e">
        <f t="shared" si="31"/>
        <v>#REF!</v>
      </c>
      <c r="BB72">
        <f t="shared" si="32"/>
        <v>0</v>
      </c>
      <c r="BC72" s="24">
        <f t="shared" si="33"/>
        <v>0</v>
      </c>
      <c r="BD72" t="e">
        <f t="shared" si="34"/>
        <v>#REF!</v>
      </c>
    </row>
    <row r="73" spans="1:56" x14ac:dyDescent="0.3">
      <c r="A73" t="e">
        <f>'Entrada datos'!#REF!</f>
        <v>#REF!</v>
      </c>
      <c r="B73" t="e">
        <f>'Entrada datos'!#REF!</f>
        <v>#REF!</v>
      </c>
      <c r="C73" t="e">
        <f>'Entrada datos'!#REF!</f>
        <v>#REF!</v>
      </c>
      <c r="D73" t="e">
        <f>'Entrada datos'!#REF!</f>
        <v>#REF!</v>
      </c>
      <c r="E73" s="18" t="e">
        <f>'Entrada datos'!#REF!</f>
        <v>#REF!</v>
      </c>
      <c r="F73" s="18" t="e">
        <f>'Entrada datos'!#REF!</f>
        <v>#REF!</v>
      </c>
      <c r="G73" t="e">
        <f>'Entrada datos'!#REF!</f>
        <v>#REF!</v>
      </c>
      <c r="H73" t="e">
        <f>'Entrada datos'!#REF!</f>
        <v>#REF!</v>
      </c>
      <c r="I73" t="e">
        <f>'Entrada datos'!#REF!</f>
        <v>#REF!</v>
      </c>
      <c r="J73" t="e">
        <f>'Entrada datos'!#REF!</f>
        <v>#REF!</v>
      </c>
      <c r="K73" t="e">
        <f>'Entrada datos'!#REF!</f>
        <v>#REF!</v>
      </c>
      <c r="L73" t="e">
        <f>'Entrada datos'!#REF!</f>
        <v>#REF!</v>
      </c>
      <c r="M73" t="e">
        <f>'Entrada datos'!#REF!</f>
        <v>#REF!</v>
      </c>
      <c r="N73" t="e">
        <f>'Entrada datos'!#REF!</f>
        <v>#REF!</v>
      </c>
      <c r="O73" t="e">
        <f>'Entrada datos'!#REF!</f>
        <v>#REF!</v>
      </c>
      <c r="P73" s="17" t="e">
        <f t="shared" si="18"/>
        <v>#REF!</v>
      </c>
      <c r="Q73" t="e">
        <f>'Entrada datos'!#REF!</f>
        <v>#REF!</v>
      </c>
      <c r="R73" t="e">
        <f>'Entrada datos'!#REF!</f>
        <v>#REF!</v>
      </c>
      <c r="S73" t="e">
        <f>'Entrada datos'!#REF!</f>
        <v>#REF!</v>
      </c>
      <c r="T73" t="e">
        <f>'Entrada datos'!#REF!</f>
        <v>#REF!</v>
      </c>
      <c r="U73" t="e">
        <f>'Entrada datos'!#REF!</f>
        <v>#REF!</v>
      </c>
      <c r="V73" t="e">
        <f>'Entrada datos'!#REF!</f>
        <v>#REF!</v>
      </c>
      <c r="W73" s="17" t="e">
        <f t="shared" si="19"/>
        <v>#REF!</v>
      </c>
      <c r="X73" t="e">
        <f>'Entrada datos'!#REF!</f>
        <v>#REF!</v>
      </c>
      <c r="Y73" t="e">
        <f>'Entrada datos'!#REF!</f>
        <v>#REF!</v>
      </c>
      <c r="Z73" t="e">
        <f>'Entrada datos'!#REF!</f>
        <v>#REF!</v>
      </c>
      <c r="AA73" t="e">
        <f>'Entrada datos'!#REF!</f>
        <v>#REF!</v>
      </c>
      <c r="AB73" t="e">
        <f>'Entrada datos'!#REF!</f>
        <v>#REF!</v>
      </c>
      <c r="AC73" t="e">
        <f>'Entrada datos'!#REF!</f>
        <v>#REF!</v>
      </c>
      <c r="AD73" s="17" t="e">
        <f t="shared" si="20"/>
        <v>#REF!</v>
      </c>
      <c r="AE73" t="e">
        <f>'Entrada datos'!#REF!</f>
        <v>#REF!</v>
      </c>
      <c r="AF73" t="e">
        <f>'Entrada datos'!#REF!</f>
        <v>#REF!</v>
      </c>
      <c r="AG73" t="e">
        <f>'Entrada datos'!#REF!</f>
        <v>#REF!</v>
      </c>
      <c r="AH73" t="e">
        <f>'Entrada datos'!#REF!</f>
        <v>#REF!</v>
      </c>
      <c r="AI73" t="e">
        <f>'Entrada datos'!#REF!</f>
        <v>#REF!</v>
      </c>
      <c r="AJ73" t="e">
        <f>'Entrada datos'!#REF!</f>
        <v>#REF!</v>
      </c>
      <c r="AK73" s="17" t="e">
        <f t="shared" si="21"/>
        <v>#REF!</v>
      </c>
      <c r="AL73" t="e">
        <f>'Entrada datos'!#REF!</f>
        <v>#REF!</v>
      </c>
      <c r="AM73" t="e">
        <f>'Entrada datos'!#REF!</f>
        <v>#REF!</v>
      </c>
      <c r="AN73" t="e">
        <f>'Entrada datos'!#REF!</f>
        <v>#REF!</v>
      </c>
      <c r="AO73" t="e">
        <f>'Entrada datos'!#REF!</f>
        <v>#REF!</v>
      </c>
      <c r="AP73" t="e">
        <f>'Entrada datos'!#REF!</f>
        <v>#REF!</v>
      </c>
      <c r="AQ73" t="e">
        <f>'Entrada datos'!#REF!</f>
        <v>#REF!</v>
      </c>
      <c r="AR73" s="17" t="e">
        <f t="shared" si="22"/>
        <v>#REF!</v>
      </c>
      <c r="AS73" s="23" t="e">
        <f t="shared" si="23"/>
        <v>#REF!</v>
      </c>
      <c r="AT73" t="e">
        <f t="shared" si="24"/>
        <v>#REF!</v>
      </c>
      <c r="AU73" s="40" t="e">
        <f t="shared" si="25"/>
        <v>#REF!</v>
      </c>
      <c r="AV73" t="e">
        <f t="shared" si="26"/>
        <v>#REF!</v>
      </c>
      <c r="AW73" t="e">
        <f t="shared" si="27"/>
        <v>#REF!</v>
      </c>
      <c r="AX73" s="24">
        <f t="shared" si="28"/>
        <v>0</v>
      </c>
      <c r="AY73" s="24">
        <f t="shared" si="29"/>
        <v>0</v>
      </c>
      <c r="AZ73" s="24">
        <f t="shared" si="30"/>
        <v>0</v>
      </c>
      <c r="BA73" t="e">
        <f t="shared" si="31"/>
        <v>#REF!</v>
      </c>
      <c r="BB73">
        <f t="shared" si="32"/>
        <v>0</v>
      </c>
      <c r="BC73" s="24">
        <f t="shared" si="33"/>
        <v>0</v>
      </c>
      <c r="BD73" t="e">
        <f t="shared" si="34"/>
        <v>#REF!</v>
      </c>
    </row>
    <row r="74" spans="1:56" x14ac:dyDescent="0.3">
      <c r="A74" t="e">
        <f>'Entrada datos'!#REF!</f>
        <v>#REF!</v>
      </c>
      <c r="B74" t="e">
        <f>'Entrada datos'!#REF!</f>
        <v>#REF!</v>
      </c>
      <c r="C74" t="e">
        <f>'Entrada datos'!#REF!</f>
        <v>#REF!</v>
      </c>
      <c r="D74" t="e">
        <f>'Entrada datos'!#REF!</f>
        <v>#REF!</v>
      </c>
      <c r="E74" s="18" t="e">
        <f>'Entrada datos'!#REF!</f>
        <v>#REF!</v>
      </c>
      <c r="F74" s="18" t="e">
        <f>'Entrada datos'!#REF!</f>
        <v>#REF!</v>
      </c>
      <c r="G74" t="e">
        <f>'Entrada datos'!#REF!</f>
        <v>#REF!</v>
      </c>
      <c r="H74" t="e">
        <f>'Entrada datos'!#REF!</f>
        <v>#REF!</v>
      </c>
      <c r="I74" t="e">
        <f>'Entrada datos'!#REF!</f>
        <v>#REF!</v>
      </c>
      <c r="J74" t="e">
        <f>'Entrada datos'!#REF!</f>
        <v>#REF!</v>
      </c>
      <c r="K74" t="e">
        <f>'Entrada datos'!#REF!</f>
        <v>#REF!</v>
      </c>
      <c r="L74" t="e">
        <f>'Entrada datos'!#REF!</f>
        <v>#REF!</v>
      </c>
      <c r="M74" t="e">
        <f>'Entrada datos'!#REF!</f>
        <v>#REF!</v>
      </c>
      <c r="N74" t="e">
        <f>'Entrada datos'!#REF!</f>
        <v>#REF!</v>
      </c>
      <c r="O74" t="e">
        <f>'Entrada datos'!#REF!</f>
        <v>#REF!</v>
      </c>
      <c r="P74" s="17" t="e">
        <f t="shared" si="18"/>
        <v>#REF!</v>
      </c>
      <c r="Q74" t="e">
        <f>'Entrada datos'!#REF!</f>
        <v>#REF!</v>
      </c>
      <c r="R74" t="e">
        <f>'Entrada datos'!#REF!</f>
        <v>#REF!</v>
      </c>
      <c r="S74" t="e">
        <f>'Entrada datos'!#REF!</f>
        <v>#REF!</v>
      </c>
      <c r="T74" t="e">
        <f>'Entrada datos'!#REF!</f>
        <v>#REF!</v>
      </c>
      <c r="U74" t="e">
        <f>'Entrada datos'!#REF!</f>
        <v>#REF!</v>
      </c>
      <c r="V74" t="e">
        <f>'Entrada datos'!#REF!</f>
        <v>#REF!</v>
      </c>
      <c r="W74" s="17" t="e">
        <f t="shared" si="19"/>
        <v>#REF!</v>
      </c>
      <c r="X74" t="e">
        <f>'Entrada datos'!#REF!</f>
        <v>#REF!</v>
      </c>
      <c r="Y74" t="e">
        <f>'Entrada datos'!#REF!</f>
        <v>#REF!</v>
      </c>
      <c r="Z74" t="e">
        <f>'Entrada datos'!#REF!</f>
        <v>#REF!</v>
      </c>
      <c r="AA74" t="e">
        <f>'Entrada datos'!#REF!</f>
        <v>#REF!</v>
      </c>
      <c r="AB74" t="e">
        <f>'Entrada datos'!#REF!</f>
        <v>#REF!</v>
      </c>
      <c r="AC74" t="e">
        <f>'Entrada datos'!#REF!</f>
        <v>#REF!</v>
      </c>
      <c r="AD74" s="17" t="e">
        <f t="shared" si="20"/>
        <v>#REF!</v>
      </c>
      <c r="AE74" t="e">
        <f>'Entrada datos'!#REF!</f>
        <v>#REF!</v>
      </c>
      <c r="AF74" t="e">
        <f>'Entrada datos'!#REF!</f>
        <v>#REF!</v>
      </c>
      <c r="AG74" t="e">
        <f>'Entrada datos'!#REF!</f>
        <v>#REF!</v>
      </c>
      <c r="AH74" t="e">
        <f>'Entrada datos'!#REF!</f>
        <v>#REF!</v>
      </c>
      <c r="AI74" t="e">
        <f>'Entrada datos'!#REF!</f>
        <v>#REF!</v>
      </c>
      <c r="AJ74" t="e">
        <f>'Entrada datos'!#REF!</f>
        <v>#REF!</v>
      </c>
      <c r="AK74" s="17" t="e">
        <f t="shared" si="21"/>
        <v>#REF!</v>
      </c>
      <c r="AL74" t="e">
        <f>'Entrada datos'!#REF!</f>
        <v>#REF!</v>
      </c>
      <c r="AM74" t="e">
        <f>'Entrada datos'!#REF!</f>
        <v>#REF!</v>
      </c>
      <c r="AN74" t="e">
        <f>'Entrada datos'!#REF!</f>
        <v>#REF!</v>
      </c>
      <c r="AO74" t="e">
        <f>'Entrada datos'!#REF!</f>
        <v>#REF!</v>
      </c>
      <c r="AP74" t="e">
        <f>'Entrada datos'!#REF!</f>
        <v>#REF!</v>
      </c>
      <c r="AQ74" t="e">
        <f>'Entrada datos'!#REF!</f>
        <v>#REF!</v>
      </c>
      <c r="AR74" s="17" t="e">
        <f t="shared" si="22"/>
        <v>#REF!</v>
      </c>
      <c r="AS74" s="23" t="e">
        <f t="shared" si="23"/>
        <v>#REF!</v>
      </c>
      <c r="AT74" t="e">
        <f t="shared" si="24"/>
        <v>#REF!</v>
      </c>
      <c r="AU74" s="40" t="e">
        <f t="shared" si="25"/>
        <v>#REF!</v>
      </c>
      <c r="AV74" t="e">
        <f t="shared" si="26"/>
        <v>#REF!</v>
      </c>
      <c r="AW74" t="e">
        <f t="shared" si="27"/>
        <v>#REF!</v>
      </c>
      <c r="AX74" s="24">
        <f t="shared" si="28"/>
        <v>0</v>
      </c>
      <c r="AY74" s="24">
        <f t="shared" si="29"/>
        <v>0</v>
      </c>
      <c r="AZ74" s="24">
        <f t="shared" si="30"/>
        <v>0</v>
      </c>
      <c r="BA74" t="e">
        <f t="shared" si="31"/>
        <v>#REF!</v>
      </c>
      <c r="BB74">
        <f t="shared" si="32"/>
        <v>0</v>
      </c>
      <c r="BC74" s="24">
        <f t="shared" si="33"/>
        <v>0</v>
      </c>
      <c r="BD74" t="e">
        <f t="shared" si="34"/>
        <v>#REF!</v>
      </c>
    </row>
    <row r="75" spans="1:56" x14ac:dyDescent="0.3">
      <c r="A75" t="e">
        <f>'Entrada datos'!#REF!</f>
        <v>#REF!</v>
      </c>
      <c r="B75" t="e">
        <f>'Entrada datos'!#REF!</f>
        <v>#REF!</v>
      </c>
      <c r="C75" t="e">
        <f>'Entrada datos'!#REF!</f>
        <v>#REF!</v>
      </c>
      <c r="D75" t="e">
        <f>'Entrada datos'!#REF!</f>
        <v>#REF!</v>
      </c>
      <c r="E75" s="18" t="e">
        <f>'Entrada datos'!#REF!</f>
        <v>#REF!</v>
      </c>
      <c r="F75" s="18" t="e">
        <f>'Entrada datos'!#REF!</f>
        <v>#REF!</v>
      </c>
      <c r="G75" t="e">
        <f>'Entrada datos'!#REF!</f>
        <v>#REF!</v>
      </c>
      <c r="H75" t="e">
        <f>'Entrada datos'!#REF!</f>
        <v>#REF!</v>
      </c>
      <c r="I75" t="e">
        <f>'Entrada datos'!#REF!</f>
        <v>#REF!</v>
      </c>
      <c r="J75" t="e">
        <f>'Entrada datos'!#REF!</f>
        <v>#REF!</v>
      </c>
      <c r="K75" t="e">
        <f>'Entrada datos'!#REF!</f>
        <v>#REF!</v>
      </c>
      <c r="L75" t="e">
        <f>'Entrada datos'!#REF!</f>
        <v>#REF!</v>
      </c>
      <c r="M75" t="e">
        <f>'Entrada datos'!#REF!</f>
        <v>#REF!</v>
      </c>
      <c r="N75" t="e">
        <f>'Entrada datos'!#REF!</f>
        <v>#REF!</v>
      </c>
      <c r="O75" t="e">
        <f>'Entrada datos'!#REF!</f>
        <v>#REF!</v>
      </c>
      <c r="P75" s="17" t="e">
        <f t="shared" si="18"/>
        <v>#REF!</v>
      </c>
      <c r="Q75" t="e">
        <f>'Entrada datos'!#REF!</f>
        <v>#REF!</v>
      </c>
      <c r="R75" t="e">
        <f>'Entrada datos'!#REF!</f>
        <v>#REF!</v>
      </c>
      <c r="S75" t="e">
        <f>'Entrada datos'!#REF!</f>
        <v>#REF!</v>
      </c>
      <c r="T75" t="e">
        <f>'Entrada datos'!#REF!</f>
        <v>#REF!</v>
      </c>
      <c r="U75" t="e">
        <f>'Entrada datos'!#REF!</f>
        <v>#REF!</v>
      </c>
      <c r="V75" t="e">
        <f>'Entrada datos'!#REF!</f>
        <v>#REF!</v>
      </c>
      <c r="W75" s="17" t="e">
        <f t="shared" si="19"/>
        <v>#REF!</v>
      </c>
      <c r="X75" t="e">
        <f>'Entrada datos'!#REF!</f>
        <v>#REF!</v>
      </c>
      <c r="Y75" t="e">
        <f>'Entrada datos'!#REF!</f>
        <v>#REF!</v>
      </c>
      <c r="Z75" t="e">
        <f>'Entrada datos'!#REF!</f>
        <v>#REF!</v>
      </c>
      <c r="AA75" t="e">
        <f>'Entrada datos'!#REF!</f>
        <v>#REF!</v>
      </c>
      <c r="AB75" t="e">
        <f>'Entrada datos'!#REF!</f>
        <v>#REF!</v>
      </c>
      <c r="AC75" t="e">
        <f>'Entrada datos'!#REF!</f>
        <v>#REF!</v>
      </c>
      <c r="AD75" s="17" t="e">
        <f t="shared" si="20"/>
        <v>#REF!</v>
      </c>
      <c r="AE75" t="e">
        <f>'Entrada datos'!#REF!</f>
        <v>#REF!</v>
      </c>
      <c r="AF75" t="e">
        <f>'Entrada datos'!#REF!</f>
        <v>#REF!</v>
      </c>
      <c r="AG75" t="e">
        <f>'Entrada datos'!#REF!</f>
        <v>#REF!</v>
      </c>
      <c r="AH75" t="e">
        <f>'Entrada datos'!#REF!</f>
        <v>#REF!</v>
      </c>
      <c r="AI75" t="e">
        <f>'Entrada datos'!#REF!</f>
        <v>#REF!</v>
      </c>
      <c r="AJ75" t="e">
        <f>'Entrada datos'!#REF!</f>
        <v>#REF!</v>
      </c>
      <c r="AK75" s="17" t="e">
        <f t="shared" si="21"/>
        <v>#REF!</v>
      </c>
      <c r="AL75" t="e">
        <f>'Entrada datos'!#REF!</f>
        <v>#REF!</v>
      </c>
      <c r="AM75" t="e">
        <f>'Entrada datos'!#REF!</f>
        <v>#REF!</v>
      </c>
      <c r="AN75" t="e">
        <f>'Entrada datos'!#REF!</f>
        <v>#REF!</v>
      </c>
      <c r="AO75" t="e">
        <f>'Entrada datos'!#REF!</f>
        <v>#REF!</v>
      </c>
      <c r="AP75" t="e">
        <f>'Entrada datos'!#REF!</f>
        <v>#REF!</v>
      </c>
      <c r="AQ75" t="e">
        <f>'Entrada datos'!#REF!</f>
        <v>#REF!</v>
      </c>
      <c r="AR75" s="17" t="e">
        <f t="shared" si="22"/>
        <v>#REF!</v>
      </c>
      <c r="AS75" s="23" t="e">
        <f t="shared" si="23"/>
        <v>#REF!</v>
      </c>
      <c r="AT75" t="e">
        <f t="shared" si="24"/>
        <v>#REF!</v>
      </c>
      <c r="AU75" s="40" t="e">
        <f t="shared" si="25"/>
        <v>#REF!</v>
      </c>
      <c r="AV75" t="e">
        <f t="shared" si="26"/>
        <v>#REF!</v>
      </c>
      <c r="AW75" t="e">
        <f t="shared" si="27"/>
        <v>#REF!</v>
      </c>
      <c r="AX75" s="24">
        <f t="shared" si="28"/>
        <v>0</v>
      </c>
      <c r="AY75" s="24">
        <f t="shared" si="29"/>
        <v>0</v>
      </c>
      <c r="AZ75" s="24">
        <f t="shared" si="30"/>
        <v>0</v>
      </c>
      <c r="BA75" t="e">
        <f t="shared" si="31"/>
        <v>#REF!</v>
      </c>
      <c r="BB75">
        <f t="shared" si="32"/>
        <v>0</v>
      </c>
      <c r="BC75" s="24">
        <f t="shared" si="33"/>
        <v>0</v>
      </c>
      <c r="BD75" t="e">
        <f t="shared" si="34"/>
        <v>#REF!</v>
      </c>
    </row>
    <row r="76" spans="1:56" x14ac:dyDescent="0.3">
      <c r="A76" t="e">
        <f>'Entrada datos'!#REF!</f>
        <v>#REF!</v>
      </c>
      <c r="B76" t="e">
        <f>'Entrada datos'!#REF!</f>
        <v>#REF!</v>
      </c>
      <c r="C76" t="e">
        <f>'Entrada datos'!#REF!</f>
        <v>#REF!</v>
      </c>
      <c r="D76" t="e">
        <f>'Entrada datos'!#REF!</f>
        <v>#REF!</v>
      </c>
      <c r="E76" s="18" t="e">
        <f>'Entrada datos'!#REF!</f>
        <v>#REF!</v>
      </c>
      <c r="F76" s="18" t="e">
        <f>'Entrada datos'!#REF!</f>
        <v>#REF!</v>
      </c>
      <c r="G76" t="e">
        <f>'Entrada datos'!#REF!</f>
        <v>#REF!</v>
      </c>
      <c r="H76" t="e">
        <f>'Entrada datos'!#REF!</f>
        <v>#REF!</v>
      </c>
      <c r="I76" t="e">
        <f>'Entrada datos'!#REF!</f>
        <v>#REF!</v>
      </c>
      <c r="J76" t="e">
        <f>'Entrada datos'!#REF!</f>
        <v>#REF!</v>
      </c>
      <c r="K76" t="e">
        <f>'Entrada datos'!#REF!</f>
        <v>#REF!</v>
      </c>
      <c r="L76" t="e">
        <f>'Entrada datos'!#REF!</f>
        <v>#REF!</v>
      </c>
      <c r="M76" t="e">
        <f>'Entrada datos'!#REF!</f>
        <v>#REF!</v>
      </c>
      <c r="N76" t="e">
        <f>'Entrada datos'!#REF!</f>
        <v>#REF!</v>
      </c>
      <c r="O76" t="e">
        <f>'Entrada datos'!#REF!</f>
        <v>#REF!</v>
      </c>
      <c r="P76" s="17" t="e">
        <f t="shared" si="18"/>
        <v>#REF!</v>
      </c>
      <c r="Q76" t="e">
        <f>'Entrada datos'!#REF!</f>
        <v>#REF!</v>
      </c>
      <c r="R76" t="e">
        <f>'Entrada datos'!#REF!</f>
        <v>#REF!</v>
      </c>
      <c r="S76" t="e">
        <f>'Entrada datos'!#REF!</f>
        <v>#REF!</v>
      </c>
      <c r="T76" t="e">
        <f>'Entrada datos'!#REF!</f>
        <v>#REF!</v>
      </c>
      <c r="U76" t="e">
        <f>'Entrada datos'!#REF!</f>
        <v>#REF!</v>
      </c>
      <c r="V76" t="e">
        <f>'Entrada datos'!#REF!</f>
        <v>#REF!</v>
      </c>
      <c r="W76" s="17" t="e">
        <f t="shared" si="19"/>
        <v>#REF!</v>
      </c>
      <c r="X76" t="e">
        <f>'Entrada datos'!#REF!</f>
        <v>#REF!</v>
      </c>
      <c r="Y76" t="e">
        <f>'Entrada datos'!#REF!</f>
        <v>#REF!</v>
      </c>
      <c r="Z76" t="e">
        <f>'Entrada datos'!#REF!</f>
        <v>#REF!</v>
      </c>
      <c r="AA76" t="e">
        <f>'Entrada datos'!#REF!</f>
        <v>#REF!</v>
      </c>
      <c r="AB76" t="e">
        <f>'Entrada datos'!#REF!</f>
        <v>#REF!</v>
      </c>
      <c r="AC76" t="e">
        <f>'Entrada datos'!#REF!</f>
        <v>#REF!</v>
      </c>
      <c r="AD76" s="17" t="e">
        <f t="shared" si="20"/>
        <v>#REF!</v>
      </c>
      <c r="AE76" t="e">
        <f>'Entrada datos'!#REF!</f>
        <v>#REF!</v>
      </c>
      <c r="AF76" t="e">
        <f>'Entrada datos'!#REF!</f>
        <v>#REF!</v>
      </c>
      <c r="AG76" t="e">
        <f>'Entrada datos'!#REF!</f>
        <v>#REF!</v>
      </c>
      <c r="AH76" t="e">
        <f>'Entrada datos'!#REF!</f>
        <v>#REF!</v>
      </c>
      <c r="AI76" t="e">
        <f>'Entrada datos'!#REF!</f>
        <v>#REF!</v>
      </c>
      <c r="AJ76" t="e">
        <f>'Entrada datos'!#REF!</f>
        <v>#REF!</v>
      </c>
      <c r="AK76" s="17" t="e">
        <f t="shared" si="21"/>
        <v>#REF!</v>
      </c>
      <c r="AL76" t="e">
        <f>'Entrada datos'!#REF!</f>
        <v>#REF!</v>
      </c>
      <c r="AM76" t="e">
        <f>'Entrada datos'!#REF!</f>
        <v>#REF!</v>
      </c>
      <c r="AN76" t="e">
        <f>'Entrada datos'!#REF!</f>
        <v>#REF!</v>
      </c>
      <c r="AO76" t="e">
        <f>'Entrada datos'!#REF!</f>
        <v>#REF!</v>
      </c>
      <c r="AP76" t="e">
        <f>'Entrada datos'!#REF!</f>
        <v>#REF!</v>
      </c>
      <c r="AQ76" t="e">
        <f>'Entrada datos'!#REF!</f>
        <v>#REF!</v>
      </c>
      <c r="AR76" s="17" t="e">
        <f t="shared" si="22"/>
        <v>#REF!</v>
      </c>
      <c r="AS76" s="23" t="e">
        <f t="shared" si="23"/>
        <v>#REF!</v>
      </c>
      <c r="AT76" t="e">
        <f t="shared" si="24"/>
        <v>#REF!</v>
      </c>
      <c r="AU76" s="40" t="e">
        <f t="shared" si="25"/>
        <v>#REF!</v>
      </c>
      <c r="AV76" t="e">
        <f t="shared" si="26"/>
        <v>#REF!</v>
      </c>
      <c r="AW76" t="e">
        <f t="shared" si="27"/>
        <v>#REF!</v>
      </c>
      <c r="AX76" s="24">
        <f t="shared" si="28"/>
        <v>0</v>
      </c>
      <c r="AY76" s="24">
        <f t="shared" si="29"/>
        <v>0</v>
      </c>
      <c r="AZ76" s="24">
        <f t="shared" si="30"/>
        <v>0</v>
      </c>
      <c r="BA76" t="e">
        <f t="shared" si="31"/>
        <v>#REF!</v>
      </c>
      <c r="BB76">
        <f t="shared" si="32"/>
        <v>0</v>
      </c>
      <c r="BC76" s="24">
        <f t="shared" si="33"/>
        <v>0</v>
      </c>
      <c r="BD76" t="e">
        <f t="shared" si="34"/>
        <v>#REF!</v>
      </c>
    </row>
    <row r="77" spans="1:56" x14ac:dyDescent="0.3">
      <c r="A77" t="e">
        <f>'Entrada datos'!#REF!</f>
        <v>#REF!</v>
      </c>
      <c r="B77" t="e">
        <f>'Entrada datos'!#REF!</f>
        <v>#REF!</v>
      </c>
      <c r="C77" t="e">
        <f>'Entrada datos'!#REF!</f>
        <v>#REF!</v>
      </c>
      <c r="D77" t="e">
        <f>'Entrada datos'!#REF!</f>
        <v>#REF!</v>
      </c>
      <c r="E77" s="18" t="e">
        <f>'Entrada datos'!#REF!</f>
        <v>#REF!</v>
      </c>
      <c r="F77" s="18" t="e">
        <f>'Entrada datos'!#REF!</f>
        <v>#REF!</v>
      </c>
      <c r="G77" t="e">
        <f>'Entrada datos'!#REF!</f>
        <v>#REF!</v>
      </c>
      <c r="H77" t="e">
        <f>'Entrada datos'!#REF!</f>
        <v>#REF!</v>
      </c>
      <c r="I77" t="e">
        <f>'Entrada datos'!#REF!</f>
        <v>#REF!</v>
      </c>
      <c r="J77" t="e">
        <f>'Entrada datos'!#REF!</f>
        <v>#REF!</v>
      </c>
      <c r="K77" t="e">
        <f>'Entrada datos'!#REF!</f>
        <v>#REF!</v>
      </c>
      <c r="L77" t="e">
        <f>'Entrada datos'!#REF!</f>
        <v>#REF!</v>
      </c>
      <c r="M77" t="e">
        <f>'Entrada datos'!#REF!</f>
        <v>#REF!</v>
      </c>
      <c r="N77" t="e">
        <f>'Entrada datos'!#REF!</f>
        <v>#REF!</v>
      </c>
      <c r="O77" t="e">
        <f>'Entrada datos'!#REF!</f>
        <v>#REF!</v>
      </c>
      <c r="P77" s="17" t="e">
        <f t="shared" si="18"/>
        <v>#REF!</v>
      </c>
      <c r="Q77" t="e">
        <f>'Entrada datos'!#REF!</f>
        <v>#REF!</v>
      </c>
      <c r="R77" t="e">
        <f>'Entrada datos'!#REF!</f>
        <v>#REF!</v>
      </c>
      <c r="S77" t="e">
        <f>'Entrada datos'!#REF!</f>
        <v>#REF!</v>
      </c>
      <c r="T77" t="e">
        <f>'Entrada datos'!#REF!</f>
        <v>#REF!</v>
      </c>
      <c r="U77" t="e">
        <f>'Entrada datos'!#REF!</f>
        <v>#REF!</v>
      </c>
      <c r="V77" t="e">
        <f>'Entrada datos'!#REF!</f>
        <v>#REF!</v>
      </c>
      <c r="W77" s="17" t="e">
        <f t="shared" si="19"/>
        <v>#REF!</v>
      </c>
      <c r="X77" t="e">
        <f>'Entrada datos'!#REF!</f>
        <v>#REF!</v>
      </c>
      <c r="Y77" t="e">
        <f>'Entrada datos'!#REF!</f>
        <v>#REF!</v>
      </c>
      <c r="Z77" t="e">
        <f>'Entrada datos'!#REF!</f>
        <v>#REF!</v>
      </c>
      <c r="AA77" t="e">
        <f>'Entrada datos'!#REF!</f>
        <v>#REF!</v>
      </c>
      <c r="AB77" t="e">
        <f>'Entrada datos'!#REF!</f>
        <v>#REF!</v>
      </c>
      <c r="AC77" t="e">
        <f>'Entrada datos'!#REF!</f>
        <v>#REF!</v>
      </c>
      <c r="AD77" s="17" t="e">
        <f t="shared" si="20"/>
        <v>#REF!</v>
      </c>
      <c r="AE77" t="e">
        <f>'Entrada datos'!#REF!</f>
        <v>#REF!</v>
      </c>
      <c r="AF77" t="e">
        <f>'Entrada datos'!#REF!</f>
        <v>#REF!</v>
      </c>
      <c r="AG77" t="e">
        <f>'Entrada datos'!#REF!</f>
        <v>#REF!</v>
      </c>
      <c r="AH77" t="e">
        <f>'Entrada datos'!#REF!</f>
        <v>#REF!</v>
      </c>
      <c r="AI77" t="e">
        <f>'Entrada datos'!#REF!</f>
        <v>#REF!</v>
      </c>
      <c r="AJ77" t="e">
        <f>'Entrada datos'!#REF!</f>
        <v>#REF!</v>
      </c>
      <c r="AK77" s="17" t="e">
        <f t="shared" si="21"/>
        <v>#REF!</v>
      </c>
      <c r="AL77" t="e">
        <f>'Entrada datos'!#REF!</f>
        <v>#REF!</v>
      </c>
      <c r="AM77" t="e">
        <f>'Entrada datos'!#REF!</f>
        <v>#REF!</v>
      </c>
      <c r="AN77" t="e">
        <f>'Entrada datos'!#REF!</f>
        <v>#REF!</v>
      </c>
      <c r="AO77" t="e">
        <f>'Entrada datos'!#REF!</f>
        <v>#REF!</v>
      </c>
      <c r="AP77" t="e">
        <f>'Entrada datos'!#REF!</f>
        <v>#REF!</v>
      </c>
      <c r="AQ77" t="e">
        <f>'Entrada datos'!#REF!</f>
        <v>#REF!</v>
      </c>
      <c r="AR77" s="17" t="e">
        <f t="shared" si="22"/>
        <v>#REF!</v>
      </c>
      <c r="AS77" s="23" t="e">
        <f t="shared" si="23"/>
        <v>#REF!</v>
      </c>
      <c r="AT77" t="e">
        <f t="shared" si="24"/>
        <v>#REF!</v>
      </c>
      <c r="AU77" s="40" t="e">
        <f t="shared" si="25"/>
        <v>#REF!</v>
      </c>
      <c r="AV77" t="e">
        <f t="shared" si="26"/>
        <v>#REF!</v>
      </c>
      <c r="AW77" t="e">
        <f t="shared" si="27"/>
        <v>#REF!</v>
      </c>
      <c r="AX77" s="24">
        <f t="shared" si="28"/>
        <v>0</v>
      </c>
      <c r="AY77" s="24">
        <f t="shared" si="29"/>
        <v>0</v>
      </c>
      <c r="AZ77" s="24">
        <f t="shared" si="30"/>
        <v>0</v>
      </c>
      <c r="BA77" t="e">
        <f t="shared" si="31"/>
        <v>#REF!</v>
      </c>
      <c r="BB77">
        <f t="shared" si="32"/>
        <v>0</v>
      </c>
      <c r="BC77" s="24">
        <f t="shared" si="33"/>
        <v>0</v>
      </c>
      <c r="BD77" t="e">
        <f t="shared" si="34"/>
        <v>#REF!</v>
      </c>
    </row>
    <row r="78" spans="1:56" x14ac:dyDescent="0.3">
      <c r="A78" t="e">
        <f>'Entrada datos'!#REF!</f>
        <v>#REF!</v>
      </c>
      <c r="B78" t="e">
        <f>'Entrada datos'!#REF!</f>
        <v>#REF!</v>
      </c>
      <c r="C78" t="e">
        <f>'Entrada datos'!#REF!</f>
        <v>#REF!</v>
      </c>
      <c r="D78" t="e">
        <f>'Entrada datos'!#REF!</f>
        <v>#REF!</v>
      </c>
      <c r="E78" s="18" t="e">
        <f>'Entrada datos'!#REF!</f>
        <v>#REF!</v>
      </c>
      <c r="F78" s="18" t="e">
        <f>'Entrada datos'!#REF!</f>
        <v>#REF!</v>
      </c>
      <c r="G78" t="e">
        <f>'Entrada datos'!#REF!</f>
        <v>#REF!</v>
      </c>
      <c r="H78" t="e">
        <f>'Entrada datos'!#REF!</f>
        <v>#REF!</v>
      </c>
      <c r="I78" t="e">
        <f>'Entrada datos'!#REF!</f>
        <v>#REF!</v>
      </c>
      <c r="J78" t="e">
        <f>'Entrada datos'!#REF!</f>
        <v>#REF!</v>
      </c>
      <c r="K78" t="e">
        <f>'Entrada datos'!#REF!</f>
        <v>#REF!</v>
      </c>
      <c r="L78" t="e">
        <f>'Entrada datos'!#REF!</f>
        <v>#REF!</v>
      </c>
      <c r="M78" t="e">
        <f>'Entrada datos'!#REF!</f>
        <v>#REF!</v>
      </c>
      <c r="N78" t="e">
        <f>'Entrada datos'!#REF!</f>
        <v>#REF!</v>
      </c>
      <c r="O78" t="e">
        <f>'Entrada datos'!#REF!</f>
        <v>#REF!</v>
      </c>
      <c r="P78" s="17" t="e">
        <f t="shared" si="18"/>
        <v>#REF!</v>
      </c>
      <c r="Q78" t="e">
        <f>'Entrada datos'!#REF!</f>
        <v>#REF!</v>
      </c>
      <c r="R78" t="e">
        <f>'Entrada datos'!#REF!</f>
        <v>#REF!</v>
      </c>
      <c r="S78" t="e">
        <f>'Entrada datos'!#REF!</f>
        <v>#REF!</v>
      </c>
      <c r="T78" t="e">
        <f>'Entrada datos'!#REF!</f>
        <v>#REF!</v>
      </c>
      <c r="U78" t="e">
        <f>'Entrada datos'!#REF!</f>
        <v>#REF!</v>
      </c>
      <c r="V78" t="e">
        <f>'Entrada datos'!#REF!</f>
        <v>#REF!</v>
      </c>
      <c r="W78" s="17" t="e">
        <f t="shared" si="19"/>
        <v>#REF!</v>
      </c>
      <c r="X78" t="e">
        <f>'Entrada datos'!#REF!</f>
        <v>#REF!</v>
      </c>
      <c r="Y78" t="e">
        <f>'Entrada datos'!#REF!</f>
        <v>#REF!</v>
      </c>
      <c r="Z78" t="e">
        <f>'Entrada datos'!#REF!</f>
        <v>#REF!</v>
      </c>
      <c r="AA78" t="e">
        <f>'Entrada datos'!#REF!</f>
        <v>#REF!</v>
      </c>
      <c r="AB78" t="e">
        <f>'Entrada datos'!#REF!</f>
        <v>#REF!</v>
      </c>
      <c r="AC78" t="e">
        <f>'Entrada datos'!#REF!</f>
        <v>#REF!</v>
      </c>
      <c r="AD78" s="17" t="e">
        <f t="shared" si="20"/>
        <v>#REF!</v>
      </c>
      <c r="AE78" t="e">
        <f>'Entrada datos'!#REF!</f>
        <v>#REF!</v>
      </c>
      <c r="AF78" t="e">
        <f>'Entrada datos'!#REF!</f>
        <v>#REF!</v>
      </c>
      <c r="AG78" t="e">
        <f>'Entrada datos'!#REF!</f>
        <v>#REF!</v>
      </c>
      <c r="AH78" t="e">
        <f>'Entrada datos'!#REF!</f>
        <v>#REF!</v>
      </c>
      <c r="AI78" t="e">
        <f>'Entrada datos'!#REF!</f>
        <v>#REF!</v>
      </c>
      <c r="AJ78" t="e">
        <f>'Entrada datos'!#REF!</f>
        <v>#REF!</v>
      </c>
      <c r="AK78" s="17" t="e">
        <f t="shared" si="21"/>
        <v>#REF!</v>
      </c>
      <c r="AL78" t="e">
        <f>'Entrada datos'!#REF!</f>
        <v>#REF!</v>
      </c>
      <c r="AM78" t="e">
        <f>'Entrada datos'!#REF!</f>
        <v>#REF!</v>
      </c>
      <c r="AN78" t="e">
        <f>'Entrada datos'!#REF!</f>
        <v>#REF!</v>
      </c>
      <c r="AO78" t="e">
        <f>'Entrada datos'!#REF!</f>
        <v>#REF!</v>
      </c>
      <c r="AP78" t="e">
        <f>'Entrada datos'!#REF!</f>
        <v>#REF!</v>
      </c>
      <c r="AQ78" t="e">
        <f>'Entrada datos'!#REF!</f>
        <v>#REF!</v>
      </c>
      <c r="AR78" s="17" t="e">
        <f t="shared" si="22"/>
        <v>#REF!</v>
      </c>
      <c r="AS78" s="23" t="e">
        <f t="shared" si="23"/>
        <v>#REF!</v>
      </c>
      <c r="AT78" t="e">
        <f t="shared" si="24"/>
        <v>#REF!</v>
      </c>
      <c r="AU78" s="40" t="e">
        <f t="shared" si="25"/>
        <v>#REF!</v>
      </c>
      <c r="AV78" t="e">
        <f t="shared" si="26"/>
        <v>#REF!</v>
      </c>
      <c r="AW78" t="e">
        <f t="shared" si="27"/>
        <v>#REF!</v>
      </c>
      <c r="AX78" s="24">
        <f t="shared" si="28"/>
        <v>0</v>
      </c>
      <c r="AY78" s="24">
        <f t="shared" si="29"/>
        <v>0</v>
      </c>
      <c r="AZ78" s="24">
        <f t="shared" si="30"/>
        <v>0</v>
      </c>
      <c r="BA78" t="e">
        <f t="shared" si="31"/>
        <v>#REF!</v>
      </c>
      <c r="BB78">
        <f t="shared" si="32"/>
        <v>0</v>
      </c>
      <c r="BC78" s="24">
        <f t="shared" si="33"/>
        <v>0</v>
      </c>
      <c r="BD78" t="e">
        <f t="shared" si="34"/>
        <v>#REF!</v>
      </c>
    </row>
    <row r="79" spans="1:56" x14ac:dyDescent="0.3">
      <c r="A79" t="e">
        <f>'Entrada datos'!#REF!</f>
        <v>#REF!</v>
      </c>
      <c r="B79" t="e">
        <f>'Entrada datos'!#REF!</f>
        <v>#REF!</v>
      </c>
      <c r="C79" t="e">
        <f>'Entrada datos'!#REF!</f>
        <v>#REF!</v>
      </c>
      <c r="D79" t="e">
        <f>'Entrada datos'!#REF!</f>
        <v>#REF!</v>
      </c>
      <c r="E79" s="18" t="e">
        <f>'Entrada datos'!#REF!</f>
        <v>#REF!</v>
      </c>
      <c r="F79" s="18" t="e">
        <f>'Entrada datos'!#REF!</f>
        <v>#REF!</v>
      </c>
      <c r="G79" t="e">
        <f>'Entrada datos'!#REF!</f>
        <v>#REF!</v>
      </c>
      <c r="H79" t="e">
        <f>'Entrada datos'!#REF!</f>
        <v>#REF!</v>
      </c>
      <c r="I79" t="e">
        <f>'Entrada datos'!#REF!</f>
        <v>#REF!</v>
      </c>
      <c r="J79" t="e">
        <f>'Entrada datos'!#REF!</f>
        <v>#REF!</v>
      </c>
      <c r="K79" t="e">
        <f>'Entrada datos'!#REF!</f>
        <v>#REF!</v>
      </c>
      <c r="L79" t="e">
        <f>'Entrada datos'!#REF!</f>
        <v>#REF!</v>
      </c>
      <c r="M79" t="e">
        <f>'Entrada datos'!#REF!</f>
        <v>#REF!</v>
      </c>
      <c r="N79" t="e">
        <f>'Entrada datos'!#REF!</f>
        <v>#REF!</v>
      </c>
      <c r="O79" t="e">
        <f>'Entrada datos'!#REF!</f>
        <v>#REF!</v>
      </c>
      <c r="P79" s="17" t="e">
        <f t="shared" si="18"/>
        <v>#REF!</v>
      </c>
      <c r="Q79" t="e">
        <f>'Entrada datos'!#REF!</f>
        <v>#REF!</v>
      </c>
      <c r="R79" t="e">
        <f>'Entrada datos'!#REF!</f>
        <v>#REF!</v>
      </c>
      <c r="S79" t="e">
        <f>'Entrada datos'!#REF!</f>
        <v>#REF!</v>
      </c>
      <c r="T79" t="e">
        <f>'Entrada datos'!#REF!</f>
        <v>#REF!</v>
      </c>
      <c r="U79" t="e">
        <f>'Entrada datos'!#REF!</f>
        <v>#REF!</v>
      </c>
      <c r="V79" t="e">
        <f>'Entrada datos'!#REF!</f>
        <v>#REF!</v>
      </c>
      <c r="W79" s="17" t="e">
        <f t="shared" si="19"/>
        <v>#REF!</v>
      </c>
      <c r="X79" t="e">
        <f>'Entrada datos'!#REF!</f>
        <v>#REF!</v>
      </c>
      <c r="Y79" t="e">
        <f>'Entrada datos'!#REF!</f>
        <v>#REF!</v>
      </c>
      <c r="Z79" t="e">
        <f>'Entrada datos'!#REF!</f>
        <v>#REF!</v>
      </c>
      <c r="AA79" t="e">
        <f>'Entrada datos'!#REF!</f>
        <v>#REF!</v>
      </c>
      <c r="AB79" t="e">
        <f>'Entrada datos'!#REF!</f>
        <v>#REF!</v>
      </c>
      <c r="AC79" t="e">
        <f>'Entrada datos'!#REF!</f>
        <v>#REF!</v>
      </c>
      <c r="AD79" s="17" t="e">
        <f t="shared" si="20"/>
        <v>#REF!</v>
      </c>
      <c r="AE79" t="e">
        <f>'Entrada datos'!#REF!</f>
        <v>#REF!</v>
      </c>
      <c r="AF79" t="e">
        <f>'Entrada datos'!#REF!</f>
        <v>#REF!</v>
      </c>
      <c r="AG79" t="e">
        <f>'Entrada datos'!#REF!</f>
        <v>#REF!</v>
      </c>
      <c r="AH79" t="e">
        <f>'Entrada datos'!#REF!</f>
        <v>#REF!</v>
      </c>
      <c r="AI79" t="e">
        <f>'Entrada datos'!#REF!</f>
        <v>#REF!</v>
      </c>
      <c r="AJ79" t="e">
        <f>'Entrada datos'!#REF!</f>
        <v>#REF!</v>
      </c>
      <c r="AK79" s="17" t="e">
        <f t="shared" si="21"/>
        <v>#REF!</v>
      </c>
      <c r="AL79" t="e">
        <f>'Entrada datos'!#REF!</f>
        <v>#REF!</v>
      </c>
      <c r="AM79" t="e">
        <f>'Entrada datos'!#REF!</f>
        <v>#REF!</v>
      </c>
      <c r="AN79" t="e">
        <f>'Entrada datos'!#REF!</f>
        <v>#REF!</v>
      </c>
      <c r="AO79" t="e">
        <f>'Entrada datos'!#REF!</f>
        <v>#REF!</v>
      </c>
      <c r="AP79" t="e">
        <f>'Entrada datos'!#REF!</f>
        <v>#REF!</v>
      </c>
      <c r="AQ79" t="e">
        <f>'Entrada datos'!#REF!</f>
        <v>#REF!</v>
      </c>
      <c r="AR79" s="17" t="e">
        <f t="shared" si="22"/>
        <v>#REF!</v>
      </c>
      <c r="AS79" s="23" t="e">
        <f t="shared" si="23"/>
        <v>#REF!</v>
      </c>
      <c r="AT79" t="e">
        <f t="shared" si="24"/>
        <v>#REF!</v>
      </c>
      <c r="AU79" s="40" t="e">
        <f t="shared" si="25"/>
        <v>#REF!</v>
      </c>
      <c r="AV79" t="e">
        <f t="shared" si="26"/>
        <v>#REF!</v>
      </c>
      <c r="AW79" t="e">
        <f t="shared" si="27"/>
        <v>#REF!</v>
      </c>
      <c r="AX79" s="24">
        <f t="shared" si="28"/>
        <v>0</v>
      </c>
      <c r="AY79" s="24">
        <f t="shared" si="29"/>
        <v>0</v>
      </c>
      <c r="AZ79" s="24">
        <f t="shared" si="30"/>
        <v>0</v>
      </c>
      <c r="BA79" t="e">
        <f t="shared" si="31"/>
        <v>#REF!</v>
      </c>
      <c r="BB79">
        <f t="shared" si="32"/>
        <v>0</v>
      </c>
      <c r="BC79" s="24">
        <f t="shared" si="33"/>
        <v>0</v>
      </c>
      <c r="BD79" t="e">
        <f t="shared" si="34"/>
        <v>#REF!</v>
      </c>
    </row>
    <row r="80" spans="1:56" x14ac:dyDescent="0.3">
      <c r="A80" t="e">
        <f>'Entrada datos'!#REF!</f>
        <v>#REF!</v>
      </c>
      <c r="B80" t="e">
        <f>'Entrada datos'!#REF!</f>
        <v>#REF!</v>
      </c>
      <c r="C80" t="e">
        <f>'Entrada datos'!#REF!</f>
        <v>#REF!</v>
      </c>
      <c r="D80" t="e">
        <f>'Entrada datos'!#REF!</f>
        <v>#REF!</v>
      </c>
      <c r="E80" s="18" t="e">
        <f>'Entrada datos'!#REF!</f>
        <v>#REF!</v>
      </c>
      <c r="F80" s="18" t="e">
        <f>'Entrada datos'!#REF!</f>
        <v>#REF!</v>
      </c>
      <c r="G80" t="e">
        <f>'Entrada datos'!#REF!</f>
        <v>#REF!</v>
      </c>
      <c r="H80" t="e">
        <f>'Entrada datos'!#REF!</f>
        <v>#REF!</v>
      </c>
      <c r="I80" t="e">
        <f>'Entrada datos'!#REF!</f>
        <v>#REF!</v>
      </c>
      <c r="J80" t="e">
        <f>'Entrada datos'!#REF!</f>
        <v>#REF!</v>
      </c>
      <c r="K80" t="e">
        <f>'Entrada datos'!#REF!</f>
        <v>#REF!</v>
      </c>
      <c r="L80" t="e">
        <f>'Entrada datos'!#REF!</f>
        <v>#REF!</v>
      </c>
      <c r="M80" t="e">
        <f>'Entrada datos'!#REF!</f>
        <v>#REF!</v>
      </c>
      <c r="N80" t="e">
        <f>'Entrada datos'!#REF!</f>
        <v>#REF!</v>
      </c>
      <c r="O80" t="e">
        <f>'Entrada datos'!#REF!</f>
        <v>#REF!</v>
      </c>
      <c r="P80" s="17" t="e">
        <f t="shared" si="18"/>
        <v>#REF!</v>
      </c>
      <c r="Q80" t="e">
        <f>'Entrada datos'!#REF!</f>
        <v>#REF!</v>
      </c>
      <c r="R80" t="e">
        <f>'Entrada datos'!#REF!</f>
        <v>#REF!</v>
      </c>
      <c r="S80" t="e">
        <f>'Entrada datos'!#REF!</f>
        <v>#REF!</v>
      </c>
      <c r="T80" t="e">
        <f>'Entrada datos'!#REF!</f>
        <v>#REF!</v>
      </c>
      <c r="U80" t="e">
        <f>'Entrada datos'!#REF!</f>
        <v>#REF!</v>
      </c>
      <c r="V80" t="e">
        <f>'Entrada datos'!#REF!</f>
        <v>#REF!</v>
      </c>
      <c r="W80" s="17" t="e">
        <f t="shared" si="19"/>
        <v>#REF!</v>
      </c>
      <c r="X80" t="e">
        <f>'Entrada datos'!#REF!</f>
        <v>#REF!</v>
      </c>
      <c r="Y80" t="e">
        <f>'Entrada datos'!#REF!</f>
        <v>#REF!</v>
      </c>
      <c r="Z80" t="e">
        <f>'Entrada datos'!#REF!</f>
        <v>#REF!</v>
      </c>
      <c r="AA80" t="e">
        <f>'Entrada datos'!#REF!</f>
        <v>#REF!</v>
      </c>
      <c r="AB80" t="e">
        <f>'Entrada datos'!#REF!</f>
        <v>#REF!</v>
      </c>
      <c r="AC80" t="e">
        <f>'Entrada datos'!#REF!</f>
        <v>#REF!</v>
      </c>
      <c r="AD80" s="17" t="e">
        <f t="shared" si="20"/>
        <v>#REF!</v>
      </c>
      <c r="AE80" t="e">
        <f>'Entrada datos'!#REF!</f>
        <v>#REF!</v>
      </c>
      <c r="AF80" t="e">
        <f>'Entrada datos'!#REF!</f>
        <v>#REF!</v>
      </c>
      <c r="AG80" t="e">
        <f>'Entrada datos'!#REF!</f>
        <v>#REF!</v>
      </c>
      <c r="AH80" t="e">
        <f>'Entrada datos'!#REF!</f>
        <v>#REF!</v>
      </c>
      <c r="AI80" t="e">
        <f>'Entrada datos'!#REF!</f>
        <v>#REF!</v>
      </c>
      <c r="AJ80" t="e">
        <f>'Entrada datos'!#REF!</f>
        <v>#REF!</v>
      </c>
      <c r="AK80" s="17" t="e">
        <f t="shared" si="21"/>
        <v>#REF!</v>
      </c>
      <c r="AL80" t="e">
        <f>'Entrada datos'!#REF!</f>
        <v>#REF!</v>
      </c>
      <c r="AM80" t="e">
        <f>'Entrada datos'!#REF!</f>
        <v>#REF!</v>
      </c>
      <c r="AN80" t="e">
        <f>'Entrada datos'!#REF!</f>
        <v>#REF!</v>
      </c>
      <c r="AO80" t="e">
        <f>'Entrada datos'!#REF!</f>
        <v>#REF!</v>
      </c>
      <c r="AP80" t="e">
        <f>'Entrada datos'!#REF!</f>
        <v>#REF!</v>
      </c>
      <c r="AQ80" t="e">
        <f>'Entrada datos'!#REF!</f>
        <v>#REF!</v>
      </c>
      <c r="AR80" s="17" t="e">
        <f t="shared" si="22"/>
        <v>#REF!</v>
      </c>
      <c r="AS80" s="23" t="e">
        <f t="shared" si="23"/>
        <v>#REF!</v>
      </c>
      <c r="AT80" t="e">
        <f t="shared" si="24"/>
        <v>#REF!</v>
      </c>
      <c r="AU80" s="40" t="e">
        <f t="shared" si="25"/>
        <v>#REF!</v>
      </c>
      <c r="AV80" t="e">
        <f t="shared" si="26"/>
        <v>#REF!</v>
      </c>
      <c r="AW80" t="e">
        <f t="shared" si="27"/>
        <v>#REF!</v>
      </c>
      <c r="AX80" s="24">
        <f t="shared" si="28"/>
        <v>0</v>
      </c>
      <c r="AY80" s="24">
        <f t="shared" si="29"/>
        <v>0</v>
      </c>
      <c r="AZ80" s="24">
        <f t="shared" si="30"/>
        <v>0</v>
      </c>
      <c r="BA80" t="e">
        <f t="shared" si="31"/>
        <v>#REF!</v>
      </c>
      <c r="BB80">
        <f t="shared" si="32"/>
        <v>0</v>
      </c>
      <c r="BC80" s="24">
        <f t="shared" si="33"/>
        <v>0</v>
      </c>
      <c r="BD80" t="e">
        <f t="shared" si="34"/>
        <v>#REF!</v>
      </c>
    </row>
    <row r="81" spans="1:56" x14ac:dyDescent="0.3">
      <c r="A81" t="e">
        <f>'Entrada datos'!#REF!</f>
        <v>#REF!</v>
      </c>
      <c r="B81" t="e">
        <f>'Entrada datos'!#REF!</f>
        <v>#REF!</v>
      </c>
      <c r="C81" t="e">
        <f>'Entrada datos'!#REF!</f>
        <v>#REF!</v>
      </c>
      <c r="D81" t="e">
        <f>'Entrada datos'!#REF!</f>
        <v>#REF!</v>
      </c>
      <c r="E81" s="18" t="e">
        <f>'Entrada datos'!#REF!</f>
        <v>#REF!</v>
      </c>
      <c r="F81" s="18" t="e">
        <f>'Entrada datos'!#REF!</f>
        <v>#REF!</v>
      </c>
      <c r="G81" t="e">
        <f>'Entrada datos'!#REF!</f>
        <v>#REF!</v>
      </c>
      <c r="H81" t="e">
        <f>'Entrada datos'!#REF!</f>
        <v>#REF!</v>
      </c>
      <c r="I81" t="e">
        <f>'Entrada datos'!#REF!</f>
        <v>#REF!</v>
      </c>
      <c r="J81" t="e">
        <f>'Entrada datos'!#REF!</f>
        <v>#REF!</v>
      </c>
      <c r="K81" t="e">
        <f>'Entrada datos'!#REF!</f>
        <v>#REF!</v>
      </c>
      <c r="L81" t="e">
        <f>'Entrada datos'!#REF!</f>
        <v>#REF!</v>
      </c>
      <c r="M81" t="e">
        <f>'Entrada datos'!#REF!</f>
        <v>#REF!</v>
      </c>
      <c r="N81" t="e">
        <f>'Entrada datos'!#REF!</f>
        <v>#REF!</v>
      </c>
      <c r="O81" t="e">
        <f>'Entrada datos'!#REF!</f>
        <v>#REF!</v>
      </c>
      <c r="P81" s="17" t="e">
        <f t="shared" si="18"/>
        <v>#REF!</v>
      </c>
      <c r="Q81" t="e">
        <f>'Entrada datos'!#REF!</f>
        <v>#REF!</v>
      </c>
      <c r="R81" t="e">
        <f>'Entrada datos'!#REF!</f>
        <v>#REF!</v>
      </c>
      <c r="S81" t="e">
        <f>'Entrada datos'!#REF!</f>
        <v>#REF!</v>
      </c>
      <c r="T81" t="e">
        <f>'Entrada datos'!#REF!</f>
        <v>#REF!</v>
      </c>
      <c r="U81" t="e">
        <f>'Entrada datos'!#REF!</f>
        <v>#REF!</v>
      </c>
      <c r="V81" t="e">
        <f>'Entrada datos'!#REF!</f>
        <v>#REF!</v>
      </c>
      <c r="W81" s="17" t="e">
        <f t="shared" si="19"/>
        <v>#REF!</v>
      </c>
      <c r="X81" t="e">
        <f>'Entrada datos'!#REF!</f>
        <v>#REF!</v>
      </c>
      <c r="Y81" t="e">
        <f>'Entrada datos'!#REF!</f>
        <v>#REF!</v>
      </c>
      <c r="Z81" t="e">
        <f>'Entrada datos'!#REF!</f>
        <v>#REF!</v>
      </c>
      <c r="AA81" t="e">
        <f>'Entrada datos'!#REF!</f>
        <v>#REF!</v>
      </c>
      <c r="AB81" t="e">
        <f>'Entrada datos'!#REF!</f>
        <v>#REF!</v>
      </c>
      <c r="AC81" t="e">
        <f>'Entrada datos'!#REF!</f>
        <v>#REF!</v>
      </c>
      <c r="AD81" s="17" t="e">
        <f t="shared" si="20"/>
        <v>#REF!</v>
      </c>
      <c r="AE81" t="e">
        <f>'Entrada datos'!#REF!</f>
        <v>#REF!</v>
      </c>
      <c r="AF81" t="e">
        <f>'Entrada datos'!#REF!</f>
        <v>#REF!</v>
      </c>
      <c r="AG81" t="e">
        <f>'Entrada datos'!#REF!</f>
        <v>#REF!</v>
      </c>
      <c r="AH81" t="e">
        <f>'Entrada datos'!#REF!</f>
        <v>#REF!</v>
      </c>
      <c r="AI81" t="e">
        <f>'Entrada datos'!#REF!</f>
        <v>#REF!</v>
      </c>
      <c r="AJ81" t="e">
        <f>'Entrada datos'!#REF!</f>
        <v>#REF!</v>
      </c>
      <c r="AK81" s="17" t="e">
        <f t="shared" si="21"/>
        <v>#REF!</v>
      </c>
      <c r="AL81" t="e">
        <f>'Entrada datos'!#REF!</f>
        <v>#REF!</v>
      </c>
      <c r="AM81" t="e">
        <f>'Entrada datos'!#REF!</f>
        <v>#REF!</v>
      </c>
      <c r="AN81" t="e">
        <f>'Entrada datos'!#REF!</f>
        <v>#REF!</v>
      </c>
      <c r="AO81" t="e">
        <f>'Entrada datos'!#REF!</f>
        <v>#REF!</v>
      </c>
      <c r="AP81" t="e">
        <f>'Entrada datos'!#REF!</f>
        <v>#REF!</v>
      </c>
      <c r="AQ81" t="e">
        <f>'Entrada datos'!#REF!</f>
        <v>#REF!</v>
      </c>
      <c r="AR81" s="17" t="e">
        <f t="shared" si="22"/>
        <v>#REF!</v>
      </c>
      <c r="AS81" s="23" t="e">
        <f t="shared" si="23"/>
        <v>#REF!</v>
      </c>
      <c r="AT81" t="e">
        <f t="shared" si="24"/>
        <v>#REF!</v>
      </c>
      <c r="AU81" s="40" t="e">
        <f t="shared" si="25"/>
        <v>#REF!</v>
      </c>
      <c r="AV81" t="e">
        <f t="shared" si="26"/>
        <v>#REF!</v>
      </c>
      <c r="AW81" t="e">
        <f t="shared" si="27"/>
        <v>#REF!</v>
      </c>
      <c r="AX81" s="24">
        <f t="shared" si="28"/>
        <v>0</v>
      </c>
      <c r="AY81" s="24">
        <f t="shared" si="29"/>
        <v>0</v>
      </c>
      <c r="AZ81" s="24">
        <f t="shared" si="30"/>
        <v>0</v>
      </c>
      <c r="BA81" t="e">
        <f t="shared" si="31"/>
        <v>#REF!</v>
      </c>
      <c r="BB81">
        <f t="shared" si="32"/>
        <v>0</v>
      </c>
      <c r="BC81" s="24">
        <f t="shared" si="33"/>
        <v>0</v>
      </c>
      <c r="BD81" t="e">
        <f t="shared" si="34"/>
        <v>#REF!</v>
      </c>
    </row>
    <row r="82" spans="1:56" x14ac:dyDescent="0.3">
      <c r="A82" t="e">
        <f>'Entrada datos'!#REF!</f>
        <v>#REF!</v>
      </c>
      <c r="B82" t="e">
        <f>'Entrada datos'!#REF!</f>
        <v>#REF!</v>
      </c>
      <c r="C82" t="e">
        <f>'Entrada datos'!#REF!</f>
        <v>#REF!</v>
      </c>
      <c r="D82" t="e">
        <f>'Entrada datos'!#REF!</f>
        <v>#REF!</v>
      </c>
      <c r="E82" s="18" t="e">
        <f>'Entrada datos'!#REF!</f>
        <v>#REF!</v>
      </c>
      <c r="F82" s="18" t="e">
        <f>'Entrada datos'!#REF!</f>
        <v>#REF!</v>
      </c>
      <c r="G82" t="e">
        <f>'Entrada datos'!#REF!</f>
        <v>#REF!</v>
      </c>
      <c r="H82" t="e">
        <f>'Entrada datos'!#REF!</f>
        <v>#REF!</v>
      </c>
      <c r="I82" t="e">
        <f>'Entrada datos'!#REF!</f>
        <v>#REF!</v>
      </c>
      <c r="J82" t="e">
        <f>'Entrada datos'!#REF!</f>
        <v>#REF!</v>
      </c>
      <c r="K82" t="e">
        <f>'Entrada datos'!#REF!</f>
        <v>#REF!</v>
      </c>
      <c r="L82" t="e">
        <f>'Entrada datos'!#REF!</f>
        <v>#REF!</v>
      </c>
      <c r="M82" t="e">
        <f>'Entrada datos'!#REF!</f>
        <v>#REF!</v>
      </c>
      <c r="N82" t="e">
        <f>'Entrada datos'!#REF!</f>
        <v>#REF!</v>
      </c>
      <c r="O82" t="e">
        <f>'Entrada datos'!#REF!</f>
        <v>#REF!</v>
      </c>
      <c r="P82" s="17" t="e">
        <f t="shared" si="18"/>
        <v>#REF!</v>
      </c>
      <c r="Q82" t="e">
        <f>'Entrada datos'!#REF!</f>
        <v>#REF!</v>
      </c>
      <c r="R82" t="e">
        <f>'Entrada datos'!#REF!</f>
        <v>#REF!</v>
      </c>
      <c r="S82" t="e">
        <f>'Entrada datos'!#REF!</f>
        <v>#REF!</v>
      </c>
      <c r="T82" t="e">
        <f>'Entrada datos'!#REF!</f>
        <v>#REF!</v>
      </c>
      <c r="U82" t="e">
        <f>'Entrada datos'!#REF!</f>
        <v>#REF!</v>
      </c>
      <c r="V82" t="e">
        <f>'Entrada datos'!#REF!</f>
        <v>#REF!</v>
      </c>
      <c r="W82" s="17" t="e">
        <f t="shared" si="19"/>
        <v>#REF!</v>
      </c>
      <c r="X82" t="e">
        <f>'Entrada datos'!#REF!</f>
        <v>#REF!</v>
      </c>
      <c r="Y82" t="e">
        <f>'Entrada datos'!#REF!</f>
        <v>#REF!</v>
      </c>
      <c r="Z82" t="e">
        <f>'Entrada datos'!#REF!</f>
        <v>#REF!</v>
      </c>
      <c r="AA82" t="e">
        <f>'Entrada datos'!#REF!</f>
        <v>#REF!</v>
      </c>
      <c r="AB82" t="e">
        <f>'Entrada datos'!#REF!</f>
        <v>#REF!</v>
      </c>
      <c r="AC82" t="e">
        <f>'Entrada datos'!#REF!</f>
        <v>#REF!</v>
      </c>
      <c r="AD82" s="17" t="e">
        <f t="shared" si="20"/>
        <v>#REF!</v>
      </c>
      <c r="AE82" t="e">
        <f>'Entrada datos'!#REF!</f>
        <v>#REF!</v>
      </c>
      <c r="AF82" t="e">
        <f>'Entrada datos'!#REF!</f>
        <v>#REF!</v>
      </c>
      <c r="AG82" t="e">
        <f>'Entrada datos'!#REF!</f>
        <v>#REF!</v>
      </c>
      <c r="AH82" t="e">
        <f>'Entrada datos'!#REF!</f>
        <v>#REF!</v>
      </c>
      <c r="AI82" t="e">
        <f>'Entrada datos'!#REF!</f>
        <v>#REF!</v>
      </c>
      <c r="AJ82" t="e">
        <f>'Entrada datos'!#REF!</f>
        <v>#REF!</v>
      </c>
      <c r="AK82" s="17" t="e">
        <f t="shared" si="21"/>
        <v>#REF!</v>
      </c>
      <c r="AL82" t="e">
        <f>'Entrada datos'!#REF!</f>
        <v>#REF!</v>
      </c>
      <c r="AM82" t="e">
        <f>'Entrada datos'!#REF!</f>
        <v>#REF!</v>
      </c>
      <c r="AN82" t="e">
        <f>'Entrada datos'!#REF!</f>
        <v>#REF!</v>
      </c>
      <c r="AO82" t="e">
        <f>'Entrada datos'!#REF!</f>
        <v>#REF!</v>
      </c>
      <c r="AP82" t="e">
        <f>'Entrada datos'!#REF!</f>
        <v>#REF!</v>
      </c>
      <c r="AQ82" t="e">
        <f>'Entrada datos'!#REF!</f>
        <v>#REF!</v>
      </c>
      <c r="AR82" s="17" t="e">
        <f t="shared" si="22"/>
        <v>#REF!</v>
      </c>
      <c r="AS82" s="23" t="e">
        <f t="shared" si="23"/>
        <v>#REF!</v>
      </c>
      <c r="AT82" t="e">
        <f t="shared" si="24"/>
        <v>#REF!</v>
      </c>
      <c r="AU82" s="40" t="e">
        <f t="shared" si="25"/>
        <v>#REF!</v>
      </c>
      <c r="AV82" t="e">
        <f t="shared" si="26"/>
        <v>#REF!</v>
      </c>
      <c r="AW82" t="e">
        <f t="shared" si="27"/>
        <v>#REF!</v>
      </c>
      <c r="AX82" s="24">
        <f t="shared" si="28"/>
        <v>0</v>
      </c>
      <c r="AY82" s="24">
        <f t="shared" si="29"/>
        <v>0</v>
      </c>
      <c r="AZ82" s="24">
        <f t="shared" si="30"/>
        <v>0</v>
      </c>
      <c r="BA82" t="e">
        <f t="shared" si="31"/>
        <v>#REF!</v>
      </c>
      <c r="BB82">
        <f t="shared" si="32"/>
        <v>0</v>
      </c>
      <c r="BC82" s="24">
        <f t="shared" si="33"/>
        <v>0</v>
      </c>
      <c r="BD82" t="e">
        <f t="shared" si="34"/>
        <v>#REF!</v>
      </c>
    </row>
    <row r="83" spans="1:56" x14ac:dyDescent="0.3">
      <c r="A83" t="e">
        <f>'Entrada datos'!#REF!</f>
        <v>#REF!</v>
      </c>
      <c r="B83" t="e">
        <f>'Entrada datos'!#REF!</f>
        <v>#REF!</v>
      </c>
      <c r="C83" t="e">
        <f>'Entrada datos'!#REF!</f>
        <v>#REF!</v>
      </c>
      <c r="D83" t="e">
        <f>'Entrada datos'!#REF!</f>
        <v>#REF!</v>
      </c>
      <c r="E83" s="18" t="e">
        <f>'Entrada datos'!#REF!</f>
        <v>#REF!</v>
      </c>
      <c r="F83" s="18" t="e">
        <f>'Entrada datos'!#REF!</f>
        <v>#REF!</v>
      </c>
      <c r="G83" t="e">
        <f>'Entrada datos'!#REF!</f>
        <v>#REF!</v>
      </c>
      <c r="H83" t="e">
        <f>'Entrada datos'!#REF!</f>
        <v>#REF!</v>
      </c>
      <c r="I83" t="e">
        <f>'Entrada datos'!#REF!</f>
        <v>#REF!</v>
      </c>
      <c r="J83" t="e">
        <f>'Entrada datos'!#REF!</f>
        <v>#REF!</v>
      </c>
      <c r="K83" t="e">
        <f>'Entrada datos'!#REF!</f>
        <v>#REF!</v>
      </c>
      <c r="L83" t="e">
        <f>'Entrada datos'!#REF!</f>
        <v>#REF!</v>
      </c>
      <c r="M83" t="e">
        <f>'Entrada datos'!#REF!</f>
        <v>#REF!</v>
      </c>
      <c r="N83" t="e">
        <f>'Entrada datos'!#REF!</f>
        <v>#REF!</v>
      </c>
      <c r="O83" t="e">
        <f>'Entrada datos'!#REF!</f>
        <v>#REF!</v>
      </c>
      <c r="P83" s="17" t="e">
        <f t="shared" si="18"/>
        <v>#REF!</v>
      </c>
      <c r="Q83" t="e">
        <f>'Entrada datos'!#REF!</f>
        <v>#REF!</v>
      </c>
      <c r="R83" t="e">
        <f>'Entrada datos'!#REF!</f>
        <v>#REF!</v>
      </c>
      <c r="S83" t="e">
        <f>'Entrada datos'!#REF!</f>
        <v>#REF!</v>
      </c>
      <c r="T83" t="e">
        <f>'Entrada datos'!#REF!</f>
        <v>#REF!</v>
      </c>
      <c r="U83" t="e">
        <f>'Entrada datos'!#REF!</f>
        <v>#REF!</v>
      </c>
      <c r="V83" t="e">
        <f>'Entrada datos'!#REF!</f>
        <v>#REF!</v>
      </c>
      <c r="W83" s="17" t="e">
        <f t="shared" si="19"/>
        <v>#REF!</v>
      </c>
      <c r="X83" t="e">
        <f>'Entrada datos'!#REF!</f>
        <v>#REF!</v>
      </c>
      <c r="Y83" t="e">
        <f>'Entrada datos'!#REF!</f>
        <v>#REF!</v>
      </c>
      <c r="Z83" t="e">
        <f>'Entrada datos'!#REF!</f>
        <v>#REF!</v>
      </c>
      <c r="AA83" t="e">
        <f>'Entrada datos'!#REF!</f>
        <v>#REF!</v>
      </c>
      <c r="AB83" t="e">
        <f>'Entrada datos'!#REF!</f>
        <v>#REF!</v>
      </c>
      <c r="AC83" t="e">
        <f>'Entrada datos'!#REF!</f>
        <v>#REF!</v>
      </c>
      <c r="AD83" s="17" t="e">
        <f t="shared" si="20"/>
        <v>#REF!</v>
      </c>
      <c r="AE83" t="e">
        <f>'Entrada datos'!#REF!</f>
        <v>#REF!</v>
      </c>
      <c r="AF83" t="e">
        <f>'Entrada datos'!#REF!</f>
        <v>#REF!</v>
      </c>
      <c r="AG83" t="e">
        <f>'Entrada datos'!#REF!</f>
        <v>#REF!</v>
      </c>
      <c r="AH83" t="e">
        <f>'Entrada datos'!#REF!</f>
        <v>#REF!</v>
      </c>
      <c r="AI83" t="e">
        <f>'Entrada datos'!#REF!</f>
        <v>#REF!</v>
      </c>
      <c r="AJ83" t="e">
        <f>'Entrada datos'!#REF!</f>
        <v>#REF!</v>
      </c>
      <c r="AK83" s="17" t="e">
        <f t="shared" si="21"/>
        <v>#REF!</v>
      </c>
      <c r="AL83" t="e">
        <f>'Entrada datos'!#REF!</f>
        <v>#REF!</v>
      </c>
      <c r="AM83" t="e">
        <f>'Entrada datos'!#REF!</f>
        <v>#REF!</v>
      </c>
      <c r="AN83" t="e">
        <f>'Entrada datos'!#REF!</f>
        <v>#REF!</v>
      </c>
      <c r="AO83" t="e">
        <f>'Entrada datos'!#REF!</f>
        <v>#REF!</v>
      </c>
      <c r="AP83" t="e">
        <f>'Entrada datos'!#REF!</f>
        <v>#REF!</v>
      </c>
      <c r="AQ83" t="e">
        <f>'Entrada datos'!#REF!</f>
        <v>#REF!</v>
      </c>
      <c r="AR83" s="17" t="e">
        <f t="shared" si="22"/>
        <v>#REF!</v>
      </c>
      <c r="AS83" s="23" t="e">
        <f t="shared" si="23"/>
        <v>#REF!</v>
      </c>
      <c r="AT83" t="e">
        <f t="shared" si="24"/>
        <v>#REF!</v>
      </c>
      <c r="AU83" s="40" t="e">
        <f t="shared" si="25"/>
        <v>#REF!</v>
      </c>
      <c r="AV83" t="e">
        <f t="shared" si="26"/>
        <v>#REF!</v>
      </c>
      <c r="AW83" t="e">
        <f t="shared" si="27"/>
        <v>#REF!</v>
      </c>
      <c r="AX83" s="24">
        <f t="shared" si="28"/>
        <v>0</v>
      </c>
      <c r="AY83" s="24">
        <f t="shared" si="29"/>
        <v>0</v>
      </c>
      <c r="AZ83" s="24">
        <f t="shared" si="30"/>
        <v>0</v>
      </c>
      <c r="BA83" t="e">
        <f t="shared" si="31"/>
        <v>#REF!</v>
      </c>
      <c r="BB83">
        <f t="shared" si="32"/>
        <v>0</v>
      </c>
      <c r="BC83" s="24">
        <f t="shared" si="33"/>
        <v>0</v>
      </c>
      <c r="BD83" t="e">
        <f t="shared" si="34"/>
        <v>#REF!</v>
      </c>
    </row>
    <row r="84" spans="1:56" x14ac:dyDescent="0.3">
      <c r="A84" t="e">
        <f>'Entrada datos'!#REF!</f>
        <v>#REF!</v>
      </c>
      <c r="B84" t="e">
        <f>'Entrada datos'!#REF!</f>
        <v>#REF!</v>
      </c>
      <c r="C84" t="e">
        <f>'Entrada datos'!#REF!</f>
        <v>#REF!</v>
      </c>
      <c r="D84" t="e">
        <f>'Entrada datos'!#REF!</f>
        <v>#REF!</v>
      </c>
      <c r="E84" s="18" t="e">
        <f>'Entrada datos'!#REF!</f>
        <v>#REF!</v>
      </c>
      <c r="F84" s="18" t="e">
        <f>'Entrada datos'!#REF!</f>
        <v>#REF!</v>
      </c>
      <c r="G84" t="e">
        <f>'Entrada datos'!#REF!</f>
        <v>#REF!</v>
      </c>
      <c r="H84" t="e">
        <f>'Entrada datos'!#REF!</f>
        <v>#REF!</v>
      </c>
      <c r="I84" t="e">
        <f>'Entrada datos'!#REF!</f>
        <v>#REF!</v>
      </c>
      <c r="J84" t="e">
        <f>'Entrada datos'!#REF!</f>
        <v>#REF!</v>
      </c>
      <c r="K84" t="e">
        <f>'Entrada datos'!#REF!</f>
        <v>#REF!</v>
      </c>
      <c r="L84" t="e">
        <f>'Entrada datos'!#REF!</f>
        <v>#REF!</v>
      </c>
      <c r="M84" t="e">
        <f>'Entrada datos'!#REF!</f>
        <v>#REF!</v>
      </c>
      <c r="N84" t="e">
        <f>'Entrada datos'!#REF!</f>
        <v>#REF!</v>
      </c>
      <c r="O84" t="e">
        <f>'Entrada datos'!#REF!</f>
        <v>#REF!</v>
      </c>
      <c r="P84" s="17" t="e">
        <f t="shared" si="18"/>
        <v>#REF!</v>
      </c>
      <c r="Q84" t="e">
        <f>'Entrada datos'!#REF!</f>
        <v>#REF!</v>
      </c>
      <c r="R84" t="e">
        <f>'Entrada datos'!#REF!</f>
        <v>#REF!</v>
      </c>
      <c r="S84" t="e">
        <f>'Entrada datos'!#REF!</f>
        <v>#REF!</v>
      </c>
      <c r="T84" t="e">
        <f>'Entrada datos'!#REF!</f>
        <v>#REF!</v>
      </c>
      <c r="U84" t="e">
        <f>'Entrada datos'!#REF!</f>
        <v>#REF!</v>
      </c>
      <c r="V84" t="e">
        <f>'Entrada datos'!#REF!</f>
        <v>#REF!</v>
      </c>
      <c r="W84" s="17" t="e">
        <f t="shared" si="19"/>
        <v>#REF!</v>
      </c>
      <c r="X84" t="e">
        <f>'Entrada datos'!#REF!</f>
        <v>#REF!</v>
      </c>
      <c r="Y84" t="e">
        <f>'Entrada datos'!#REF!</f>
        <v>#REF!</v>
      </c>
      <c r="Z84" t="e">
        <f>'Entrada datos'!#REF!</f>
        <v>#REF!</v>
      </c>
      <c r="AA84" t="e">
        <f>'Entrada datos'!#REF!</f>
        <v>#REF!</v>
      </c>
      <c r="AB84" t="e">
        <f>'Entrada datos'!#REF!</f>
        <v>#REF!</v>
      </c>
      <c r="AC84" t="e">
        <f>'Entrada datos'!#REF!</f>
        <v>#REF!</v>
      </c>
      <c r="AD84" s="17" t="e">
        <f t="shared" si="20"/>
        <v>#REF!</v>
      </c>
      <c r="AE84" t="e">
        <f>'Entrada datos'!#REF!</f>
        <v>#REF!</v>
      </c>
      <c r="AF84" t="e">
        <f>'Entrada datos'!#REF!</f>
        <v>#REF!</v>
      </c>
      <c r="AG84" t="e">
        <f>'Entrada datos'!#REF!</f>
        <v>#REF!</v>
      </c>
      <c r="AH84" t="e">
        <f>'Entrada datos'!#REF!</f>
        <v>#REF!</v>
      </c>
      <c r="AI84" t="e">
        <f>'Entrada datos'!#REF!</f>
        <v>#REF!</v>
      </c>
      <c r="AJ84" t="e">
        <f>'Entrada datos'!#REF!</f>
        <v>#REF!</v>
      </c>
      <c r="AK84" s="17" t="e">
        <f t="shared" si="21"/>
        <v>#REF!</v>
      </c>
      <c r="AL84" t="e">
        <f>'Entrada datos'!#REF!</f>
        <v>#REF!</v>
      </c>
      <c r="AM84" t="e">
        <f>'Entrada datos'!#REF!</f>
        <v>#REF!</v>
      </c>
      <c r="AN84" t="e">
        <f>'Entrada datos'!#REF!</f>
        <v>#REF!</v>
      </c>
      <c r="AO84" t="e">
        <f>'Entrada datos'!#REF!</f>
        <v>#REF!</v>
      </c>
      <c r="AP84" t="e">
        <f>'Entrada datos'!#REF!</f>
        <v>#REF!</v>
      </c>
      <c r="AQ84" t="e">
        <f>'Entrada datos'!#REF!</f>
        <v>#REF!</v>
      </c>
      <c r="AR84" s="17" t="e">
        <f t="shared" si="22"/>
        <v>#REF!</v>
      </c>
      <c r="AS84" s="23" t="e">
        <f t="shared" si="23"/>
        <v>#REF!</v>
      </c>
      <c r="AT84" t="e">
        <f t="shared" si="24"/>
        <v>#REF!</v>
      </c>
      <c r="AU84" s="40" t="e">
        <f t="shared" si="25"/>
        <v>#REF!</v>
      </c>
      <c r="AV84" t="e">
        <f t="shared" si="26"/>
        <v>#REF!</v>
      </c>
      <c r="AW84" t="e">
        <f t="shared" si="27"/>
        <v>#REF!</v>
      </c>
      <c r="AX84" s="24">
        <f t="shared" si="28"/>
        <v>0</v>
      </c>
      <c r="AY84" s="24">
        <f t="shared" si="29"/>
        <v>0</v>
      </c>
      <c r="AZ84" s="24">
        <f t="shared" si="30"/>
        <v>0</v>
      </c>
      <c r="BA84" t="e">
        <f t="shared" si="31"/>
        <v>#REF!</v>
      </c>
      <c r="BB84">
        <f t="shared" si="32"/>
        <v>0</v>
      </c>
      <c r="BC84" s="24">
        <f t="shared" si="33"/>
        <v>0</v>
      </c>
      <c r="BD84" t="e">
        <f t="shared" si="34"/>
        <v>#REF!</v>
      </c>
    </row>
    <row r="85" spans="1:56" x14ac:dyDescent="0.3">
      <c r="A85" t="e">
        <f>'Entrada datos'!#REF!</f>
        <v>#REF!</v>
      </c>
      <c r="B85" t="e">
        <f>'Entrada datos'!#REF!</f>
        <v>#REF!</v>
      </c>
      <c r="C85" t="e">
        <f>'Entrada datos'!#REF!</f>
        <v>#REF!</v>
      </c>
      <c r="D85" t="e">
        <f>'Entrada datos'!#REF!</f>
        <v>#REF!</v>
      </c>
      <c r="E85" s="18" t="e">
        <f>'Entrada datos'!#REF!</f>
        <v>#REF!</v>
      </c>
      <c r="F85" s="18" t="e">
        <f>'Entrada datos'!#REF!</f>
        <v>#REF!</v>
      </c>
      <c r="G85" t="e">
        <f>'Entrada datos'!#REF!</f>
        <v>#REF!</v>
      </c>
      <c r="H85" t="e">
        <f>'Entrada datos'!#REF!</f>
        <v>#REF!</v>
      </c>
      <c r="I85" t="e">
        <f>'Entrada datos'!#REF!</f>
        <v>#REF!</v>
      </c>
      <c r="J85" t="e">
        <f>'Entrada datos'!#REF!</f>
        <v>#REF!</v>
      </c>
      <c r="K85" t="e">
        <f>'Entrada datos'!#REF!</f>
        <v>#REF!</v>
      </c>
      <c r="L85" t="e">
        <f>'Entrada datos'!#REF!</f>
        <v>#REF!</v>
      </c>
      <c r="M85" t="e">
        <f>'Entrada datos'!#REF!</f>
        <v>#REF!</v>
      </c>
      <c r="N85" t="e">
        <f>'Entrada datos'!#REF!</f>
        <v>#REF!</v>
      </c>
      <c r="O85" t="e">
        <f>'Entrada datos'!#REF!</f>
        <v>#REF!</v>
      </c>
      <c r="P85" s="17" t="e">
        <f t="shared" si="18"/>
        <v>#REF!</v>
      </c>
      <c r="Q85" t="e">
        <f>'Entrada datos'!#REF!</f>
        <v>#REF!</v>
      </c>
      <c r="R85" t="e">
        <f>'Entrada datos'!#REF!</f>
        <v>#REF!</v>
      </c>
      <c r="S85" t="e">
        <f>'Entrada datos'!#REF!</f>
        <v>#REF!</v>
      </c>
      <c r="T85" t="e">
        <f>'Entrada datos'!#REF!</f>
        <v>#REF!</v>
      </c>
      <c r="U85" t="e">
        <f>'Entrada datos'!#REF!</f>
        <v>#REF!</v>
      </c>
      <c r="V85" t="e">
        <f>'Entrada datos'!#REF!</f>
        <v>#REF!</v>
      </c>
      <c r="W85" s="17" t="e">
        <f t="shared" si="19"/>
        <v>#REF!</v>
      </c>
      <c r="X85" t="e">
        <f>'Entrada datos'!#REF!</f>
        <v>#REF!</v>
      </c>
      <c r="Y85" t="e">
        <f>'Entrada datos'!#REF!</f>
        <v>#REF!</v>
      </c>
      <c r="Z85" t="e">
        <f>'Entrada datos'!#REF!</f>
        <v>#REF!</v>
      </c>
      <c r="AA85" t="e">
        <f>'Entrada datos'!#REF!</f>
        <v>#REF!</v>
      </c>
      <c r="AB85" t="e">
        <f>'Entrada datos'!#REF!</f>
        <v>#REF!</v>
      </c>
      <c r="AC85" t="e">
        <f>'Entrada datos'!#REF!</f>
        <v>#REF!</v>
      </c>
      <c r="AD85" s="17" t="e">
        <f t="shared" si="20"/>
        <v>#REF!</v>
      </c>
      <c r="AE85" t="e">
        <f>'Entrada datos'!#REF!</f>
        <v>#REF!</v>
      </c>
      <c r="AF85" t="e">
        <f>'Entrada datos'!#REF!</f>
        <v>#REF!</v>
      </c>
      <c r="AG85" t="e">
        <f>'Entrada datos'!#REF!</f>
        <v>#REF!</v>
      </c>
      <c r="AH85" t="e">
        <f>'Entrada datos'!#REF!</f>
        <v>#REF!</v>
      </c>
      <c r="AI85" t="e">
        <f>'Entrada datos'!#REF!</f>
        <v>#REF!</v>
      </c>
      <c r="AJ85" t="e">
        <f>'Entrada datos'!#REF!</f>
        <v>#REF!</v>
      </c>
      <c r="AK85" s="17" t="e">
        <f t="shared" si="21"/>
        <v>#REF!</v>
      </c>
      <c r="AL85" t="e">
        <f>'Entrada datos'!#REF!</f>
        <v>#REF!</v>
      </c>
      <c r="AM85" t="e">
        <f>'Entrada datos'!#REF!</f>
        <v>#REF!</v>
      </c>
      <c r="AN85" t="e">
        <f>'Entrada datos'!#REF!</f>
        <v>#REF!</v>
      </c>
      <c r="AO85" t="e">
        <f>'Entrada datos'!#REF!</f>
        <v>#REF!</v>
      </c>
      <c r="AP85" t="e">
        <f>'Entrada datos'!#REF!</f>
        <v>#REF!</v>
      </c>
      <c r="AQ85" t="e">
        <f>'Entrada datos'!#REF!</f>
        <v>#REF!</v>
      </c>
      <c r="AR85" s="17" t="e">
        <f t="shared" si="22"/>
        <v>#REF!</v>
      </c>
      <c r="AS85" s="23" t="e">
        <f t="shared" si="23"/>
        <v>#REF!</v>
      </c>
      <c r="AT85" t="e">
        <f t="shared" si="24"/>
        <v>#REF!</v>
      </c>
      <c r="AU85" s="40" t="e">
        <f t="shared" si="25"/>
        <v>#REF!</v>
      </c>
      <c r="AV85" t="e">
        <f t="shared" si="26"/>
        <v>#REF!</v>
      </c>
      <c r="AW85" t="e">
        <f t="shared" si="27"/>
        <v>#REF!</v>
      </c>
      <c r="AX85" s="24">
        <f t="shared" si="28"/>
        <v>0</v>
      </c>
      <c r="AY85" s="24">
        <f t="shared" si="29"/>
        <v>0</v>
      </c>
      <c r="AZ85" s="24">
        <f t="shared" si="30"/>
        <v>0</v>
      </c>
      <c r="BA85" t="e">
        <f t="shared" si="31"/>
        <v>#REF!</v>
      </c>
      <c r="BB85">
        <f t="shared" si="32"/>
        <v>0</v>
      </c>
      <c r="BC85" s="24">
        <f t="shared" si="33"/>
        <v>0</v>
      </c>
      <c r="BD85" t="e">
        <f t="shared" si="34"/>
        <v>#REF!</v>
      </c>
    </row>
    <row r="86" spans="1:56" x14ac:dyDescent="0.3">
      <c r="A86" t="e">
        <f>'Entrada datos'!#REF!</f>
        <v>#REF!</v>
      </c>
      <c r="B86" t="e">
        <f>'Entrada datos'!#REF!</f>
        <v>#REF!</v>
      </c>
      <c r="C86" t="e">
        <f>'Entrada datos'!#REF!</f>
        <v>#REF!</v>
      </c>
      <c r="D86" t="e">
        <f>'Entrada datos'!#REF!</f>
        <v>#REF!</v>
      </c>
      <c r="E86" s="18" t="e">
        <f>'Entrada datos'!#REF!</f>
        <v>#REF!</v>
      </c>
      <c r="F86" s="18" t="e">
        <f>'Entrada datos'!#REF!</f>
        <v>#REF!</v>
      </c>
      <c r="G86" t="e">
        <f>'Entrada datos'!#REF!</f>
        <v>#REF!</v>
      </c>
      <c r="H86" t="e">
        <f>'Entrada datos'!#REF!</f>
        <v>#REF!</v>
      </c>
      <c r="I86" t="e">
        <f>'Entrada datos'!#REF!</f>
        <v>#REF!</v>
      </c>
      <c r="J86" t="e">
        <f>'Entrada datos'!#REF!</f>
        <v>#REF!</v>
      </c>
      <c r="K86" t="e">
        <f>'Entrada datos'!#REF!</f>
        <v>#REF!</v>
      </c>
      <c r="L86" t="e">
        <f>'Entrada datos'!#REF!</f>
        <v>#REF!</v>
      </c>
      <c r="M86" t="e">
        <f>'Entrada datos'!#REF!</f>
        <v>#REF!</v>
      </c>
      <c r="N86" t="e">
        <f>'Entrada datos'!#REF!</f>
        <v>#REF!</v>
      </c>
      <c r="O86" t="e">
        <f>'Entrada datos'!#REF!</f>
        <v>#REF!</v>
      </c>
      <c r="P86" s="17" t="e">
        <f t="shared" si="18"/>
        <v>#REF!</v>
      </c>
      <c r="Q86" t="e">
        <f>'Entrada datos'!#REF!</f>
        <v>#REF!</v>
      </c>
      <c r="R86" t="e">
        <f>'Entrada datos'!#REF!</f>
        <v>#REF!</v>
      </c>
      <c r="S86" t="e">
        <f>'Entrada datos'!#REF!</f>
        <v>#REF!</v>
      </c>
      <c r="T86" t="e">
        <f>'Entrada datos'!#REF!</f>
        <v>#REF!</v>
      </c>
      <c r="U86" t="e">
        <f>'Entrada datos'!#REF!</f>
        <v>#REF!</v>
      </c>
      <c r="V86" t="e">
        <f>'Entrada datos'!#REF!</f>
        <v>#REF!</v>
      </c>
      <c r="W86" s="17" t="e">
        <f t="shared" si="19"/>
        <v>#REF!</v>
      </c>
      <c r="X86" t="e">
        <f>'Entrada datos'!#REF!</f>
        <v>#REF!</v>
      </c>
      <c r="Y86" t="e">
        <f>'Entrada datos'!#REF!</f>
        <v>#REF!</v>
      </c>
      <c r="Z86" t="e">
        <f>'Entrada datos'!#REF!</f>
        <v>#REF!</v>
      </c>
      <c r="AA86" t="e">
        <f>'Entrada datos'!#REF!</f>
        <v>#REF!</v>
      </c>
      <c r="AB86" t="e">
        <f>'Entrada datos'!#REF!</f>
        <v>#REF!</v>
      </c>
      <c r="AC86" t="e">
        <f>'Entrada datos'!#REF!</f>
        <v>#REF!</v>
      </c>
      <c r="AD86" s="17" t="e">
        <f t="shared" si="20"/>
        <v>#REF!</v>
      </c>
      <c r="AE86" t="e">
        <f>'Entrada datos'!#REF!</f>
        <v>#REF!</v>
      </c>
      <c r="AF86" t="e">
        <f>'Entrada datos'!#REF!</f>
        <v>#REF!</v>
      </c>
      <c r="AG86" t="e">
        <f>'Entrada datos'!#REF!</f>
        <v>#REF!</v>
      </c>
      <c r="AH86" t="e">
        <f>'Entrada datos'!#REF!</f>
        <v>#REF!</v>
      </c>
      <c r="AI86" t="e">
        <f>'Entrada datos'!#REF!</f>
        <v>#REF!</v>
      </c>
      <c r="AJ86" t="e">
        <f>'Entrada datos'!#REF!</f>
        <v>#REF!</v>
      </c>
      <c r="AK86" s="17" t="e">
        <f t="shared" si="21"/>
        <v>#REF!</v>
      </c>
      <c r="AL86" t="e">
        <f>'Entrada datos'!#REF!</f>
        <v>#REF!</v>
      </c>
      <c r="AM86" t="e">
        <f>'Entrada datos'!#REF!</f>
        <v>#REF!</v>
      </c>
      <c r="AN86" t="e">
        <f>'Entrada datos'!#REF!</f>
        <v>#REF!</v>
      </c>
      <c r="AO86" t="e">
        <f>'Entrada datos'!#REF!</f>
        <v>#REF!</v>
      </c>
      <c r="AP86" t="e">
        <f>'Entrada datos'!#REF!</f>
        <v>#REF!</v>
      </c>
      <c r="AQ86" t="e">
        <f>'Entrada datos'!#REF!</f>
        <v>#REF!</v>
      </c>
      <c r="AR86" s="17" t="e">
        <f t="shared" si="22"/>
        <v>#REF!</v>
      </c>
      <c r="AS86" s="23" t="e">
        <f t="shared" si="23"/>
        <v>#REF!</v>
      </c>
      <c r="AT86" t="e">
        <f t="shared" si="24"/>
        <v>#REF!</v>
      </c>
      <c r="AU86" s="40" t="e">
        <f t="shared" si="25"/>
        <v>#REF!</v>
      </c>
      <c r="AV86" t="e">
        <f t="shared" si="26"/>
        <v>#REF!</v>
      </c>
      <c r="AW86" t="e">
        <f t="shared" si="27"/>
        <v>#REF!</v>
      </c>
      <c r="AX86" s="24">
        <f t="shared" si="28"/>
        <v>0</v>
      </c>
      <c r="AY86" s="24">
        <f t="shared" si="29"/>
        <v>0</v>
      </c>
      <c r="AZ86" s="24">
        <f t="shared" si="30"/>
        <v>0</v>
      </c>
      <c r="BA86" t="e">
        <f t="shared" si="31"/>
        <v>#REF!</v>
      </c>
      <c r="BB86">
        <f t="shared" si="32"/>
        <v>0</v>
      </c>
      <c r="BC86" s="24">
        <f t="shared" si="33"/>
        <v>0</v>
      </c>
      <c r="BD86" t="e">
        <f t="shared" si="34"/>
        <v>#REF!</v>
      </c>
    </row>
    <row r="87" spans="1:56" x14ac:dyDescent="0.3">
      <c r="A87" t="e">
        <f>'Entrada datos'!#REF!</f>
        <v>#REF!</v>
      </c>
      <c r="B87" t="e">
        <f>'Entrada datos'!#REF!</f>
        <v>#REF!</v>
      </c>
      <c r="C87" t="e">
        <f>'Entrada datos'!#REF!</f>
        <v>#REF!</v>
      </c>
      <c r="D87" t="e">
        <f>'Entrada datos'!#REF!</f>
        <v>#REF!</v>
      </c>
      <c r="E87" s="18" t="e">
        <f>'Entrada datos'!#REF!</f>
        <v>#REF!</v>
      </c>
      <c r="F87" s="18" t="e">
        <f>'Entrada datos'!#REF!</f>
        <v>#REF!</v>
      </c>
      <c r="G87" t="e">
        <f>'Entrada datos'!#REF!</f>
        <v>#REF!</v>
      </c>
      <c r="H87" t="e">
        <f>'Entrada datos'!#REF!</f>
        <v>#REF!</v>
      </c>
      <c r="I87" t="e">
        <f>'Entrada datos'!#REF!</f>
        <v>#REF!</v>
      </c>
      <c r="J87" t="e">
        <f>'Entrada datos'!#REF!</f>
        <v>#REF!</v>
      </c>
      <c r="K87" t="e">
        <f>'Entrada datos'!#REF!</f>
        <v>#REF!</v>
      </c>
      <c r="L87" t="e">
        <f>'Entrada datos'!#REF!</f>
        <v>#REF!</v>
      </c>
      <c r="M87" t="e">
        <f>'Entrada datos'!#REF!</f>
        <v>#REF!</v>
      </c>
      <c r="N87" t="e">
        <f>'Entrada datos'!#REF!</f>
        <v>#REF!</v>
      </c>
      <c r="O87" t="e">
        <f>'Entrada datos'!#REF!</f>
        <v>#REF!</v>
      </c>
      <c r="P87" s="17" t="e">
        <f t="shared" si="18"/>
        <v>#REF!</v>
      </c>
      <c r="Q87" t="e">
        <f>'Entrada datos'!#REF!</f>
        <v>#REF!</v>
      </c>
      <c r="R87" t="e">
        <f>'Entrada datos'!#REF!</f>
        <v>#REF!</v>
      </c>
      <c r="S87" t="e">
        <f>'Entrada datos'!#REF!</f>
        <v>#REF!</v>
      </c>
      <c r="T87" t="e">
        <f>'Entrada datos'!#REF!</f>
        <v>#REF!</v>
      </c>
      <c r="U87" t="e">
        <f>'Entrada datos'!#REF!</f>
        <v>#REF!</v>
      </c>
      <c r="V87" t="e">
        <f>'Entrada datos'!#REF!</f>
        <v>#REF!</v>
      </c>
      <c r="W87" s="17" t="e">
        <f t="shared" si="19"/>
        <v>#REF!</v>
      </c>
      <c r="X87" t="e">
        <f>'Entrada datos'!#REF!</f>
        <v>#REF!</v>
      </c>
      <c r="Y87" t="e">
        <f>'Entrada datos'!#REF!</f>
        <v>#REF!</v>
      </c>
      <c r="Z87" t="e">
        <f>'Entrada datos'!#REF!</f>
        <v>#REF!</v>
      </c>
      <c r="AA87" t="e">
        <f>'Entrada datos'!#REF!</f>
        <v>#REF!</v>
      </c>
      <c r="AB87" t="e">
        <f>'Entrada datos'!#REF!</f>
        <v>#REF!</v>
      </c>
      <c r="AC87" t="e">
        <f>'Entrada datos'!#REF!</f>
        <v>#REF!</v>
      </c>
      <c r="AD87" s="17" t="e">
        <f t="shared" si="20"/>
        <v>#REF!</v>
      </c>
      <c r="AE87" t="e">
        <f>'Entrada datos'!#REF!</f>
        <v>#REF!</v>
      </c>
      <c r="AF87" t="e">
        <f>'Entrada datos'!#REF!</f>
        <v>#REF!</v>
      </c>
      <c r="AG87" t="e">
        <f>'Entrada datos'!#REF!</f>
        <v>#REF!</v>
      </c>
      <c r="AH87" t="e">
        <f>'Entrada datos'!#REF!</f>
        <v>#REF!</v>
      </c>
      <c r="AI87" t="e">
        <f>'Entrada datos'!#REF!</f>
        <v>#REF!</v>
      </c>
      <c r="AJ87" t="e">
        <f>'Entrada datos'!#REF!</f>
        <v>#REF!</v>
      </c>
      <c r="AK87" s="17" t="e">
        <f t="shared" si="21"/>
        <v>#REF!</v>
      </c>
      <c r="AL87" t="e">
        <f>'Entrada datos'!#REF!</f>
        <v>#REF!</v>
      </c>
      <c r="AM87" t="e">
        <f>'Entrada datos'!#REF!</f>
        <v>#REF!</v>
      </c>
      <c r="AN87" t="e">
        <f>'Entrada datos'!#REF!</f>
        <v>#REF!</v>
      </c>
      <c r="AO87" t="e">
        <f>'Entrada datos'!#REF!</f>
        <v>#REF!</v>
      </c>
      <c r="AP87" t="e">
        <f>'Entrada datos'!#REF!</f>
        <v>#REF!</v>
      </c>
      <c r="AQ87" t="e">
        <f>'Entrada datos'!#REF!</f>
        <v>#REF!</v>
      </c>
      <c r="AR87" s="17" t="e">
        <f t="shared" si="22"/>
        <v>#REF!</v>
      </c>
      <c r="AS87" s="23" t="e">
        <f t="shared" si="23"/>
        <v>#REF!</v>
      </c>
      <c r="AT87" t="e">
        <f t="shared" si="24"/>
        <v>#REF!</v>
      </c>
      <c r="AU87" s="40" t="e">
        <f t="shared" si="25"/>
        <v>#REF!</v>
      </c>
      <c r="AV87" t="e">
        <f t="shared" si="26"/>
        <v>#REF!</v>
      </c>
      <c r="AW87" t="e">
        <f t="shared" si="27"/>
        <v>#REF!</v>
      </c>
      <c r="AX87" s="24">
        <f t="shared" si="28"/>
        <v>0</v>
      </c>
      <c r="AY87" s="24">
        <f t="shared" si="29"/>
        <v>0</v>
      </c>
      <c r="AZ87" s="24">
        <f t="shared" si="30"/>
        <v>0</v>
      </c>
      <c r="BA87" t="e">
        <f t="shared" si="31"/>
        <v>#REF!</v>
      </c>
      <c r="BB87">
        <f t="shared" si="32"/>
        <v>0</v>
      </c>
      <c r="BC87" s="24">
        <f t="shared" si="33"/>
        <v>0</v>
      </c>
      <c r="BD87" t="e">
        <f t="shared" si="34"/>
        <v>#REF!</v>
      </c>
    </row>
    <row r="88" spans="1:56" x14ac:dyDescent="0.3">
      <c r="A88" t="e">
        <f>'Entrada datos'!#REF!</f>
        <v>#REF!</v>
      </c>
      <c r="B88" t="e">
        <f>'Entrada datos'!#REF!</f>
        <v>#REF!</v>
      </c>
      <c r="C88" t="e">
        <f>'Entrada datos'!#REF!</f>
        <v>#REF!</v>
      </c>
      <c r="D88" t="e">
        <f>'Entrada datos'!#REF!</f>
        <v>#REF!</v>
      </c>
      <c r="E88" s="18" t="e">
        <f>'Entrada datos'!#REF!</f>
        <v>#REF!</v>
      </c>
      <c r="F88" s="18" t="e">
        <f>'Entrada datos'!#REF!</f>
        <v>#REF!</v>
      </c>
      <c r="G88" t="e">
        <f>'Entrada datos'!#REF!</f>
        <v>#REF!</v>
      </c>
      <c r="H88" t="e">
        <f>'Entrada datos'!#REF!</f>
        <v>#REF!</v>
      </c>
      <c r="I88" t="e">
        <f>'Entrada datos'!#REF!</f>
        <v>#REF!</v>
      </c>
      <c r="J88" t="e">
        <f>'Entrada datos'!#REF!</f>
        <v>#REF!</v>
      </c>
      <c r="K88" t="e">
        <f>'Entrada datos'!#REF!</f>
        <v>#REF!</v>
      </c>
      <c r="L88" t="e">
        <f>'Entrada datos'!#REF!</f>
        <v>#REF!</v>
      </c>
      <c r="M88" t="e">
        <f>'Entrada datos'!#REF!</f>
        <v>#REF!</v>
      </c>
      <c r="N88" t="e">
        <f>'Entrada datos'!#REF!</f>
        <v>#REF!</v>
      </c>
      <c r="O88" t="e">
        <f>'Entrada datos'!#REF!</f>
        <v>#REF!</v>
      </c>
      <c r="P88" s="17" t="e">
        <f t="shared" si="18"/>
        <v>#REF!</v>
      </c>
      <c r="Q88" t="e">
        <f>'Entrada datos'!#REF!</f>
        <v>#REF!</v>
      </c>
      <c r="R88" t="e">
        <f>'Entrada datos'!#REF!</f>
        <v>#REF!</v>
      </c>
      <c r="S88" t="e">
        <f>'Entrada datos'!#REF!</f>
        <v>#REF!</v>
      </c>
      <c r="T88" t="e">
        <f>'Entrada datos'!#REF!</f>
        <v>#REF!</v>
      </c>
      <c r="U88" t="e">
        <f>'Entrada datos'!#REF!</f>
        <v>#REF!</v>
      </c>
      <c r="V88" t="e">
        <f>'Entrada datos'!#REF!</f>
        <v>#REF!</v>
      </c>
      <c r="W88" s="17" t="e">
        <f t="shared" si="19"/>
        <v>#REF!</v>
      </c>
      <c r="X88" t="e">
        <f>'Entrada datos'!#REF!</f>
        <v>#REF!</v>
      </c>
      <c r="Y88" t="e">
        <f>'Entrada datos'!#REF!</f>
        <v>#REF!</v>
      </c>
      <c r="Z88" t="e">
        <f>'Entrada datos'!#REF!</f>
        <v>#REF!</v>
      </c>
      <c r="AA88" t="e">
        <f>'Entrada datos'!#REF!</f>
        <v>#REF!</v>
      </c>
      <c r="AB88" t="e">
        <f>'Entrada datos'!#REF!</f>
        <v>#REF!</v>
      </c>
      <c r="AC88" t="e">
        <f>'Entrada datos'!#REF!</f>
        <v>#REF!</v>
      </c>
      <c r="AD88" s="17" t="e">
        <f t="shared" si="20"/>
        <v>#REF!</v>
      </c>
      <c r="AE88" t="e">
        <f>'Entrada datos'!#REF!</f>
        <v>#REF!</v>
      </c>
      <c r="AF88" t="e">
        <f>'Entrada datos'!#REF!</f>
        <v>#REF!</v>
      </c>
      <c r="AG88" t="e">
        <f>'Entrada datos'!#REF!</f>
        <v>#REF!</v>
      </c>
      <c r="AH88" t="e">
        <f>'Entrada datos'!#REF!</f>
        <v>#REF!</v>
      </c>
      <c r="AI88" t="e">
        <f>'Entrada datos'!#REF!</f>
        <v>#REF!</v>
      </c>
      <c r="AJ88" t="e">
        <f>'Entrada datos'!#REF!</f>
        <v>#REF!</v>
      </c>
      <c r="AK88" s="17" t="e">
        <f t="shared" si="21"/>
        <v>#REF!</v>
      </c>
      <c r="AL88" t="e">
        <f>'Entrada datos'!#REF!</f>
        <v>#REF!</v>
      </c>
      <c r="AM88" t="e">
        <f>'Entrada datos'!#REF!</f>
        <v>#REF!</v>
      </c>
      <c r="AN88" t="e">
        <f>'Entrada datos'!#REF!</f>
        <v>#REF!</v>
      </c>
      <c r="AO88" t="e">
        <f>'Entrada datos'!#REF!</f>
        <v>#REF!</v>
      </c>
      <c r="AP88" t="e">
        <f>'Entrada datos'!#REF!</f>
        <v>#REF!</v>
      </c>
      <c r="AQ88" t="e">
        <f>'Entrada datos'!#REF!</f>
        <v>#REF!</v>
      </c>
      <c r="AR88" s="17" t="e">
        <f t="shared" si="22"/>
        <v>#REF!</v>
      </c>
      <c r="AS88" s="23" t="e">
        <f t="shared" si="23"/>
        <v>#REF!</v>
      </c>
      <c r="AT88" t="e">
        <f t="shared" si="24"/>
        <v>#REF!</v>
      </c>
      <c r="AU88" s="40" t="e">
        <f t="shared" si="25"/>
        <v>#REF!</v>
      </c>
      <c r="AV88" t="e">
        <f t="shared" si="26"/>
        <v>#REF!</v>
      </c>
      <c r="AW88" t="e">
        <f t="shared" si="27"/>
        <v>#REF!</v>
      </c>
      <c r="AX88" s="24">
        <f t="shared" si="28"/>
        <v>0</v>
      </c>
      <c r="AY88" s="24">
        <f t="shared" si="29"/>
        <v>0</v>
      </c>
      <c r="AZ88" s="24">
        <f t="shared" si="30"/>
        <v>0</v>
      </c>
      <c r="BA88" t="e">
        <f t="shared" si="31"/>
        <v>#REF!</v>
      </c>
      <c r="BB88">
        <f t="shared" si="32"/>
        <v>0</v>
      </c>
      <c r="BC88" s="24">
        <f t="shared" si="33"/>
        <v>0</v>
      </c>
      <c r="BD88" t="e">
        <f t="shared" si="34"/>
        <v>#REF!</v>
      </c>
    </row>
    <row r="89" spans="1:56" x14ac:dyDescent="0.3">
      <c r="A89" t="e">
        <f>'Entrada datos'!#REF!</f>
        <v>#REF!</v>
      </c>
      <c r="B89" t="e">
        <f>'Entrada datos'!#REF!</f>
        <v>#REF!</v>
      </c>
      <c r="C89" t="e">
        <f>'Entrada datos'!#REF!</f>
        <v>#REF!</v>
      </c>
      <c r="D89" t="e">
        <f>'Entrada datos'!#REF!</f>
        <v>#REF!</v>
      </c>
      <c r="E89" s="18" t="e">
        <f>'Entrada datos'!#REF!</f>
        <v>#REF!</v>
      </c>
      <c r="F89" s="18" t="e">
        <f>'Entrada datos'!#REF!</f>
        <v>#REF!</v>
      </c>
      <c r="G89" t="e">
        <f>'Entrada datos'!#REF!</f>
        <v>#REF!</v>
      </c>
      <c r="H89" t="e">
        <f>'Entrada datos'!#REF!</f>
        <v>#REF!</v>
      </c>
      <c r="I89" t="e">
        <f>'Entrada datos'!#REF!</f>
        <v>#REF!</v>
      </c>
      <c r="J89" t="e">
        <f>'Entrada datos'!#REF!</f>
        <v>#REF!</v>
      </c>
      <c r="K89" t="e">
        <f>'Entrada datos'!#REF!</f>
        <v>#REF!</v>
      </c>
      <c r="L89" t="e">
        <f>'Entrada datos'!#REF!</f>
        <v>#REF!</v>
      </c>
      <c r="M89" t="e">
        <f>'Entrada datos'!#REF!</f>
        <v>#REF!</v>
      </c>
      <c r="N89" t="e">
        <f>'Entrada datos'!#REF!</f>
        <v>#REF!</v>
      </c>
      <c r="O89" t="e">
        <f>'Entrada datos'!#REF!</f>
        <v>#REF!</v>
      </c>
      <c r="P89" s="17" t="e">
        <f t="shared" si="18"/>
        <v>#REF!</v>
      </c>
      <c r="Q89" t="e">
        <f>'Entrada datos'!#REF!</f>
        <v>#REF!</v>
      </c>
      <c r="R89" t="e">
        <f>'Entrada datos'!#REF!</f>
        <v>#REF!</v>
      </c>
      <c r="S89" t="e">
        <f>'Entrada datos'!#REF!</f>
        <v>#REF!</v>
      </c>
      <c r="T89" t="e">
        <f>'Entrada datos'!#REF!</f>
        <v>#REF!</v>
      </c>
      <c r="U89" t="e">
        <f>'Entrada datos'!#REF!</f>
        <v>#REF!</v>
      </c>
      <c r="V89" t="e">
        <f>'Entrada datos'!#REF!</f>
        <v>#REF!</v>
      </c>
      <c r="W89" s="17" t="e">
        <f t="shared" si="19"/>
        <v>#REF!</v>
      </c>
      <c r="X89" t="e">
        <f>'Entrada datos'!#REF!</f>
        <v>#REF!</v>
      </c>
      <c r="Y89" t="e">
        <f>'Entrada datos'!#REF!</f>
        <v>#REF!</v>
      </c>
      <c r="Z89" t="e">
        <f>'Entrada datos'!#REF!</f>
        <v>#REF!</v>
      </c>
      <c r="AA89" t="e">
        <f>'Entrada datos'!#REF!</f>
        <v>#REF!</v>
      </c>
      <c r="AB89" t="e">
        <f>'Entrada datos'!#REF!</f>
        <v>#REF!</v>
      </c>
      <c r="AC89" t="e">
        <f>'Entrada datos'!#REF!</f>
        <v>#REF!</v>
      </c>
      <c r="AD89" s="17" t="e">
        <f t="shared" si="20"/>
        <v>#REF!</v>
      </c>
      <c r="AE89" t="e">
        <f>'Entrada datos'!#REF!</f>
        <v>#REF!</v>
      </c>
      <c r="AF89" t="e">
        <f>'Entrada datos'!#REF!</f>
        <v>#REF!</v>
      </c>
      <c r="AG89" t="e">
        <f>'Entrada datos'!#REF!</f>
        <v>#REF!</v>
      </c>
      <c r="AH89" t="e">
        <f>'Entrada datos'!#REF!</f>
        <v>#REF!</v>
      </c>
      <c r="AI89" t="e">
        <f>'Entrada datos'!#REF!</f>
        <v>#REF!</v>
      </c>
      <c r="AJ89" t="e">
        <f>'Entrada datos'!#REF!</f>
        <v>#REF!</v>
      </c>
      <c r="AK89" s="17" t="e">
        <f t="shared" si="21"/>
        <v>#REF!</v>
      </c>
      <c r="AL89" t="e">
        <f>'Entrada datos'!#REF!</f>
        <v>#REF!</v>
      </c>
      <c r="AM89" t="e">
        <f>'Entrada datos'!#REF!</f>
        <v>#REF!</v>
      </c>
      <c r="AN89" t="e">
        <f>'Entrada datos'!#REF!</f>
        <v>#REF!</v>
      </c>
      <c r="AO89" t="e">
        <f>'Entrada datos'!#REF!</f>
        <v>#REF!</v>
      </c>
      <c r="AP89" t="e">
        <f>'Entrada datos'!#REF!</f>
        <v>#REF!</v>
      </c>
      <c r="AQ89" t="e">
        <f>'Entrada datos'!#REF!</f>
        <v>#REF!</v>
      </c>
      <c r="AR89" s="17" t="e">
        <f t="shared" si="22"/>
        <v>#REF!</v>
      </c>
      <c r="AS89" s="23" t="e">
        <f t="shared" si="23"/>
        <v>#REF!</v>
      </c>
      <c r="AT89" t="e">
        <f t="shared" si="24"/>
        <v>#REF!</v>
      </c>
      <c r="AU89" s="40" t="e">
        <f t="shared" si="25"/>
        <v>#REF!</v>
      </c>
      <c r="AV89" t="e">
        <f t="shared" si="26"/>
        <v>#REF!</v>
      </c>
      <c r="AW89" t="e">
        <f t="shared" si="27"/>
        <v>#REF!</v>
      </c>
      <c r="AX89" s="24">
        <f t="shared" si="28"/>
        <v>0</v>
      </c>
      <c r="AY89" s="24">
        <f t="shared" si="29"/>
        <v>0</v>
      </c>
      <c r="AZ89" s="24">
        <f t="shared" si="30"/>
        <v>0</v>
      </c>
      <c r="BA89" t="e">
        <f t="shared" si="31"/>
        <v>#REF!</v>
      </c>
      <c r="BB89">
        <f t="shared" si="32"/>
        <v>0</v>
      </c>
      <c r="BC89" s="24">
        <f t="shared" si="33"/>
        <v>0</v>
      </c>
      <c r="BD89" t="e">
        <f t="shared" si="34"/>
        <v>#REF!</v>
      </c>
    </row>
    <row r="90" spans="1:56" x14ac:dyDescent="0.3">
      <c r="A90" t="e">
        <f>'Entrada datos'!#REF!</f>
        <v>#REF!</v>
      </c>
      <c r="B90" t="e">
        <f>'Entrada datos'!#REF!</f>
        <v>#REF!</v>
      </c>
      <c r="C90" t="e">
        <f>'Entrada datos'!#REF!</f>
        <v>#REF!</v>
      </c>
      <c r="D90" t="e">
        <f>'Entrada datos'!#REF!</f>
        <v>#REF!</v>
      </c>
      <c r="E90" s="18" t="e">
        <f>'Entrada datos'!#REF!</f>
        <v>#REF!</v>
      </c>
      <c r="F90" s="18" t="e">
        <f>'Entrada datos'!#REF!</f>
        <v>#REF!</v>
      </c>
      <c r="G90" t="e">
        <f>'Entrada datos'!#REF!</f>
        <v>#REF!</v>
      </c>
      <c r="H90" t="e">
        <f>'Entrada datos'!#REF!</f>
        <v>#REF!</v>
      </c>
      <c r="I90" t="e">
        <f>'Entrada datos'!#REF!</f>
        <v>#REF!</v>
      </c>
      <c r="J90" t="e">
        <f>'Entrada datos'!#REF!</f>
        <v>#REF!</v>
      </c>
      <c r="K90" t="e">
        <f>'Entrada datos'!#REF!</f>
        <v>#REF!</v>
      </c>
      <c r="L90" t="e">
        <f>'Entrada datos'!#REF!</f>
        <v>#REF!</v>
      </c>
      <c r="M90" t="e">
        <f>'Entrada datos'!#REF!</f>
        <v>#REF!</v>
      </c>
      <c r="N90" t="e">
        <f>'Entrada datos'!#REF!</f>
        <v>#REF!</v>
      </c>
      <c r="O90" t="e">
        <f>'Entrada datos'!#REF!</f>
        <v>#REF!</v>
      </c>
      <c r="P90" s="17" t="e">
        <f t="shared" si="18"/>
        <v>#REF!</v>
      </c>
      <c r="Q90" t="e">
        <f>'Entrada datos'!#REF!</f>
        <v>#REF!</v>
      </c>
      <c r="R90" t="e">
        <f>'Entrada datos'!#REF!</f>
        <v>#REF!</v>
      </c>
      <c r="S90" t="e">
        <f>'Entrada datos'!#REF!</f>
        <v>#REF!</v>
      </c>
      <c r="T90" t="e">
        <f>'Entrada datos'!#REF!</f>
        <v>#REF!</v>
      </c>
      <c r="U90" t="e">
        <f>'Entrada datos'!#REF!</f>
        <v>#REF!</v>
      </c>
      <c r="V90" t="e">
        <f>'Entrada datos'!#REF!</f>
        <v>#REF!</v>
      </c>
      <c r="W90" s="17" t="e">
        <f t="shared" si="19"/>
        <v>#REF!</v>
      </c>
      <c r="X90" t="e">
        <f>'Entrada datos'!#REF!</f>
        <v>#REF!</v>
      </c>
      <c r="Y90" t="e">
        <f>'Entrada datos'!#REF!</f>
        <v>#REF!</v>
      </c>
      <c r="Z90" t="e">
        <f>'Entrada datos'!#REF!</f>
        <v>#REF!</v>
      </c>
      <c r="AA90" t="e">
        <f>'Entrada datos'!#REF!</f>
        <v>#REF!</v>
      </c>
      <c r="AB90" t="e">
        <f>'Entrada datos'!#REF!</f>
        <v>#REF!</v>
      </c>
      <c r="AC90" t="e">
        <f>'Entrada datos'!#REF!</f>
        <v>#REF!</v>
      </c>
      <c r="AD90" s="17" t="e">
        <f t="shared" si="20"/>
        <v>#REF!</v>
      </c>
      <c r="AE90" t="e">
        <f>'Entrada datos'!#REF!</f>
        <v>#REF!</v>
      </c>
      <c r="AF90" t="e">
        <f>'Entrada datos'!#REF!</f>
        <v>#REF!</v>
      </c>
      <c r="AG90" t="e">
        <f>'Entrada datos'!#REF!</f>
        <v>#REF!</v>
      </c>
      <c r="AH90" t="e">
        <f>'Entrada datos'!#REF!</f>
        <v>#REF!</v>
      </c>
      <c r="AI90" t="e">
        <f>'Entrada datos'!#REF!</f>
        <v>#REF!</v>
      </c>
      <c r="AJ90" t="e">
        <f>'Entrada datos'!#REF!</f>
        <v>#REF!</v>
      </c>
      <c r="AK90" s="17" t="e">
        <f t="shared" si="21"/>
        <v>#REF!</v>
      </c>
      <c r="AL90" t="e">
        <f>'Entrada datos'!#REF!</f>
        <v>#REF!</v>
      </c>
      <c r="AM90" t="e">
        <f>'Entrada datos'!#REF!</f>
        <v>#REF!</v>
      </c>
      <c r="AN90" t="e">
        <f>'Entrada datos'!#REF!</f>
        <v>#REF!</v>
      </c>
      <c r="AO90" t="e">
        <f>'Entrada datos'!#REF!</f>
        <v>#REF!</v>
      </c>
      <c r="AP90" t="e">
        <f>'Entrada datos'!#REF!</f>
        <v>#REF!</v>
      </c>
      <c r="AQ90" t="e">
        <f>'Entrada datos'!#REF!</f>
        <v>#REF!</v>
      </c>
      <c r="AR90" s="17" t="e">
        <f t="shared" si="22"/>
        <v>#REF!</v>
      </c>
      <c r="AS90" s="23" t="e">
        <f t="shared" si="23"/>
        <v>#REF!</v>
      </c>
      <c r="AT90" t="e">
        <f t="shared" si="24"/>
        <v>#REF!</v>
      </c>
      <c r="AU90" s="40" t="e">
        <f t="shared" si="25"/>
        <v>#REF!</v>
      </c>
      <c r="AV90" t="e">
        <f t="shared" si="26"/>
        <v>#REF!</v>
      </c>
      <c r="AW90" t="e">
        <f t="shared" si="27"/>
        <v>#REF!</v>
      </c>
      <c r="AX90" s="24">
        <f t="shared" si="28"/>
        <v>0</v>
      </c>
      <c r="AY90" s="24">
        <f t="shared" si="29"/>
        <v>0</v>
      </c>
      <c r="AZ90" s="24">
        <f t="shared" si="30"/>
        <v>0</v>
      </c>
      <c r="BA90" t="e">
        <f t="shared" si="31"/>
        <v>#REF!</v>
      </c>
      <c r="BB90">
        <f t="shared" si="32"/>
        <v>0</v>
      </c>
      <c r="BC90" s="24">
        <f t="shared" si="33"/>
        <v>0</v>
      </c>
      <c r="BD90" t="e">
        <f t="shared" si="34"/>
        <v>#REF!</v>
      </c>
    </row>
    <row r="91" spans="1:56" x14ac:dyDescent="0.3">
      <c r="A91" t="e">
        <f>'Entrada datos'!#REF!</f>
        <v>#REF!</v>
      </c>
      <c r="B91" t="e">
        <f>'Entrada datos'!#REF!</f>
        <v>#REF!</v>
      </c>
      <c r="C91" t="e">
        <f>'Entrada datos'!#REF!</f>
        <v>#REF!</v>
      </c>
      <c r="D91" t="e">
        <f>'Entrada datos'!#REF!</f>
        <v>#REF!</v>
      </c>
      <c r="E91" s="18" t="e">
        <f>'Entrada datos'!#REF!</f>
        <v>#REF!</v>
      </c>
      <c r="F91" s="18" t="e">
        <f>'Entrada datos'!#REF!</f>
        <v>#REF!</v>
      </c>
      <c r="G91" t="e">
        <f>'Entrada datos'!#REF!</f>
        <v>#REF!</v>
      </c>
      <c r="H91" t="e">
        <f>'Entrada datos'!#REF!</f>
        <v>#REF!</v>
      </c>
      <c r="I91" t="e">
        <f>'Entrada datos'!#REF!</f>
        <v>#REF!</v>
      </c>
      <c r="J91" t="e">
        <f>'Entrada datos'!#REF!</f>
        <v>#REF!</v>
      </c>
      <c r="K91" t="e">
        <f>'Entrada datos'!#REF!</f>
        <v>#REF!</v>
      </c>
      <c r="L91" t="e">
        <f>'Entrada datos'!#REF!</f>
        <v>#REF!</v>
      </c>
      <c r="M91" t="e">
        <f>'Entrada datos'!#REF!</f>
        <v>#REF!</v>
      </c>
      <c r="N91" t="e">
        <f>'Entrada datos'!#REF!</f>
        <v>#REF!</v>
      </c>
      <c r="O91" t="e">
        <f>'Entrada datos'!#REF!</f>
        <v>#REF!</v>
      </c>
      <c r="P91" s="17" t="e">
        <f t="shared" si="18"/>
        <v>#REF!</v>
      </c>
      <c r="Q91" t="e">
        <f>'Entrada datos'!#REF!</f>
        <v>#REF!</v>
      </c>
      <c r="R91" t="e">
        <f>'Entrada datos'!#REF!</f>
        <v>#REF!</v>
      </c>
      <c r="S91" t="e">
        <f>'Entrada datos'!#REF!</f>
        <v>#REF!</v>
      </c>
      <c r="T91" t="e">
        <f>'Entrada datos'!#REF!</f>
        <v>#REF!</v>
      </c>
      <c r="U91" t="e">
        <f>'Entrada datos'!#REF!</f>
        <v>#REF!</v>
      </c>
      <c r="V91" t="e">
        <f>'Entrada datos'!#REF!</f>
        <v>#REF!</v>
      </c>
      <c r="W91" s="17" t="e">
        <f t="shared" si="19"/>
        <v>#REF!</v>
      </c>
      <c r="X91" t="e">
        <f>'Entrada datos'!#REF!</f>
        <v>#REF!</v>
      </c>
      <c r="Y91" t="e">
        <f>'Entrada datos'!#REF!</f>
        <v>#REF!</v>
      </c>
      <c r="Z91" t="e">
        <f>'Entrada datos'!#REF!</f>
        <v>#REF!</v>
      </c>
      <c r="AA91" t="e">
        <f>'Entrada datos'!#REF!</f>
        <v>#REF!</v>
      </c>
      <c r="AB91" t="e">
        <f>'Entrada datos'!#REF!</f>
        <v>#REF!</v>
      </c>
      <c r="AC91" t="e">
        <f>'Entrada datos'!#REF!</f>
        <v>#REF!</v>
      </c>
      <c r="AD91" s="17" t="e">
        <f t="shared" si="20"/>
        <v>#REF!</v>
      </c>
      <c r="AE91" t="e">
        <f>'Entrada datos'!#REF!</f>
        <v>#REF!</v>
      </c>
      <c r="AF91" t="e">
        <f>'Entrada datos'!#REF!</f>
        <v>#REF!</v>
      </c>
      <c r="AG91" t="e">
        <f>'Entrada datos'!#REF!</f>
        <v>#REF!</v>
      </c>
      <c r="AH91" t="e">
        <f>'Entrada datos'!#REF!</f>
        <v>#REF!</v>
      </c>
      <c r="AI91" t="e">
        <f>'Entrada datos'!#REF!</f>
        <v>#REF!</v>
      </c>
      <c r="AJ91" t="e">
        <f>'Entrada datos'!#REF!</f>
        <v>#REF!</v>
      </c>
      <c r="AK91" s="17" t="e">
        <f t="shared" si="21"/>
        <v>#REF!</v>
      </c>
      <c r="AL91" t="e">
        <f>'Entrada datos'!#REF!</f>
        <v>#REF!</v>
      </c>
      <c r="AM91" t="e">
        <f>'Entrada datos'!#REF!</f>
        <v>#REF!</v>
      </c>
      <c r="AN91" t="e">
        <f>'Entrada datos'!#REF!</f>
        <v>#REF!</v>
      </c>
      <c r="AO91" t="e">
        <f>'Entrada datos'!#REF!</f>
        <v>#REF!</v>
      </c>
      <c r="AP91" t="e">
        <f>'Entrada datos'!#REF!</f>
        <v>#REF!</v>
      </c>
      <c r="AQ91" t="e">
        <f>'Entrada datos'!#REF!</f>
        <v>#REF!</v>
      </c>
      <c r="AR91" s="17" t="e">
        <f t="shared" si="22"/>
        <v>#REF!</v>
      </c>
      <c r="AS91" s="23" t="e">
        <f t="shared" si="23"/>
        <v>#REF!</v>
      </c>
      <c r="AT91" t="e">
        <f t="shared" si="24"/>
        <v>#REF!</v>
      </c>
      <c r="AU91" s="40" t="e">
        <f t="shared" si="25"/>
        <v>#REF!</v>
      </c>
      <c r="AV91" t="e">
        <f t="shared" si="26"/>
        <v>#REF!</v>
      </c>
      <c r="AW91" t="e">
        <f t="shared" si="27"/>
        <v>#REF!</v>
      </c>
      <c r="AX91" s="24">
        <f t="shared" si="28"/>
        <v>0</v>
      </c>
      <c r="AY91" s="24">
        <f t="shared" si="29"/>
        <v>0</v>
      </c>
      <c r="AZ91" s="24">
        <f t="shared" si="30"/>
        <v>0</v>
      </c>
      <c r="BA91" t="e">
        <f t="shared" si="31"/>
        <v>#REF!</v>
      </c>
      <c r="BB91">
        <f t="shared" si="32"/>
        <v>0</v>
      </c>
      <c r="BC91" s="24">
        <f t="shared" si="33"/>
        <v>0</v>
      </c>
      <c r="BD91" t="e">
        <f t="shared" si="34"/>
        <v>#REF!</v>
      </c>
    </row>
    <row r="92" spans="1:56" x14ac:dyDescent="0.3">
      <c r="A92">
        <f>'Entrada datos'!A2</f>
        <v>0</v>
      </c>
      <c r="B92">
        <f>'Entrada datos'!B2</f>
        <v>0</v>
      </c>
      <c r="C92">
        <f>'Entrada datos'!C2</f>
        <v>0</v>
      </c>
      <c r="D92">
        <f>'Entrada datos'!D2</f>
        <v>0</v>
      </c>
      <c r="E92" s="18">
        <f>'Entrada datos'!G2</f>
        <v>0</v>
      </c>
      <c r="F92" s="18">
        <f>'Entrada datos'!H2</f>
        <v>0</v>
      </c>
      <c r="G92">
        <f>'Entrada datos'!J2</f>
        <v>0</v>
      </c>
      <c r="H92">
        <f>'Entrada datos'!L2</f>
        <v>0</v>
      </c>
      <c r="I92">
        <f>'Entrada datos'!O2</f>
        <v>0</v>
      </c>
      <c r="J92">
        <f>'Entrada datos'!P2</f>
        <v>0</v>
      </c>
      <c r="K92">
        <f>'Entrada datos'!Q2</f>
        <v>0</v>
      </c>
      <c r="L92">
        <f>'Entrada datos'!R2</f>
        <v>0</v>
      </c>
      <c r="M92">
        <f>'Entrada datos'!S2</f>
        <v>0</v>
      </c>
      <c r="N92">
        <f>'Entrada datos'!T2</f>
        <v>0</v>
      </c>
      <c r="O92">
        <f>'Entrada datos'!U2</f>
        <v>0</v>
      </c>
      <c r="P92" s="17">
        <f t="shared" si="18"/>
        <v>0</v>
      </c>
      <c r="Q92">
        <f>'Entrada datos'!V2</f>
        <v>0</v>
      </c>
      <c r="R92">
        <f>'Entrada datos'!W2</f>
        <v>0</v>
      </c>
      <c r="S92">
        <f>'Entrada datos'!X2</f>
        <v>0</v>
      </c>
      <c r="T92">
        <f>'Entrada datos'!Y2</f>
        <v>0</v>
      </c>
      <c r="U92">
        <f>'Entrada datos'!Z2</f>
        <v>0</v>
      </c>
      <c r="V92">
        <f>'Entrada datos'!AA2</f>
        <v>0</v>
      </c>
      <c r="W92" s="17">
        <f t="shared" si="19"/>
        <v>0</v>
      </c>
      <c r="X92">
        <f>'Entrada datos'!AB2</f>
        <v>0</v>
      </c>
      <c r="Y92">
        <f>'Entrada datos'!AC2</f>
        <v>0</v>
      </c>
      <c r="Z92">
        <f>'Entrada datos'!AD2</f>
        <v>0</v>
      </c>
      <c r="AA92">
        <f>'Entrada datos'!AE2</f>
        <v>0</v>
      </c>
      <c r="AB92">
        <f>'Entrada datos'!AF2</f>
        <v>0</v>
      </c>
      <c r="AC92">
        <f>'Entrada datos'!AG2</f>
        <v>0</v>
      </c>
      <c r="AD92" s="17">
        <f t="shared" si="20"/>
        <v>0</v>
      </c>
      <c r="AE92">
        <f>'Entrada datos'!AH2</f>
        <v>0</v>
      </c>
      <c r="AF92">
        <f>'Entrada datos'!AI2</f>
        <v>0</v>
      </c>
      <c r="AG92">
        <f>'Entrada datos'!AJ2</f>
        <v>0</v>
      </c>
      <c r="AH92">
        <f>'Entrada datos'!AK2</f>
        <v>0</v>
      </c>
      <c r="AI92">
        <f>'Entrada datos'!AL2</f>
        <v>0</v>
      </c>
      <c r="AJ92">
        <f>'Entrada datos'!AM2</f>
        <v>0</v>
      </c>
      <c r="AK92" s="17">
        <f t="shared" si="21"/>
        <v>0</v>
      </c>
      <c r="AL92">
        <f>'Entrada datos'!AN2</f>
        <v>0</v>
      </c>
      <c r="AM92">
        <f>'Entrada datos'!AO2</f>
        <v>0</v>
      </c>
      <c r="AN92">
        <f>'Entrada datos'!AP2</f>
        <v>0</v>
      </c>
      <c r="AO92">
        <f>'Entrada datos'!AQ2</f>
        <v>0</v>
      </c>
      <c r="AP92">
        <f>'Entrada datos'!AR2</f>
        <v>0</v>
      </c>
      <c r="AQ92">
        <f>'Entrada datos'!AS2</f>
        <v>0</v>
      </c>
      <c r="AR92" s="17">
        <f t="shared" si="22"/>
        <v>0</v>
      </c>
      <c r="AS92" s="23">
        <f t="shared" si="23"/>
        <v>0</v>
      </c>
      <c r="AT92">
        <f t="shared" si="24"/>
        <v>1900</v>
      </c>
      <c r="AU92" s="40" t="str">
        <f t="shared" si="25"/>
        <v>enero</v>
      </c>
      <c r="AV92">
        <f t="shared" si="26"/>
        <v>0</v>
      </c>
      <c r="AW92">
        <f t="shared" si="27"/>
        <v>0</v>
      </c>
      <c r="AX92" s="24">
        <f t="shared" si="28"/>
        <v>0</v>
      </c>
      <c r="AY92" s="24">
        <f t="shared" si="29"/>
        <v>0</v>
      </c>
      <c r="AZ92" s="24">
        <f t="shared" si="30"/>
        <v>0</v>
      </c>
      <c r="BA92">
        <f t="shared" si="31"/>
        <v>0</v>
      </c>
      <c r="BB92">
        <f t="shared" si="32"/>
        <v>0</v>
      </c>
      <c r="BC92" s="24">
        <f t="shared" si="33"/>
        <v>0</v>
      </c>
      <c r="BD92">
        <f t="shared" si="34"/>
        <v>0</v>
      </c>
    </row>
    <row r="93" spans="1:56" x14ac:dyDescent="0.3">
      <c r="A93">
        <f>'Entrada datos'!A3</f>
        <v>0</v>
      </c>
      <c r="B93">
        <f>'Entrada datos'!B3</f>
        <v>0</v>
      </c>
      <c r="C93">
        <f>'Entrada datos'!C3</f>
        <v>0</v>
      </c>
      <c r="D93">
        <f>'Entrada datos'!D3</f>
        <v>0</v>
      </c>
      <c r="E93" s="18">
        <f>'Entrada datos'!G3</f>
        <v>0</v>
      </c>
      <c r="F93" s="18">
        <f>'Entrada datos'!H3</f>
        <v>0</v>
      </c>
      <c r="G93">
        <f>'Entrada datos'!J3</f>
        <v>0</v>
      </c>
      <c r="H93">
        <f>'Entrada datos'!L3</f>
        <v>0</v>
      </c>
      <c r="I93">
        <f>'Entrada datos'!O3</f>
        <v>0</v>
      </c>
      <c r="J93">
        <f>'Entrada datos'!P3</f>
        <v>0</v>
      </c>
      <c r="K93">
        <f>'Entrada datos'!Q3</f>
        <v>0</v>
      </c>
      <c r="L93">
        <f>'Entrada datos'!R3</f>
        <v>0</v>
      </c>
      <c r="M93">
        <f>'Entrada datos'!S3</f>
        <v>0</v>
      </c>
      <c r="N93">
        <f>'Entrada datos'!T3</f>
        <v>0</v>
      </c>
      <c r="O93">
        <f>'Entrada datos'!U3</f>
        <v>0</v>
      </c>
      <c r="P93" s="17">
        <f t="shared" si="18"/>
        <v>0</v>
      </c>
      <c r="Q93">
        <f>'Entrada datos'!V3</f>
        <v>0</v>
      </c>
      <c r="R93">
        <f>'Entrada datos'!W3</f>
        <v>0</v>
      </c>
      <c r="S93">
        <f>'Entrada datos'!X3</f>
        <v>0</v>
      </c>
      <c r="T93">
        <f>'Entrada datos'!Y3</f>
        <v>0</v>
      </c>
      <c r="U93">
        <f>'Entrada datos'!Z3</f>
        <v>0</v>
      </c>
      <c r="V93">
        <f>'Entrada datos'!AA3</f>
        <v>0</v>
      </c>
      <c r="W93" s="17">
        <f t="shared" si="19"/>
        <v>0</v>
      </c>
      <c r="X93">
        <f>'Entrada datos'!AB3</f>
        <v>0</v>
      </c>
      <c r="Y93">
        <f>'Entrada datos'!AC3</f>
        <v>0</v>
      </c>
      <c r="Z93">
        <f>'Entrada datos'!AD3</f>
        <v>0</v>
      </c>
      <c r="AA93">
        <f>'Entrada datos'!AE3</f>
        <v>0</v>
      </c>
      <c r="AB93">
        <f>'Entrada datos'!AF3</f>
        <v>0</v>
      </c>
      <c r="AC93">
        <f>'Entrada datos'!AG3</f>
        <v>0</v>
      </c>
      <c r="AD93" s="17">
        <f t="shared" si="20"/>
        <v>0</v>
      </c>
      <c r="AE93">
        <f>'Entrada datos'!AH3</f>
        <v>0</v>
      </c>
      <c r="AF93">
        <f>'Entrada datos'!AI3</f>
        <v>0</v>
      </c>
      <c r="AG93">
        <f>'Entrada datos'!AJ3</f>
        <v>0</v>
      </c>
      <c r="AH93">
        <f>'Entrada datos'!AK3</f>
        <v>0</v>
      </c>
      <c r="AI93">
        <f>'Entrada datos'!AL3</f>
        <v>0</v>
      </c>
      <c r="AJ93">
        <f>'Entrada datos'!AM3</f>
        <v>0</v>
      </c>
      <c r="AK93" s="17">
        <f t="shared" si="21"/>
        <v>0</v>
      </c>
      <c r="AL93">
        <f>'Entrada datos'!AN3</f>
        <v>0</v>
      </c>
      <c r="AM93">
        <f>'Entrada datos'!AO3</f>
        <v>0</v>
      </c>
      <c r="AN93">
        <f>'Entrada datos'!AP3</f>
        <v>0</v>
      </c>
      <c r="AO93">
        <f>'Entrada datos'!AQ3</f>
        <v>0</v>
      </c>
      <c r="AP93">
        <f>'Entrada datos'!AR3</f>
        <v>0</v>
      </c>
      <c r="AQ93">
        <f>'Entrada datos'!AS3</f>
        <v>0</v>
      </c>
      <c r="AR93" s="17">
        <f t="shared" si="22"/>
        <v>0</v>
      </c>
      <c r="AS93" s="23">
        <f t="shared" si="23"/>
        <v>0</v>
      </c>
      <c r="AT93">
        <f t="shared" si="24"/>
        <v>1900</v>
      </c>
      <c r="AU93" s="40" t="str">
        <f t="shared" si="25"/>
        <v>enero</v>
      </c>
      <c r="AV93">
        <f t="shared" si="26"/>
        <v>0</v>
      </c>
      <c r="AW93">
        <f t="shared" si="27"/>
        <v>0</v>
      </c>
      <c r="AX93" s="24">
        <f t="shared" si="28"/>
        <v>0</v>
      </c>
      <c r="AY93" s="24">
        <f t="shared" si="29"/>
        <v>0</v>
      </c>
      <c r="AZ93" s="24">
        <f t="shared" si="30"/>
        <v>0</v>
      </c>
      <c r="BA93">
        <f t="shared" si="31"/>
        <v>0</v>
      </c>
      <c r="BB93">
        <f t="shared" si="32"/>
        <v>0</v>
      </c>
      <c r="BC93" s="24">
        <f t="shared" si="33"/>
        <v>0</v>
      </c>
      <c r="BD93">
        <f t="shared" si="34"/>
        <v>0</v>
      </c>
    </row>
    <row r="94" spans="1:56" x14ac:dyDescent="0.3">
      <c r="A94">
        <f>'Entrada datos'!A4</f>
        <v>0</v>
      </c>
      <c r="B94">
        <f>'Entrada datos'!B4</f>
        <v>0</v>
      </c>
      <c r="C94">
        <f>'Entrada datos'!C4</f>
        <v>0</v>
      </c>
      <c r="D94">
        <f>'Entrada datos'!D4</f>
        <v>0</v>
      </c>
      <c r="E94" s="18">
        <f>'Entrada datos'!G4</f>
        <v>0</v>
      </c>
      <c r="F94" s="18">
        <f>'Entrada datos'!H4</f>
        <v>0</v>
      </c>
      <c r="G94">
        <f>'Entrada datos'!J4</f>
        <v>0</v>
      </c>
      <c r="H94">
        <f>'Entrada datos'!L4</f>
        <v>0</v>
      </c>
      <c r="I94">
        <f>'Entrada datos'!O4</f>
        <v>0</v>
      </c>
      <c r="J94">
        <f>'Entrada datos'!P4</f>
        <v>0</v>
      </c>
      <c r="K94">
        <f>'Entrada datos'!Q4</f>
        <v>0</v>
      </c>
      <c r="L94">
        <f>'Entrada datos'!R4</f>
        <v>0</v>
      </c>
      <c r="M94">
        <f>'Entrada datos'!S4</f>
        <v>0</v>
      </c>
      <c r="N94">
        <f>'Entrada datos'!T4</f>
        <v>0</v>
      </c>
      <c r="O94">
        <f>'Entrada datos'!U4</f>
        <v>0</v>
      </c>
      <c r="P94" s="17">
        <f t="shared" si="18"/>
        <v>0</v>
      </c>
      <c r="Q94">
        <f>'Entrada datos'!V4</f>
        <v>0</v>
      </c>
      <c r="R94">
        <f>'Entrada datos'!W4</f>
        <v>0</v>
      </c>
      <c r="S94">
        <f>'Entrada datos'!X4</f>
        <v>0</v>
      </c>
      <c r="T94">
        <f>'Entrada datos'!Y4</f>
        <v>0</v>
      </c>
      <c r="U94">
        <f>'Entrada datos'!Z4</f>
        <v>0</v>
      </c>
      <c r="V94">
        <f>'Entrada datos'!AA4</f>
        <v>0</v>
      </c>
      <c r="W94" s="17">
        <f t="shared" si="19"/>
        <v>0</v>
      </c>
      <c r="X94">
        <f>'Entrada datos'!AB4</f>
        <v>0</v>
      </c>
      <c r="Y94">
        <f>'Entrada datos'!AC4</f>
        <v>0</v>
      </c>
      <c r="Z94">
        <f>'Entrada datos'!AD4</f>
        <v>0</v>
      </c>
      <c r="AA94">
        <f>'Entrada datos'!AE4</f>
        <v>0</v>
      </c>
      <c r="AB94">
        <f>'Entrada datos'!AF4</f>
        <v>0</v>
      </c>
      <c r="AC94">
        <f>'Entrada datos'!AG4</f>
        <v>0</v>
      </c>
      <c r="AD94" s="17">
        <f t="shared" si="20"/>
        <v>0</v>
      </c>
      <c r="AE94">
        <f>'Entrada datos'!AH4</f>
        <v>0</v>
      </c>
      <c r="AF94">
        <f>'Entrada datos'!AI4</f>
        <v>0</v>
      </c>
      <c r="AG94">
        <f>'Entrada datos'!AJ4</f>
        <v>0</v>
      </c>
      <c r="AH94">
        <f>'Entrada datos'!AK4</f>
        <v>0</v>
      </c>
      <c r="AI94">
        <f>'Entrada datos'!AL4</f>
        <v>0</v>
      </c>
      <c r="AJ94">
        <f>'Entrada datos'!AM4</f>
        <v>0</v>
      </c>
      <c r="AK94" s="17">
        <f t="shared" si="21"/>
        <v>0</v>
      </c>
      <c r="AL94">
        <f>'Entrada datos'!AN4</f>
        <v>0</v>
      </c>
      <c r="AM94">
        <f>'Entrada datos'!AO4</f>
        <v>0</v>
      </c>
      <c r="AN94">
        <f>'Entrada datos'!AP4</f>
        <v>0</v>
      </c>
      <c r="AO94">
        <f>'Entrada datos'!AQ4</f>
        <v>0</v>
      </c>
      <c r="AP94">
        <f>'Entrada datos'!AR4</f>
        <v>0</v>
      </c>
      <c r="AQ94">
        <f>'Entrada datos'!AS4</f>
        <v>0</v>
      </c>
      <c r="AR94" s="17">
        <f t="shared" si="22"/>
        <v>0</v>
      </c>
      <c r="AS94" s="23">
        <f t="shared" si="23"/>
        <v>0</v>
      </c>
      <c r="AT94">
        <f t="shared" si="24"/>
        <v>1900</v>
      </c>
      <c r="AU94" s="40" t="str">
        <f t="shared" si="25"/>
        <v>enero</v>
      </c>
      <c r="AV94">
        <f t="shared" si="26"/>
        <v>0</v>
      </c>
      <c r="AW94">
        <f t="shared" si="27"/>
        <v>0</v>
      </c>
      <c r="AX94" s="24">
        <f t="shared" si="28"/>
        <v>0</v>
      </c>
      <c r="AY94" s="24">
        <f t="shared" si="29"/>
        <v>0</v>
      </c>
      <c r="AZ94" s="24">
        <f t="shared" si="30"/>
        <v>0</v>
      </c>
      <c r="BA94">
        <f t="shared" si="31"/>
        <v>0</v>
      </c>
      <c r="BB94">
        <f t="shared" si="32"/>
        <v>0</v>
      </c>
      <c r="BC94" s="24">
        <f t="shared" si="33"/>
        <v>0</v>
      </c>
      <c r="BD94">
        <f t="shared" si="34"/>
        <v>0</v>
      </c>
    </row>
    <row r="95" spans="1:56" x14ac:dyDescent="0.3">
      <c r="A95">
        <f>'Entrada datos'!A5</f>
        <v>0</v>
      </c>
      <c r="B95">
        <f>'Entrada datos'!B5</f>
        <v>0</v>
      </c>
      <c r="C95">
        <f>'Entrada datos'!C5</f>
        <v>0</v>
      </c>
      <c r="D95">
        <f>'Entrada datos'!D5</f>
        <v>0</v>
      </c>
      <c r="E95" s="18">
        <f>'Entrada datos'!G5</f>
        <v>0</v>
      </c>
      <c r="F95" s="18">
        <f>'Entrada datos'!H5</f>
        <v>0</v>
      </c>
      <c r="G95">
        <f>'Entrada datos'!J5</f>
        <v>0</v>
      </c>
      <c r="H95">
        <f>'Entrada datos'!L5</f>
        <v>0</v>
      </c>
      <c r="I95">
        <f>'Entrada datos'!O5</f>
        <v>0</v>
      </c>
      <c r="J95">
        <f>'Entrada datos'!P5</f>
        <v>0</v>
      </c>
      <c r="K95">
        <f>'Entrada datos'!Q5</f>
        <v>0</v>
      </c>
      <c r="L95">
        <f>'Entrada datos'!R5</f>
        <v>0</v>
      </c>
      <c r="M95">
        <f>'Entrada datos'!S5</f>
        <v>0</v>
      </c>
      <c r="N95">
        <f>'Entrada datos'!T5</f>
        <v>0</v>
      </c>
      <c r="O95">
        <f>'Entrada datos'!U5</f>
        <v>0</v>
      </c>
      <c r="P95" s="17">
        <f t="shared" si="18"/>
        <v>0</v>
      </c>
      <c r="Q95">
        <f>'Entrada datos'!V5</f>
        <v>0</v>
      </c>
      <c r="R95">
        <f>'Entrada datos'!W5</f>
        <v>0</v>
      </c>
      <c r="S95">
        <f>'Entrada datos'!X5</f>
        <v>0</v>
      </c>
      <c r="T95">
        <f>'Entrada datos'!Y5</f>
        <v>0</v>
      </c>
      <c r="U95">
        <f>'Entrada datos'!Z5</f>
        <v>0</v>
      </c>
      <c r="V95">
        <f>'Entrada datos'!AA5</f>
        <v>0</v>
      </c>
      <c r="W95" s="17">
        <f t="shared" si="19"/>
        <v>0</v>
      </c>
      <c r="X95">
        <f>'Entrada datos'!AB5</f>
        <v>0</v>
      </c>
      <c r="Y95">
        <f>'Entrada datos'!AC5</f>
        <v>0</v>
      </c>
      <c r="Z95">
        <f>'Entrada datos'!AD5</f>
        <v>0</v>
      </c>
      <c r="AA95">
        <f>'Entrada datos'!AE5</f>
        <v>0</v>
      </c>
      <c r="AB95">
        <f>'Entrada datos'!AF5</f>
        <v>0</v>
      </c>
      <c r="AC95">
        <f>'Entrada datos'!AG5</f>
        <v>0</v>
      </c>
      <c r="AD95" s="17">
        <f t="shared" si="20"/>
        <v>0</v>
      </c>
      <c r="AE95">
        <f>'Entrada datos'!AH5</f>
        <v>0</v>
      </c>
      <c r="AF95">
        <f>'Entrada datos'!AI5</f>
        <v>0</v>
      </c>
      <c r="AG95">
        <f>'Entrada datos'!AJ5</f>
        <v>0</v>
      </c>
      <c r="AH95">
        <f>'Entrada datos'!AK5</f>
        <v>0</v>
      </c>
      <c r="AI95">
        <f>'Entrada datos'!AL5</f>
        <v>0</v>
      </c>
      <c r="AJ95">
        <f>'Entrada datos'!AM5</f>
        <v>0</v>
      </c>
      <c r="AK95" s="17">
        <f t="shared" si="21"/>
        <v>0</v>
      </c>
      <c r="AL95">
        <f>'Entrada datos'!AN5</f>
        <v>0</v>
      </c>
      <c r="AM95">
        <f>'Entrada datos'!AO5</f>
        <v>0</v>
      </c>
      <c r="AN95">
        <f>'Entrada datos'!AP5</f>
        <v>0</v>
      </c>
      <c r="AO95">
        <f>'Entrada datos'!AQ5</f>
        <v>0</v>
      </c>
      <c r="AP95">
        <f>'Entrada datos'!AR5</f>
        <v>0</v>
      </c>
      <c r="AQ95">
        <f>'Entrada datos'!AS5</f>
        <v>0</v>
      </c>
      <c r="AR95" s="17">
        <f t="shared" si="22"/>
        <v>0</v>
      </c>
      <c r="AS95" s="23">
        <f t="shared" si="23"/>
        <v>0</v>
      </c>
      <c r="AT95">
        <f t="shared" si="24"/>
        <v>1900</v>
      </c>
      <c r="AU95" s="40" t="str">
        <f t="shared" si="25"/>
        <v>enero</v>
      </c>
      <c r="AV95">
        <f t="shared" si="26"/>
        <v>0</v>
      </c>
      <c r="AW95">
        <f t="shared" si="27"/>
        <v>0</v>
      </c>
      <c r="AX95" s="24">
        <f t="shared" si="28"/>
        <v>0</v>
      </c>
      <c r="AY95" s="24">
        <f t="shared" si="29"/>
        <v>0</v>
      </c>
      <c r="AZ95" s="24">
        <f t="shared" si="30"/>
        <v>0</v>
      </c>
      <c r="BA95">
        <f t="shared" si="31"/>
        <v>0</v>
      </c>
      <c r="BB95">
        <f t="shared" si="32"/>
        <v>0</v>
      </c>
      <c r="BC95" s="24">
        <f t="shared" si="33"/>
        <v>0</v>
      </c>
      <c r="BD95">
        <f t="shared" si="34"/>
        <v>0</v>
      </c>
    </row>
    <row r="96" spans="1:56" x14ac:dyDescent="0.3">
      <c r="A96">
        <f>'Entrada datos'!A6</f>
        <v>0</v>
      </c>
      <c r="B96">
        <f>'Entrada datos'!B6</f>
        <v>0</v>
      </c>
      <c r="C96">
        <f>'Entrada datos'!C6</f>
        <v>0</v>
      </c>
      <c r="D96">
        <f>'Entrada datos'!D6</f>
        <v>0</v>
      </c>
      <c r="E96" s="18">
        <f>'Entrada datos'!G6</f>
        <v>0</v>
      </c>
      <c r="F96" s="18">
        <f>'Entrada datos'!H6</f>
        <v>0</v>
      </c>
      <c r="G96">
        <f>'Entrada datos'!J6</f>
        <v>0</v>
      </c>
      <c r="H96">
        <f>'Entrada datos'!L6</f>
        <v>0</v>
      </c>
      <c r="I96">
        <f>'Entrada datos'!O6</f>
        <v>0</v>
      </c>
      <c r="J96">
        <f>'Entrada datos'!P6</f>
        <v>0</v>
      </c>
      <c r="K96">
        <f>'Entrada datos'!Q6</f>
        <v>0</v>
      </c>
      <c r="L96">
        <f>'Entrada datos'!R6</f>
        <v>0</v>
      </c>
      <c r="M96">
        <f>'Entrada datos'!S6</f>
        <v>0</v>
      </c>
      <c r="N96">
        <f>'Entrada datos'!T6</f>
        <v>0</v>
      </c>
      <c r="O96">
        <f>'Entrada datos'!U6</f>
        <v>0</v>
      </c>
      <c r="P96" s="17">
        <f t="shared" si="18"/>
        <v>0</v>
      </c>
      <c r="Q96">
        <f>'Entrada datos'!V6</f>
        <v>0</v>
      </c>
      <c r="R96">
        <f>'Entrada datos'!W6</f>
        <v>0</v>
      </c>
      <c r="S96">
        <f>'Entrada datos'!X6</f>
        <v>0</v>
      </c>
      <c r="T96">
        <f>'Entrada datos'!Y6</f>
        <v>0</v>
      </c>
      <c r="U96">
        <f>'Entrada datos'!Z6</f>
        <v>0</v>
      </c>
      <c r="V96">
        <f>'Entrada datos'!AA6</f>
        <v>0</v>
      </c>
      <c r="W96" s="17">
        <f t="shared" si="19"/>
        <v>0</v>
      </c>
      <c r="X96">
        <f>'Entrada datos'!AB6</f>
        <v>0</v>
      </c>
      <c r="Y96">
        <f>'Entrada datos'!AC6</f>
        <v>0</v>
      </c>
      <c r="Z96">
        <f>'Entrada datos'!AD6</f>
        <v>0</v>
      </c>
      <c r="AA96">
        <f>'Entrada datos'!AE6</f>
        <v>0</v>
      </c>
      <c r="AB96">
        <f>'Entrada datos'!AF6</f>
        <v>0</v>
      </c>
      <c r="AC96">
        <f>'Entrada datos'!AG6</f>
        <v>0</v>
      </c>
      <c r="AD96" s="17">
        <f t="shared" si="20"/>
        <v>0</v>
      </c>
      <c r="AE96">
        <f>'Entrada datos'!AH6</f>
        <v>0</v>
      </c>
      <c r="AF96">
        <f>'Entrada datos'!AI6</f>
        <v>0</v>
      </c>
      <c r="AG96">
        <f>'Entrada datos'!AJ6</f>
        <v>0</v>
      </c>
      <c r="AH96">
        <f>'Entrada datos'!AK6</f>
        <v>0</v>
      </c>
      <c r="AI96">
        <f>'Entrada datos'!AL6</f>
        <v>0</v>
      </c>
      <c r="AJ96">
        <f>'Entrada datos'!AM6</f>
        <v>0</v>
      </c>
      <c r="AK96" s="17">
        <f t="shared" si="21"/>
        <v>0</v>
      </c>
      <c r="AL96">
        <f>'Entrada datos'!AN6</f>
        <v>0</v>
      </c>
      <c r="AM96">
        <f>'Entrada datos'!AO6</f>
        <v>0</v>
      </c>
      <c r="AN96">
        <f>'Entrada datos'!AP6</f>
        <v>0</v>
      </c>
      <c r="AO96">
        <f>'Entrada datos'!AQ6</f>
        <v>0</v>
      </c>
      <c r="AP96">
        <f>'Entrada datos'!AR6</f>
        <v>0</v>
      </c>
      <c r="AQ96">
        <f>'Entrada datos'!AS6</f>
        <v>0</v>
      </c>
      <c r="AR96" s="17">
        <f t="shared" si="22"/>
        <v>0</v>
      </c>
      <c r="AS96" s="23">
        <f t="shared" si="23"/>
        <v>0</v>
      </c>
      <c r="AT96">
        <f t="shared" si="24"/>
        <v>1900</v>
      </c>
      <c r="AU96" s="40" t="str">
        <f t="shared" si="25"/>
        <v>enero</v>
      </c>
      <c r="AV96">
        <f t="shared" si="26"/>
        <v>0</v>
      </c>
      <c r="AW96">
        <f t="shared" si="27"/>
        <v>0</v>
      </c>
      <c r="AX96" s="24">
        <f t="shared" si="28"/>
        <v>0</v>
      </c>
      <c r="AY96" s="24">
        <f t="shared" si="29"/>
        <v>0</v>
      </c>
      <c r="AZ96" s="24">
        <f t="shared" si="30"/>
        <v>0</v>
      </c>
      <c r="BA96">
        <f t="shared" si="31"/>
        <v>0</v>
      </c>
      <c r="BB96">
        <f t="shared" si="32"/>
        <v>0</v>
      </c>
      <c r="BC96" s="24">
        <f t="shared" si="33"/>
        <v>0</v>
      </c>
      <c r="BD96">
        <f t="shared" si="34"/>
        <v>0</v>
      </c>
    </row>
    <row r="97" spans="1:56" x14ac:dyDescent="0.3">
      <c r="A97">
        <f>'Entrada datos'!A7</f>
        <v>0</v>
      </c>
      <c r="B97">
        <f>'Entrada datos'!B7</f>
        <v>0</v>
      </c>
      <c r="C97">
        <f>'Entrada datos'!C7</f>
        <v>0</v>
      </c>
      <c r="D97">
        <f>'Entrada datos'!D7</f>
        <v>0</v>
      </c>
      <c r="E97" s="18">
        <f>'Entrada datos'!G7</f>
        <v>0</v>
      </c>
      <c r="F97" s="18">
        <f>'Entrada datos'!H7</f>
        <v>0</v>
      </c>
      <c r="G97">
        <f>'Entrada datos'!J7</f>
        <v>0</v>
      </c>
      <c r="H97">
        <f>'Entrada datos'!L7</f>
        <v>0</v>
      </c>
      <c r="I97">
        <f>'Entrada datos'!O7</f>
        <v>0</v>
      </c>
      <c r="J97">
        <f>'Entrada datos'!P7</f>
        <v>0</v>
      </c>
      <c r="K97">
        <f>'Entrada datos'!Q7</f>
        <v>0</v>
      </c>
      <c r="L97">
        <f>'Entrada datos'!R7</f>
        <v>0</v>
      </c>
      <c r="M97">
        <f>'Entrada datos'!S7</f>
        <v>0</v>
      </c>
      <c r="N97">
        <f>'Entrada datos'!T7</f>
        <v>0</v>
      </c>
      <c r="O97">
        <f>'Entrada datos'!U7</f>
        <v>0</v>
      </c>
      <c r="P97" s="17">
        <f t="shared" si="18"/>
        <v>0</v>
      </c>
      <c r="Q97">
        <f>'Entrada datos'!V7</f>
        <v>0</v>
      </c>
      <c r="R97">
        <f>'Entrada datos'!W7</f>
        <v>0</v>
      </c>
      <c r="S97">
        <f>'Entrada datos'!X7</f>
        <v>0</v>
      </c>
      <c r="T97">
        <f>'Entrada datos'!Y7</f>
        <v>0</v>
      </c>
      <c r="U97">
        <f>'Entrada datos'!Z7</f>
        <v>0</v>
      </c>
      <c r="V97">
        <f>'Entrada datos'!AA7</f>
        <v>0</v>
      </c>
      <c r="W97" s="17">
        <f t="shared" si="19"/>
        <v>0</v>
      </c>
      <c r="X97">
        <f>'Entrada datos'!AB7</f>
        <v>0</v>
      </c>
      <c r="Y97">
        <f>'Entrada datos'!AC7</f>
        <v>0</v>
      </c>
      <c r="Z97">
        <f>'Entrada datos'!AD7</f>
        <v>0</v>
      </c>
      <c r="AA97">
        <f>'Entrada datos'!AE7</f>
        <v>0</v>
      </c>
      <c r="AB97">
        <f>'Entrada datos'!AF7</f>
        <v>0</v>
      </c>
      <c r="AC97">
        <f>'Entrada datos'!AG7</f>
        <v>0</v>
      </c>
      <c r="AD97" s="17">
        <f t="shared" si="20"/>
        <v>0</v>
      </c>
      <c r="AE97">
        <f>'Entrada datos'!AH7</f>
        <v>0</v>
      </c>
      <c r="AF97">
        <f>'Entrada datos'!AI7</f>
        <v>0</v>
      </c>
      <c r="AG97">
        <f>'Entrada datos'!AJ7</f>
        <v>0</v>
      </c>
      <c r="AH97">
        <f>'Entrada datos'!AK7</f>
        <v>0</v>
      </c>
      <c r="AI97">
        <f>'Entrada datos'!AL7</f>
        <v>0</v>
      </c>
      <c r="AJ97">
        <f>'Entrada datos'!AM7</f>
        <v>0</v>
      </c>
      <c r="AK97" s="17">
        <f t="shared" si="21"/>
        <v>0</v>
      </c>
      <c r="AL97">
        <f>'Entrada datos'!AN7</f>
        <v>0</v>
      </c>
      <c r="AM97">
        <f>'Entrada datos'!AO7</f>
        <v>0</v>
      </c>
      <c r="AN97">
        <f>'Entrada datos'!AP7</f>
        <v>0</v>
      </c>
      <c r="AO97">
        <f>'Entrada datos'!AQ7</f>
        <v>0</v>
      </c>
      <c r="AP97">
        <f>'Entrada datos'!AR7</f>
        <v>0</v>
      </c>
      <c r="AQ97">
        <f>'Entrada datos'!AS7</f>
        <v>0</v>
      </c>
      <c r="AR97" s="17">
        <f t="shared" si="22"/>
        <v>0</v>
      </c>
      <c r="AS97" s="23">
        <f t="shared" si="23"/>
        <v>0</v>
      </c>
      <c r="AT97">
        <f t="shared" si="24"/>
        <v>1900</v>
      </c>
      <c r="AU97" s="40" t="str">
        <f t="shared" si="25"/>
        <v>enero</v>
      </c>
      <c r="AV97">
        <f t="shared" si="26"/>
        <v>0</v>
      </c>
      <c r="AW97">
        <f t="shared" si="27"/>
        <v>0</v>
      </c>
      <c r="AX97" s="24">
        <f t="shared" si="28"/>
        <v>0</v>
      </c>
      <c r="AY97" s="24">
        <f t="shared" si="29"/>
        <v>0</v>
      </c>
      <c r="AZ97" s="24">
        <f t="shared" si="30"/>
        <v>0</v>
      </c>
      <c r="BA97">
        <f t="shared" si="31"/>
        <v>0</v>
      </c>
      <c r="BB97">
        <f t="shared" si="32"/>
        <v>0</v>
      </c>
      <c r="BC97" s="24">
        <f t="shared" si="33"/>
        <v>0</v>
      </c>
      <c r="BD97">
        <f t="shared" si="34"/>
        <v>0</v>
      </c>
    </row>
    <row r="98" spans="1:56" x14ac:dyDescent="0.3">
      <c r="A98">
        <f>'Entrada datos'!A8</f>
        <v>0</v>
      </c>
      <c r="B98">
        <f>'Entrada datos'!B8</f>
        <v>0</v>
      </c>
      <c r="C98">
        <f>'Entrada datos'!C8</f>
        <v>0</v>
      </c>
      <c r="D98">
        <f>'Entrada datos'!D8</f>
        <v>0</v>
      </c>
      <c r="E98" s="18">
        <f>'Entrada datos'!G8</f>
        <v>0</v>
      </c>
      <c r="F98" s="18">
        <f>'Entrada datos'!H8</f>
        <v>0</v>
      </c>
      <c r="G98">
        <f>'Entrada datos'!J8</f>
        <v>0</v>
      </c>
      <c r="H98">
        <f>'Entrada datos'!L8</f>
        <v>0</v>
      </c>
      <c r="I98">
        <f>'Entrada datos'!O8</f>
        <v>0</v>
      </c>
      <c r="J98">
        <f>'Entrada datos'!P8</f>
        <v>0</v>
      </c>
      <c r="K98">
        <f>'Entrada datos'!Q8</f>
        <v>0</v>
      </c>
      <c r="L98">
        <f>'Entrada datos'!R8</f>
        <v>0</v>
      </c>
      <c r="M98">
        <f>'Entrada datos'!S8</f>
        <v>0</v>
      </c>
      <c r="N98">
        <f>'Entrada datos'!T8</f>
        <v>0</v>
      </c>
      <c r="O98">
        <f>'Entrada datos'!U8</f>
        <v>0</v>
      </c>
      <c r="P98" s="17">
        <f t="shared" si="18"/>
        <v>0</v>
      </c>
      <c r="Q98">
        <f>'Entrada datos'!V8</f>
        <v>0</v>
      </c>
      <c r="R98">
        <f>'Entrada datos'!W8</f>
        <v>0</v>
      </c>
      <c r="S98">
        <f>'Entrada datos'!X8</f>
        <v>0</v>
      </c>
      <c r="T98">
        <f>'Entrada datos'!Y8</f>
        <v>0</v>
      </c>
      <c r="U98">
        <f>'Entrada datos'!Z8</f>
        <v>0</v>
      </c>
      <c r="V98">
        <f>'Entrada datos'!AA8</f>
        <v>0</v>
      </c>
      <c r="W98" s="17">
        <f t="shared" si="19"/>
        <v>0</v>
      </c>
      <c r="X98">
        <f>'Entrada datos'!AB8</f>
        <v>0</v>
      </c>
      <c r="Y98">
        <f>'Entrada datos'!AC8</f>
        <v>0</v>
      </c>
      <c r="Z98">
        <f>'Entrada datos'!AD8</f>
        <v>0</v>
      </c>
      <c r="AA98">
        <f>'Entrada datos'!AE8</f>
        <v>0</v>
      </c>
      <c r="AB98">
        <f>'Entrada datos'!AF8</f>
        <v>0</v>
      </c>
      <c r="AC98">
        <f>'Entrada datos'!AG8</f>
        <v>0</v>
      </c>
      <c r="AD98" s="17">
        <f t="shared" si="20"/>
        <v>0</v>
      </c>
      <c r="AE98">
        <f>'Entrada datos'!AH8</f>
        <v>0</v>
      </c>
      <c r="AF98">
        <f>'Entrada datos'!AI8</f>
        <v>0</v>
      </c>
      <c r="AG98">
        <f>'Entrada datos'!AJ8</f>
        <v>0</v>
      </c>
      <c r="AH98">
        <f>'Entrada datos'!AK8</f>
        <v>0</v>
      </c>
      <c r="AI98">
        <f>'Entrada datos'!AL8</f>
        <v>0</v>
      </c>
      <c r="AJ98">
        <f>'Entrada datos'!AM8</f>
        <v>0</v>
      </c>
      <c r="AK98" s="17">
        <f t="shared" si="21"/>
        <v>0</v>
      </c>
      <c r="AL98">
        <f>'Entrada datos'!AN8</f>
        <v>0</v>
      </c>
      <c r="AM98">
        <f>'Entrada datos'!AO8</f>
        <v>0</v>
      </c>
      <c r="AN98">
        <f>'Entrada datos'!AP8</f>
        <v>0</v>
      </c>
      <c r="AO98">
        <f>'Entrada datos'!AQ8</f>
        <v>0</v>
      </c>
      <c r="AP98">
        <f>'Entrada datos'!AR8</f>
        <v>0</v>
      </c>
      <c r="AQ98">
        <f>'Entrada datos'!AS8</f>
        <v>0</v>
      </c>
      <c r="AR98" s="17">
        <f t="shared" si="22"/>
        <v>0</v>
      </c>
      <c r="AS98" s="23">
        <f t="shared" si="23"/>
        <v>0</v>
      </c>
      <c r="AT98">
        <f t="shared" si="24"/>
        <v>1900</v>
      </c>
      <c r="AU98" s="40" t="str">
        <f t="shared" si="25"/>
        <v>enero</v>
      </c>
      <c r="AV98">
        <f t="shared" si="26"/>
        <v>0</v>
      </c>
      <c r="AW98">
        <f t="shared" si="27"/>
        <v>0</v>
      </c>
      <c r="AX98" s="24">
        <f t="shared" si="28"/>
        <v>0</v>
      </c>
      <c r="AY98" s="24">
        <f t="shared" si="29"/>
        <v>0</v>
      </c>
      <c r="AZ98" s="24">
        <f t="shared" si="30"/>
        <v>0</v>
      </c>
      <c r="BA98">
        <f t="shared" si="31"/>
        <v>0</v>
      </c>
      <c r="BB98">
        <f t="shared" si="32"/>
        <v>0</v>
      </c>
      <c r="BC98" s="24">
        <f t="shared" si="33"/>
        <v>0</v>
      </c>
      <c r="BD98">
        <f t="shared" si="34"/>
        <v>0</v>
      </c>
    </row>
    <row r="99" spans="1:56" x14ac:dyDescent="0.3">
      <c r="A99">
        <f>'Entrada datos'!A9</f>
        <v>0</v>
      </c>
      <c r="B99">
        <f>'Entrada datos'!B9</f>
        <v>0</v>
      </c>
      <c r="C99">
        <f>'Entrada datos'!C9</f>
        <v>0</v>
      </c>
      <c r="D99">
        <f>'Entrada datos'!D9</f>
        <v>0</v>
      </c>
      <c r="E99" s="18">
        <f>'Entrada datos'!G9</f>
        <v>0</v>
      </c>
      <c r="F99" s="18">
        <f>'Entrada datos'!H9</f>
        <v>0</v>
      </c>
      <c r="G99">
        <f>'Entrada datos'!J9</f>
        <v>0</v>
      </c>
      <c r="H99">
        <f>'Entrada datos'!L9</f>
        <v>0</v>
      </c>
      <c r="I99">
        <f>'Entrada datos'!O9</f>
        <v>0</v>
      </c>
      <c r="J99">
        <f>'Entrada datos'!P9</f>
        <v>0</v>
      </c>
      <c r="K99">
        <f>'Entrada datos'!Q9</f>
        <v>0</v>
      </c>
      <c r="L99">
        <f>'Entrada datos'!R9</f>
        <v>0</v>
      </c>
      <c r="M99">
        <f>'Entrada datos'!S9</f>
        <v>0</v>
      </c>
      <c r="N99">
        <f>'Entrada datos'!T9</f>
        <v>0</v>
      </c>
      <c r="O99">
        <f>'Entrada datos'!U9</f>
        <v>0</v>
      </c>
      <c r="P99" s="17">
        <f t="shared" si="18"/>
        <v>0</v>
      </c>
      <c r="Q99">
        <f>'Entrada datos'!V9</f>
        <v>0</v>
      </c>
      <c r="R99">
        <f>'Entrada datos'!W9</f>
        <v>0</v>
      </c>
      <c r="S99">
        <f>'Entrada datos'!X9</f>
        <v>0</v>
      </c>
      <c r="T99">
        <f>'Entrada datos'!Y9</f>
        <v>0</v>
      </c>
      <c r="U99">
        <f>'Entrada datos'!Z9</f>
        <v>0</v>
      </c>
      <c r="V99">
        <f>'Entrada datos'!AA9</f>
        <v>0</v>
      </c>
      <c r="W99" s="17">
        <f t="shared" si="19"/>
        <v>0</v>
      </c>
      <c r="X99">
        <f>'Entrada datos'!AB9</f>
        <v>0</v>
      </c>
      <c r="Y99">
        <f>'Entrada datos'!AC9</f>
        <v>0</v>
      </c>
      <c r="Z99">
        <f>'Entrada datos'!AD9</f>
        <v>0</v>
      </c>
      <c r="AA99">
        <f>'Entrada datos'!AE9</f>
        <v>0</v>
      </c>
      <c r="AB99">
        <f>'Entrada datos'!AF9</f>
        <v>0</v>
      </c>
      <c r="AC99">
        <f>'Entrada datos'!AG9</f>
        <v>0</v>
      </c>
      <c r="AD99" s="17">
        <f t="shared" si="20"/>
        <v>0</v>
      </c>
      <c r="AE99">
        <f>'Entrada datos'!AH9</f>
        <v>0</v>
      </c>
      <c r="AF99">
        <f>'Entrada datos'!AI9</f>
        <v>0</v>
      </c>
      <c r="AG99">
        <f>'Entrada datos'!AJ9</f>
        <v>0</v>
      </c>
      <c r="AH99">
        <f>'Entrada datos'!AK9</f>
        <v>0</v>
      </c>
      <c r="AI99">
        <f>'Entrada datos'!AL9</f>
        <v>0</v>
      </c>
      <c r="AJ99">
        <f>'Entrada datos'!AM9</f>
        <v>0</v>
      </c>
      <c r="AK99" s="17">
        <f t="shared" si="21"/>
        <v>0</v>
      </c>
      <c r="AL99">
        <f>'Entrada datos'!AN9</f>
        <v>0</v>
      </c>
      <c r="AM99">
        <f>'Entrada datos'!AO9</f>
        <v>0</v>
      </c>
      <c r="AN99">
        <f>'Entrada datos'!AP9</f>
        <v>0</v>
      </c>
      <c r="AO99">
        <f>'Entrada datos'!AQ9</f>
        <v>0</v>
      </c>
      <c r="AP99">
        <f>'Entrada datos'!AR9</f>
        <v>0</v>
      </c>
      <c r="AQ99">
        <f>'Entrada datos'!AS9</f>
        <v>0</v>
      </c>
      <c r="AR99" s="17">
        <f t="shared" si="22"/>
        <v>0</v>
      </c>
      <c r="AS99" s="23">
        <f t="shared" si="23"/>
        <v>0</v>
      </c>
      <c r="AT99">
        <f t="shared" si="24"/>
        <v>1900</v>
      </c>
      <c r="AU99" s="40" t="str">
        <f t="shared" si="25"/>
        <v>enero</v>
      </c>
      <c r="AV99">
        <f t="shared" si="26"/>
        <v>0</v>
      </c>
      <c r="AW99">
        <f t="shared" si="27"/>
        <v>0</v>
      </c>
      <c r="AX99" s="24">
        <f t="shared" si="28"/>
        <v>0</v>
      </c>
      <c r="AY99" s="24">
        <f t="shared" si="29"/>
        <v>0</v>
      </c>
      <c r="AZ99" s="24">
        <f t="shared" si="30"/>
        <v>0</v>
      </c>
      <c r="BA99">
        <f t="shared" si="31"/>
        <v>0</v>
      </c>
      <c r="BB99">
        <f t="shared" si="32"/>
        <v>0</v>
      </c>
      <c r="BC99" s="24">
        <f t="shared" si="33"/>
        <v>0</v>
      </c>
      <c r="BD99">
        <f t="shared" si="34"/>
        <v>0</v>
      </c>
    </row>
    <row r="100" spans="1:56" x14ac:dyDescent="0.3">
      <c r="A100">
        <f>'Entrada datos'!A10</f>
        <v>0</v>
      </c>
      <c r="B100">
        <f>'Entrada datos'!B10</f>
        <v>0</v>
      </c>
      <c r="C100">
        <f>'Entrada datos'!C10</f>
        <v>0</v>
      </c>
      <c r="D100">
        <f>'Entrada datos'!D10</f>
        <v>0</v>
      </c>
      <c r="E100" s="18">
        <f>'Entrada datos'!G10</f>
        <v>0</v>
      </c>
      <c r="F100" s="18">
        <f>'Entrada datos'!H10</f>
        <v>0</v>
      </c>
      <c r="G100">
        <f>'Entrada datos'!J10</f>
        <v>0</v>
      </c>
      <c r="H100">
        <f>'Entrada datos'!L10</f>
        <v>0</v>
      </c>
      <c r="I100">
        <f>'Entrada datos'!O10</f>
        <v>0</v>
      </c>
      <c r="J100">
        <f>'Entrada datos'!P10</f>
        <v>0</v>
      </c>
      <c r="K100">
        <f>'Entrada datos'!Q10</f>
        <v>0</v>
      </c>
      <c r="L100">
        <f>'Entrada datos'!R10</f>
        <v>0</v>
      </c>
      <c r="M100">
        <f>'Entrada datos'!S10</f>
        <v>0</v>
      </c>
      <c r="N100">
        <f>'Entrada datos'!T10</f>
        <v>0</v>
      </c>
      <c r="O100">
        <f>'Entrada datos'!U10</f>
        <v>0</v>
      </c>
      <c r="P100" s="17">
        <f t="shared" si="18"/>
        <v>0</v>
      </c>
      <c r="Q100">
        <f>'Entrada datos'!V10</f>
        <v>0</v>
      </c>
      <c r="R100">
        <f>'Entrada datos'!W10</f>
        <v>0</v>
      </c>
      <c r="S100">
        <f>'Entrada datos'!X10</f>
        <v>0</v>
      </c>
      <c r="T100">
        <f>'Entrada datos'!Y10</f>
        <v>0</v>
      </c>
      <c r="U100">
        <f>'Entrada datos'!Z10</f>
        <v>0</v>
      </c>
      <c r="V100">
        <f>'Entrada datos'!AA10</f>
        <v>0</v>
      </c>
      <c r="W100" s="17">
        <f t="shared" si="19"/>
        <v>0</v>
      </c>
      <c r="X100">
        <f>'Entrada datos'!AB10</f>
        <v>0</v>
      </c>
      <c r="Y100">
        <f>'Entrada datos'!AC10</f>
        <v>0</v>
      </c>
      <c r="Z100">
        <f>'Entrada datos'!AD10</f>
        <v>0</v>
      </c>
      <c r="AA100">
        <f>'Entrada datos'!AE10</f>
        <v>0</v>
      </c>
      <c r="AB100">
        <f>'Entrada datos'!AF10</f>
        <v>0</v>
      </c>
      <c r="AC100">
        <f>'Entrada datos'!AG10</f>
        <v>0</v>
      </c>
      <c r="AD100" s="17">
        <f t="shared" si="20"/>
        <v>0</v>
      </c>
      <c r="AE100">
        <f>'Entrada datos'!AH10</f>
        <v>0</v>
      </c>
      <c r="AF100">
        <f>'Entrada datos'!AI10</f>
        <v>0</v>
      </c>
      <c r="AG100">
        <f>'Entrada datos'!AJ10</f>
        <v>0</v>
      </c>
      <c r="AH100">
        <f>'Entrada datos'!AK10</f>
        <v>0</v>
      </c>
      <c r="AI100">
        <f>'Entrada datos'!AL10</f>
        <v>0</v>
      </c>
      <c r="AJ100">
        <f>'Entrada datos'!AM10</f>
        <v>0</v>
      </c>
      <c r="AK100" s="17">
        <f t="shared" si="21"/>
        <v>0</v>
      </c>
      <c r="AL100">
        <f>'Entrada datos'!AN10</f>
        <v>0</v>
      </c>
      <c r="AM100">
        <f>'Entrada datos'!AO10</f>
        <v>0</v>
      </c>
      <c r="AN100">
        <f>'Entrada datos'!AP10</f>
        <v>0</v>
      </c>
      <c r="AO100">
        <f>'Entrada datos'!AQ10</f>
        <v>0</v>
      </c>
      <c r="AP100">
        <f>'Entrada datos'!AR10</f>
        <v>0</v>
      </c>
      <c r="AQ100">
        <f>'Entrada datos'!AS10</f>
        <v>0</v>
      </c>
      <c r="AR100" s="17">
        <f t="shared" si="22"/>
        <v>0</v>
      </c>
      <c r="AS100" s="23">
        <f t="shared" si="23"/>
        <v>0</v>
      </c>
      <c r="AT100">
        <f t="shared" si="24"/>
        <v>1900</v>
      </c>
      <c r="AU100" s="40" t="str">
        <f t="shared" si="25"/>
        <v>enero</v>
      </c>
      <c r="AV100">
        <f t="shared" si="26"/>
        <v>0</v>
      </c>
      <c r="AW100">
        <f t="shared" si="27"/>
        <v>0</v>
      </c>
      <c r="AX100" s="24">
        <f t="shared" si="28"/>
        <v>0</v>
      </c>
      <c r="AY100" s="24">
        <f t="shared" si="29"/>
        <v>0</v>
      </c>
      <c r="AZ100" s="24">
        <f t="shared" si="30"/>
        <v>0</v>
      </c>
      <c r="BA100">
        <f t="shared" si="31"/>
        <v>0</v>
      </c>
      <c r="BB100">
        <f t="shared" si="32"/>
        <v>0</v>
      </c>
      <c r="BC100" s="24">
        <f t="shared" si="33"/>
        <v>0</v>
      </c>
      <c r="BD100">
        <f t="shared" si="34"/>
        <v>0</v>
      </c>
    </row>
    <row r="101" spans="1:56" x14ac:dyDescent="0.3">
      <c r="A101">
        <f>'Entrada datos'!A11</f>
        <v>0</v>
      </c>
      <c r="B101">
        <f>'Entrada datos'!B11</f>
        <v>0</v>
      </c>
      <c r="C101">
        <f>'Entrada datos'!C11</f>
        <v>0</v>
      </c>
      <c r="D101">
        <f>'Entrada datos'!D11</f>
        <v>0</v>
      </c>
      <c r="E101" s="18">
        <f>'Entrada datos'!G11</f>
        <v>0</v>
      </c>
      <c r="F101" s="18">
        <f>'Entrada datos'!H11</f>
        <v>0</v>
      </c>
      <c r="G101">
        <f>'Entrada datos'!J11</f>
        <v>0</v>
      </c>
      <c r="H101">
        <f>'Entrada datos'!L11</f>
        <v>0</v>
      </c>
      <c r="I101">
        <f>'Entrada datos'!O11</f>
        <v>0</v>
      </c>
      <c r="J101">
        <f>'Entrada datos'!P11</f>
        <v>0</v>
      </c>
      <c r="K101">
        <f>'Entrada datos'!Q11</f>
        <v>0</v>
      </c>
      <c r="L101">
        <f>'Entrada datos'!R11</f>
        <v>0</v>
      </c>
      <c r="M101">
        <f>'Entrada datos'!S11</f>
        <v>0</v>
      </c>
      <c r="N101">
        <f>'Entrada datos'!T11</f>
        <v>0</v>
      </c>
      <c r="O101">
        <f>'Entrada datos'!U11</f>
        <v>0</v>
      </c>
      <c r="P101" s="17">
        <f t="shared" si="18"/>
        <v>0</v>
      </c>
      <c r="Q101">
        <f>'Entrada datos'!V11</f>
        <v>0</v>
      </c>
      <c r="R101">
        <f>'Entrada datos'!W11</f>
        <v>0</v>
      </c>
      <c r="S101">
        <f>'Entrada datos'!X11</f>
        <v>0</v>
      </c>
      <c r="T101">
        <f>'Entrada datos'!Y11</f>
        <v>0</v>
      </c>
      <c r="U101">
        <f>'Entrada datos'!Z11</f>
        <v>0</v>
      </c>
      <c r="V101">
        <f>'Entrada datos'!AA11</f>
        <v>0</v>
      </c>
      <c r="W101" s="17">
        <f t="shared" si="19"/>
        <v>0</v>
      </c>
      <c r="X101">
        <f>'Entrada datos'!AB11</f>
        <v>0</v>
      </c>
      <c r="Y101">
        <f>'Entrada datos'!AC11</f>
        <v>0</v>
      </c>
      <c r="Z101">
        <f>'Entrada datos'!AD11</f>
        <v>0</v>
      </c>
      <c r="AA101">
        <f>'Entrada datos'!AE11</f>
        <v>0</v>
      </c>
      <c r="AB101">
        <f>'Entrada datos'!AF11</f>
        <v>0</v>
      </c>
      <c r="AC101">
        <f>'Entrada datos'!AG11</f>
        <v>0</v>
      </c>
      <c r="AD101" s="17">
        <f t="shared" si="20"/>
        <v>0</v>
      </c>
      <c r="AE101">
        <f>'Entrada datos'!AH11</f>
        <v>0</v>
      </c>
      <c r="AF101">
        <f>'Entrada datos'!AI11</f>
        <v>0</v>
      </c>
      <c r="AG101">
        <f>'Entrada datos'!AJ11</f>
        <v>0</v>
      </c>
      <c r="AH101">
        <f>'Entrada datos'!AK11</f>
        <v>0</v>
      </c>
      <c r="AI101">
        <f>'Entrada datos'!AL11</f>
        <v>0</v>
      </c>
      <c r="AJ101">
        <f>'Entrada datos'!AM11</f>
        <v>0</v>
      </c>
      <c r="AK101" s="17">
        <f t="shared" si="21"/>
        <v>0</v>
      </c>
      <c r="AL101">
        <f>'Entrada datos'!AN11</f>
        <v>0</v>
      </c>
      <c r="AM101">
        <f>'Entrada datos'!AO11</f>
        <v>0</v>
      </c>
      <c r="AN101">
        <f>'Entrada datos'!AP11</f>
        <v>0</v>
      </c>
      <c r="AO101">
        <f>'Entrada datos'!AQ11</f>
        <v>0</v>
      </c>
      <c r="AP101">
        <f>'Entrada datos'!AR11</f>
        <v>0</v>
      </c>
      <c r="AQ101">
        <f>'Entrada datos'!AS11</f>
        <v>0</v>
      </c>
      <c r="AR101" s="17">
        <f t="shared" si="22"/>
        <v>0</v>
      </c>
      <c r="AS101" s="23">
        <f t="shared" si="23"/>
        <v>0</v>
      </c>
      <c r="AT101">
        <f t="shared" si="24"/>
        <v>1900</v>
      </c>
      <c r="AU101" s="40" t="str">
        <f t="shared" si="25"/>
        <v>enero</v>
      </c>
      <c r="AV101">
        <f t="shared" si="26"/>
        <v>0</v>
      </c>
      <c r="AW101">
        <f t="shared" si="27"/>
        <v>0</v>
      </c>
      <c r="AX101" s="24">
        <f t="shared" si="28"/>
        <v>0</v>
      </c>
      <c r="AY101" s="24">
        <f t="shared" si="29"/>
        <v>0</v>
      </c>
      <c r="AZ101" s="24">
        <f t="shared" si="30"/>
        <v>0</v>
      </c>
      <c r="BA101">
        <f t="shared" si="31"/>
        <v>0</v>
      </c>
      <c r="BB101">
        <f t="shared" si="32"/>
        <v>0</v>
      </c>
      <c r="BC101" s="24">
        <f t="shared" si="33"/>
        <v>0</v>
      </c>
      <c r="BD101">
        <f t="shared" si="34"/>
        <v>0</v>
      </c>
    </row>
    <row r="102" spans="1:56" x14ac:dyDescent="0.3">
      <c r="A102">
        <f>'Entrada datos'!A12</f>
        <v>0</v>
      </c>
      <c r="B102">
        <f>'Entrada datos'!B12</f>
        <v>0</v>
      </c>
      <c r="C102">
        <f>'Entrada datos'!C12</f>
        <v>0</v>
      </c>
      <c r="D102">
        <f>'Entrada datos'!D12</f>
        <v>0</v>
      </c>
      <c r="E102" s="18">
        <f>'Entrada datos'!G12</f>
        <v>0</v>
      </c>
      <c r="F102" s="18">
        <f>'Entrada datos'!H12</f>
        <v>0</v>
      </c>
      <c r="G102">
        <f>'Entrada datos'!J12</f>
        <v>0</v>
      </c>
      <c r="H102">
        <f>'Entrada datos'!L12</f>
        <v>0</v>
      </c>
      <c r="I102">
        <f>'Entrada datos'!O12</f>
        <v>0</v>
      </c>
      <c r="J102">
        <f>'Entrada datos'!P12</f>
        <v>0</v>
      </c>
      <c r="K102">
        <f>'Entrada datos'!Q12</f>
        <v>0</v>
      </c>
      <c r="L102">
        <f>'Entrada datos'!R12</f>
        <v>0</v>
      </c>
      <c r="M102">
        <f>'Entrada datos'!S12</f>
        <v>0</v>
      </c>
      <c r="N102">
        <f>'Entrada datos'!T12</f>
        <v>0</v>
      </c>
      <c r="O102">
        <f>'Entrada datos'!U12</f>
        <v>0</v>
      </c>
      <c r="P102" s="17">
        <f t="shared" si="18"/>
        <v>0</v>
      </c>
      <c r="Q102">
        <f>'Entrada datos'!V12</f>
        <v>0</v>
      </c>
      <c r="R102">
        <f>'Entrada datos'!W12</f>
        <v>0</v>
      </c>
      <c r="S102">
        <f>'Entrada datos'!X12</f>
        <v>0</v>
      </c>
      <c r="T102">
        <f>'Entrada datos'!Y12</f>
        <v>0</v>
      </c>
      <c r="U102">
        <f>'Entrada datos'!Z12</f>
        <v>0</v>
      </c>
      <c r="V102">
        <f>'Entrada datos'!AA12</f>
        <v>0</v>
      </c>
      <c r="W102" s="17">
        <f t="shared" si="19"/>
        <v>0</v>
      </c>
      <c r="X102">
        <f>'Entrada datos'!AB12</f>
        <v>0</v>
      </c>
      <c r="Y102">
        <f>'Entrada datos'!AC12</f>
        <v>0</v>
      </c>
      <c r="Z102">
        <f>'Entrada datos'!AD12</f>
        <v>0</v>
      </c>
      <c r="AA102">
        <f>'Entrada datos'!AE12</f>
        <v>0</v>
      </c>
      <c r="AB102">
        <f>'Entrada datos'!AF12</f>
        <v>0</v>
      </c>
      <c r="AC102">
        <f>'Entrada datos'!AG12</f>
        <v>0</v>
      </c>
      <c r="AD102" s="17">
        <f t="shared" si="20"/>
        <v>0</v>
      </c>
      <c r="AE102">
        <f>'Entrada datos'!AH12</f>
        <v>0</v>
      </c>
      <c r="AF102">
        <f>'Entrada datos'!AI12</f>
        <v>0</v>
      </c>
      <c r="AG102">
        <f>'Entrada datos'!AJ12</f>
        <v>0</v>
      </c>
      <c r="AH102">
        <f>'Entrada datos'!AK12</f>
        <v>0</v>
      </c>
      <c r="AI102">
        <f>'Entrada datos'!AL12</f>
        <v>0</v>
      </c>
      <c r="AJ102">
        <f>'Entrada datos'!AM12</f>
        <v>0</v>
      </c>
      <c r="AK102" s="17">
        <f t="shared" si="21"/>
        <v>0</v>
      </c>
      <c r="AL102">
        <f>'Entrada datos'!AN12</f>
        <v>0</v>
      </c>
      <c r="AM102">
        <f>'Entrada datos'!AO12</f>
        <v>0</v>
      </c>
      <c r="AN102">
        <f>'Entrada datos'!AP12</f>
        <v>0</v>
      </c>
      <c r="AO102">
        <f>'Entrada datos'!AQ12</f>
        <v>0</v>
      </c>
      <c r="AP102">
        <f>'Entrada datos'!AR12</f>
        <v>0</v>
      </c>
      <c r="AQ102">
        <f>'Entrada datos'!AS12</f>
        <v>0</v>
      </c>
      <c r="AR102" s="17">
        <f t="shared" si="22"/>
        <v>0</v>
      </c>
      <c r="AS102" s="23">
        <f t="shared" si="23"/>
        <v>0</v>
      </c>
      <c r="AT102">
        <f t="shared" si="24"/>
        <v>1900</v>
      </c>
      <c r="AU102" s="40" t="str">
        <f t="shared" si="25"/>
        <v>enero</v>
      </c>
      <c r="AV102">
        <f t="shared" si="26"/>
        <v>0</v>
      </c>
      <c r="AW102">
        <f t="shared" si="27"/>
        <v>0</v>
      </c>
      <c r="AX102" s="24">
        <f t="shared" si="28"/>
        <v>0</v>
      </c>
      <c r="AY102" s="24">
        <f t="shared" si="29"/>
        <v>0</v>
      </c>
      <c r="AZ102" s="24">
        <f t="shared" si="30"/>
        <v>0</v>
      </c>
      <c r="BA102">
        <f t="shared" si="31"/>
        <v>0</v>
      </c>
      <c r="BB102">
        <f t="shared" si="32"/>
        <v>0</v>
      </c>
      <c r="BC102" s="24">
        <f t="shared" si="33"/>
        <v>0</v>
      </c>
      <c r="BD102">
        <f t="shared" si="34"/>
        <v>0</v>
      </c>
    </row>
    <row r="103" spans="1:56" x14ac:dyDescent="0.3">
      <c r="A103">
        <f>'Entrada datos'!A13</f>
        <v>0</v>
      </c>
      <c r="B103">
        <f>'Entrada datos'!B13</f>
        <v>0</v>
      </c>
      <c r="C103">
        <f>'Entrada datos'!C13</f>
        <v>0</v>
      </c>
      <c r="D103">
        <f>'Entrada datos'!D13</f>
        <v>0</v>
      </c>
      <c r="E103" s="18">
        <f>'Entrada datos'!G13</f>
        <v>0</v>
      </c>
      <c r="F103" s="18">
        <f>'Entrada datos'!H13</f>
        <v>0</v>
      </c>
      <c r="G103">
        <f>'Entrada datos'!J13</f>
        <v>0</v>
      </c>
      <c r="H103">
        <f>'Entrada datos'!L13</f>
        <v>0</v>
      </c>
      <c r="I103">
        <f>'Entrada datos'!O13</f>
        <v>0</v>
      </c>
      <c r="J103">
        <f>'Entrada datos'!P13</f>
        <v>0</v>
      </c>
      <c r="K103">
        <f>'Entrada datos'!Q13</f>
        <v>0</v>
      </c>
      <c r="L103">
        <f>'Entrada datos'!R13</f>
        <v>0</v>
      </c>
      <c r="M103">
        <f>'Entrada datos'!S13</f>
        <v>0</v>
      </c>
      <c r="N103">
        <f>'Entrada datos'!T13</f>
        <v>0</v>
      </c>
      <c r="O103">
        <f>'Entrada datos'!U13</f>
        <v>0</v>
      </c>
      <c r="P103" s="17">
        <f t="shared" si="18"/>
        <v>0</v>
      </c>
      <c r="Q103">
        <f>'Entrada datos'!V13</f>
        <v>0</v>
      </c>
      <c r="R103">
        <f>'Entrada datos'!W13</f>
        <v>0</v>
      </c>
      <c r="S103">
        <f>'Entrada datos'!X13</f>
        <v>0</v>
      </c>
      <c r="T103">
        <f>'Entrada datos'!Y13</f>
        <v>0</v>
      </c>
      <c r="U103">
        <f>'Entrada datos'!Z13</f>
        <v>0</v>
      </c>
      <c r="V103">
        <f>'Entrada datos'!AA13</f>
        <v>0</v>
      </c>
      <c r="W103" s="17">
        <f t="shared" si="19"/>
        <v>0</v>
      </c>
      <c r="X103">
        <f>'Entrada datos'!AB13</f>
        <v>0</v>
      </c>
      <c r="Y103">
        <f>'Entrada datos'!AC13</f>
        <v>0</v>
      </c>
      <c r="Z103">
        <f>'Entrada datos'!AD13</f>
        <v>0</v>
      </c>
      <c r="AA103">
        <f>'Entrada datos'!AE13</f>
        <v>0</v>
      </c>
      <c r="AB103">
        <f>'Entrada datos'!AF13</f>
        <v>0</v>
      </c>
      <c r="AC103">
        <f>'Entrada datos'!AG13</f>
        <v>0</v>
      </c>
      <c r="AD103" s="17">
        <f t="shared" si="20"/>
        <v>0</v>
      </c>
      <c r="AE103">
        <f>'Entrada datos'!AH13</f>
        <v>0</v>
      </c>
      <c r="AF103">
        <f>'Entrada datos'!AI13</f>
        <v>0</v>
      </c>
      <c r="AG103">
        <f>'Entrada datos'!AJ13</f>
        <v>0</v>
      </c>
      <c r="AH103">
        <f>'Entrada datos'!AK13</f>
        <v>0</v>
      </c>
      <c r="AI103">
        <f>'Entrada datos'!AL13</f>
        <v>0</v>
      </c>
      <c r="AJ103">
        <f>'Entrada datos'!AM13</f>
        <v>0</v>
      </c>
      <c r="AK103" s="17">
        <f t="shared" si="21"/>
        <v>0</v>
      </c>
      <c r="AL103">
        <f>'Entrada datos'!AN13</f>
        <v>0</v>
      </c>
      <c r="AM103">
        <f>'Entrada datos'!AO13</f>
        <v>0</v>
      </c>
      <c r="AN103">
        <f>'Entrada datos'!AP13</f>
        <v>0</v>
      </c>
      <c r="AO103">
        <f>'Entrada datos'!AQ13</f>
        <v>0</v>
      </c>
      <c r="AP103">
        <f>'Entrada datos'!AR13</f>
        <v>0</v>
      </c>
      <c r="AQ103">
        <f>'Entrada datos'!AS13</f>
        <v>0</v>
      </c>
      <c r="AR103" s="17">
        <f t="shared" si="22"/>
        <v>0</v>
      </c>
      <c r="AS103" s="23">
        <f t="shared" si="23"/>
        <v>0</v>
      </c>
      <c r="AT103">
        <f t="shared" si="24"/>
        <v>1900</v>
      </c>
      <c r="AU103" s="40" t="str">
        <f t="shared" si="25"/>
        <v>enero</v>
      </c>
      <c r="AV103">
        <f t="shared" si="26"/>
        <v>0</v>
      </c>
      <c r="AW103">
        <f t="shared" si="27"/>
        <v>0</v>
      </c>
      <c r="AX103" s="24">
        <f t="shared" si="28"/>
        <v>0</v>
      </c>
      <c r="AY103" s="24">
        <f t="shared" si="29"/>
        <v>0</v>
      </c>
      <c r="AZ103" s="24">
        <f t="shared" si="30"/>
        <v>0</v>
      </c>
      <c r="BA103">
        <f t="shared" si="31"/>
        <v>0</v>
      </c>
      <c r="BB103">
        <f t="shared" si="32"/>
        <v>0</v>
      </c>
      <c r="BC103" s="24">
        <f t="shared" si="33"/>
        <v>0</v>
      </c>
      <c r="BD103">
        <f t="shared" si="34"/>
        <v>0</v>
      </c>
    </row>
    <row r="104" spans="1:56" x14ac:dyDescent="0.3">
      <c r="A104">
        <f>'Entrada datos'!A14</f>
        <v>0</v>
      </c>
      <c r="B104">
        <f>'Entrada datos'!B14</f>
        <v>0</v>
      </c>
      <c r="C104">
        <f>'Entrada datos'!C14</f>
        <v>0</v>
      </c>
      <c r="D104">
        <f>'Entrada datos'!D14</f>
        <v>0</v>
      </c>
      <c r="E104" s="18">
        <f>'Entrada datos'!G14</f>
        <v>0</v>
      </c>
      <c r="F104" s="18">
        <f>'Entrada datos'!H14</f>
        <v>0</v>
      </c>
      <c r="G104">
        <f>'Entrada datos'!J14</f>
        <v>0</v>
      </c>
      <c r="H104">
        <f>'Entrada datos'!L14</f>
        <v>0</v>
      </c>
      <c r="I104">
        <f>'Entrada datos'!O14</f>
        <v>0</v>
      </c>
      <c r="J104">
        <f>'Entrada datos'!P14</f>
        <v>0</v>
      </c>
      <c r="K104">
        <f>'Entrada datos'!Q14</f>
        <v>0</v>
      </c>
      <c r="L104">
        <f>'Entrada datos'!R14</f>
        <v>0</v>
      </c>
      <c r="M104">
        <f>'Entrada datos'!S14</f>
        <v>0</v>
      </c>
      <c r="N104">
        <f>'Entrada datos'!T14</f>
        <v>0</v>
      </c>
      <c r="O104">
        <f>'Entrada datos'!U14</f>
        <v>0</v>
      </c>
      <c r="P104" s="17">
        <f t="shared" si="18"/>
        <v>0</v>
      </c>
      <c r="Q104">
        <f>'Entrada datos'!V14</f>
        <v>0</v>
      </c>
      <c r="R104">
        <f>'Entrada datos'!W14</f>
        <v>0</v>
      </c>
      <c r="S104">
        <f>'Entrada datos'!X14</f>
        <v>0</v>
      </c>
      <c r="T104">
        <f>'Entrada datos'!Y14</f>
        <v>0</v>
      </c>
      <c r="U104">
        <f>'Entrada datos'!Z14</f>
        <v>0</v>
      </c>
      <c r="V104">
        <f>'Entrada datos'!AA14</f>
        <v>0</v>
      </c>
      <c r="W104" s="17">
        <f t="shared" si="19"/>
        <v>0</v>
      </c>
      <c r="X104">
        <f>'Entrada datos'!AB14</f>
        <v>0</v>
      </c>
      <c r="Y104">
        <f>'Entrada datos'!AC14</f>
        <v>0</v>
      </c>
      <c r="Z104">
        <f>'Entrada datos'!AD14</f>
        <v>0</v>
      </c>
      <c r="AA104">
        <f>'Entrada datos'!AE14</f>
        <v>0</v>
      </c>
      <c r="AB104">
        <f>'Entrada datos'!AF14</f>
        <v>0</v>
      </c>
      <c r="AC104">
        <f>'Entrada datos'!AG14</f>
        <v>0</v>
      </c>
      <c r="AD104" s="17">
        <f t="shared" si="20"/>
        <v>0</v>
      </c>
      <c r="AE104">
        <f>'Entrada datos'!AH14</f>
        <v>0</v>
      </c>
      <c r="AF104">
        <f>'Entrada datos'!AI14</f>
        <v>0</v>
      </c>
      <c r="AG104">
        <f>'Entrada datos'!AJ14</f>
        <v>0</v>
      </c>
      <c r="AH104">
        <f>'Entrada datos'!AK14</f>
        <v>0</v>
      </c>
      <c r="AI104">
        <f>'Entrada datos'!AL14</f>
        <v>0</v>
      </c>
      <c r="AJ104">
        <f>'Entrada datos'!AM14</f>
        <v>0</v>
      </c>
      <c r="AK104" s="17">
        <f t="shared" si="21"/>
        <v>0</v>
      </c>
      <c r="AL104">
        <f>'Entrada datos'!AN14</f>
        <v>0</v>
      </c>
      <c r="AM104">
        <f>'Entrada datos'!AO14</f>
        <v>0</v>
      </c>
      <c r="AN104">
        <f>'Entrada datos'!AP14</f>
        <v>0</v>
      </c>
      <c r="AO104">
        <f>'Entrada datos'!AQ14</f>
        <v>0</v>
      </c>
      <c r="AP104">
        <f>'Entrada datos'!AR14</f>
        <v>0</v>
      </c>
      <c r="AQ104">
        <f>'Entrada datos'!AS14</f>
        <v>0</v>
      </c>
      <c r="AR104" s="17">
        <f t="shared" si="22"/>
        <v>0</v>
      </c>
      <c r="AS104" s="23">
        <f t="shared" si="23"/>
        <v>0</v>
      </c>
      <c r="AT104">
        <f t="shared" si="24"/>
        <v>1900</v>
      </c>
      <c r="AU104" s="40" t="str">
        <f t="shared" si="25"/>
        <v>enero</v>
      </c>
      <c r="AV104">
        <f t="shared" si="26"/>
        <v>0</v>
      </c>
      <c r="AW104">
        <f t="shared" si="27"/>
        <v>0</v>
      </c>
      <c r="AX104" s="24">
        <f t="shared" si="28"/>
        <v>0</v>
      </c>
      <c r="AY104" s="24">
        <f t="shared" si="29"/>
        <v>0</v>
      </c>
      <c r="AZ104" s="24">
        <f t="shared" si="30"/>
        <v>0</v>
      </c>
      <c r="BA104">
        <f t="shared" si="31"/>
        <v>0</v>
      </c>
      <c r="BB104">
        <f t="shared" si="32"/>
        <v>0</v>
      </c>
      <c r="BC104" s="24">
        <f t="shared" si="33"/>
        <v>0</v>
      </c>
      <c r="BD104">
        <f t="shared" si="34"/>
        <v>0</v>
      </c>
    </row>
    <row r="105" spans="1:56" x14ac:dyDescent="0.3">
      <c r="A105">
        <f>'Entrada datos'!A15</f>
        <v>0</v>
      </c>
      <c r="B105">
        <f>'Entrada datos'!B15</f>
        <v>0</v>
      </c>
      <c r="C105">
        <f>'Entrada datos'!C15</f>
        <v>0</v>
      </c>
      <c r="D105">
        <f>'Entrada datos'!D15</f>
        <v>0</v>
      </c>
      <c r="E105" s="18">
        <f>'Entrada datos'!G15</f>
        <v>0</v>
      </c>
      <c r="F105" s="18">
        <f>'Entrada datos'!H15</f>
        <v>0</v>
      </c>
      <c r="G105">
        <f>'Entrada datos'!J15</f>
        <v>0</v>
      </c>
      <c r="H105">
        <f>'Entrada datos'!L15</f>
        <v>0</v>
      </c>
      <c r="I105">
        <f>'Entrada datos'!O15</f>
        <v>0</v>
      </c>
      <c r="J105">
        <f>'Entrada datos'!P15</f>
        <v>0</v>
      </c>
      <c r="K105">
        <f>'Entrada datos'!Q15</f>
        <v>0</v>
      </c>
      <c r="L105">
        <f>'Entrada datos'!R15</f>
        <v>0</v>
      </c>
      <c r="M105">
        <f>'Entrada datos'!S15</f>
        <v>0</v>
      </c>
      <c r="N105">
        <f>'Entrada datos'!T15</f>
        <v>0</v>
      </c>
      <c r="O105">
        <f>'Entrada datos'!U15</f>
        <v>0</v>
      </c>
      <c r="P105" s="17">
        <f t="shared" si="18"/>
        <v>0</v>
      </c>
      <c r="Q105">
        <f>'Entrada datos'!V15</f>
        <v>0</v>
      </c>
      <c r="R105">
        <f>'Entrada datos'!W15</f>
        <v>0</v>
      </c>
      <c r="S105">
        <f>'Entrada datos'!X15</f>
        <v>0</v>
      </c>
      <c r="T105">
        <f>'Entrada datos'!Y15</f>
        <v>0</v>
      </c>
      <c r="U105">
        <f>'Entrada datos'!Z15</f>
        <v>0</v>
      </c>
      <c r="V105">
        <f>'Entrada datos'!AA15</f>
        <v>0</v>
      </c>
      <c r="W105" s="17">
        <f t="shared" si="19"/>
        <v>0</v>
      </c>
      <c r="X105">
        <f>'Entrada datos'!AB15</f>
        <v>0</v>
      </c>
      <c r="Y105">
        <f>'Entrada datos'!AC15</f>
        <v>0</v>
      </c>
      <c r="Z105">
        <f>'Entrada datos'!AD15</f>
        <v>0</v>
      </c>
      <c r="AA105">
        <f>'Entrada datos'!AE15</f>
        <v>0</v>
      </c>
      <c r="AB105">
        <f>'Entrada datos'!AF15</f>
        <v>0</v>
      </c>
      <c r="AC105">
        <f>'Entrada datos'!AG15</f>
        <v>0</v>
      </c>
      <c r="AD105" s="17">
        <f t="shared" si="20"/>
        <v>0</v>
      </c>
      <c r="AE105">
        <f>'Entrada datos'!AH15</f>
        <v>0</v>
      </c>
      <c r="AF105">
        <f>'Entrada datos'!AI15</f>
        <v>0</v>
      </c>
      <c r="AG105">
        <f>'Entrada datos'!AJ15</f>
        <v>0</v>
      </c>
      <c r="AH105">
        <f>'Entrada datos'!AK15</f>
        <v>0</v>
      </c>
      <c r="AI105">
        <f>'Entrada datos'!AL15</f>
        <v>0</v>
      </c>
      <c r="AJ105">
        <f>'Entrada datos'!AM15</f>
        <v>0</v>
      </c>
      <c r="AK105" s="17">
        <f t="shared" si="21"/>
        <v>0</v>
      </c>
      <c r="AL105">
        <f>'Entrada datos'!AN15</f>
        <v>0</v>
      </c>
      <c r="AM105">
        <f>'Entrada datos'!AO15</f>
        <v>0</v>
      </c>
      <c r="AN105">
        <f>'Entrada datos'!AP15</f>
        <v>0</v>
      </c>
      <c r="AO105">
        <f>'Entrada datos'!AQ15</f>
        <v>0</v>
      </c>
      <c r="AP105">
        <f>'Entrada datos'!AR15</f>
        <v>0</v>
      </c>
      <c r="AQ105">
        <f>'Entrada datos'!AS15</f>
        <v>0</v>
      </c>
      <c r="AR105" s="17">
        <f t="shared" si="22"/>
        <v>0</v>
      </c>
      <c r="AS105" s="23">
        <f t="shared" si="23"/>
        <v>0</v>
      </c>
      <c r="AT105">
        <f t="shared" si="24"/>
        <v>1900</v>
      </c>
      <c r="AU105" s="40" t="str">
        <f t="shared" si="25"/>
        <v>enero</v>
      </c>
      <c r="AV105">
        <f t="shared" si="26"/>
        <v>0</v>
      </c>
      <c r="AW105">
        <f t="shared" si="27"/>
        <v>0</v>
      </c>
      <c r="AX105" s="24">
        <f t="shared" si="28"/>
        <v>0</v>
      </c>
      <c r="AY105" s="24">
        <f t="shared" si="29"/>
        <v>0</v>
      </c>
      <c r="AZ105" s="24">
        <f t="shared" si="30"/>
        <v>0</v>
      </c>
      <c r="BA105">
        <f t="shared" si="31"/>
        <v>0</v>
      </c>
      <c r="BB105">
        <f t="shared" si="32"/>
        <v>0</v>
      </c>
      <c r="BC105" s="24">
        <f t="shared" si="33"/>
        <v>0</v>
      </c>
      <c r="BD105">
        <f t="shared" si="34"/>
        <v>0</v>
      </c>
    </row>
    <row r="106" spans="1:56" x14ac:dyDescent="0.3">
      <c r="A106">
        <f>'Entrada datos'!A16</f>
        <v>0</v>
      </c>
      <c r="B106">
        <f>'Entrada datos'!B16</f>
        <v>0</v>
      </c>
      <c r="C106">
        <f>'Entrada datos'!C16</f>
        <v>0</v>
      </c>
      <c r="D106">
        <f>'Entrada datos'!D16</f>
        <v>0</v>
      </c>
      <c r="E106" s="18">
        <f>'Entrada datos'!G16</f>
        <v>0</v>
      </c>
      <c r="F106" s="18">
        <f>'Entrada datos'!H16</f>
        <v>0</v>
      </c>
      <c r="G106">
        <f>'Entrada datos'!J16</f>
        <v>0</v>
      </c>
      <c r="H106">
        <f>'Entrada datos'!L16</f>
        <v>0</v>
      </c>
      <c r="I106">
        <f>'Entrada datos'!O16</f>
        <v>0</v>
      </c>
      <c r="J106">
        <f>'Entrada datos'!P16</f>
        <v>0</v>
      </c>
      <c r="K106">
        <f>'Entrada datos'!Q16</f>
        <v>0</v>
      </c>
      <c r="L106">
        <f>'Entrada datos'!R16</f>
        <v>0</v>
      </c>
      <c r="M106">
        <f>'Entrada datos'!S16</f>
        <v>0</v>
      </c>
      <c r="N106">
        <f>'Entrada datos'!T16</f>
        <v>0</v>
      </c>
      <c r="O106">
        <f>'Entrada datos'!U16</f>
        <v>0</v>
      </c>
      <c r="P106" s="17">
        <f t="shared" si="18"/>
        <v>0</v>
      </c>
      <c r="Q106">
        <f>'Entrada datos'!V16</f>
        <v>0</v>
      </c>
      <c r="R106">
        <f>'Entrada datos'!W16</f>
        <v>0</v>
      </c>
      <c r="S106">
        <f>'Entrada datos'!X16</f>
        <v>0</v>
      </c>
      <c r="T106">
        <f>'Entrada datos'!Y16</f>
        <v>0</v>
      </c>
      <c r="U106">
        <f>'Entrada datos'!Z16</f>
        <v>0</v>
      </c>
      <c r="V106">
        <f>'Entrada datos'!AA16</f>
        <v>0</v>
      </c>
      <c r="W106" s="17">
        <f t="shared" si="19"/>
        <v>0</v>
      </c>
      <c r="X106">
        <f>'Entrada datos'!AB16</f>
        <v>0</v>
      </c>
      <c r="Y106">
        <f>'Entrada datos'!AC16</f>
        <v>0</v>
      </c>
      <c r="Z106">
        <f>'Entrada datos'!AD16</f>
        <v>0</v>
      </c>
      <c r="AA106">
        <f>'Entrada datos'!AE16</f>
        <v>0</v>
      </c>
      <c r="AB106">
        <f>'Entrada datos'!AF16</f>
        <v>0</v>
      </c>
      <c r="AC106">
        <f>'Entrada datos'!AG16</f>
        <v>0</v>
      </c>
      <c r="AD106" s="17">
        <f t="shared" si="20"/>
        <v>0</v>
      </c>
      <c r="AE106">
        <f>'Entrada datos'!AH16</f>
        <v>0</v>
      </c>
      <c r="AF106">
        <f>'Entrada datos'!AI16</f>
        <v>0</v>
      </c>
      <c r="AG106">
        <f>'Entrada datos'!AJ16</f>
        <v>0</v>
      </c>
      <c r="AH106">
        <f>'Entrada datos'!AK16</f>
        <v>0</v>
      </c>
      <c r="AI106">
        <f>'Entrada datos'!AL16</f>
        <v>0</v>
      </c>
      <c r="AJ106">
        <f>'Entrada datos'!AM16</f>
        <v>0</v>
      </c>
      <c r="AK106" s="17">
        <f t="shared" si="21"/>
        <v>0</v>
      </c>
      <c r="AL106">
        <f>'Entrada datos'!AN16</f>
        <v>0</v>
      </c>
      <c r="AM106">
        <f>'Entrada datos'!AO16</f>
        <v>0</v>
      </c>
      <c r="AN106">
        <f>'Entrada datos'!AP16</f>
        <v>0</v>
      </c>
      <c r="AO106">
        <f>'Entrada datos'!AQ16</f>
        <v>0</v>
      </c>
      <c r="AP106">
        <f>'Entrada datos'!AR16</f>
        <v>0</v>
      </c>
      <c r="AQ106">
        <f>'Entrada datos'!AS16</f>
        <v>0</v>
      </c>
      <c r="AR106" s="17">
        <f t="shared" si="22"/>
        <v>0</v>
      </c>
      <c r="AS106" s="23">
        <f t="shared" si="23"/>
        <v>0</v>
      </c>
      <c r="AT106">
        <f t="shared" si="24"/>
        <v>1900</v>
      </c>
      <c r="AU106" s="40" t="str">
        <f t="shared" si="25"/>
        <v>enero</v>
      </c>
      <c r="AV106">
        <f t="shared" si="26"/>
        <v>0</v>
      </c>
      <c r="AW106">
        <f t="shared" si="27"/>
        <v>0</v>
      </c>
      <c r="AX106" s="24">
        <f t="shared" si="28"/>
        <v>0</v>
      </c>
      <c r="AY106" s="24">
        <f t="shared" si="29"/>
        <v>0</v>
      </c>
      <c r="AZ106" s="24">
        <f t="shared" si="30"/>
        <v>0</v>
      </c>
      <c r="BA106">
        <f t="shared" si="31"/>
        <v>0</v>
      </c>
      <c r="BB106">
        <f t="shared" si="32"/>
        <v>0</v>
      </c>
      <c r="BC106" s="24">
        <f t="shared" si="33"/>
        <v>0</v>
      </c>
      <c r="BD106">
        <f t="shared" si="34"/>
        <v>0</v>
      </c>
    </row>
    <row r="107" spans="1:56" x14ac:dyDescent="0.3">
      <c r="A107">
        <f>'Entrada datos'!A17</f>
        <v>0</v>
      </c>
      <c r="B107">
        <f>'Entrada datos'!B17</f>
        <v>0</v>
      </c>
      <c r="C107">
        <f>'Entrada datos'!C17</f>
        <v>0</v>
      </c>
      <c r="D107">
        <f>'Entrada datos'!D17</f>
        <v>0</v>
      </c>
      <c r="E107" s="18">
        <f>'Entrada datos'!G17</f>
        <v>0</v>
      </c>
      <c r="F107" s="18">
        <f>'Entrada datos'!H17</f>
        <v>0</v>
      </c>
      <c r="G107">
        <f>'Entrada datos'!J17</f>
        <v>0</v>
      </c>
      <c r="H107">
        <f>'Entrada datos'!L17</f>
        <v>0</v>
      </c>
      <c r="I107">
        <f>'Entrada datos'!O17</f>
        <v>0</v>
      </c>
      <c r="J107">
        <f>'Entrada datos'!P17</f>
        <v>0</v>
      </c>
      <c r="K107">
        <f>'Entrada datos'!Q17</f>
        <v>0</v>
      </c>
      <c r="L107">
        <f>'Entrada datos'!R17</f>
        <v>0</v>
      </c>
      <c r="M107">
        <f>'Entrada datos'!S17</f>
        <v>0</v>
      </c>
      <c r="N107">
        <f>'Entrada datos'!T17</f>
        <v>0</v>
      </c>
      <c r="O107">
        <f>'Entrada datos'!U17</f>
        <v>0</v>
      </c>
      <c r="P107" s="17">
        <f t="shared" si="18"/>
        <v>0</v>
      </c>
      <c r="Q107">
        <f>'Entrada datos'!V17</f>
        <v>0</v>
      </c>
      <c r="R107">
        <f>'Entrada datos'!W17</f>
        <v>0</v>
      </c>
      <c r="S107">
        <f>'Entrada datos'!X17</f>
        <v>0</v>
      </c>
      <c r="T107">
        <f>'Entrada datos'!Y17</f>
        <v>0</v>
      </c>
      <c r="U107">
        <f>'Entrada datos'!Z17</f>
        <v>0</v>
      </c>
      <c r="V107">
        <f>'Entrada datos'!AA17</f>
        <v>0</v>
      </c>
      <c r="W107" s="17">
        <f t="shared" si="19"/>
        <v>0</v>
      </c>
      <c r="X107">
        <f>'Entrada datos'!AB17</f>
        <v>0</v>
      </c>
      <c r="Y107">
        <f>'Entrada datos'!AC17</f>
        <v>0</v>
      </c>
      <c r="Z107">
        <f>'Entrada datos'!AD17</f>
        <v>0</v>
      </c>
      <c r="AA107">
        <f>'Entrada datos'!AE17</f>
        <v>0</v>
      </c>
      <c r="AB107">
        <f>'Entrada datos'!AF17</f>
        <v>0</v>
      </c>
      <c r="AC107">
        <f>'Entrada datos'!AG17</f>
        <v>0</v>
      </c>
      <c r="AD107" s="17">
        <f t="shared" si="20"/>
        <v>0</v>
      </c>
      <c r="AE107">
        <f>'Entrada datos'!AH17</f>
        <v>0</v>
      </c>
      <c r="AF107">
        <f>'Entrada datos'!AI17</f>
        <v>0</v>
      </c>
      <c r="AG107">
        <f>'Entrada datos'!AJ17</f>
        <v>0</v>
      </c>
      <c r="AH107">
        <f>'Entrada datos'!AK17</f>
        <v>0</v>
      </c>
      <c r="AI107">
        <f>'Entrada datos'!AL17</f>
        <v>0</v>
      </c>
      <c r="AJ107">
        <f>'Entrada datos'!AM17</f>
        <v>0</v>
      </c>
      <c r="AK107" s="17">
        <f t="shared" si="21"/>
        <v>0</v>
      </c>
      <c r="AL107">
        <f>'Entrada datos'!AN17</f>
        <v>0</v>
      </c>
      <c r="AM107">
        <f>'Entrada datos'!AO17</f>
        <v>0</v>
      </c>
      <c r="AN107">
        <f>'Entrada datos'!AP17</f>
        <v>0</v>
      </c>
      <c r="AO107">
        <f>'Entrada datos'!AQ17</f>
        <v>0</v>
      </c>
      <c r="AP107">
        <f>'Entrada datos'!AR17</f>
        <v>0</v>
      </c>
      <c r="AQ107">
        <f>'Entrada datos'!AS17</f>
        <v>0</v>
      </c>
      <c r="AR107" s="17">
        <f t="shared" si="22"/>
        <v>0</v>
      </c>
      <c r="AS107" s="23">
        <f t="shared" si="23"/>
        <v>0</v>
      </c>
      <c r="AT107">
        <f t="shared" si="24"/>
        <v>1900</v>
      </c>
      <c r="AU107" s="40" t="str">
        <f t="shared" si="25"/>
        <v>enero</v>
      </c>
      <c r="AV107">
        <f t="shared" si="26"/>
        <v>0</v>
      </c>
      <c r="AW107">
        <f t="shared" si="27"/>
        <v>0</v>
      </c>
      <c r="AX107" s="24">
        <f t="shared" si="28"/>
        <v>0</v>
      </c>
      <c r="AY107" s="24">
        <f t="shared" si="29"/>
        <v>0</v>
      </c>
      <c r="AZ107" s="24">
        <f t="shared" si="30"/>
        <v>0</v>
      </c>
      <c r="BA107">
        <f t="shared" si="31"/>
        <v>0</v>
      </c>
      <c r="BB107">
        <f t="shared" si="32"/>
        <v>0</v>
      </c>
      <c r="BC107" s="24">
        <f t="shared" si="33"/>
        <v>0</v>
      </c>
      <c r="BD107">
        <f t="shared" si="34"/>
        <v>0</v>
      </c>
    </row>
    <row r="108" spans="1:56" x14ac:dyDescent="0.3">
      <c r="A108">
        <f>'Entrada datos'!A18</f>
        <v>0</v>
      </c>
      <c r="B108">
        <f>'Entrada datos'!B18</f>
        <v>0</v>
      </c>
      <c r="C108">
        <f>'Entrada datos'!C18</f>
        <v>0</v>
      </c>
      <c r="D108">
        <f>'Entrada datos'!D18</f>
        <v>0</v>
      </c>
      <c r="E108" s="18">
        <f>'Entrada datos'!G18</f>
        <v>0</v>
      </c>
      <c r="F108" s="18">
        <f>'Entrada datos'!H18</f>
        <v>0</v>
      </c>
      <c r="G108">
        <f>'Entrada datos'!J18</f>
        <v>0</v>
      </c>
      <c r="H108">
        <f>'Entrada datos'!L18</f>
        <v>0</v>
      </c>
      <c r="I108">
        <f>'Entrada datos'!O18</f>
        <v>0</v>
      </c>
      <c r="J108">
        <f>'Entrada datos'!P18</f>
        <v>0</v>
      </c>
      <c r="K108">
        <f>'Entrada datos'!Q18</f>
        <v>0</v>
      </c>
      <c r="L108">
        <f>'Entrada datos'!R18</f>
        <v>0</v>
      </c>
      <c r="M108">
        <f>'Entrada datos'!S18</f>
        <v>0</v>
      </c>
      <c r="N108">
        <f>'Entrada datos'!T18</f>
        <v>0</v>
      </c>
      <c r="O108">
        <f>'Entrada datos'!U18</f>
        <v>0</v>
      </c>
      <c r="P108" s="17">
        <f t="shared" si="18"/>
        <v>0</v>
      </c>
      <c r="Q108">
        <f>'Entrada datos'!V18</f>
        <v>0</v>
      </c>
      <c r="R108">
        <f>'Entrada datos'!W18</f>
        <v>0</v>
      </c>
      <c r="S108">
        <f>'Entrada datos'!X18</f>
        <v>0</v>
      </c>
      <c r="T108">
        <f>'Entrada datos'!Y18</f>
        <v>0</v>
      </c>
      <c r="U108">
        <f>'Entrada datos'!Z18</f>
        <v>0</v>
      </c>
      <c r="V108">
        <f>'Entrada datos'!AA18</f>
        <v>0</v>
      </c>
      <c r="W108" s="17">
        <f t="shared" si="19"/>
        <v>0</v>
      </c>
      <c r="X108">
        <f>'Entrada datos'!AB18</f>
        <v>0</v>
      </c>
      <c r="Y108">
        <f>'Entrada datos'!AC18</f>
        <v>0</v>
      </c>
      <c r="Z108">
        <f>'Entrada datos'!AD18</f>
        <v>0</v>
      </c>
      <c r="AA108">
        <f>'Entrada datos'!AE18</f>
        <v>0</v>
      </c>
      <c r="AB108">
        <f>'Entrada datos'!AF18</f>
        <v>0</v>
      </c>
      <c r="AC108">
        <f>'Entrada datos'!AG18</f>
        <v>0</v>
      </c>
      <c r="AD108" s="17">
        <f t="shared" si="20"/>
        <v>0</v>
      </c>
      <c r="AE108">
        <f>'Entrada datos'!AH18</f>
        <v>0</v>
      </c>
      <c r="AF108">
        <f>'Entrada datos'!AI18</f>
        <v>0</v>
      </c>
      <c r="AG108">
        <f>'Entrada datos'!AJ18</f>
        <v>0</v>
      </c>
      <c r="AH108">
        <f>'Entrada datos'!AK18</f>
        <v>0</v>
      </c>
      <c r="AI108">
        <f>'Entrada datos'!AL18</f>
        <v>0</v>
      </c>
      <c r="AJ108">
        <f>'Entrada datos'!AM18</f>
        <v>0</v>
      </c>
      <c r="AK108" s="17">
        <f t="shared" si="21"/>
        <v>0</v>
      </c>
      <c r="AL108">
        <f>'Entrada datos'!AN18</f>
        <v>0</v>
      </c>
      <c r="AM108">
        <f>'Entrada datos'!AO18</f>
        <v>0</v>
      </c>
      <c r="AN108">
        <f>'Entrada datos'!AP18</f>
        <v>0</v>
      </c>
      <c r="AO108">
        <f>'Entrada datos'!AQ18</f>
        <v>0</v>
      </c>
      <c r="AP108">
        <f>'Entrada datos'!AR18</f>
        <v>0</v>
      </c>
      <c r="AQ108">
        <f>'Entrada datos'!AS18</f>
        <v>0</v>
      </c>
      <c r="AR108" s="17">
        <f t="shared" si="22"/>
        <v>0</v>
      </c>
      <c r="AS108" s="23">
        <f t="shared" si="23"/>
        <v>0</v>
      </c>
      <c r="AT108">
        <f t="shared" si="24"/>
        <v>1900</v>
      </c>
      <c r="AU108" s="40" t="str">
        <f t="shared" si="25"/>
        <v>enero</v>
      </c>
      <c r="AV108">
        <f t="shared" si="26"/>
        <v>0</v>
      </c>
      <c r="AW108">
        <f t="shared" si="27"/>
        <v>0</v>
      </c>
      <c r="AX108" s="24">
        <f t="shared" si="28"/>
        <v>0</v>
      </c>
      <c r="AY108" s="24">
        <f t="shared" si="29"/>
        <v>0</v>
      </c>
      <c r="AZ108" s="24">
        <f t="shared" si="30"/>
        <v>0</v>
      </c>
      <c r="BA108">
        <f t="shared" si="31"/>
        <v>0</v>
      </c>
      <c r="BB108">
        <f t="shared" si="32"/>
        <v>0</v>
      </c>
      <c r="BC108" s="24">
        <f t="shared" si="33"/>
        <v>0</v>
      </c>
      <c r="BD108">
        <f t="shared" si="34"/>
        <v>0</v>
      </c>
    </row>
    <row r="109" spans="1:56" x14ac:dyDescent="0.3">
      <c r="A109">
        <f>'Entrada datos'!A19</f>
        <v>0</v>
      </c>
      <c r="B109">
        <f>'Entrada datos'!B19</f>
        <v>0</v>
      </c>
      <c r="C109">
        <f>'Entrada datos'!C19</f>
        <v>0</v>
      </c>
      <c r="D109">
        <f>'Entrada datos'!D19</f>
        <v>0</v>
      </c>
      <c r="E109" s="18">
        <f>'Entrada datos'!G19</f>
        <v>0</v>
      </c>
      <c r="F109" s="18">
        <f>'Entrada datos'!H19</f>
        <v>0</v>
      </c>
      <c r="G109">
        <f>'Entrada datos'!J19</f>
        <v>0</v>
      </c>
      <c r="H109">
        <f>'Entrada datos'!L19</f>
        <v>0</v>
      </c>
      <c r="I109">
        <f>'Entrada datos'!O19</f>
        <v>0</v>
      </c>
      <c r="J109">
        <f>'Entrada datos'!P19</f>
        <v>0</v>
      </c>
      <c r="K109">
        <f>'Entrada datos'!Q19</f>
        <v>0</v>
      </c>
      <c r="L109">
        <f>'Entrada datos'!R19</f>
        <v>0</v>
      </c>
      <c r="M109">
        <f>'Entrada datos'!S19</f>
        <v>0</v>
      </c>
      <c r="N109">
        <f>'Entrada datos'!T19</f>
        <v>0</v>
      </c>
      <c r="O109">
        <f>'Entrada datos'!U19</f>
        <v>0</v>
      </c>
      <c r="P109" s="17">
        <f t="shared" si="18"/>
        <v>0</v>
      </c>
      <c r="Q109">
        <f>'Entrada datos'!V19</f>
        <v>0</v>
      </c>
      <c r="R109">
        <f>'Entrada datos'!W19</f>
        <v>0</v>
      </c>
      <c r="S109">
        <f>'Entrada datos'!X19</f>
        <v>0</v>
      </c>
      <c r="T109">
        <f>'Entrada datos'!Y19</f>
        <v>0</v>
      </c>
      <c r="U109">
        <f>'Entrada datos'!Z19</f>
        <v>0</v>
      </c>
      <c r="V109">
        <f>'Entrada datos'!AA19</f>
        <v>0</v>
      </c>
      <c r="W109" s="17">
        <f t="shared" si="19"/>
        <v>0</v>
      </c>
      <c r="X109">
        <f>'Entrada datos'!AB19</f>
        <v>0</v>
      </c>
      <c r="Y109">
        <f>'Entrada datos'!AC19</f>
        <v>0</v>
      </c>
      <c r="Z109">
        <f>'Entrada datos'!AD19</f>
        <v>0</v>
      </c>
      <c r="AA109">
        <f>'Entrada datos'!AE19</f>
        <v>0</v>
      </c>
      <c r="AB109">
        <f>'Entrada datos'!AF19</f>
        <v>0</v>
      </c>
      <c r="AC109">
        <f>'Entrada datos'!AG19</f>
        <v>0</v>
      </c>
      <c r="AD109" s="17">
        <f t="shared" si="20"/>
        <v>0</v>
      </c>
      <c r="AE109">
        <f>'Entrada datos'!AH19</f>
        <v>0</v>
      </c>
      <c r="AF109">
        <f>'Entrada datos'!AI19</f>
        <v>0</v>
      </c>
      <c r="AG109">
        <f>'Entrada datos'!AJ19</f>
        <v>0</v>
      </c>
      <c r="AH109">
        <f>'Entrada datos'!AK19</f>
        <v>0</v>
      </c>
      <c r="AI109">
        <f>'Entrada datos'!AL19</f>
        <v>0</v>
      </c>
      <c r="AJ109">
        <f>'Entrada datos'!AM19</f>
        <v>0</v>
      </c>
      <c r="AK109" s="17">
        <f t="shared" si="21"/>
        <v>0</v>
      </c>
      <c r="AL109">
        <f>'Entrada datos'!AN19</f>
        <v>0</v>
      </c>
      <c r="AM109">
        <f>'Entrada datos'!AO19</f>
        <v>0</v>
      </c>
      <c r="AN109">
        <f>'Entrada datos'!AP19</f>
        <v>0</v>
      </c>
      <c r="AO109">
        <f>'Entrada datos'!AQ19</f>
        <v>0</v>
      </c>
      <c r="AP109">
        <f>'Entrada datos'!AR19</f>
        <v>0</v>
      </c>
      <c r="AQ109">
        <f>'Entrada datos'!AS19</f>
        <v>0</v>
      </c>
      <c r="AR109" s="17">
        <f t="shared" si="22"/>
        <v>0</v>
      </c>
      <c r="AS109" s="23">
        <f t="shared" si="23"/>
        <v>0</v>
      </c>
      <c r="AT109">
        <f t="shared" si="24"/>
        <v>1900</v>
      </c>
      <c r="AU109" s="40" t="str">
        <f t="shared" si="25"/>
        <v>enero</v>
      </c>
      <c r="AV109">
        <f t="shared" si="26"/>
        <v>0</v>
      </c>
      <c r="AW109">
        <f t="shared" si="27"/>
        <v>0</v>
      </c>
      <c r="AX109" s="24">
        <f t="shared" si="28"/>
        <v>0</v>
      </c>
      <c r="AY109" s="24">
        <f t="shared" si="29"/>
        <v>0</v>
      </c>
      <c r="AZ109" s="24">
        <f t="shared" si="30"/>
        <v>0</v>
      </c>
      <c r="BA109">
        <f t="shared" si="31"/>
        <v>0</v>
      </c>
      <c r="BB109">
        <f t="shared" si="32"/>
        <v>0</v>
      </c>
      <c r="BC109" s="24">
        <f t="shared" si="33"/>
        <v>0</v>
      </c>
      <c r="BD109">
        <f t="shared" si="34"/>
        <v>0</v>
      </c>
    </row>
    <row r="110" spans="1:56" x14ac:dyDescent="0.3">
      <c r="A110">
        <f>'Entrada datos'!A20</f>
        <v>0</v>
      </c>
      <c r="B110">
        <f>'Entrada datos'!B20</f>
        <v>0</v>
      </c>
      <c r="C110">
        <f>'Entrada datos'!C20</f>
        <v>0</v>
      </c>
      <c r="D110">
        <f>'Entrada datos'!D20</f>
        <v>0</v>
      </c>
      <c r="E110" s="18">
        <f>'Entrada datos'!G20</f>
        <v>0</v>
      </c>
      <c r="F110" s="18">
        <f>'Entrada datos'!H20</f>
        <v>0</v>
      </c>
      <c r="G110">
        <f>'Entrada datos'!J20</f>
        <v>0</v>
      </c>
      <c r="H110">
        <f>'Entrada datos'!L20</f>
        <v>0</v>
      </c>
      <c r="I110">
        <f>'Entrada datos'!O20</f>
        <v>0</v>
      </c>
      <c r="J110">
        <f>'Entrada datos'!P20</f>
        <v>0</v>
      </c>
      <c r="K110">
        <f>'Entrada datos'!Q20</f>
        <v>0</v>
      </c>
      <c r="L110">
        <f>'Entrada datos'!R20</f>
        <v>0</v>
      </c>
      <c r="M110">
        <f>'Entrada datos'!S20</f>
        <v>0</v>
      </c>
      <c r="N110">
        <f>'Entrada datos'!T20</f>
        <v>0</v>
      </c>
      <c r="O110">
        <f>'Entrada datos'!U20</f>
        <v>0</v>
      </c>
      <c r="P110" s="17">
        <f t="shared" si="18"/>
        <v>0</v>
      </c>
      <c r="Q110">
        <f>'Entrada datos'!V20</f>
        <v>0</v>
      </c>
      <c r="R110">
        <f>'Entrada datos'!W20</f>
        <v>0</v>
      </c>
      <c r="S110">
        <f>'Entrada datos'!X20</f>
        <v>0</v>
      </c>
      <c r="T110">
        <f>'Entrada datos'!Y20</f>
        <v>0</v>
      </c>
      <c r="U110">
        <f>'Entrada datos'!Z20</f>
        <v>0</v>
      </c>
      <c r="V110">
        <f>'Entrada datos'!AA20</f>
        <v>0</v>
      </c>
      <c r="W110" s="17">
        <f t="shared" si="19"/>
        <v>0</v>
      </c>
      <c r="X110">
        <f>'Entrada datos'!AB20</f>
        <v>0</v>
      </c>
      <c r="Y110">
        <f>'Entrada datos'!AC20</f>
        <v>0</v>
      </c>
      <c r="Z110">
        <f>'Entrada datos'!AD20</f>
        <v>0</v>
      </c>
      <c r="AA110">
        <f>'Entrada datos'!AE20</f>
        <v>0</v>
      </c>
      <c r="AB110">
        <f>'Entrada datos'!AF20</f>
        <v>0</v>
      </c>
      <c r="AC110">
        <f>'Entrada datos'!AG20</f>
        <v>0</v>
      </c>
      <c r="AD110" s="17">
        <f t="shared" si="20"/>
        <v>0</v>
      </c>
      <c r="AE110">
        <f>'Entrada datos'!AH20</f>
        <v>0</v>
      </c>
      <c r="AF110">
        <f>'Entrada datos'!AI20</f>
        <v>0</v>
      </c>
      <c r="AG110">
        <f>'Entrada datos'!AJ20</f>
        <v>0</v>
      </c>
      <c r="AH110">
        <f>'Entrada datos'!AK20</f>
        <v>0</v>
      </c>
      <c r="AI110">
        <f>'Entrada datos'!AL20</f>
        <v>0</v>
      </c>
      <c r="AJ110">
        <f>'Entrada datos'!AM20</f>
        <v>0</v>
      </c>
      <c r="AK110" s="17">
        <f t="shared" si="21"/>
        <v>0</v>
      </c>
      <c r="AL110">
        <f>'Entrada datos'!AN20</f>
        <v>0</v>
      </c>
      <c r="AM110">
        <f>'Entrada datos'!AO20</f>
        <v>0</v>
      </c>
      <c r="AN110">
        <f>'Entrada datos'!AP20</f>
        <v>0</v>
      </c>
      <c r="AO110">
        <f>'Entrada datos'!AQ20</f>
        <v>0</v>
      </c>
      <c r="AP110">
        <f>'Entrada datos'!AR20</f>
        <v>0</v>
      </c>
      <c r="AQ110">
        <f>'Entrada datos'!AS20</f>
        <v>0</v>
      </c>
      <c r="AR110" s="17">
        <f t="shared" si="22"/>
        <v>0</v>
      </c>
      <c r="AS110" s="23">
        <f t="shared" si="23"/>
        <v>0</v>
      </c>
      <c r="AT110">
        <f t="shared" si="24"/>
        <v>1900</v>
      </c>
      <c r="AU110" s="40" t="str">
        <f t="shared" si="25"/>
        <v>enero</v>
      </c>
      <c r="AV110">
        <f t="shared" si="26"/>
        <v>0</v>
      </c>
      <c r="AW110">
        <f t="shared" si="27"/>
        <v>0</v>
      </c>
      <c r="AX110" s="24">
        <f t="shared" si="28"/>
        <v>0</v>
      </c>
      <c r="AY110" s="24">
        <f t="shared" si="29"/>
        <v>0</v>
      </c>
      <c r="AZ110" s="24">
        <f t="shared" si="30"/>
        <v>0</v>
      </c>
      <c r="BA110">
        <f t="shared" si="31"/>
        <v>0</v>
      </c>
      <c r="BB110">
        <f t="shared" si="32"/>
        <v>0</v>
      </c>
      <c r="BC110" s="24">
        <f t="shared" si="33"/>
        <v>0</v>
      </c>
      <c r="BD110">
        <f t="shared" si="34"/>
        <v>0</v>
      </c>
    </row>
    <row r="111" spans="1:56" x14ac:dyDescent="0.3">
      <c r="A111">
        <f>'Entrada datos'!A21</f>
        <v>0</v>
      </c>
      <c r="B111">
        <f>'Entrada datos'!B21</f>
        <v>0</v>
      </c>
      <c r="C111">
        <f>'Entrada datos'!C21</f>
        <v>0</v>
      </c>
      <c r="D111">
        <f>'Entrada datos'!D21</f>
        <v>0</v>
      </c>
      <c r="E111" s="18">
        <f>'Entrada datos'!G21</f>
        <v>0</v>
      </c>
      <c r="F111" s="18">
        <f>'Entrada datos'!H21</f>
        <v>0</v>
      </c>
      <c r="G111">
        <f>'Entrada datos'!J21</f>
        <v>0</v>
      </c>
      <c r="H111">
        <f>'Entrada datos'!L21</f>
        <v>0</v>
      </c>
      <c r="I111">
        <f>'Entrada datos'!O21</f>
        <v>0</v>
      </c>
      <c r="J111">
        <f>'Entrada datos'!P21</f>
        <v>0</v>
      </c>
      <c r="K111">
        <f>'Entrada datos'!Q21</f>
        <v>0</v>
      </c>
      <c r="L111">
        <f>'Entrada datos'!R21</f>
        <v>0</v>
      </c>
      <c r="M111">
        <f>'Entrada datos'!S21</f>
        <v>0</v>
      </c>
      <c r="N111">
        <f>'Entrada datos'!T21</f>
        <v>0</v>
      </c>
      <c r="O111">
        <f>'Entrada datos'!U21</f>
        <v>0</v>
      </c>
      <c r="P111" s="17">
        <f t="shared" si="18"/>
        <v>0</v>
      </c>
      <c r="Q111">
        <f>'Entrada datos'!V21</f>
        <v>0</v>
      </c>
      <c r="R111">
        <f>'Entrada datos'!W21</f>
        <v>0</v>
      </c>
      <c r="S111">
        <f>'Entrada datos'!X21</f>
        <v>0</v>
      </c>
      <c r="T111">
        <f>'Entrada datos'!Y21</f>
        <v>0</v>
      </c>
      <c r="U111">
        <f>'Entrada datos'!Z21</f>
        <v>0</v>
      </c>
      <c r="V111">
        <f>'Entrada datos'!AA21</f>
        <v>0</v>
      </c>
      <c r="W111" s="17">
        <f t="shared" si="19"/>
        <v>0</v>
      </c>
      <c r="X111">
        <f>'Entrada datos'!AB21</f>
        <v>0</v>
      </c>
      <c r="Y111">
        <f>'Entrada datos'!AC21</f>
        <v>0</v>
      </c>
      <c r="Z111">
        <f>'Entrada datos'!AD21</f>
        <v>0</v>
      </c>
      <c r="AA111">
        <f>'Entrada datos'!AE21</f>
        <v>0</v>
      </c>
      <c r="AB111">
        <f>'Entrada datos'!AF21</f>
        <v>0</v>
      </c>
      <c r="AC111">
        <f>'Entrada datos'!AG21</f>
        <v>0</v>
      </c>
      <c r="AD111" s="17">
        <f t="shared" si="20"/>
        <v>0</v>
      </c>
      <c r="AE111">
        <f>'Entrada datos'!AH21</f>
        <v>0</v>
      </c>
      <c r="AF111">
        <f>'Entrada datos'!AI21</f>
        <v>0</v>
      </c>
      <c r="AG111">
        <f>'Entrada datos'!AJ21</f>
        <v>0</v>
      </c>
      <c r="AH111">
        <f>'Entrada datos'!AK21</f>
        <v>0</v>
      </c>
      <c r="AI111">
        <f>'Entrada datos'!AL21</f>
        <v>0</v>
      </c>
      <c r="AJ111">
        <f>'Entrada datos'!AM21</f>
        <v>0</v>
      </c>
      <c r="AK111" s="17">
        <f t="shared" si="21"/>
        <v>0</v>
      </c>
      <c r="AL111">
        <f>'Entrada datos'!AN21</f>
        <v>0</v>
      </c>
      <c r="AM111">
        <f>'Entrada datos'!AO21</f>
        <v>0</v>
      </c>
      <c r="AN111">
        <f>'Entrada datos'!AP21</f>
        <v>0</v>
      </c>
      <c r="AO111">
        <f>'Entrada datos'!AQ21</f>
        <v>0</v>
      </c>
      <c r="AP111">
        <f>'Entrada datos'!AR21</f>
        <v>0</v>
      </c>
      <c r="AQ111">
        <f>'Entrada datos'!AS21</f>
        <v>0</v>
      </c>
      <c r="AR111" s="17">
        <f t="shared" si="22"/>
        <v>0</v>
      </c>
      <c r="AS111" s="23">
        <f t="shared" si="23"/>
        <v>0</v>
      </c>
      <c r="AT111">
        <f t="shared" si="24"/>
        <v>1900</v>
      </c>
      <c r="AU111" s="40" t="str">
        <f t="shared" si="25"/>
        <v>enero</v>
      </c>
      <c r="AV111">
        <f t="shared" si="26"/>
        <v>0</v>
      </c>
      <c r="AW111">
        <f t="shared" si="27"/>
        <v>0</v>
      </c>
      <c r="AX111" s="24">
        <f t="shared" si="28"/>
        <v>0</v>
      </c>
      <c r="AY111" s="24">
        <f t="shared" si="29"/>
        <v>0</v>
      </c>
      <c r="AZ111" s="24">
        <f t="shared" si="30"/>
        <v>0</v>
      </c>
      <c r="BA111">
        <f t="shared" si="31"/>
        <v>0</v>
      </c>
      <c r="BB111">
        <f t="shared" si="32"/>
        <v>0</v>
      </c>
      <c r="BC111" s="24">
        <f t="shared" si="33"/>
        <v>0</v>
      </c>
      <c r="BD111">
        <f t="shared" si="34"/>
        <v>0</v>
      </c>
    </row>
    <row r="112" spans="1:56" x14ac:dyDescent="0.3">
      <c r="A112">
        <f>'Entrada datos'!A22</f>
        <v>0</v>
      </c>
      <c r="B112">
        <f>'Entrada datos'!B22</f>
        <v>0</v>
      </c>
      <c r="C112">
        <f>'Entrada datos'!C22</f>
        <v>0</v>
      </c>
      <c r="D112">
        <f>'Entrada datos'!D22</f>
        <v>0</v>
      </c>
      <c r="E112" s="18">
        <f>'Entrada datos'!G22</f>
        <v>0</v>
      </c>
      <c r="F112" s="18">
        <f>'Entrada datos'!H22</f>
        <v>0</v>
      </c>
      <c r="G112">
        <f>'Entrada datos'!J22</f>
        <v>0</v>
      </c>
      <c r="H112">
        <f>'Entrada datos'!L22</f>
        <v>0</v>
      </c>
      <c r="I112">
        <f>'Entrada datos'!O22</f>
        <v>0</v>
      </c>
      <c r="J112">
        <f>'Entrada datos'!P22</f>
        <v>0</v>
      </c>
      <c r="K112">
        <f>'Entrada datos'!Q22</f>
        <v>0</v>
      </c>
      <c r="L112">
        <f>'Entrada datos'!R22</f>
        <v>0</v>
      </c>
      <c r="M112">
        <f>'Entrada datos'!S22</f>
        <v>0</v>
      </c>
      <c r="N112">
        <f>'Entrada datos'!T22</f>
        <v>0</v>
      </c>
      <c r="O112">
        <f>'Entrada datos'!U22</f>
        <v>0</v>
      </c>
      <c r="P112" s="17">
        <f t="shared" si="18"/>
        <v>0</v>
      </c>
      <c r="Q112">
        <f>'Entrada datos'!V22</f>
        <v>0</v>
      </c>
      <c r="R112">
        <f>'Entrada datos'!W22</f>
        <v>0</v>
      </c>
      <c r="S112">
        <f>'Entrada datos'!X22</f>
        <v>0</v>
      </c>
      <c r="T112">
        <f>'Entrada datos'!Y22</f>
        <v>0</v>
      </c>
      <c r="U112">
        <f>'Entrada datos'!Z22</f>
        <v>0</v>
      </c>
      <c r="V112">
        <f>'Entrada datos'!AA22</f>
        <v>0</v>
      </c>
      <c r="W112" s="17">
        <f t="shared" si="19"/>
        <v>0</v>
      </c>
      <c r="X112">
        <f>'Entrada datos'!AB22</f>
        <v>0</v>
      </c>
      <c r="Y112">
        <f>'Entrada datos'!AC22</f>
        <v>0</v>
      </c>
      <c r="Z112">
        <f>'Entrada datos'!AD22</f>
        <v>0</v>
      </c>
      <c r="AA112">
        <f>'Entrada datos'!AE22</f>
        <v>0</v>
      </c>
      <c r="AB112">
        <f>'Entrada datos'!AF22</f>
        <v>0</v>
      </c>
      <c r="AC112">
        <f>'Entrada datos'!AG22</f>
        <v>0</v>
      </c>
      <c r="AD112" s="17">
        <f t="shared" si="20"/>
        <v>0</v>
      </c>
      <c r="AE112">
        <f>'Entrada datos'!AH22</f>
        <v>0</v>
      </c>
      <c r="AF112">
        <f>'Entrada datos'!AI22</f>
        <v>0</v>
      </c>
      <c r="AG112">
        <f>'Entrada datos'!AJ22</f>
        <v>0</v>
      </c>
      <c r="AH112">
        <f>'Entrada datos'!AK22</f>
        <v>0</v>
      </c>
      <c r="AI112">
        <f>'Entrada datos'!AL22</f>
        <v>0</v>
      </c>
      <c r="AJ112">
        <f>'Entrada datos'!AM22</f>
        <v>0</v>
      </c>
      <c r="AK112" s="17">
        <f t="shared" si="21"/>
        <v>0</v>
      </c>
      <c r="AL112">
        <f>'Entrada datos'!AN22</f>
        <v>0</v>
      </c>
      <c r="AM112">
        <f>'Entrada datos'!AO22</f>
        <v>0</v>
      </c>
      <c r="AN112">
        <f>'Entrada datos'!AP22</f>
        <v>0</v>
      </c>
      <c r="AO112">
        <f>'Entrada datos'!AQ22</f>
        <v>0</v>
      </c>
      <c r="AP112">
        <f>'Entrada datos'!AR22</f>
        <v>0</v>
      </c>
      <c r="AQ112">
        <f>'Entrada datos'!AS22</f>
        <v>0</v>
      </c>
      <c r="AR112" s="17">
        <f t="shared" si="22"/>
        <v>0</v>
      </c>
      <c r="AS112" s="23">
        <f t="shared" si="23"/>
        <v>0</v>
      </c>
      <c r="AT112">
        <f t="shared" si="24"/>
        <v>1900</v>
      </c>
      <c r="AU112" s="40" t="str">
        <f t="shared" si="25"/>
        <v>enero</v>
      </c>
      <c r="AV112">
        <f t="shared" si="26"/>
        <v>0</v>
      </c>
      <c r="AW112">
        <f t="shared" si="27"/>
        <v>0</v>
      </c>
      <c r="AX112" s="24">
        <f t="shared" si="28"/>
        <v>0</v>
      </c>
      <c r="AY112" s="24">
        <f t="shared" si="29"/>
        <v>0</v>
      </c>
      <c r="AZ112" s="24">
        <f t="shared" si="30"/>
        <v>0</v>
      </c>
      <c r="BA112">
        <f t="shared" si="31"/>
        <v>0</v>
      </c>
      <c r="BB112">
        <f t="shared" si="32"/>
        <v>0</v>
      </c>
      <c r="BC112" s="24">
        <f t="shared" si="33"/>
        <v>0</v>
      </c>
      <c r="BD112">
        <f t="shared" si="34"/>
        <v>0</v>
      </c>
    </row>
    <row r="113" spans="1:56" x14ac:dyDescent="0.3">
      <c r="A113">
        <f>'Entrada datos'!A23</f>
        <v>0</v>
      </c>
      <c r="B113">
        <f>'Entrada datos'!B23</f>
        <v>0</v>
      </c>
      <c r="C113">
        <f>'Entrada datos'!C23</f>
        <v>0</v>
      </c>
      <c r="D113">
        <f>'Entrada datos'!D23</f>
        <v>0</v>
      </c>
      <c r="E113" s="18">
        <f>'Entrada datos'!G23</f>
        <v>0</v>
      </c>
      <c r="F113" s="18">
        <f>'Entrada datos'!H23</f>
        <v>0</v>
      </c>
      <c r="G113">
        <f>'Entrada datos'!J23</f>
        <v>0</v>
      </c>
      <c r="H113">
        <f>'Entrada datos'!L23</f>
        <v>0</v>
      </c>
      <c r="I113">
        <f>'Entrada datos'!O23</f>
        <v>0</v>
      </c>
      <c r="J113">
        <f>'Entrada datos'!P23</f>
        <v>0</v>
      </c>
      <c r="K113">
        <f>'Entrada datos'!Q23</f>
        <v>0</v>
      </c>
      <c r="L113">
        <f>'Entrada datos'!R23</f>
        <v>0</v>
      </c>
      <c r="M113">
        <f>'Entrada datos'!S23</f>
        <v>0</v>
      </c>
      <c r="N113">
        <f>'Entrada datos'!T23</f>
        <v>0</v>
      </c>
      <c r="O113">
        <f>'Entrada datos'!U23</f>
        <v>0</v>
      </c>
      <c r="P113" s="17">
        <f t="shared" si="18"/>
        <v>0</v>
      </c>
      <c r="Q113">
        <f>'Entrada datos'!V23</f>
        <v>0</v>
      </c>
      <c r="R113">
        <f>'Entrada datos'!W23</f>
        <v>0</v>
      </c>
      <c r="S113">
        <f>'Entrada datos'!X23</f>
        <v>0</v>
      </c>
      <c r="T113">
        <f>'Entrada datos'!Y23</f>
        <v>0</v>
      </c>
      <c r="U113">
        <f>'Entrada datos'!Z23</f>
        <v>0</v>
      </c>
      <c r="V113">
        <f>'Entrada datos'!AA23</f>
        <v>0</v>
      </c>
      <c r="W113" s="17">
        <f t="shared" si="19"/>
        <v>0</v>
      </c>
      <c r="X113">
        <f>'Entrada datos'!AB23</f>
        <v>0</v>
      </c>
      <c r="Y113">
        <f>'Entrada datos'!AC23</f>
        <v>0</v>
      </c>
      <c r="Z113">
        <f>'Entrada datos'!AD23</f>
        <v>0</v>
      </c>
      <c r="AA113">
        <f>'Entrada datos'!AE23</f>
        <v>0</v>
      </c>
      <c r="AB113">
        <f>'Entrada datos'!AF23</f>
        <v>0</v>
      </c>
      <c r="AC113">
        <f>'Entrada datos'!AG23</f>
        <v>0</v>
      </c>
      <c r="AD113" s="17">
        <f t="shared" si="20"/>
        <v>0</v>
      </c>
      <c r="AE113">
        <f>'Entrada datos'!AH23</f>
        <v>0</v>
      </c>
      <c r="AF113">
        <f>'Entrada datos'!AI23</f>
        <v>0</v>
      </c>
      <c r="AG113">
        <f>'Entrada datos'!AJ23</f>
        <v>0</v>
      </c>
      <c r="AH113">
        <f>'Entrada datos'!AK23</f>
        <v>0</v>
      </c>
      <c r="AI113">
        <f>'Entrada datos'!AL23</f>
        <v>0</v>
      </c>
      <c r="AJ113">
        <f>'Entrada datos'!AM23</f>
        <v>0</v>
      </c>
      <c r="AK113" s="17">
        <f t="shared" si="21"/>
        <v>0</v>
      </c>
      <c r="AL113">
        <f>'Entrada datos'!AN23</f>
        <v>0</v>
      </c>
      <c r="AM113">
        <f>'Entrada datos'!AO23</f>
        <v>0</v>
      </c>
      <c r="AN113">
        <f>'Entrada datos'!AP23</f>
        <v>0</v>
      </c>
      <c r="AO113">
        <f>'Entrada datos'!AQ23</f>
        <v>0</v>
      </c>
      <c r="AP113">
        <f>'Entrada datos'!AR23</f>
        <v>0</v>
      </c>
      <c r="AQ113">
        <f>'Entrada datos'!AS23</f>
        <v>0</v>
      </c>
      <c r="AR113" s="17">
        <f t="shared" si="22"/>
        <v>0</v>
      </c>
      <c r="AS113" s="23">
        <f t="shared" si="23"/>
        <v>0</v>
      </c>
      <c r="AT113">
        <f t="shared" si="24"/>
        <v>1900</v>
      </c>
      <c r="AU113" s="40" t="str">
        <f t="shared" si="25"/>
        <v>enero</v>
      </c>
      <c r="AV113">
        <f t="shared" si="26"/>
        <v>0</v>
      </c>
      <c r="AW113">
        <f t="shared" si="27"/>
        <v>0</v>
      </c>
      <c r="AX113" s="24">
        <f t="shared" si="28"/>
        <v>0</v>
      </c>
      <c r="AY113" s="24">
        <f t="shared" si="29"/>
        <v>0</v>
      </c>
      <c r="AZ113" s="24">
        <f t="shared" si="30"/>
        <v>0</v>
      </c>
      <c r="BA113">
        <f t="shared" si="31"/>
        <v>0</v>
      </c>
      <c r="BB113">
        <f t="shared" si="32"/>
        <v>0</v>
      </c>
      <c r="BC113" s="24">
        <f t="shared" si="33"/>
        <v>0</v>
      </c>
      <c r="BD113">
        <f t="shared" si="34"/>
        <v>0</v>
      </c>
    </row>
    <row r="114" spans="1:56" x14ac:dyDescent="0.3">
      <c r="A114">
        <f>'Entrada datos'!A24</f>
        <v>0</v>
      </c>
      <c r="B114">
        <f>'Entrada datos'!B24</f>
        <v>0</v>
      </c>
      <c r="C114">
        <f>'Entrada datos'!C24</f>
        <v>0</v>
      </c>
      <c r="D114">
        <f>'Entrada datos'!D24</f>
        <v>0</v>
      </c>
      <c r="E114" s="18">
        <f>'Entrada datos'!G24</f>
        <v>0</v>
      </c>
      <c r="F114" s="18">
        <f>'Entrada datos'!H24</f>
        <v>0</v>
      </c>
      <c r="G114">
        <f>'Entrada datos'!J24</f>
        <v>0</v>
      </c>
      <c r="H114">
        <f>'Entrada datos'!L24</f>
        <v>0</v>
      </c>
      <c r="I114">
        <f>'Entrada datos'!O24</f>
        <v>0</v>
      </c>
      <c r="J114">
        <f>'Entrada datos'!P24</f>
        <v>0</v>
      </c>
      <c r="K114">
        <f>'Entrada datos'!Q24</f>
        <v>0</v>
      </c>
      <c r="L114">
        <f>'Entrada datos'!R24</f>
        <v>0</v>
      </c>
      <c r="M114">
        <f>'Entrada datos'!S24</f>
        <v>0</v>
      </c>
      <c r="N114">
        <f>'Entrada datos'!T24</f>
        <v>0</v>
      </c>
      <c r="O114">
        <f>'Entrada datos'!U24</f>
        <v>0</v>
      </c>
      <c r="P114" s="17">
        <f t="shared" si="18"/>
        <v>0</v>
      </c>
      <c r="Q114">
        <f>'Entrada datos'!V24</f>
        <v>0</v>
      </c>
      <c r="R114">
        <f>'Entrada datos'!W24</f>
        <v>0</v>
      </c>
      <c r="S114">
        <f>'Entrada datos'!X24</f>
        <v>0</v>
      </c>
      <c r="T114">
        <f>'Entrada datos'!Y24</f>
        <v>0</v>
      </c>
      <c r="U114">
        <f>'Entrada datos'!Z24</f>
        <v>0</v>
      </c>
      <c r="V114">
        <f>'Entrada datos'!AA24</f>
        <v>0</v>
      </c>
      <c r="W114" s="17">
        <f t="shared" si="19"/>
        <v>0</v>
      </c>
      <c r="X114">
        <f>'Entrada datos'!AB24</f>
        <v>0</v>
      </c>
      <c r="Y114">
        <f>'Entrada datos'!AC24</f>
        <v>0</v>
      </c>
      <c r="Z114">
        <f>'Entrada datos'!AD24</f>
        <v>0</v>
      </c>
      <c r="AA114">
        <f>'Entrada datos'!AE24</f>
        <v>0</v>
      </c>
      <c r="AB114">
        <f>'Entrada datos'!AF24</f>
        <v>0</v>
      </c>
      <c r="AC114">
        <f>'Entrada datos'!AG24</f>
        <v>0</v>
      </c>
      <c r="AD114" s="17">
        <f t="shared" si="20"/>
        <v>0</v>
      </c>
      <c r="AE114">
        <f>'Entrada datos'!AH24</f>
        <v>0</v>
      </c>
      <c r="AF114">
        <f>'Entrada datos'!AI24</f>
        <v>0</v>
      </c>
      <c r="AG114">
        <f>'Entrada datos'!AJ24</f>
        <v>0</v>
      </c>
      <c r="AH114">
        <f>'Entrada datos'!AK24</f>
        <v>0</v>
      </c>
      <c r="AI114">
        <f>'Entrada datos'!AL24</f>
        <v>0</v>
      </c>
      <c r="AJ114">
        <f>'Entrada datos'!AM24</f>
        <v>0</v>
      </c>
      <c r="AK114" s="17">
        <f t="shared" si="21"/>
        <v>0</v>
      </c>
      <c r="AL114">
        <f>'Entrada datos'!AN24</f>
        <v>0</v>
      </c>
      <c r="AM114">
        <f>'Entrada datos'!AO24</f>
        <v>0</v>
      </c>
      <c r="AN114">
        <f>'Entrada datos'!AP24</f>
        <v>0</v>
      </c>
      <c r="AO114">
        <f>'Entrada datos'!AQ24</f>
        <v>0</v>
      </c>
      <c r="AP114">
        <f>'Entrada datos'!AR24</f>
        <v>0</v>
      </c>
      <c r="AQ114">
        <f>'Entrada datos'!AS24</f>
        <v>0</v>
      </c>
      <c r="AR114" s="17">
        <f t="shared" si="22"/>
        <v>0</v>
      </c>
      <c r="AS114" s="23">
        <f t="shared" si="23"/>
        <v>0</v>
      </c>
      <c r="AT114">
        <f t="shared" si="24"/>
        <v>1900</v>
      </c>
      <c r="AU114" s="40" t="str">
        <f t="shared" si="25"/>
        <v>enero</v>
      </c>
      <c r="AV114">
        <f t="shared" si="26"/>
        <v>0</v>
      </c>
      <c r="AW114">
        <f t="shared" si="27"/>
        <v>0</v>
      </c>
      <c r="AX114" s="24">
        <f t="shared" si="28"/>
        <v>0</v>
      </c>
      <c r="AY114" s="24">
        <f t="shared" si="29"/>
        <v>0</v>
      </c>
      <c r="AZ114" s="24">
        <f t="shared" si="30"/>
        <v>0</v>
      </c>
      <c r="BA114">
        <f t="shared" si="31"/>
        <v>0</v>
      </c>
      <c r="BB114">
        <f t="shared" si="32"/>
        <v>0</v>
      </c>
      <c r="BC114" s="24">
        <f t="shared" si="33"/>
        <v>0</v>
      </c>
      <c r="BD114">
        <f t="shared" si="34"/>
        <v>0</v>
      </c>
    </row>
    <row r="115" spans="1:56" x14ac:dyDescent="0.3">
      <c r="A115">
        <f>'Entrada datos'!A25</f>
        <v>0</v>
      </c>
      <c r="B115">
        <f>'Entrada datos'!B25</f>
        <v>0</v>
      </c>
      <c r="C115">
        <f>'Entrada datos'!C25</f>
        <v>0</v>
      </c>
      <c r="D115">
        <f>'Entrada datos'!D25</f>
        <v>0</v>
      </c>
      <c r="E115" s="18">
        <f>'Entrada datos'!G25</f>
        <v>0</v>
      </c>
      <c r="F115" s="18">
        <f>'Entrada datos'!H25</f>
        <v>0</v>
      </c>
      <c r="G115">
        <f>'Entrada datos'!J25</f>
        <v>0</v>
      </c>
      <c r="H115">
        <f>'Entrada datos'!L25</f>
        <v>0</v>
      </c>
      <c r="I115">
        <f>'Entrada datos'!O25</f>
        <v>0</v>
      </c>
      <c r="J115">
        <f>'Entrada datos'!P25</f>
        <v>0</v>
      </c>
      <c r="K115">
        <f>'Entrada datos'!Q25</f>
        <v>0</v>
      </c>
      <c r="L115">
        <f>'Entrada datos'!R25</f>
        <v>0</v>
      </c>
      <c r="M115">
        <f>'Entrada datos'!S25</f>
        <v>0</v>
      </c>
      <c r="N115">
        <f>'Entrada datos'!T25</f>
        <v>0</v>
      </c>
      <c r="O115">
        <f>'Entrada datos'!U25</f>
        <v>0</v>
      </c>
      <c r="P115" s="17">
        <f t="shared" si="18"/>
        <v>0</v>
      </c>
      <c r="Q115">
        <f>'Entrada datos'!V25</f>
        <v>0</v>
      </c>
      <c r="R115">
        <f>'Entrada datos'!W25</f>
        <v>0</v>
      </c>
      <c r="S115">
        <f>'Entrada datos'!X25</f>
        <v>0</v>
      </c>
      <c r="T115">
        <f>'Entrada datos'!Y25</f>
        <v>0</v>
      </c>
      <c r="U115">
        <f>'Entrada datos'!Z25</f>
        <v>0</v>
      </c>
      <c r="V115">
        <f>'Entrada datos'!AA25</f>
        <v>0</v>
      </c>
      <c r="W115" s="17">
        <f t="shared" si="19"/>
        <v>0</v>
      </c>
      <c r="X115">
        <f>'Entrada datos'!AB25</f>
        <v>0</v>
      </c>
      <c r="Y115">
        <f>'Entrada datos'!AC25</f>
        <v>0</v>
      </c>
      <c r="Z115">
        <f>'Entrada datos'!AD25</f>
        <v>0</v>
      </c>
      <c r="AA115">
        <f>'Entrada datos'!AE25</f>
        <v>0</v>
      </c>
      <c r="AB115">
        <f>'Entrada datos'!AF25</f>
        <v>0</v>
      </c>
      <c r="AC115">
        <f>'Entrada datos'!AG25</f>
        <v>0</v>
      </c>
      <c r="AD115" s="17">
        <f t="shared" si="20"/>
        <v>0</v>
      </c>
      <c r="AE115">
        <f>'Entrada datos'!AH25</f>
        <v>0</v>
      </c>
      <c r="AF115">
        <f>'Entrada datos'!AI25</f>
        <v>0</v>
      </c>
      <c r="AG115">
        <f>'Entrada datos'!AJ25</f>
        <v>0</v>
      </c>
      <c r="AH115">
        <f>'Entrada datos'!AK25</f>
        <v>0</v>
      </c>
      <c r="AI115">
        <f>'Entrada datos'!AL25</f>
        <v>0</v>
      </c>
      <c r="AJ115">
        <f>'Entrada datos'!AM25</f>
        <v>0</v>
      </c>
      <c r="AK115" s="17">
        <f t="shared" si="21"/>
        <v>0</v>
      </c>
      <c r="AL115">
        <f>'Entrada datos'!AN25</f>
        <v>0</v>
      </c>
      <c r="AM115">
        <f>'Entrada datos'!AO25</f>
        <v>0</v>
      </c>
      <c r="AN115">
        <f>'Entrada datos'!AP25</f>
        <v>0</v>
      </c>
      <c r="AO115">
        <f>'Entrada datos'!AQ25</f>
        <v>0</v>
      </c>
      <c r="AP115">
        <f>'Entrada datos'!AR25</f>
        <v>0</v>
      </c>
      <c r="AQ115">
        <f>'Entrada datos'!AS25</f>
        <v>0</v>
      </c>
      <c r="AR115" s="17">
        <f t="shared" si="22"/>
        <v>0</v>
      </c>
      <c r="AS115" s="23">
        <f t="shared" si="23"/>
        <v>0</v>
      </c>
      <c r="AT115">
        <f t="shared" si="24"/>
        <v>1900</v>
      </c>
      <c r="AU115" s="40" t="str">
        <f t="shared" si="25"/>
        <v>enero</v>
      </c>
      <c r="AV115">
        <f t="shared" si="26"/>
        <v>0</v>
      </c>
      <c r="AW115">
        <f t="shared" si="27"/>
        <v>0</v>
      </c>
      <c r="AX115" s="24">
        <f t="shared" si="28"/>
        <v>0</v>
      </c>
      <c r="AY115" s="24">
        <f t="shared" si="29"/>
        <v>0</v>
      </c>
      <c r="AZ115" s="24">
        <f t="shared" si="30"/>
        <v>0</v>
      </c>
      <c r="BA115">
        <f t="shared" si="31"/>
        <v>0</v>
      </c>
      <c r="BB115">
        <f t="shared" si="32"/>
        <v>0</v>
      </c>
      <c r="BC115" s="24">
        <f t="shared" si="33"/>
        <v>0</v>
      </c>
      <c r="BD115">
        <f t="shared" si="34"/>
        <v>0</v>
      </c>
    </row>
    <row r="116" spans="1:56" x14ac:dyDescent="0.3">
      <c r="A116">
        <f>'Entrada datos'!A26</f>
        <v>0</v>
      </c>
      <c r="B116">
        <f>'Entrada datos'!B26</f>
        <v>0</v>
      </c>
      <c r="C116">
        <f>'Entrada datos'!C26</f>
        <v>0</v>
      </c>
      <c r="D116">
        <f>'Entrada datos'!D26</f>
        <v>0</v>
      </c>
      <c r="E116" s="18">
        <f>'Entrada datos'!G26</f>
        <v>0</v>
      </c>
      <c r="F116" s="18">
        <f>'Entrada datos'!H26</f>
        <v>0</v>
      </c>
      <c r="G116">
        <f>'Entrada datos'!J26</f>
        <v>0</v>
      </c>
      <c r="H116">
        <f>'Entrada datos'!L26</f>
        <v>0</v>
      </c>
      <c r="I116">
        <f>'Entrada datos'!O26</f>
        <v>0</v>
      </c>
      <c r="J116">
        <f>'Entrada datos'!P26</f>
        <v>0</v>
      </c>
      <c r="K116">
        <f>'Entrada datos'!Q26</f>
        <v>0</v>
      </c>
      <c r="L116">
        <f>'Entrada datos'!R26</f>
        <v>0</v>
      </c>
      <c r="M116">
        <f>'Entrada datos'!S26</f>
        <v>0</v>
      </c>
      <c r="N116">
        <f>'Entrada datos'!T26</f>
        <v>0</v>
      </c>
      <c r="O116">
        <f>'Entrada datos'!U26</f>
        <v>0</v>
      </c>
      <c r="P116" s="17">
        <f t="shared" si="18"/>
        <v>0</v>
      </c>
      <c r="Q116">
        <f>'Entrada datos'!V26</f>
        <v>0</v>
      </c>
      <c r="R116">
        <f>'Entrada datos'!W26</f>
        <v>0</v>
      </c>
      <c r="S116">
        <f>'Entrada datos'!X26</f>
        <v>0</v>
      </c>
      <c r="T116">
        <f>'Entrada datos'!Y26</f>
        <v>0</v>
      </c>
      <c r="U116">
        <f>'Entrada datos'!Z26</f>
        <v>0</v>
      </c>
      <c r="V116">
        <f>'Entrada datos'!AA26</f>
        <v>0</v>
      </c>
      <c r="W116" s="17">
        <f t="shared" si="19"/>
        <v>0</v>
      </c>
      <c r="X116">
        <f>'Entrada datos'!AB26</f>
        <v>0</v>
      </c>
      <c r="Y116">
        <f>'Entrada datos'!AC26</f>
        <v>0</v>
      </c>
      <c r="Z116">
        <f>'Entrada datos'!AD26</f>
        <v>0</v>
      </c>
      <c r="AA116">
        <f>'Entrada datos'!AE26</f>
        <v>0</v>
      </c>
      <c r="AB116">
        <f>'Entrada datos'!AF26</f>
        <v>0</v>
      </c>
      <c r="AC116">
        <f>'Entrada datos'!AG26</f>
        <v>0</v>
      </c>
      <c r="AD116" s="17">
        <f t="shared" si="20"/>
        <v>0</v>
      </c>
      <c r="AE116">
        <f>'Entrada datos'!AH26</f>
        <v>0</v>
      </c>
      <c r="AF116">
        <f>'Entrada datos'!AI26</f>
        <v>0</v>
      </c>
      <c r="AG116">
        <f>'Entrada datos'!AJ26</f>
        <v>0</v>
      </c>
      <c r="AH116">
        <f>'Entrada datos'!AK26</f>
        <v>0</v>
      </c>
      <c r="AI116">
        <f>'Entrada datos'!AL26</f>
        <v>0</v>
      </c>
      <c r="AJ116">
        <f>'Entrada datos'!AM26</f>
        <v>0</v>
      </c>
      <c r="AK116" s="17">
        <f t="shared" si="21"/>
        <v>0</v>
      </c>
      <c r="AL116">
        <f>'Entrada datos'!AN26</f>
        <v>0</v>
      </c>
      <c r="AM116">
        <f>'Entrada datos'!AO26</f>
        <v>0</v>
      </c>
      <c r="AN116">
        <f>'Entrada datos'!AP26</f>
        <v>0</v>
      </c>
      <c r="AO116">
        <f>'Entrada datos'!AQ26</f>
        <v>0</v>
      </c>
      <c r="AP116">
        <f>'Entrada datos'!AR26</f>
        <v>0</v>
      </c>
      <c r="AQ116">
        <f>'Entrada datos'!AS26</f>
        <v>0</v>
      </c>
      <c r="AR116" s="17">
        <f t="shared" si="22"/>
        <v>0</v>
      </c>
      <c r="AS116" s="23">
        <f t="shared" si="23"/>
        <v>0</v>
      </c>
      <c r="AT116">
        <f t="shared" si="24"/>
        <v>1900</v>
      </c>
      <c r="AU116" s="40" t="str">
        <f t="shared" si="25"/>
        <v>enero</v>
      </c>
      <c r="AV116">
        <f t="shared" si="26"/>
        <v>0</v>
      </c>
      <c r="AW116">
        <f t="shared" si="27"/>
        <v>0</v>
      </c>
      <c r="AX116" s="24">
        <f t="shared" si="28"/>
        <v>0</v>
      </c>
      <c r="AY116" s="24">
        <f t="shared" si="29"/>
        <v>0</v>
      </c>
      <c r="AZ116" s="24">
        <f t="shared" si="30"/>
        <v>0</v>
      </c>
      <c r="BA116">
        <f t="shared" si="31"/>
        <v>0</v>
      </c>
      <c r="BB116">
        <f t="shared" si="32"/>
        <v>0</v>
      </c>
      <c r="BC116" s="24">
        <f t="shared" si="33"/>
        <v>0</v>
      </c>
      <c r="BD116">
        <f t="shared" si="34"/>
        <v>0</v>
      </c>
    </row>
    <row r="117" spans="1:56" x14ac:dyDescent="0.3">
      <c r="A117">
        <f>'Entrada datos'!A27</f>
        <v>0</v>
      </c>
      <c r="B117">
        <f>'Entrada datos'!B27</f>
        <v>0</v>
      </c>
      <c r="C117">
        <f>'Entrada datos'!C27</f>
        <v>0</v>
      </c>
      <c r="D117">
        <f>'Entrada datos'!D27</f>
        <v>0</v>
      </c>
      <c r="E117" s="18">
        <f>'Entrada datos'!G27</f>
        <v>0</v>
      </c>
      <c r="F117" s="18">
        <f>'Entrada datos'!H27</f>
        <v>0</v>
      </c>
      <c r="G117">
        <f>'Entrada datos'!J27</f>
        <v>0</v>
      </c>
      <c r="H117">
        <f>'Entrada datos'!L27</f>
        <v>0</v>
      </c>
      <c r="I117">
        <f>'Entrada datos'!O27</f>
        <v>0</v>
      </c>
      <c r="J117">
        <f>'Entrada datos'!P27</f>
        <v>0</v>
      </c>
      <c r="K117">
        <f>'Entrada datos'!Q27</f>
        <v>0</v>
      </c>
      <c r="L117">
        <f>'Entrada datos'!R27</f>
        <v>0</v>
      </c>
      <c r="M117">
        <f>'Entrada datos'!S27</f>
        <v>0</v>
      </c>
      <c r="N117">
        <f>'Entrada datos'!T27</f>
        <v>0</v>
      </c>
      <c r="O117">
        <f>'Entrada datos'!U27</f>
        <v>0</v>
      </c>
      <c r="P117" s="17">
        <f t="shared" si="18"/>
        <v>0</v>
      </c>
      <c r="Q117">
        <f>'Entrada datos'!V27</f>
        <v>0</v>
      </c>
      <c r="R117">
        <f>'Entrada datos'!W27</f>
        <v>0</v>
      </c>
      <c r="S117">
        <f>'Entrada datos'!X27</f>
        <v>0</v>
      </c>
      <c r="T117">
        <f>'Entrada datos'!Y27</f>
        <v>0</v>
      </c>
      <c r="U117">
        <f>'Entrada datos'!Z27</f>
        <v>0</v>
      </c>
      <c r="V117">
        <f>'Entrada datos'!AA27</f>
        <v>0</v>
      </c>
      <c r="W117" s="17">
        <f t="shared" si="19"/>
        <v>0</v>
      </c>
      <c r="X117">
        <f>'Entrada datos'!AB27</f>
        <v>0</v>
      </c>
      <c r="Y117">
        <f>'Entrada datos'!AC27</f>
        <v>0</v>
      </c>
      <c r="Z117">
        <f>'Entrada datos'!AD27</f>
        <v>0</v>
      </c>
      <c r="AA117">
        <f>'Entrada datos'!AE27</f>
        <v>0</v>
      </c>
      <c r="AB117">
        <f>'Entrada datos'!AF27</f>
        <v>0</v>
      </c>
      <c r="AC117">
        <f>'Entrada datos'!AG27</f>
        <v>0</v>
      </c>
      <c r="AD117" s="17">
        <f t="shared" si="20"/>
        <v>0</v>
      </c>
      <c r="AE117">
        <f>'Entrada datos'!AH27</f>
        <v>0</v>
      </c>
      <c r="AF117">
        <f>'Entrada datos'!AI27</f>
        <v>0</v>
      </c>
      <c r="AG117">
        <f>'Entrada datos'!AJ27</f>
        <v>0</v>
      </c>
      <c r="AH117">
        <f>'Entrada datos'!AK27</f>
        <v>0</v>
      </c>
      <c r="AI117">
        <f>'Entrada datos'!AL27</f>
        <v>0</v>
      </c>
      <c r="AJ117">
        <f>'Entrada datos'!AM27</f>
        <v>0</v>
      </c>
      <c r="AK117" s="17">
        <f t="shared" si="21"/>
        <v>0</v>
      </c>
      <c r="AL117">
        <f>'Entrada datos'!AN27</f>
        <v>0</v>
      </c>
      <c r="AM117">
        <f>'Entrada datos'!AO27</f>
        <v>0</v>
      </c>
      <c r="AN117">
        <f>'Entrada datos'!AP27</f>
        <v>0</v>
      </c>
      <c r="AO117">
        <f>'Entrada datos'!AQ27</f>
        <v>0</v>
      </c>
      <c r="AP117">
        <f>'Entrada datos'!AR27</f>
        <v>0</v>
      </c>
      <c r="AQ117">
        <f>'Entrada datos'!AS27</f>
        <v>0</v>
      </c>
      <c r="AR117" s="17">
        <f t="shared" si="22"/>
        <v>0</v>
      </c>
      <c r="AS117" s="23">
        <f t="shared" si="23"/>
        <v>0</v>
      </c>
      <c r="AT117">
        <f t="shared" si="24"/>
        <v>1900</v>
      </c>
      <c r="AU117" s="40" t="str">
        <f t="shared" si="25"/>
        <v>enero</v>
      </c>
      <c r="AV117">
        <f t="shared" si="26"/>
        <v>0</v>
      </c>
      <c r="AW117">
        <f t="shared" si="27"/>
        <v>0</v>
      </c>
      <c r="AX117" s="24">
        <f t="shared" si="28"/>
        <v>0</v>
      </c>
      <c r="AY117" s="24">
        <f t="shared" si="29"/>
        <v>0</v>
      </c>
      <c r="AZ117" s="24">
        <f t="shared" si="30"/>
        <v>0</v>
      </c>
      <c r="BA117">
        <f t="shared" si="31"/>
        <v>0</v>
      </c>
      <c r="BB117">
        <f t="shared" si="32"/>
        <v>0</v>
      </c>
      <c r="BC117" s="24">
        <f t="shared" si="33"/>
        <v>0</v>
      </c>
      <c r="BD117">
        <f t="shared" si="34"/>
        <v>0</v>
      </c>
    </row>
    <row r="118" spans="1:56" x14ac:dyDescent="0.3">
      <c r="A118">
        <f>'Entrada datos'!A28</f>
        <v>0</v>
      </c>
      <c r="B118">
        <f>'Entrada datos'!B28</f>
        <v>0</v>
      </c>
      <c r="C118">
        <f>'Entrada datos'!C28</f>
        <v>0</v>
      </c>
      <c r="D118">
        <f>'Entrada datos'!D28</f>
        <v>0</v>
      </c>
      <c r="E118" s="18">
        <f>'Entrada datos'!G28</f>
        <v>0</v>
      </c>
      <c r="F118" s="18">
        <f>'Entrada datos'!H28</f>
        <v>0</v>
      </c>
      <c r="G118">
        <f>'Entrada datos'!J28</f>
        <v>0</v>
      </c>
      <c r="H118">
        <f>'Entrada datos'!L28</f>
        <v>0</v>
      </c>
      <c r="I118">
        <f>'Entrada datos'!O28</f>
        <v>0</v>
      </c>
      <c r="J118">
        <f>'Entrada datos'!P28</f>
        <v>0</v>
      </c>
      <c r="K118">
        <f>'Entrada datos'!Q28</f>
        <v>0</v>
      </c>
      <c r="L118">
        <f>'Entrada datos'!R28</f>
        <v>0</v>
      </c>
      <c r="M118">
        <f>'Entrada datos'!S28</f>
        <v>0</v>
      </c>
      <c r="N118">
        <f>'Entrada datos'!T28</f>
        <v>0</v>
      </c>
      <c r="O118">
        <f>'Entrada datos'!U28</f>
        <v>0</v>
      </c>
      <c r="P118" s="17">
        <f t="shared" si="18"/>
        <v>0</v>
      </c>
      <c r="Q118">
        <f>'Entrada datos'!V28</f>
        <v>0</v>
      </c>
      <c r="R118">
        <f>'Entrada datos'!W28</f>
        <v>0</v>
      </c>
      <c r="S118">
        <f>'Entrada datos'!X28</f>
        <v>0</v>
      </c>
      <c r="T118">
        <f>'Entrada datos'!Y28</f>
        <v>0</v>
      </c>
      <c r="U118">
        <f>'Entrada datos'!Z28</f>
        <v>0</v>
      </c>
      <c r="V118">
        <f>'Entrada datos'!AA28</f>
        <v>0</v>
      </c>
      <c r="W118" s="17">
        <f t="shared" si="19"/>
        <v>0</v>
      </c>
      <c r="X118">
        <f>'Entrada datos'!AB28</f>
        <v>0</v>
      </c>
      <c r="Y118">
        <f>'Entrada datos'!AC28</f>
        <v>0</v>
      </c>
      <c r="Z118">
        <f>'Entrada datos'!AD28</f>
        <v>0</v>
      </c>
      <c r="AA118">
        <f>'Entrada datos'!AE28</f>
        <v>0</v>
      </c>
      <c r="AB118">
        <f>'Entrada datos'!AF28</f>
        <v>0</v>
      </c>
      <c r="AC118">
        <f>'Entrada datos'!AG28</f>
        <v>0</v>
      </c>
      <c r="AD118" s="17">
        <f t="shared" si="20"/>
        <v>0</v>
      </c>
      <c r="AE118">
        <f>'Entrada datos'!AH28</f>
        <v>0</v>
      </c>
      <c r="AF118">
        <f>'Entrada datos'!AI28</f>
        <v>0</v>
      </c>
      <c r="AG118">
        <f>'Entrada datos'!AJ28</f>
        <v>0</v>
      </c>
      <c r="AH118">
        <f>'Entrada datos'!AK28</f>
        <v>0</v>
      </c>
      <c r="AI118">
        <f>'Entrada datos'!AL28</f>
        <v>0</v>
      </c>
      <c r="AJ118">
        <f>'Entrada datos'!AM28</f>
        <v>0</v>
      </c>
      <c r="AK118" s="17">
        <f t="shared" si="21"/>
        <v>0</v>
      </c>
      <c r="AL118">
        <f>'Entrada datos'!AN28</f>
        <v>0</v>
      </c>
      <c r="AM118">
        <f>'Entrada datos'!AO28</f>
        <v>0</v>
      </c>
      <c r="AN118">
        <f>'Entrada datos'!AP28</f>
        <v>0</v>
      </c>
      <c r="AO118">
        <f>'Entrada datos'!AQ28</f>
        <v>0</v>
      </c>
      <c r="AP118">
        <f>'Entrada datos'!AR28</f>
        <v>0</v>
      </c>
      <c r="AQ118">
        <f>'Entrada datos'!AS28</f>
        <v>0</v>
      </c>
      <c r="AR118" s="17">
        <f t="shared" si="22"/>
        <v>0</v>
      </c>
      <c r="AS118" s="23">
        <f t="shared" si="23"/>
        <v>0</v>
      </c>
      <c r="AT118">
        <f t="shared" si="24"/>
        <v>1900</v>
      </c>
      <c r="AU118" s="40" t="str">
        <f t="shared" si="25"/>
        <v>enero</v>
      </c>
      <c r="AV118">
        <f t="shared" si="26"/>
        <v>0</v>
      </c>
      <c r="AW118">
        <f t="shared" si="27"/>
        <v>0</v>
      </c>
      <c r="AX118" s="24">
        <f t="shared" si="28"/>
        <v>0</v>
      </c>
      <c r="AY118" s="24">
        <f t="shared" si="29"/>
        <v>0</v>
      </c>
      <c r="AZ118" s="24">
        <f t="shared" si="30"/>
        <v>0</v>
      </c>
      <c r="BA118">
        <f t="shared" si="31"/>
        <v>0</v>
      </c>
      <c r="BB118">
        <f t="shared" si="32"/>
        <v>0</v>
      </c>
      <c r="BC118" s="24">
        <f t="shared" si="33"/>
        <v>0</v>
      </c>
      <c r="BD118">
        <f t="shared" si="34"/>
        <v>0</v>
      </c>
    </row>
    <row r="119" spans="1:56" x14ac:dyDescent="0.3">
      <c r="A119">
        <f>'Entrada datos'!A29</f>
        <v>0</v>
      </c>
      <c r="B119">
        <f>'Entrada datos'!B29</f>
        <v>0</v>
      </c>
      <c r="C119">
        <f>'Entrada datos'!C29</f>
        <v>0</v>
      </c>
      <c r="D119">
        <f>'Entrada datos'!D29</f>
        <v>0</v>
      </c>
      <c r="E119" s="18">
        <f>'Entrada datos'!G29</f>
        <v>0</v>
      </c>
      <c r="F119" s="18">
        <f>'Entrada datos'!H29</f>
        <v>0</v>
      </c>
      <c r="G119">
        <f>'Entrada datos'!J29</f>
        <v>0</v>
      </c>
      <c r="H119">
        <f>'Entrada datos'!L29</f>
        <v>0</v>
      </c>
      <c r="I119">
        <f>'Entrada datos'!O29</f>
        <v>0</v>
      </c>
      <c r="J119">
        <f>'Entrada datos'!P29</f>
        <v>0</v>
      </c>
      <c r="K119">
        <f>'Entrada datos'!Q29</f>
        <v>0</v>
      </c>
      <c r="L119">
        <f>'Entrada datos'!R29</f>
        <v>0</v>
      </c>
      <c r="M119">
        <f>'Entrada datos'!S29</f>
        <v>0</v>
      </c>
      <c r="N119">
        <f>'Entrada datos'!T29</f>
        <v>0</v>
      </c>
      <c r="O119">
        <f>'Entrada datos'!U29</f>
        <v>0</v>
      </c>
      <c r="P119" s="17">
        <f t="shared" si="18"/>
        <v>0</v>
      </c>
      <c r="Q119">
        <f>'Entrada datos'!V29</f>
        <v>0</v>
      </c>
      <c r="R119">
        <f>'Entrada datos'!W29</f>
        <v>0</v>
      </c>
      <c r="S119">
        <f>'Entrada datos'!X29</f>
        <v>0</v>
      </c>
      <c r="T119">
        <f>'Entrada datos'!Y29</f>
        <v>0</v>
      </c>
      <c r="U119">
        <f>'Entrada datos'!Z29</f>
        <v>0</v>
      </c>
      <c r="V119">
        <f>'Entrada datos'!AA29</f>
        <v>0</v>
      </c>
      <c r="W119" s="17">
        <f t="shared" si="19"/>
        <v>0</v>
      </c>
      <c r="X119">
        <f>'Entrada datos'!AB29</f>
        <v>0</v>
      </c>
      <c r="Y119">
        <f>'Entrada datos'!AC29</f>
        <v>0</v>
      </c>
      <c r="Z119">
        <f>'Entrada datos'!AD29</f>
        <v>0</v>
      </c>
      <c r="AA119">
        <f>'Entrada datos'!AE29</f>
        <v>0</v>
      </c>
      <c r="AB119">
        <f>'Entrada datos'!AF29</f>
        <v>0</v>
      </c>
      <c r="AC119">
        <f>'Entrada datos'!AG29</f>
        <v>0</v>
      </c>
      <c r="AD119" s="17">
        <f t="shared" si="20"/>
        <v>0</v>
      </c>
      <c r="AE119">
        <f>'Entrada datos'!AH29</f>
        <v>0</v>
      </c>
      <c r="AF119">
        <f>'Entrada datos'!AI29</f>
        <v>0</v>
      </c>
      <c r="AG119">
        <f>'Entrada datos'!AJ29</f>
        <v>0</v>
      </c>
      <c r="AH119">
        <f>'Entrada datos'!AK29</f>
        <v>0</v>
      </c>
      <c r="AI119">
        <f>'Entrada datos'!AL29</f>
        <v>0</v>
      </c>
      <c r="AJ119">
        <f>'Entrada datos'!AM29</f>
        <v>0</v>
      </c>
      <c r="AK119" s="17">
        <f t="shared" si="21"/>
        <v>0</v>
      </c>
      <c r="AL119">
        <f>'Entrada datos'!AN29</f>
        <v>0</v>
      </c>
      <c r="AM119">
        <f>'Entrada datos'!AO29</f>
        <v>0</v>
      </c>
      <c r="AN119">
        <f>'Entrada datos'!AP29</f>
        <v>0</v>
      </c>
      <c r="AO119">
        <f>'Entrada datos'!AQ29</f>
        <v>0</v>
      </c>
      <c r="AP119">
        <f>'Entrada datos'!AR29</f>
        <v>0</v>
      </c>
      <c r="AQ119">
        <f>'Entrada datos'!AS29</f>
        <v>0</v>
      </c>
      <c r="AR119" s="17">
        <f t="shared" si="22"/>
        <v>0</v>
      </c>
      <c r="AS119" s="23">
        <f t="shared" si="23"/>
        <v>0</v>
      </c>
      <c r="AT119">
        <f t="shared" si="24"/>
        <v>1900</v>
      </c>
      <c r="AU119" s="40" t="str">
        <f t="shared" si="25"/>
        <v>enero</v>
      </c>
      <c r="AV119">
        <f t="shared" si="26"/>
        <v>0</v>
      </c>
      <c r="AW119">
        <f t="shared" si="27"/>
        <v>0</v>
      </c>
      <c r="AX119" s="24">
        <f t="shared" si="28"/>
        <v>0</v>
      </c>
      <c r="AY119" s="24">
        <f t="shared" si="29"/>
        <v>0</v>
      </c>
      <c r="AZ119" s="24">
        <f t="shared" si="30"/>
        <v>0</v>
      </c>
      <c r="BA119">
        <f t="shared" si="31"/>
        <v>0</v>
      </c>
      <c r="BB119">
        <f t="shared" si="32"/>
        <v>0</v>
      </c>
      <c r="BC119" s="24">
        <f t="shared" si="33"/>
        <v>0</v>
      </c>
      <c r="BD119">
        <f t="shared" si="34"/>
        <v>0</v>
      </c>
    </row>
    <row r="120" spans="1:56" x14ac:dyDescent="0.3">
      <c r="A120">
        <f>'Entrada datos'!A30</f>
        <v>0</v>
      </c>
      <c r="B120">
        <f>'Entrada datos'!B30</f>
        <v>0</v>
      </c>
      <c r="C120">
        <f>'Entrada datos'!C30</f>
        <v>0</v>
      </c>
      <c r="D120">
        <f>'Entrada datos'!D30</f>
        <v>0</v>
      </c>
      <c r="E120" s="18">
        <f>'Entrada datos'!G30</f>
        <v>0</v>
      </c>
      <c r="F120" s="18">
        <f>'Entrada datos'!H30</f>
        <v>0</v>
      </c>
      <c r="G120">
        <f>'Entrada datos'!J30</f>
        <v>0</v>
      </c>
      <c r="H120">
        <f>'Entrada datos'!L30</f>
        <v>0</v>
      </c>
      <c r="I120">
        <f>'Entrada datos'!O30</f>
        <v>0</v>
      </c>
      <c r="J120">
        <f>'Entrada datos'!P30</f>
        <v>0</v>
      </c>
      <c r="K120">
        <f>'Entrada datos'!Q30</f>
        <v>0</v>
      </c>
      <c r="L120">
        <f>'Entrada datos'!R30</f>
        <v>0</v>
      </c>
      <c r="M120">
        <f>'Entrada datos'!S30</f>
        <v>0</v>
      </c>
      <c r="N120">
        <f>'Entrada datos'!T30</f>
        <v>0</v>
      </c>
      <c r="O120">
        <f>'Entrada datos'!U30</f>
        <v>0</v>
      </c>
      <c r="P120" s="17">
        <f t="shared" si="18"/>
        <v>0</v>
      </c>
      <c r="Q120">
        <f>'Entrada datos'!V30</f>
        <v>0</v>
      </c>
      <c r="R120">
        <f>'Entrada datos'!W30</f>
        <v>0</v>
      </c>
      <c r="S120">
        <f>'Entrada datos'!X30</f>
        <v>0</v>
      </c>
      <c r="T120">
        <f>'Entrada datos'!Y30</f>
        <v>0</v>
      </c>
      <c r="U120">
        <f>'Entrada datos'!Z30</f>
        <v>0</v>
      </c>
      <c r="V120">
        <f>'Entrada datos'!AA30</f>
        <v>0</v>
      </c>
      <c r="W120" s="17">
        <f t="shared" si="19"/>
        <v>0</v>
      </c>
      <c r="X120">
        <f>'Entrada datos'!AB30</f>
        <v>0</v>
      </c>
      <c r="Y120">
        <f>'Entrada datos'!AC30</f>
        <v>0</v>
      </c>
      <c r="Z120">
        <f>'Entrada datos'!AD30</f>
        <v>0</v>
      </c>
      <c r="AA120">
        <f>'Entrada datos'!AE30</f>
        <v>0</v>
      </c>
      <c r="AB120">
        <f>'Entrada datos'!AF30</f>
        <v>0</v>
      </c>
      <c r="AC120">
        <f>'Entrada datos'!AG30</f>
        <v>0</v>
      </c>
      <c r="AD120" s="17">
        <f t="shared" si="20"/>
        <v>0</v>
      </c>
      <c r="AE120">
        <f>'Entrada datos'!AH30</f>
        <v>0</v>
      </c>
      <c r="AF120">
        <f>'Entrada datos'!AI30</f>
        <v>0</v>
      </c>
      <c r="AG120">
        <f>'Entrada datos'!AJ30</f>
        <v>0</v>
      </c>
      <c r="AH120">
        <f>'Entrada datos'!AK30</f>
        <v>0</v>
      </c>
      <c r="AI120">
        <f>'Entrada datos'!AL30</f>
        <v>0</v>
      </c>
      <c r="AJ120">
        <f>'Entrada datos'!AM30</f>
        <v>0</v>
      </c>
      <c r="AK120" s="17">
        <f t="shared" si="21"/>
        <v>0</v>
      </c>
      <c r="AL120">
        <f>'Entrada datos'!AN30</f>
        <v>0</v>
      </c>
      <c r="AM120">
        <f>'Entrada datos'!AO30</f>
        <v>0</v>
      </c>
      <c r="AN120">
        <f>'Entrada datos'!AP30</f>
        <v>0</v>
      </c>
      <c r="AO120">
        <f>'Entrada datos'!AQ30</f>
        <v>0</v>
      </c>
      <c r="AP120">
        <f>'Entrada datos'!AR30</f>
        <v>0</v>
      </c>
      <c r="AQ120">
        <f>'Entrada datos'!AS30</f>
        <v>0</v>
      </c>
      <c r="AR120" s="17">
        <f t="shared" si="22"/>
        <v>0</v>
      </c>
      <c r="AS120" s="23">
        <f t="shared" si="23"/>
        <v>0</v>
      </c>
      <c r="AT120">
        <f t="shared" si="24"/>
        <v>1900</v>
      </c>
      <c r="AU120" s="40" t="str">
        <f t="shared" si="25"/>
        <v>enero</v>
      </c>
      <c r="AV120">
        <f t="shared" si="26"/>
        <v>0</v>
      </c>
      <c r="AW120">
        <f t="shared" si="27"/>
        <v>0</v>
      </c>
      <c r="AX120" s="24">
        <f t="shared" si="28"/>
        <v>0</v>
      </c>
      <c r="AY120" s="24">
        <f t="shared" si="29"/>
        <v>0</v>
      </c>
      <c r="AZ120" s="24">
        <f t="shared" si="30"/>
        <v>0</v>
      </c>
      <c r="BA120">
        <f t="shared" si="31"/>
        <v>0</v>
      </c>
      <c r="BB120">
        <f t="shared" si="32"/>
        <v>0</v>
      </c>
      <c r="BC120" s="24">
        <f t="shared" si="33"/>
        <v>0</v>
      </c>
      <c r="BD120">
        <f t="shared" si="34"/>
        <v>0</v>
      </c>
    </row>
    <row r="121" spans="1:56" x14ac:dyDescent="0.3">
      <c r="A121">
        <f>'Entrada datos'!A31</f>
        <v>0</v>
      </c>
      <c r="B121">
        <f>'Entrada datos'!B31</f>
        <v>0</v>
      </c>
      <c r="C121">
        <f>'Entrada datos'!C31</f>
        <v>0</v>
      </c>
      <c r="D121">
        <f>'Entrada datos'!D31</f>
        <v>0</v>
      </c>
      <c r="E121" s="18">
        <f>'Entrada datos'!G31</f>
        <v>0</v>
      </c>
      <c r="F121" s="18">
        <f>'Entrada datos'!H31</f>
        <v>0</v>
      </c>
      <c r="G121">
        <f>'Entrada datos'!J31</f>
        <v>0</v>
      </c>
      <c r="H121">
        <f>'Entrada datos'!L31</f>
        <v>0</v>
      </c>
      <c r="I121">
        <f>'Entrada datos'!O31</f>
        <v>0</v>
      </c>
      <c r="J121">
        <f>'Entrada datos'!P31</f>
        <v>0</v>
      </c>
      <c r="K121">
        <f>'Entrada datos'!Q31</f>
        <v>0</v>
      </c>
      <c r="L121">
        <f>'Entrada datos'!R31</f>
        <v>0</v>
      </c>
      <c r="M121">
        <f>'Entrada datos'!S31</f>
        <v>0</v>
      </c>
      <c r="N121">
        <f>'Entrada datos'!T31</f>
        <v>0</v>
      </c>
      <c r="O121">
        <f>'Entrada datos'!U31</f>
        <v>0</v>
      </c>
      <c r="P121" s="17">
        <f t="shared" si="18"/>
        <v>0</v>
      </c>
      <c r="Q121">
        <f>'Entrada datos'!V31</f>
        <v>0</v>
      </c>
      <c r="R121">
        <f>'Entrada datos'!W31</f>
        <v>0</v>
      </c>
      <c r="S121">
        <f>'Entrada datos'!X31</f>
        <v>0</v>
      </c>
      <c r="T121">
        <f>'Entrada datos'!Y31</f>
        <v>0</v>
      </c>
      <c r="U121">
        <f>'Entrada datos'!Z31</f>
        <v>0</v>
      </c>
      <c r="V121">
        <f>'Entrada datos'!AA31</f>
        <v>0</v>
      </c>
      <c r="W121" s="17">
        <f t="shared" si="19"/>
        <v>0</v>
      </c>
      <c r="X121">
        <f>'Entrada datos'!AB31</f>
        <v>0</v>
      </c>
      <c r="Y121">
        <f>'Entrada datos'!AC31</f>
        <v>0</v>
      </c>
      <c r="Z121">
        <f>'Entrada datos'!AD31</f>
        <v>0</v>
      </c>
      <c r="AA121">
        <f>'Entrada datos'!AE31</f>
        <v>0</v>
      </c>
      <c r="AB121">
        <f>'Entrada datos'!AF31</f>
        <v>0</v>
      </c>
      <c r="AC121">
        <f>'Entrada datos'!AG31</f>
        <v>0</v>
      </c>
      <c r="AD121" s="17">
        <f t="shared" si="20"/>
        <v>0</v>
      </c>
      <c r="AE121">
        <f>'Entrada datos'!AH31</f>
        <v>0</v>
      </c>
      <c r="AF121">
        <f>'Entrada datos'!AI31</f>
        <v>0</v>
      </c>
      <c r="AG121">
        <f>'Entrada datos'!AJ31</f>
        <v>0</v>
      </c>
      <c r="AH121">
        <f>'Entrada datos'!AK31</f>
        <v>0</v>
      </c>
      <c r="AI121">
        <f>'Entrada datos'!AL31</f>
        <v>0</v>
      </c>
      <c r="AJ121">
        <f>'Entrada datos'!AM31</f>
        <v>0</v>
      </c>
      <c r="AK121" s="17">
        <f t="shared" si="21"/>
        <v>0</v>
      </c>
      <c r="AL121">
        <f>'Entrada datos'!AN31</f>
        <v>0</v>
      </c>
      <c r="AM121">
        <f>'Entrada datos'!AO31</f>
        <v>0</v>
      </c>
      <c r="AN121">
        <f>'Entrada datos'!AP31</f>
        <v>0</v>
      </c>
      <c r="AO121">
        <f>'Entrada datos'!AQ31</f>
        <v>0</v>
      </c>
      <c r="AP121">
        <f>'Entrada datos'!AR31</f>
        <v>0</v>
      </c>
      <c r="AQ121">
        <f>'Entrada datos'!AS31</f>
        <v>0</v>
      </c>
      <c r="AR121" s="17">
        <f t="shared" si="22"/>
        <v>0</v>
      </c>
      <c r="AS121" s="23">
        <f t="shared" si="23"/>
        <v>0</v>
      </c>
      <c r="AT121">
        <f t="shared" si="24"/>
        <v>1900</v>
      </c>
      <c r="AU121" s="40" t="str">
        <f t="shared" si="25"/>
        <v>enero</v>
      </c>
      <c r="AV121">
        <f t="shared" si="26"/>
        <v>0</v>
      </c>
      <c r="AW121">
        <f t="shared" si="27"/>
        <v>0</v>
      </c>
      <c r="AX121" s="24">
        <f t="shared" si="28"/>
        <v>0</v>
      </c>
      <c r="AY121" s="24">
        <f t="shared" si="29"/>
        <v>0</v>
      </c>
      <c r="AZ121" s="24">
        <f t="shared" si="30"/>
        <v>0</v>
      </c>
      <c r="BA121">
        <f t="shared" si="31"/>
        <v>0</v>
      </c>
      <c r="BB121">
        <f t="shared" si="32"/>
        <v>0</v>
      </c>
      <c r="BC121" s="24">
        <f t="shared" si="33"/>
        <v>0</v>
      </c>
      <c r="BD121">
        <f t="shared" si="34"/>
        <v>0</v>
      </c>
    </row>
    <row r="122" spans="1:56" x14ac:dyDescent="0.3">
      <c r="A122">
        <f>'Entrada datos'!A32</f>
        <v>0</v>
      </c>
      <c r="B122">
        <f>'Entrada datos'!B32</f>
        <v>0</v>
      </c>
      <c r="C122">
        <f>'Entrada datos'!C32</f>
        <v>0</v>
      </c>
      <c r="D122">
        <f>'Entrada datos'!D32</f>
        <v>0</v>
      </c>
      <c r="E122" s="18">
        <f>'Entrada datos'!G32</f>
        <v>0</v>
      </c>
      <c r="F122" s="18">
        <f>'Entrada datos'!H32</f>
        <v>0</v>
      </c>
      <c r="G122">
        <f>'Entrada datos'!J32</f>
        <v>0</v>
      </c>
      <c r="H122">
        <f>'Entrada datos'!L32</f>
        <v>0</v>
      </c>
      <c r="I122">
        <f>'Entrada datos'!O32</f>
        <v>0</v>
      </c>
      <c r="J122">
        <f>'Entrada datos'!P32</f>
        <v>0</v>
      </c>
      <c r="K122">
        <f>'Entrada datos'!Q32</f>
        <v>0</v>
      </c>
      <c r="L122">
        <f>'Entrada datos'!R32</f>
        <v>0</v>
      </c>
      <c r="M122">
        <f>'Entrada datos'!S32</f>
        <v>0</v>
      </c>
      <c r="N122">
        <f>'Entrada datos'!T32</f>
        <v>0</v>
      </c>
      <c r="O122">
        <f>'Entrada datos'!U32</f>
        <v>0</v>
      </c>
      <c r="P122" s="17">
        <f t="shared" si="18"/>
        <v>0</v>
      </c>
      <c r="Q122">
        <f>'Entrada datos'!V32</f>
        <v>0</v>
      </c>
      <c r="R122">
        <f>'Entrada datos'!W32</f>
        <v>0</v>
      </c>
      <c r="S122">
        <f>'Entrada datos'!X32</f>
        <v>0</v>
      </c>
      <c r="T122">
        <f>'Entrada datos'!Y32</f>
        <v>0</v>
      </c>
      <c r="U122">
        <f>'Entrada datos'!Z32</f>
        <v>0</v>
      </c>
      <c r="V122">
        <f>'Entrada datos'!AA32</f>
        <v>0</v>
      </c>
      <c r="W122" s="17">
        <f t="shared" si="19"/>
        <v>0</v>
      </c>
      <c r="X122">
        <f>'Entrada datos'!AB32</f>
        <v>0</v>
      </c>
      <c r="Y122">
        <f>'Entrada datos'!AC32</f>
        <v>0</v>
      </c>
      <c r="Z122">
        <f>'Entrada datos'!AD32</f>
        <v>0</v>
      </c>
      <c r="AA122">
        <f>'Entrada datos'!AE32</f>
        <v>0</v>
      </c>
      <c r="AB122">
        <f>'Entrada datos'!AF32</f>
        <v>0</v>
      </c>
      <c r="AC122">
        <f>'Entrada datos'!AG32</f>
        <v>0</v>
      </c>
      <c r="AD122" s="17">
        <f t="shared" si="20"/>
        <v>0</v>
      </c>
      <c r="AE122">
        <f>'Entrada datos'!AH32</f>
        <v>0</v>
      </c>
      <c r="AF122">
        <f>'Entrada datos'!AI32</f>
        <v>0</v>
      </c>
      <c r="AG122">
        <f>'Entrada datos'!AJ32</f>
        <v>0</v>
      </c>
      <c r="AH122">
        <f>'Entrada datos'!AK32</f>
        <v>0</v>
      </c>
      <c r="AI122">
        <f>'Entrada datos'!AL32</f>
        <v>0</v>
      </c>
      <c r="AJ122">
        <f>'Entrada datos'!AM32</f>
        <v>0</v>
      </c>
      <c r="AK122" s="17">
        <f t="shared" si="21"/>
        <v>0</v>
      </c>
      <c r="AL122">
        <f>'Entrada datos'!AN32</f>
        <v>0</v>
      </c>
      <c r="AM122">
        <f>'Entrada datos'!AO32</f>
        <v>0</v>
      </c>
      <c r="AN122">
        <f>'Entrada datos'!AP32</f>
        <v>0</v>
      </c>
      <c r="AO122">
        <f>'Entrada datos'!AQ32</f>
        <v>0</v>
      </c>
      <c r="AP122">
        <f>'Entrada datos'!AR32</f>
        <v>0</v>
      </c>
      <c r="AQ122">
        <f>'Entrada datos'!AS32</f>
        <v>0</v>
      </c>
      <c r="AR122" s="17">
        <f t="shared" si="22"/>
        <v>0</v>
      </c>
      <c r="AS122" s="23">
        <f t="shared" si="23"/>
        <v>0</v>
      </c>
      <c r="AT122">
        <f t="shared" si="24"/>
        <v>1900</v>
      </c>
      <c r="AU122" s="40" t="str">
        <f t="shared" si="25"/>
        <v>enero</v>
      </c>
      <c r="AV122">
        <f t="shared" si="26"/>
        <v>0</v>
      </c>
      <c r="AW122">
        <f t="shared" si="27"/>
        <v>0</v>
      </c>
      <c r="AX122" s="24">
        <f t="shared" si="28"/>
        <v>0</v>
      </c>
      <c r="AY122" s="24">
        <f t="shared" si="29"/>
        <v>0</v>
      </c>
      <c r="AZ122" s="24">
        <f t="shared" si="30"/>
        <v>0</v>
      </c>
      <c r="BA122">
        <f t="shared" si="31"/>
        <v>0</v>
      </c>
      <c r="BB122">
        <f t="shared" si="32"/>
        <v>0</v>
      </c>
      <c r="BC122" s="24">
        <f t="shared" si="33"/>
        <v>0</v>
      </c>
      <c r="BD122">
        <f t="shared" si="34"/>
        <v>0</v>
      </c>
    </row>
    <row r="123" spans="1:56" x14ac:dyDescent="0.3">
      <c r="A123">
        <f>'Entrada datos'!A33</f>
        <v>0</v>
      </c>
      <c r="B123">
        <f>'Entrada datos'!B33</f>
        <v>0</v>
      </c>
      <c r="C123">
        <f>'Entrada datos'!C33</f>
        <v>0</v>
      </c>
      <c r="D123">
        <f>'Entrada datos'!D33</f>
        <v>0</v>
      </c>
      <c r="E123" s="18">
        <f>'Entrada datos'!G33</f>
        <v>0</v>
      </c>
      <c r="F123" s="18">
        <f>'Entrada datos'!H33</f>
        <v>0</v>
      </c>
      <c r="G123">
        <f>'Entrada datos'!J33</f>
        <v>0</v>
      </c>
      <c r="H123">
        <f>'Entrada datos'!L33</f>
        <v>0</v>
      </c>
      <c r="I123">
        <f>'Entrada datos'!O33</f>
        <v>0</v>
      </c>
      <c r="J123">
        <f>'Entrada datos'!P33</f>
        <v>0</v>
      </c>
      <c r="K123">
        <f>'Entrada datos'!Q33</f>
        <v>0</v>
      </c>
      <c r="L123">
        <f>'Entrada datos'!R33</f>
        <v>0</v>
      </c>
      <c r="M123">
        <f>'Entrada datos'!S33</f>
        <v>0</v>
      </c>
      <c r="N123">
        <f>'Entrada datos'!T33</f>
        <v>0</v>
      </c>
      <c r="O123">
        <f>'Entrada datos'!U33</f>
        <v>0</v>
      </c>
      <c r="P123" s="17">
        <f t="shared" si="18"/>
        <v>0</v>
      </c>
      <c r="Q123">
        <f>'Entrada datos'!V33</f>
        <v>0</v>
      </c>
      <c r="R123">
        <f>'Entrada datos'!W33</f>
        <v>0</v>
      </c>
      <c r="S123">
        <f>'Entrada datos'!X33</f>
        <v>0</v>
      </c>
      <c r="T123">
        <f>'Entrada datos'!Y33</f>
        <v>0</v>
      </c>
      <c r="U123">
        <f>'Entrada datos'!Z33</f>
        <v>0</v>
      </c>
      <c r="V123">
        <f>'Entrada datos'!AA33</f>
        <v>0</v>
      </c>
      <c r="W123" s="17">
        <f t="shared" si="19"/>
        <v>0</v>
      </c>
      <c r="X123">
        <f>'Entrada datos'!AB33</f>
        <v>0</v>
      </c>
      <c r="Y123">
        <f>'Entrada datos'!AC33</f>
        <v>0</v>
      </c>
      <c r="Z123">
        <f>'Entrada datos'!AD33</f>
        <v>0</v>
      </c>
      <c r="AA123">
        <f>'Entrada datos'!AE33</f>
        <v>0</v>
      </c>
      <c r="AB123">
        <f>'Entrada datos'!AF33</f>
        <v>0</v>
      </c>
      <c r="AC123">
        <f>'Entrada datos'!AG33</f>
        <v>0</v>
      </c>
      <c r="AD123" s="17">
        <f t="shared" si="20"/>
        <v>0</v>
      </c>
      <c r="AE123">
        <f>'Entrada datos'!AH33</f>
        <v>0</v>
      </c>
      <c r="AF123">
        <f>'Entrada datos'!AI33</f>
        <v>0</v>
      </c>
      <c r="AG123">
        <f>'Entrada datos'!AJ33</f>
        <v>0</v>
      </c>
      <c r="AH123">
        <f>'Entrada datos'!AK33</f>
        <v>0</v>
      </c>
      <c r="AI123">
        <f>'Entrada datos'!AL33</f>
        <v>0</v>
      </c>
      <c r="AJ123">
        <f>'Entrada datos'!AM33</f>
        <v>0</v>
      </c>
      <c r="AK123" s="17">
        <f t="shared" si="21"/>
        <v>0</v>
      </c>
      <c r="AL123">
        <f>'Entrada datos'!AN33</f>
        <v>0</v>
      </c>
      <c r="AM123">
        <f>'Entrada datos'!AO33</f>
        <v>0</v>
      </c>
      <c r="AN123">
        <f>'Entrada datos'!AP33</f>
        <v>0</v>
      </c>
      <c r="AO123">
        <f>'Entrada datos'!AQ33</f>
        <v>0</v>
      </c>
      <c r="AP123">
        <f>'Entrada datos'!AR33</f>
        <v>0</v>
      </c>
      <c r="AQ123">
        <f>'Entrada datos'!AS33</f>
        <v>0</v>
      </c>
      <c r="AR123" s="17">
        <f t="shared" si="22"/>
        <v>0</v>
      </c>
      <c r="AS123" s="23">
        <f t="shared" si="23"/>
        <v>0</v>
      </c>
      <c r="AT123">
        <f t="shared" si="24"/>
        <v>1900</v>
      </c>
      <c r="AU123" s="40" t="str">
        <f t="shared" si="25"/>
        <v>enero</v>
      </c>
      <c r="AV123">
        <f t="shared" si="26"/>
        <v>0</v>
      </c>
      <c r="AW123">
        <f t="shared" si="27"/>
        <v>0</v>
      </c>
      <c r="AX123" s="24">
        <f t="shared" si="28"/>
        <v>0</v>
      </c>
      <c r="AY123" s="24">
        <f t="shared" si="29"/>
        <v>0</v>
      </c>
      <c r="AZ123" s="24">
        <f t="shared" si="30"/>
        <v>0</v>
      </c>
      <c r="BA123">
        <f t="shared" si="31"/>
        <v>0</v>
      </c>
      <c r="BB123">
        <f t="shared" si="32"/>
        <v>0</v>
      </c>
      <c r="BC123" s="24">
        <f t="shared" si="33"/>
        <v>0</v>
      </c>
      <c r="BD123">
        <f t="shared" si="34"/>
        <v>0</v>
      </c>
    </row>
    <row r="124" spans="1:56" x14ac:dyDescent="0.3">
      <c r="A124">
        <f>'Entrada datos'!A34</f>
        <v>0</v>
      </c>
      <c r="B124">
        <f>'Entrada datos'!B34</f>
        <v>0</v>
      </c>
      <c r="C124">
        <f>'Entrada datos'!C34</f>
        <v>0</v>
      </c>
      <c r="D124">
        <f>'Entrada datos'!D34</f>
        <v>0</v>
      </c>
      <c r="E124" s="18">
        <f>'Entrada datos'!G34</f>
        <v>0</v>
      </c>
      <c r="F124" s="18">
        <f>'Entrada datos'!H34</f>
        <v>0</v>
      </c>
      <c r="G124">
        <f>'Entrada datos'!J34</f>
        <v>0</v>
      </c>
      <c r="H124">
        <f>'Entrada datos'!L34</f>
        <v>0</v>
      </c>
      <c r="I124">
        <f>'Entrada datos'!O34</f>
        <v>0</v>
      </c>
      <c r="J124">
        <f>'Entrada datos'!P34</f>
        <v>0</v>
      </c>
      <c r="K124">
        <f>'Entrada datos'!Q34</f>
        <v>0</v>
      </c>
      <c r="L124">
        <f>'Entrada datos'!R34</f>
        <v>0</v>
      </c>
      <c r="M124">
        <f>'Entrada datos'!S34</f>
        <v>0</v>
      </c>
      <c r="N124">
        <f>'Entrada datos'!T34</f>
        <v>0</v>
      </c>
      <c r="O124">
        <f>'Entrada datos'!U34</f>
        <v>0</v>
      </c>
      <c r="P124" s="17">
        <f t="shared" si="18"/>
        <v>0</v>
      </c>
      <c r="Q124">
        <f>'Entrada datos'!V34</f>
        <v>0</v>
      </c>
      <c r="R124">
        <f>'Entrada datos'!W34</f>
        <v>0</v>
      </c>
      <c r="S124">
        <f>'Entrada datos'!X34</f>
        <v>0</v>
      </c>
      <c r="T124">
        <f>'Entrada datos'!Y34</f>
        <v>0</v>
      </c>
      <c r="U124">
        <f>'Entrada datos'!Z34</f>
        <v>0</v>
      </c>
      <c r="V124">
        <f>'Entrada datos'!AA34</f>
        <v>0</v>
      </c>
      <c r="W124" s="17">
        <f t="shared" si="19"/>
        <v>0</v>
      </c>
      <c r="X124">
        <f>'Entrada datos'!AB34</f>
        <v>0</v>
      </c>
      <c r="Y124">
        <f>'Entrada datos'!AC34</f>
        <v>0</v>
      </c>
      <c r="Z124">
        <f>'Entrada datos'!AD34</f>
        <v>0</v>
      </c>
      <c r="AA124">
        <f>'Entrada datos'!AE34</f>
        <v>0</v>
      </c>
      <c r="AB124">
        <f>'Entrada datos'!AF34</f>
        <v>0</v>
      </c>
      <c r="AC124">
        <f>'Entrada datos'!AG34</f>
        <v>0</v>
      </c>
      <c r="AD124" s="17">
        <f t="shared" si="20"/>
        <v>0</v>
      </c>
      <c r="AE124">
        <f>'Entrada datos'!AH34</f>
        <v>0</v>
      </c>
      <c r="AF124">
        <f>'Entrada datos'!AI34</f>
        <v>0</v>
      </c>
      <c r="AG124">
        <f>'Entrada datos'!AJ34</f>
        <v>0</v>
      </c>
      <c r="AH124">
        <f>'Entrada datos'!AK34</f>
        <v>0</v>
      </c>
      <c r="AI124">
        <f>'Entrada datos'!AL34</f>
        <v>0</v>
      </c>
      <c r="AJ124">
        <f>'Entrada datos'!AM34</f>
        <v>0</v>
      </c>
      <c r="AK124" s="17">
        <f t="shared" si="21"/>
        <v>0</v>
      </c>
      <c r="AL124">
        <f>'Entrada datos'!AN34</f>
        <v>0</v>
      </c>
      <c r="AM124">
        <f>'Entrada datos'!AO34</f>
        <v>0</v>
      </c>
      <c r="AN124">
        <f>'Entrada datos'!AP34</f>
        <v>0</v>
      </c>
      <c r="AO124">
        <f>'Entrada datos'!AQ34</f>
        <v>0</v>
      </c>
      <c r="AP124">
        <f>'Entrada datos'!AR34</f>
        <v>0</v>
      </c>
      <c r="AQ124">
        <f>'Entrada datos'!AS34</f>
        <v>0</v>
      </c>
      <c r="AR124" s="17">
        <f t="shared" si="22"/>
        <v>0</v>
      </c>
      <c r="AS124" s="23">
        <f t="shared" si="23"/>
        <v>0</v>
      </c>
      <c r="AT124">
        <f t="shared" si="24"/>
        <v>1900</v>
      </c>
      <c r="AU124" s="40" t="str">
        <f t="shared" si="25"/>
        <v>enero</v>
      </c>
      <c r="AV124">
        <f t="shared" si="26"/>
        <v>0</v>
      </c>
      <c r="AW124">
        <f t="shared" si="27"/>
        <v>0</v>
      </c>
      <c r="AX124" s="24">
        <f t="shared" si="28"/>
        <v>0</v>
      </c>
      <c r="AY124" s="24">
        <f t="shared" si="29"/>
        <v>0</v>
      </c>
      <c r="AZ124" s="24">
        <f t="shared" si="30"/>
        <v>0</v>
      </c>
      <c r="BA124">
        <f t="shared" si="31"/>
        <v>0</v>
      </c>
      <c r="BB124">
        <f t="shared" si="32"/>
        <v>0</v>
      </c>
      <c r="BC124" s="24">
        <f t="shared" si="33"/>
        <v>0</v>
      </c>
      <c r="BD124">
        <f t="shared" si="34"/>
        <v>0</v>
      </c>
    </row>
    <row r="125" spans="1:56" x14ac:dyDescent="0.3">
      <c r="A125">
        <f>'Entrada datos'!A35</f>
        <v>0</v>
      </c>
      <c r="B125">
        <f>'Entrada datos'!B35</f>
        <v>0</v>
      </c>
      <c r="C125">
        <f>'Entrada datos'!C35</f>
        <v>0</v>
      </c>
      <c r="D125">
        <f>'Entrada datos'!D35</f>
        <v>0</v>
      </c>
      <c r="E125" s="18">
        <f>'Entrada datos'!G35</f>
        <v>0</v>
      </c>
      <c r="F125" s="18">
        <f>'Entrada datos'!H35</f>
        <v>0</v>
      </c>
      <c r="G125">
        <f>'Entrada datos'!J35</f>
        <v>0</v>
      </c>
      <c r="H125">
        <f>'Entrada datos'!L35</f>
        <v>0</v>
      </c>
      <c r="I125">
        <f>'Entrada datos'!O35</f>
        <v>0</v>
      </c>
      <c r="J125">
        <f>'Entrada datos'!P35</f>
        <v>0</v>
      </c>
      <c r="K125">
        <f>'Entrada datos'!Q35</f>
        <v>0</v>
      </c>
      <c r="L125">
        <f>'Entrada datos'!R35</f>
        <v>0</v>
      </c>
      <c r="M125">
        <f>'Entrada datos'!S35</f>
        <v>0</v>
      </c>
      <c r="N125">
        <f>'Entrada datos'!T35</f>
        <v>0</v>
      </c>
      <c r="O125">
        <f>'Entrada datos'!U35</f>
        <v>0</v>
      </c>
      <c r="P125" s="17">
        <f t="shared" si="18"/>
        <v>0</v>
      </c>
      <c r="Q125">
        <f>'Entrada datos'!V35</f>
        <v>0</v>
      </c>
      <c r="R125">
        <f>'Entrada datos'!W35</f>
        <v>0</v>
      </c>
      <c r="S125">
        <f>'Entrada datos'!X35</f>
        <v>0</v>
      </c>
      <c r="T125">
        <f>'Entrada datos'!Y35</f>
        <v>0</v>
      </c>
      <c r="U125">
        <f>'Entrada datos'!Z35</f>
        <v>0</v>
      </c>
      <c r="V125">
        <f>'Entrada datos'!AA35</f>
        <v>0</v>
      </c>
      <c r="W125" s="17">
        <f t="shared" si="19"/>
        <v>0</v>
      </c>
      <c r="X125">
        <f>'Entrada datos'!AB35</f>
        <v>0</v>
      </c>
      <c r="Y125">
        <f>'Entrada datos'!AC35</f>
        <v>0</v>
      </c>
      <c r="Z125">
        <f>'Entrada datos'!AD35</f>
        <v>0</v>
      </c>
      <c r="AA125">
        <f>'Entrada datos'!AE35</f>
        <v>0</v>
      </c>
      <c r="AB125">
        <f>'Entrada datos'!AF35</f>
        <v>0</v>
      </c>
      <c r="AC125">
        <f>'Entrada datos'!AG35</f>
        <v>0</v>
      </c>
      <c r="AD125" s="17">
        <f t="shared" si="20"/>
        <v>0</v>
      </c>
      <c r="AE125">
        <f>'Entrada datos'!AH35</f>
        <v>0</v>
      </c>
      <c r="AF125">
        <f>'Entrada datos'!AI35</f>
        <v>0</v>
      </c>
      <c r="AG125">
        <f>'Entrada datos'!AJ35</f>
        <v>0</v>
      </c>
      <c r="AH125">
        <f>'Entrada datos'!AK35</f>
        <v>0</v>
      </c>
      <c r="AI125">
        <f>'Entrada datos'!AL35</f>
        <v>0</v>
      </c>
      <c r="AJ125">
        <f>'Entrada datos'!AM35</f>
        <v>0</v>
      </c>
      <c r="AK125" s="17">
        <f t="shared" si="21"/>
        <v>0</v>
      </c>
      <c r="AL125">
        <f>'Entrada datos'!AN35</f>
        <v>0</v>
      </c>
      <c r="AM125">
        <f>'Entrada datos'!AO35</f>
        <v>0</v>
      </c>
      <c r="AN125">
        <f>'Entrada datos'!AP35</f>
        <v>0</v>
      </c>
      <c r="AO125">
        <f>'Entrada datos'!AQ35</f>
        <v>0</v>
      </c>
      <c r="AP125">
        <f>'Entrada datos'!AR35</f>
        <v>0</v>
      </c>
      <c r="AQ125">
        <f>'Entrada datos'!AS35</f>
        <v>0</v>
      </c>
      <c r="AR125" s="17">
        <f t="shared" si="22"/>
        <v>0</v>
      </c>
      <c r="AS125" s="23">
        <f t="shared" si="23"/>
        <v>0</v>
      </c>
      <c r="AT125">
        <f t="shared" si="24"/>
        <v>1900</v>
      </c>
      <c r="AU125" s="40" t="str">
        <f t="shared" si="25"/>
        <v>enero</v>
      </c>
      <c r="AV125">
        <f t="shared" si="26"/>
        <v>0</v>
      </c>
      <c r="AW125">
        <f t="shared" si="27"/>
        <v>0</v>
      </c>
      <c r="AX125" s="24">
        <f t="shared" si="28"/>
        <v>0</v>
      </c>
      <c r="AY125" s="24">
        <f t="shared" si="29"/>
        <v>0</v>
      </c>
      <c r="AZ125" s="24">
        <f t="shared" si="30"/>
        <v>0</v>
      </c>
      <c r="BA125">
        <f t="shared" si="31"/>
        <v>0</v>
      </c>
      <c r="BB125">
        <f t="shared" si="32"/>
        <v>0</v>
      </c>
      <c r="BC125" s="24">
        <f t="shared" si="33"/>
        <v>0</v>
      </c>
      <c r="BD125">
        <f t="shared" si="34"/>
        <v>0</v>
      </c>
    </row>
    <row r="126" spans="1:56" x14ac:dyDescent="0.3">
      <c r="A126">
        <f>'Entrada datos'!A36</f>
        <v>0</v>
      </c>
      <c r="B126">
        <f>'Entrada datos'!B36</f>
        <v>0</v>
      </c>
      <c r="C126">
        <f>'Entrada datos'!C36</f>
        <v>0</v>
      </c>
      <c r="D126">
        <f>'Entrada datos'!D36</f>
        <v>0</v>
      </c>
      <c r="E126" s="18">
        <f>'Entrada datos'!G36</f>
        <v>0</v>
      </c>
      <c r="F126" s="18">
        <f>'Entrada datos'!H36</f>
        <v>0</v>
      </c>
      <c r="G126">
        <f>'Entrada datos'!J36</f>
        <v>0</v>
      </c>
      <c r="H126">
        <f>'Entrada datos'!L36</f>
        <v>0</v>
      </c>
      <c r="I126">
        <f>'Entrada datos'!O36</f>
        <v>0</v>
      </c>
      <c r="J126">
        <f>'Entrada datos'!P36</f>
        <v>0</v>
      </c>
      <c r="K126">
        <f>'Entrada datos'!Q36</f>
        <v>0</v>
      </c>
      <c r="L126">
        <f>'Entrada datos'!R36</f>
        <v>0</v>
      </c>
      <c r="M126">
        <f>'Entrada datos'!S36</f>
        <v>0</v>
      </c>
      <c r="N126">
        <f>'Entrada datos'!T36</f>
        <v>0</v>
      </c>
      <c r="O126">
        <f>'Entrada datos'!U36</f>
        <v>0</v>
      </c>
      <c r="P126" s="17">
        <f t="shared" si="18"/>
        <v>0</v>
      </c>
      <c r="Q126">
        <f>'Entrada datos'!V36</f>
        <v>0</v>
      </c>
      <c r="R126">
        <f>'Entrada datos'!W36</f>
        <v>0</v>
      </c>
      <c r="S126">
        <f>'Entrada datos'!X36</f>
        <v>0</v>
      </c>
      <c r="T126">
        <f>'Entrada datos'!Y36</f>
        <v>0</v>
      </c>
      <c r="U126">
        <f>'Entrada datos'!Z36</f>
        <v>0</v>
      </c>
      <c r="V126">
        <f>'Entrada datos'!AA36</f>
        <v>0</v>
      </c>
      <c r="W126" s="17">
        <f t="shared" si="19"/>
        <v>0</v>
      </c>
      <c r="X126">
        <f>'Entrada datos'!AB36</f>
        <v>0</v>
      </c>
      <c r="Y126">
        <f>'Entrada datos'!AC36</f>
        <v>0</v>
      </c>
      <c r="Z126">
        <f>'Entrada datos'!AD36</f>
        <v>0</v>
      </c>
      <c r="AA126">
        <f>'Entrada datos'!AE36</f>
        <v>0</v>
      </c>
      <c r="AB126">
        <f>'Entrada datos'!AF36</f>
        <v>0</v>
      </c>
      <c r="AC126">
        <f>'Entrada datos'!AG36</f>
        <v>0</v>
      </c>
      <c r="AD126" s="17">
        <f t="shared" si="20"/>
        <v>0</v>
      </c>
      <c r="AE126">
        <f>'Entrada datos'!AH36</f>
        <v>0</v>
      </c>
      <c r="AF126">
        <f>'Entrada datos'!AI36</f>
        <v>0</v>
      </c>
      <c r="AG126">
        <f>'Entrada datos'!AJ36</f>
        <v>0</v>
      </c>
      <c r="AH126">
        <f>'Entrada datos'!AK36</f>
        <v>0</v>
      </c>
      <c r="AI126">
        <f>'Entrada datos'!AL36</f>
        <v>0</v>
      </c>
      <c r="AJ126">
        <f>'Entrada datos'!AM36</f>
        <v>0</v>
      </c>
      <c r="AK126" s="17">
        <f t="shared" si="21"/>
        <v>0</v>
      </c>
      <c r="AL126">
        <f>'Entrada datos'!AN36</f>
        <v>0</v>
      </c>
      <c r="AM126">
        <f>'Entrada datos'!AO36</f>
        <v>0</v>
      </c>
      <c r="AN126">
        <f>'Entrada datos'!AP36</f>
        <v>0</v>
      </c>
      <c r="AO126">
        <f>'Entrada datos'!AQ36</f>
        <v>0</v>
      </c>
      <c r="AP126">
        <f>'Entrada datos'!AR36</f>
        <v>0</v>
      </c>
      <c r="AQ126">
        <f>'Entrada datos'!AS36</f>
        <v>0</v>
      </c>
      <c r="AR126" s="17">
        <f t="shared" si="22"/>
        <v>0</v>
      </c>
      <c r="AS126" s="23">
        <f t="shared" si="23"/>
        <v>0</v>
      </c>
      <c r="AT126">
        <f t="shared" si="24"/>
        <v>1900</v>
      </c>
      <c r="AU126" s="40" t="str">
        <f t="shared" si="25"/>
        <v>enero</v>
      </c>
      <c r="AV126">
        <f t="shared" si="26"/>
        <v>0</v>
      </c>
      <c r="AW126">
        <f t="shared" si="27"/>
        <v>0</v>
      </c>
      <c r="AX126" s="24">
        <f t="shared" si="28"/>
        <v>0</v>
      </c>
      <c r="AY126" s="24">
        <f t="shared" si="29"/>
        <v>0</v>
      </c>
      <c r="AZ126" s="24">
        <f t="shared" si="30"/>
        <v>0</v>
      </c>
      <c r="BA126">
        <f t="shared" si="31"/>
        <v>0</v>
      </c>
      <c r="BB126">
        <f t="shared" si="32"/>
        <v>0</v>
      </c>
      <c r="BC126" s="24">
        <f t="shared" si="33"/>
        <v>0</v>
      </c>
      <c r="BD126">
        <f t="shared" si="34"/>
        <v>0</v>
      </c>
    </row>
    <row r="127" spans="1:56" x14ac:dyDescent="0.3">
      <c r="A127">
        <f>'Entrada datos'!A37</f>
        <v>0</v>
      </c>
      <c r="B127">
        <f>'Entrada datos'!B37</f>
        <v>0</v>
      </c>
      <c r="C127">
        <f>'Entrada datos'!C37</f>
        <v>0</v>
      </c>
      <c r="D127">
        <f>'Entrada datos'!D37</f>
        <v>0</v>
      </c>
      <c r="E127" s="18">
        <f>'Entrada datos'!G37</f>
        <v>0</v>
      </c>
      <c r="F127" s="18">
        <f>'Entrada datos'!H37</f>
        <v>0</v>
      </c>
      <c r="G127">
        <f>'Entrada datos'!J37</f>
        <v>0</v>
      </c>
      <c r="H127">
        <f>'Entrada datos'!L37</f>
        <v>0</v>
      </c>
      <c r="I127">
        <f>'Entrada datos'!O37</f>
        <v>0</v>
      </c>
      <c r="J127">
        <f>'Entrada datos'!P37</f>
        <v>0</v>
      </c>
      <c r="K127">
        <f>'Entrada datos'!Q37</f>
        <v>0</v>
      </c>
      <c r="L127">
        <f>'Entrada datos'!R37</f>
        <v>0</v>
      </c>
      <c r="M127">
        <f>'Entrada datos'!S37</f>
        <v>0</v>
      </c>
      <c r="N127">
        <f>'Entrada datos'!T37</f>
        <v>0</v>
      </c>
      <c r="O127">
        <f>'Entrada datos'!U37</f>
        <v>0</v>
      </c>
      <c r="P127" s="17">
        <f t="shared" si="18"/>
        <v>0</v>
      </c>
      <c r="Q127">
        <f>'Entrada datos'!V37</f>
        <v>0</v>
      </c>
      <c r="R127">
        <f>'Entrada datos'!W37</f>
        <v>0</v>
      </c>
      <c r="S127">
        <f>'Entrada datos'!X37</f>
        <v>0</v>
      </c>
      <c r="T127">
        <f>'Entrada datos'!Y37</f>
        <v>0</v>
      </c>
      <c r="U127">
        <f>'Entrada datos'!Z37</f>
        <v>0</v>
      </c>
      <c r="V127">
        <f>'Entrada datos'!AA37</f>
        <v>0</v>
      </c>
      <c r="W127" s="17">
        <f t="shared" si="19"/>
        <v>0</v>
      </c>
      <c r="X127">
        <f>'Entrada datos'!AB37</f>
        <v>0</v>
      </c>
      <c r="Y127">
        <f>'Entrada datos'!AC37</f>
        <v>0</v>
      </c>
      <c r="Z127">
        <f>'Entrada datos'!AD37</f>
        <v>0</v>
      </c>
      <c r="AA127">
        <f>'Entrada datos'!AE37</f>
        <v>0</v>
      </c>
      <c r="AB127">
        <f>'Entrada datos'!AF37</f>
        <v>0</v>
      </c>
      <c r="AC127">
        <f>'Entrada datos'!AG37</f>
        <v>0</v>
      </c>
      <c r="AD127" s="17">
        <f t="shared" si="20"/>
        <v>0</v>
      </c>
      <c r="AE127">
        <f>'Entrada datos'!AH37</f>
        <v>0</v>
      </c>
      <c r="AF127">
        <f>'Entrada datos'!AI37</f>
        <v>0</v>
      </c>
      <c r="AG127">
        <f>'Entrada datos'!AJ37</f>
        <v>0</v>
      </c>
      <c r="AH127">
        <f>'Entrada datos'!AK37</f>
        <v>0</v>
      </c>
      <c r="AI127">
        <f>'Entrada datos'!AL37</f>
        <v>0</v>
      </c>
      <c r="AJ127">
        <f>'Entrada datos'!AM37</f>
        <v>0</v>
      </c>
      <c r="AK127" s="17">
        <f t="shared" si="21"/>
        <v>0</v>
      </c>
      <c r="AL127">
        <f>'Entrada datos'!AN37</f>
        <v>0</v>
      </c>
      <c r="AM127">
        <f>'Entrada datos'!AO37</f>
        <v>0</v>
      </c>
      <c r="AN127">
        <f>'Entrada datos'!AP37</f>
        <v>0</v>
      </c>
      <c r="AO127">
        <f>'Entrada datos'!AQ37</f>
        <v>0</v>
      </c>
      <c r="AP127">
        <f>'Entrada datos'!AR37</f>
        <v>0</v>
      </c>
      <c r="AQ127">
        <f>'Entrada datos'!AS37</f>
        <v>0</v>
      </c>
      <c r="AR127" s="17">
        <f t="shared" si="22"/>
        <v>0</v>
      </c>
      <c r="AS127" s="23">
        <f t="shared" si="23"/>
        <v>0</v>
      </c>
      <c r="AT127">
        <f t="shared" si="24"/>
        <v>1900</v>
      </c>
      <c r="AU127" s="40" t="str">
        <f t="shared" si="25"/>
        <v>enero</v>
      </c>
      <c r="AV127">
        <f t="shared" si="26"/>
        <v>0</v>
      </c>
      <c r="AW127">
        <f t="shared" si="27"/>
        <v>0</v>
      </c>
      <c r="AX127" s="24">
        <f t="shared" si="28"/>
        <v>0</v>
      </c>
      <c r="AY127" s="24">
        <f t="shared" si="29"/>
        <v>0</v>
      </c>
      <c r="AZ127" s="24">
        <f t="shared" si="30"/>
        <v>0</v>
      </c>
      <c r="BA127">
        <f t="shared" si="31"/>
        <v>0</v>
      </c>
      <c r="BB127">
        <f t="shared" si="32"/>
        <v>0</v>
      </c>
      <c r="BC127" s="24">
        <f t="shared" si="33"/>
        <v>0</v>
      </c>
      <c r="BD127">
        <f t="shared" si="34"/>
        <v>0</v>
      </c>
    </row>
    <row r="128" spans="1:56" x14ac:dyDescent="0.3">
      <c r="A128">
        <f>'Entrada datos'!A38</f>
        <v>0</v>
      </c>
      <c r="B128">
        <f>'Entrada datos'!B38</f>
        <v>0</v>
      </c>
      <c r="C128">
        <f>'Entrada datos'!C38</f>
        <v>0</v>
      </c>
      <c r="D128">
        <f>'Entrada datos'!D38</f>
        <v>0</v>
      </c>
      <c r="E128" s="18">
        <f>'Entrada datos'!G38</f>
        <v>0</v>
      </c>
      <c r="F128" s="18">
        <f>'Entrada datos'!H38</f>
        <v>0</v>
      </c>
      <c r="G128">
        <f>'Entrada datos'!J38</f>
        <v>0</v>
      </c>
      <c r="H128">
        <f>'Entrada datos'!L38</f>
        <v>0</v>
      </c>
      <c r="I128">
        <f>'Entrada datos'!O38</f>
        <v>0</v>
      </c>
      <c r="J128">
        <f>'Entrada datos'!P38</f>
        <v>0</v>
      </c>
      <c r="K128">
        <f>'Entrada datos'!Q38</f>
        <v>0</v>
      </c>
      <c r="L128">
        <f>'Entrada datos'!R38</f>
        <v>0</v>
      </c>
      <c r="M128">
        <f>'Entrada datos'!S38</f>
        <v>0</v>
      </c>
      <c r="N128">
        <f>'Entrada datos'!T38</f>
        <v>0</v>
      </c>
      <c r="O128">
        <f>'Entrada datos'!U38</f>
        <v>0</v>
      </c>
      <c r="P128" s="17">
        <f t="shared" si="18"/>
        <v>0</v>
      </c>
      <c r="Q128">
        <f>'Entrada datos'!V38</f>
        <v>0</v>
      </c>
      <c r="R128">
        <f>'Entrada datos'!W38</f>
        <v>0</v>
      </c>
      <c r="S128">
        <f>'Entrada datos'!X38</f>
        <v>0</v>
      </c>
      <c r="T128">
        <f>'Entrada datos'!Y38</f>
        <v>0</v>
      </c>
      <c r="U128">
        <f>'Entrada datos'!Z38</f>
        <v>0</v>
      </c>
      <c r="V128">
        <f>'Entrada datos'!AA38</f>
        <v>0</v>
      </c>
      <c r="W128" s="17">
        <f t="shared" si="19"/>
        <v>0</v>
      </c>
      <c r="X128">
        <f>'Entrada datos'!AB38</f>
        <v>0</v>
      </c>
      <c r="Y128">
        <f>'Entrada datos'!AC38</f>
        <v>0</v>
      </c>
      <c r="Z128">
        <f>'Entrada datos'!AD38</f>
        <v>0</v>
      </c>
      <c r="AA128">
        <f>'Entrada datos'!AE38</f>
        <v>0</v>
      </c>
      <c r="AB128">
        <f>'Entrada datos'!AF38</f>
        <v>0</v>
      </c>
      <c r="AC128">
        <f>'Entrada datos'!AG38</f>
        <v>0</v>
      </c>
      <c r="AD128" s="17">
        <f t="shared" si="20"/>
        <v>0</v>
      </c>
      <c r="AE128">
        <f>'Entrada datos'!AH38</f>
        <v>0</v>
      </c>
      <c r="AF128">
        <f>'Entrada datos'!AI38</f>
        <v>0</v>
      </c>
      <c r="AG128">
        <f>'Entrada datos'!AJ38</f>
        <v>0</v>
      </c>
      <c r="AH128">
        <f>'Entrada datos'!AK38</f>
        <v>0</v>
      </c>
      <c r="AI128">
        <f>'Entrada datos'!AL38</f>
        <v>0</v>
      </c>
      <c r="AJ128">
        <f>'Entrada datos'!AM38</f>
        <v>0</v>
      </c>
      <c r="AK128" s="17">
        <f t="shared" si="21"/>
        <v>0</v>
      </c>
      <c r="AL128">
        <f>'Entrada datos'!AN38</f>
        <v>0</v>
      </c>
      <c r="AM128">
        <f>'Entrada datos'!AO38</f>
        <v>0</v>
      </c>
      <c r="AN128">
        <f>'Entrada datos'!AP38</f>
        <v>0</v>
      </c>
      <c r="AO128">
        <f>'Entrada datos'!AQ38</f>
        <v>0</v>
      </c>
      <c r="AP128">
        <f>'Entrada datos'!AR38</f>
        <v>0</v>
      </c>
      <c r="AQ128">
        <f>'Entrada datos'!AS38</f>
        <v>0</v>
      </c>
      <c r="AR128" s="17">
        <f t="shared" si="22"/>
        <v>0</v>
      </c>
      <c r="AS128" s="23">
        <f t="shared" si="23"/>
        <v>0</v>
      </c>
      <c r="AT128">
        <f t="shared" si="24"/>
        <v>1900</v>
      </c>
      <c r="AU128" s="40" t="str">
        <f t="shared" si="25"/>
        <v>enero</v>
      </c>
      <c r="AV128">
        <f t="shared" si="26"/>
        <v>0</v>
      </c>
      <c r="AW128">
        <f t="shared" si="27"/>
        <v>0</v>
      </c>
      <c r="AX128" s="24">
        <f t="shared" si="28"/>
        <v>0</v>
      </c>
      <c r="AY128" s="24">
        <f t="shared" si="29"/>
        <v>0</v>
      </c>
      <c r="AZ128" s="24">
        <f t="shared" si="30"/>
        <v>0</v>
      </c>
      <c r="BA128">
        <f t="shared" si="31"/>
        <v>0</v>
      </c>
      <c r="BB128">
        <f t="shared" si="32"/>
        <v>0</v>
      </c>
      <c r="BC128" s="24">
        <f t="shared" si="33"/>
        <v>0</v>
      </c>
      <c r="BD128">
        <f t="shared" si="34"/>
        <v>0</v>
      </c>
    </row>
    <row r="129" spans="1:56" x14ac:dyDescent="0.3">
      <c r="A129">
        <f>'Entrada datos'!A39</f>
        <v>0</v>
      </c>
      <c r="B129">
        <f>'Entrada datos'!B39</f>
        <v>0</v>
      </c>
      <c r="C129">
        <f>'Entrada datos'!C39</f>
        <v>0</v>
      </c>
      <c r="D129">
        <f>'Entrada datos'!D39</f>
        <v>0</v>
      </c>
      <c r="E129" s="18">
        <f>'Entrada datos'!G39</f>
        <v>0</v>
      </c>
      <c r="F129" s="18">
        <f>'Entrada datos'!H39</f>
        <v>0</v>
      </c>
      <c r="G129">
        <f>'Entrada datos'!J39</f>
        <v>0</v>
      </c>
      <c r="H129">
        <f>'Entrada datos'!L39</f>
        <v>0</v>
      </c>
      <c r="I129">
        <f>'Entrada datos'!O39</f>
        <v>0</v>
      </c>
      <c r="J129">
        <f>'Entrada datos'!P39</f>
        <v>0</v>
      </c>
      <c r="K129">
        <f>'Entrada datos'!Q39</f>
        <v>0</v>
      </c>
      <c r="L129">
        <f>'Entrada datos'!R39</f>
        <v>0</v>
      </c>
      <c r="M129">
        <f>'Entrada datos'!S39</f>
        <v>0</v>
      </c>
      <c r="N129">
        <f>'Entrada datos'!T39</f>
        <v>0</v>
      </c>
      <c r="O129">
        <f>'Entrada datos'!U39</f>
        <v>0</v>
      </c>
      <c r="P129" s="17">
        <f t="shared" si="18"/>
        <v>0</v>
      </c>
      <c r="Q129">
        <f>'Entrada datos'!V39</f>
        <v>0</v>
      </c>
      <c r="R129">
        <f>'Entrada datos'!W39</f>
        <v>0</v>
      </c>
      <c r="S129">
        <f>'Entrada datos'!X39</f>
        <v>0</v>
      </c>
      <c r="T129">
        <f>'Entrada datos'!Y39</f>
        <v>0</v>
      </c>
      <c r="U129">
        <f>'Entrada datos'!Z39</f>
        <v>0</v>
      </c>
      <c r="V129">
        <f>'Entrada datos'!AA39</f>
        <v>0</v>
      </c>
      <c r="W129" s="17">
        <f t="shared" si="19"/>
        <v>0</v>
      </c>
      <c r="X129">
        <f>'Entrada datos'!AB39</f>
        <v>0</v>
      </c>
      <c r="Y129">
        <f>'Entrada datos'!AC39</f>
        <v>0</v>
      </c>
      <c r="Z129">
        <f>'Entrada datos'!AD39</f>
        <v>0</v>
      </c>
      <c r="AA129">
        <f>'Entrada datos'!AE39</f>
        <v>0</v>
      </c>
      <c r="AB129">
        <f>'Entrada datos'!AF39</f>
        <v>0</v>
      </c>
      <c r="AC129">
        <f>'Entrada datos'!AG39</f>
        <v>0</v>
      </c>
      <c r="AD129" s="17">
        <f t="shared" si="20"/>
        <v>0</v>
      </c>
      <c r="AE129">
        <f>'Entrada datos'!AH39</f>
        <v>0</v>
      </c>
      <c r="AF129">
        <f>'Entrada datos'!AI39</f>
        <v>0</v>
      </c>
      <c r="AG129">
        <f>'Entrada datos'!AJ39</f>
        <v>0</v>
      </c>
      <c r="AH129">
        <f>'Entrada datos'!AK39</f>
        <v>0</v>
      </c>
      <c r="AI129">
        <f>'Entrada datos'!AL39</f>
        <v>0</v>
      </c>
      <c r="AJ129">
        <f>'Entrada datos'!AM39</f>
        <v>0</v>
      </c>
      <c r="AK129" s="17">
        <f t="shared" si="21"/>
        <v>0</v>
      </c>
      <c r="AL129">
        <f>'Entrada datos'!AN39</f>
        <v>0</v>
      </c>
      <c r="AM129">
        <f>'Entrada datos'!AO39</f>
        <v>0</v>
      </c>
      <c r="AN129">
        <f>'Entrada datos'!AP39</f>
        <v>0</v>
      </c>
      <c r="AO129">
        <f>'Entrada datos'!AQ39</f>
        <v>0</v>
      </c>
      <c r="AP129">
        <f>'Entrada datos'!AR39</f>
        <v>0</v>
      </c>
      <c r="AQ129">
        <f>'Entrada datos'!AS39</f>
        <v>0</v>
      </c>
      <c r="AR129" s="17">
        <f t="shared" si="22"/>
        <v>0</v>
      </c>
      <c r="AS129" s="23">
        <f t="shared" si="23"/>
        <v>0</v>
      </c>
      <c r="AT129">
        <f t="shared" si="24"/>
        <v>1900</v>
      </c>
      <c r="AU129" s="40" t="str">
        <f t="shared" si="25"/>
        <v>enero</v>
      </c>
      <c r="AV129">
        <f t="shared" si="26"/>
        <v>0</v>
      </c>
      <c r="AW129">
        <f t="shared" si="27"/>
        <v>0</v>
      </c>
      <c r="AX129" s="24">
        <f t="shared" si="28"/>
        <v>0</v>
      </c>
      <c r="AY129" s="24">
        <f t="shared" si="29"/>
        <v>0</v>
      </c>
      <c r="AZ129" s="24">
        <f t="shared" si="30"/>
        <v>0</v>
      </c>
      <c r="BA129">
        <f t="shared" si="31"/>
        <v>0</v>
      </c>
      <c r="BB129">
        <f t="shared" si="32"/>
        <v>0</v>
      </c>
      <c r="BC129" s="24">
        <f t="shared" si="33"/>
        <v>0</v>
      </c>
      <c r="BD129">
        <f t="shared" si="34"/>
        <v>0</v>
      </c>
    </row>
    <row r="130" spans="1:56" x14ac:dyDescent="0.3">
      <c r="A130">
        <f>'Entrada datos'!A40</f>
        <v>0</v>
      </c>
      <c r="B130">
        <f>'Entrada datos'!B40</f>
        <v>0</v>
      </c>
      <c r="C130">
        <f>'Entrada datos'!C40</f>
        <v>0</v>
      </c>
      <c r="D130">
        <f>'Entrada datos'!D40</f>
        <v>0</v>
      </c>
      <c r="E130" s="18">
        <f>'Entrada datos'!G40</f>
        <v>0</v>
      </c>
      <c r="F130" s="18">
        <f>'Entrada datos'!H40</f>
        <v>0</v>
      </c>
      <c r="G130">
        <f>'Entrada datos'!J40</f>
        <v>0</v>
      </c>
      <c r="H130">
        <f>'Entrada datos'!L40</f>
        <v>0</v>
      </c>
      <c r="I130">
        <f>'Entrada datos'!O40</f>
        <v>0</v>
      </c>
      <c r="J130">
        <f>'Entrada datos'!P40</f>
        <v>0</v>
      </c>
      <c r="K130">
        <f>'Entrada datos'!Q40</f>
        <v>0</v>
      </c>
      <c r="L130">
        <f>'Entrada datos'!R40</f>
        <v>0</v>
      </c>
      <c r="M130">
        <f>'Entrada datos'!S40</f>
        <v>0</v>
      </c>
      <c r="N130">
        <f>'Entrada datos'!T40</f>
        <v>0</v>
      </c>
      <c r="O130">
        <f>'Entrada datos'!U40</f>
        <v>0</v>
      </c>
      <c r="P130" s="17">
        <f t="shared" si="18"/>
        <v>0</v>
      </c>
      <c r="Q130">
        <f>'Entrada datos'!V40</f>
        <v>0</v>
      </c>
      <c r="R130">
        <f>'Entrada datos'!W40</f>
        <v>0</v>
      </c>
      <c r="S130">
        <f>'Entrada datos'!X40</f>
        <v>0</v>
      </c>
      <c r="T130">
        <f>'Entrada datos'!Y40</f>
        <v>0</v>
      </c>
      <c r="U130">
        <f>'Entrada datos'!Z40</f>
        <v>0</v>
      </c>
      <c r="V130">
        <f>'Entrada datos'!AA40</f>
        <v>0</v>
      </c>
      <c r="W130" s="17">
        <f t="shared" si="19"/>
        <v>0</v>
      </c>
      <c r="X130">
        <f>'Entrada datos'!AB40</f>
        <v>0</v>
      </c>
      <c r="Y130">
        <f>'Entrada datos'!AC40</f>
        <v>0</v>
      </c>
      <c r="Z130">
        <f>'Entrada datos'!AD40</f>
        <v>0</v>
      </c>
      <c r="AA130">
        <f>'Entrada datos'!AE40</f>
        <v>0</v>
      </c>
      <c r="AB130">
        <f>'Entrada datos'!AF40</f>
        <v>0</v>
      </c>
      <c r="AC130">
        <f>'Entrada datos'!AG40</f>
        <v>0</v>
      </c>
      <c r="AD130" s="17">
        <f t="shared" si="20"/>
        <v>0</v>
      </c>
      <c r="AE130">
        <f>'Entrada datos'!AH40</f>
        <v>0</v>
      </c>
      <c r="AF130">
        <f>'Entrada datos'!AI40</f>
        <v>0</v>
      </c>
      <c r="AG130">
        <f>'Entrada datos'!AJ40</f>
        <v>0</v>
      </c>
      <c r="AH130">
        <f>'Entrada datos'!AK40</f>
        <v>0</v>
      </c>
      <c r="AI130">
        <f>'Entrada datos'!AL40</f>
        <v>0</v>
      </c>
      <c r="AJ130">
        <f>'Entrada datos'!AM40</f>
        <v>0</v>
      </c>
      <c r="AK130" s="17">
        <f t="shared" si="21"/>
        <v>0</v>
      </c>
      <c r="AL130">
        <f>'Entrada datos'!AN40</f>
        <v>0</v>
      </c>
      <c r="AM130">
        <f>'Entrada datos'!AO40</f>
        <v>0</v>
      </c>
      <c r="AN130">
        <f>'Entrada datos'!AP40</f>
        <v>0</v>
      </c>
      <c r="AO130">
        <f>'Entrada datos'!AQ40</f>
        <v>0</v>
      </c>
      <c r="AP130">
        <f>'Entrada datos'!AR40</f>
        <v>0</v>
      </c>
      <c r="AQ130">
        <f>'Entrada datos'!AS40</f>
        <v>0</v>
      </c>
      <c r="AR130" s="17">
        <f t="shared" si="22"/>
        <v>0</v>
      </c>
      <c r="AS130" s="23">
        <f t="shared" si="23"/>
        <v>0</v>
      </c>
      <c r="AT130">
        <f t="shared" si="24"/>
        <v>1900</v>
      </c>
      <c r="AU130" s="40" t="str">
        <f t="shared" si="25"/>
        <v>enero</v>
      </c>
      <c r="AV130">
        <f t="shared" si="26"/>
        <v>0</v>
      </c>
      <c r="AW130">
        <f t="shared" si="27"/>
        <v>0</v>
      </c>
      <c r="AX130" s="24">
        <f t="shared" si="28"/>
        <v>0</v>
      </c>
      <c r="AY130" s="24">
        <f t="shared" si="29"/>
        <v>0</v>
      </c>
      <c r="AZ130" s="24">
        <f t="shared" si="30"/>
        <v>0</v>
      </c>
      <c r="BA130">
        <f t="shared" si="31"/>
        <v>0</v>
      </c>
      <c r="BB130">
        <f t="shared" si="32"/>
        <v>0</v>
      </c>
      <c r="BC130" s="24">
        <f t="shared" si="33"/>
        <v>0</v>
      </c>
      <c r="BD130">
        <f t="shared" si="34"/>
        <v>0</v>
      </c>
    </row>
    <row r="131" spans="1:56" x14ac:dyDescent="0.3">
      <c r="A131">
        <f>'Entrada datos'!A41</f>
        <v>0</v>
      </c>
      <c r="B131">
        <f>'Entrada datos'!B41</f>
        <v>0</v>
      </c>
      <c r="C131">
        <f>'Entrada datos'!C41</f>
        <v>0</v>
      </c>
      <c r="D131">
        <f>'Entrada datos'!D41</f>
        <v>0</v>
      </c>
      <c r="E131" s="18">
        <f>'Entrada datos'!G41</f>
        <v>0</v>
      </c>
      <c r="F131" s="18">
        <f>'Entrada datos'!H41</f>
        <v>0</v>
      </c>
      <c r="G131">
        <f>'Entrada datos'!J41</f>
        <v>0</v>
      </c>
      <c r="H131">
        <f>'Entrada datos'!L41</f>
        <v>0</v>
      </c>
      <c r="I131">
        <f>'Entrada datos'!O41</f>
        <v>0</v>
      </c>
      <c r="J131">
        <f>'Entrada datos'!P41</f>
        <v>0</v>
      </c>
      <c r="K131">
        <f>'Entrada datos'!Q41</f>
        <v>0</v>
      </c>
      <c r="L131">
        <f>'Entrada datos'!R41</f>
        <v>0</v>
      </c>
      <c r="M131">
        <f>'Entrada datos'!S41</f>
        <v>0</v>
      </c>
      <c r="N131">
        <f>'Entrada datos'!T41</f>
        <v>0</v>
      </c>
      <c r="O131">
        <f>'Entrada datos'!U41</f>
        <v>0</v>
      </c>
      <c r="P131" s="17">
        <f t="shared" ref="P131:P194" si="35">SUM(J131:O131)</f>
        <v>0</v>
      </c>
      <c r="Q131">
        <f>'Entrada datos'!V41</f>
        <v>0</v>
      </c>
      <c r="R131">
        <f>'Entrada datos'!W41</f>
        <v>0</v>
      </c>
      <c r="S131">
        <f>'Entrada datos'!X41</f>
        <v>0</v>
      </c>
      <c r="T131">
        <f>'Entrada datos'!Y41</f>
        <v>0</v>
      </c>
      <c r="U131">
        <f>'Entrada datos'!Z41</f>
        <v>0</v>
      </c>
      <c r="V131">
        <f>'Entrada datos'!AA41</f>
        <v>0</v>
      </c>
      <c r="W131" s="17">
        <f t="shared" ref="W131:W194" si="36">SUM(Q131:V131)</f>
        <v>0</v>
      </c>
      <c r="X131">
        <f>'Entrada datos'!AB41</f>
        <v>0</v>
      </c>
      <c r="Y131">
        <f>'Entrada datos'!AC41</f>
        <v>0</v>
      </c>
      <c r="Z131">
        <f>'Entrada datos'!AD41</f>
        <v>0</v>
      </c>
      <c r="AA131">
        <f>'Entrada datos'!AE41</f>
        <v>0</v>
      </c>
      <c r="AB131">
        <f>'Entrada datos'!AF41</f>
        <v>0</v>
      </c>
      <c r="AC131">
        <f>'Entrada datos'!AG41</f>
        <v>0</v>
      </c>
      <c r="AD131" s="17">
        <f t="shared" ref="AD131:AD194" si="37">SUM(X131:AC131)</f>
        <v>0</v>
      </c>
      <c r="AE131">
        <f>'Entrada datos'!AH41</f>
        <v>0</v>
      </c>
      <c r="AF131">
        <f>'Entrada datos'!AI41</f>
        <v>0</v>
      </c>
      <c r="AG131">
        <f>'Entrada datos'!AJ41</f>
        <v>0</v>
      </c>
      <c r="AH131">
        <f>'Entrada datos'!AK41</f>
        <v>0</v>
      </c>
      <c r="AI131">
        <f>'Entrada datos'!AL41</f>
        <v>0</v>
      </c>
      <c r="AJ131">
        <f>'Entrada datos'!AM41</f>
        <v>0</v>
      </c>
      <c r="AK131" s="17">
        <f t="shared" ref="AK131:AK194" si="38">SUM(AE131:AJ131)</f>
        <v>0</v>
      </c>
      <c r="AL131">
        <f>'Entrada datos'!AN41</f>
        <v>0</v>
      </c>
      <c r="AM131">
        <f>'Entrada datos'!AO41</f>
        <v>0</v>
      </c>
      <c r="AN131">
        <f>'Entrada datos'!AP41</f>
        <v>0</v>
      </c>
      <c r="AO131">
        <f>'Entrada datos'!AQ41</f>
        <v>0</v>
      </c>
      <c r="AP131">
        <f>'Entrada datos'!AR41</f>
        <v>0</v>
      </c>
      <c r="AQ131">
        <f>'Entrada datos'!AS41</f>
        <v>0</v>
      </c>
      <c r="AR131" s="17">
        <f t="shared" ref="AR131:AR194" si="39">MAX(AL131:AQ131)</f>
        <v>0</v>
      </c>
      <c r="AS131" s="23">
        <f t="shared" ref="AS131:AS194" si="40">IF(AR131&gt;900,AR131/1000,AR131)</f>
        <v>0</v>
      </c>
      <c r="AT131">
        <f t="shared" ref="AT131:AT194" si="41">YEAR(E131)</f>
        <v>1900</v>
      </c>
      <c r="AU131" s="40" t="str">
        <f t="shared" ref="AU131:AU194" si="42">TEXT(E131,"mmmm")</f>
        <v>enero</v>
      </c>
      <c r="AV131">
        <f t="shared" ref="AV131:AV194" si="43">SUM(AD131,P131)</f>
        <v>0</v>
      </c>
      <c r="AW131">
        <f t="shared" ref="AW131:AW194" si="44">F131-E131</f>
        <v>0</v>
      </c>
      <c r="AX131" s="24">
        <f t="shared" ref="AX131:AX194" si="45">IFERROR(P131/AW131,0)</f>
        <v>0</v>
      </c>
      <c r="AY131" s="24">
        <f t="shared" ref="AY131:AY194" si="46">IFERROR(AV131/AW131,0)</f>
        <v>0</v>
      </c>
      <c r="AZ131" s="24">
        <f t="shared" ref="AZ131:AZ194" si="47">AY131-AX131</f>
        <v>0</v>
      </c>
      <c r="BA131">
        <f t="shared" ref="BA131:BA194" si="48">P131+AK131</f>
        <v>0</v>
      </c>
      <c r="BB131">
        <f t="shared" ref="BB131:BB194" si="49">IFERROR(BA131/AW131,0)</f>
        <v>0</v>
      </c>
      <c r="BC131" s="24">
        <f t="shared" ref="BC131:BC194" si="50">IFERROR(BB131-AX131,0)</f>
        <v>0</v>
      </c>
      <c r="BD131">
        <f t="shared" ref="BD131:BD194" si="51">P131+AD131+AK131</f>
        <v>0</v>
      </c>
    </row>
    <row r="132" spans="1:56" x14ac:dyDescent="0.3">
      <c r="A132">
        <f>'Entrada datos'!A42</f>
        <v>0</v>
      </c>
      <c r="B132">
        <f>'Entrada datos'!B42</f>
        <v>0</v>
      </c>
      <c r="C132">
        <f>'Entrada datos'!C42</f>
        <v>0</v>
      </c>
      <c r="D132">
        <f>'Entrada datos'!D42</f>
        <v>0</v>
      </c>
      <c r="E132" s="18">
        <f>'Entrada datos'!G42</f>
        <v>0</v>
      </c>
      <c r="F132" s="18">
        <f>'Entrada datos'!H42</f>
        <v>0</v>
      </c>
      <c r="G132">
        <f>'Entrada datos'!J42</f>
        <v>0</v>
      </c>
      <c r="H132">
        <f>'Entrada datos'!L42</f>
        <v>0</v>
      </c>
      <c r="I132">
        <f>'Entrada datos'!O42</f>
        <v>0</v>
      </c>
      <c r="J132">
        <f>'Entrada datos'!P42</f>
        <v>0</v>
      </c>
      <c r="K132">
        <f>'Entrada datos'!Q42</f>
        <v>0</v>
      </c>
      <c r="L132">
        <f>'Entrada datos'!R42</f>
        <v>0</v>
      </c>
      <c r="M132">
        <f>'Entrada datos'!S42</f>
        <v>0</v>
      </c>
      <c r="N132">
        <f>'Entrada datos'!T42</f>
        <v>0</v>
      </c>
      <c r="O132">
        <f>'Entrada datos'!U42</f>
        <v>0</v>
      </c>
      <c r="P132" s="17">
        <f t="shared" si="35"/>
        <v>0</v>
      </c>
      <c r="Q132">
        <f>'Entrada datos'!V42</f>
        <v>0</v>
      </c>
      <c r="R132">
        <f>'Entrada datos'!W42</f>
        <v>0</v>
      </c>
      <c r="S132">
        <f>'Entrada datos'!X42</f>
        <v>0</v>
      </c>
      <c r="T132">
        <f>'Entrada datos'!Y42</f>
        <v>0</v>
      </c>
      <c r="U132">
        <f>'Entrada datos'!Z42</f>
        <v>0</v>
      </c>
      <c r="V132">
        <f>'Entrada datos'!AA42</f>
        <v>0</v>
      </c>
      <c r="W132" s="17">
        <f t="shared" si="36"/>
        <v>0</v>
      </c>
      <c r="X132">
        <f>'Entrada datos'!AB42</f>
        <v>0</v>
      </c>
      <c r="Y132">
        <f>'Entrada datos'!AC42</f>
        <v>0</v>
      </c>
      <c r="Z132">
        <f>'Entrada datos'!AD42</f>
        <v>0</v>
      </c>
      <c r="AA132">
        <f>'Entrada datos'!AE42</f>
        <v>0</v>
      </c>
      <c r="AB132">
        <f>'Entrada datos'!AF42</f>
        <v>0</v>
      </c>
      <c r="AC132">
        <f>'Entrada datos'!AG42</f>
        <v>0</v>
      </c>
      <c r="AD132" s="17">
        <f t="shared" si="37"/>
        <v>0</v>
      </c>
      <c r="AE132">
        <f>'Entrada datos'!AH42</f>
        <v>0</v>
      </c>
      <c r="AF132">
        <f>'Entrada datos'!AI42</f>
        <v>0</v>
      </c>
      <c r="AG132">
        <f>'Entrada datos'!AJ42</f>
        <v>0</v>
      </c>
      <c r="AH132">
        <f>'Entrada datos'!AK42</f>
        <v>0</v>
      </c>
      <c r="AI132">
        <f>'Entrada datos'!AL42</f>
        <v>0</v>
      </c>
      <c r="AJ132">
        <f>'Entrada datos'!AM42</f>
        <v>0</v>
      </c>
      <c r="AK132" s="17">
        <f t="shared" si="38"/>
        <v>0</v>
      </c>
      <c r="AL132">
        <f>'Entrada datos'!AN42</f>
        <v>0</v>
      </c>
      <c r="AM132">
        <f>'Entrada datos'!AO42</f>
        <v>0</v>
      </c>
      <c r="AN132">
        <f>'Entrada datos'!AP42</f>
        <v>0</v>
      </c>
      <c r="AO132">
        <f>'Entrada datos'!AQ42</f>
        <v>0</v>
      </c>
      <c r="AP132">
        <f>'Entrada datos'!AR42</f>
        <v>0</v>
      </c>
      <c r="AQ132">
        <f>'Entrada datos'!AS42</f>
        <v>0</v>
      </c>
      <c r="AR132" s="17">
        <f t="shared" si="39"/>
        <v>0</v>
      </c>
      <c r="AS132" s="23">
        <f t="shared" si="40"/>
        <v>0</v>
      </c>
      <c r="AT132">
        <f t="shared" si="41"/>
        <v>1900</v>
      </c>
      <c r="AU132" s="40" t="str">
        <f t="shared" si="42"/>
        <v>enero</v>
      </c>
      <c r="AV132">
        <f t="shared" si="43"/>
        <v>0</v>
      </c>
      <c r="AW132">
        <f t="shared" si="44"/>
        <v>0</v>
      </c>
      <c r="AX132" s="24">
        <f t="shared" si="45"/>
        <v>0</v>
      </c>
      <c r="AY132" s="24">
        <f t="shared" si="46"/>
        <v>0</v>
      </c>
      <c r="AZ132" s="24">
        <f t="shared" si="47"/>
        <v>0</v>
      </c>
      <c r="BA132">
        <f t="shared" si="48"/>
        <v>0</v>
      </c>
      <c r="BB132">
        <f t="shared" si="49"/>
        <v>0</v>
      </c>
      <c r="BC132" s="24">
        <f t="shared" si="50"/>
        <v>0</v>
      </c>
      <c r="BD132">
        <f t="shared" si="51"/>
        <v>0</v>
      </c>
    </row>
    <row r="133" spans="1:56" x14ac:dyDescent="0.3">
      <c r="A133">
        <f>'Entrada datos'!A43</f>
        <v>0</v>
      </c>
      <c r="B133">
        <f>'Entrada datos'!B43</f>
        <v>0</v>
      </c>
      <c r="C133">
        <f>'Entrada datos'!C43</f>
        <v>0</v>
      </c>
      <c r="D133">
        <f>'Entrada datos'!D43</f>
        <v>0</v>
      </c>
      <c r="E133" s="18">
        <f>'Entrada datos'!G43</f>
        <v>0</v>
      </c>
      <c r="F133" s="18">
        <f>'Entrada datos'!H43</f>
        <v>0</v>
      </c>
      <c r="G133">
        <f>'Entrada datos'!J43</f>
        <v>0</v>
      </c>
      <c r="H133">
        <f>'Entrada datos'!L43</f>
        <v>0</v>
      </c>
      <c r="I133">
        <f>'Entrada datos'!O43</f>
        <v>0</v>
      </c>
      <c r="J133">
        <f>'Entrada datos'!P43</f>
        <v>0</v>
      </c>
      <c r="K133">
        <f>'Entrada datos'!Q43</f>
        <v>0</v>
      </c>
      <c r="L133">
        <f>'Entrada datos'!R43</f>
        <v>0</v>
      </c>
      <c r="M133">
        <f>'Entrada datos'!S43</f>
        <v>0</v>
      </c>
      <c r="N133">
        <f>'Entrada datos'!T43</f>
        <v>0</v>
      </c>
      <c r="O133">
        <f>'Entrada datos'!U43</f>
        <v>0</v>
      </c>
      <c r="P133" s="17">
        <f t="shared" si="35"/>
        <v>0</v>
      </c>
      <c r="Q133">
        <f>'Entrada datos'!V43</f>
        <v>0</v>
      </c>
      <c r="R133">
        <f>'Entrada datos'!W43</f>
        <v>0</v>
      </c>
      <c r="S133">
        <f>'Entrada datos'!X43</f>
        <v>0</v>
      </c>
      <c r="T133">
        <f>'Entrada datos'!Y43</f>
        <v>0</v>
      </c>
      <c r="U133">
        <f>'Entrada datos'!Z43</f>
        <v>0</v>
      </c>
      <c r="V133">
        <f>'Entrada datos'!AA43</f>
        <v>0</v>
      </c>
      <c r="W133" s="17">
        <f t="shared" si="36"/>
        <v>0</v>
      </c>
      <c r="X133">
        <f>'Entrada datos'!AB43</f>
        <v>0</v>
      </c>
      <c r="Y133">
        <f>'Entrada datos'!AC43</f>
        <v>0</v>
      </c>
      <c r="Z133">
        <f>'Entrada datos'!AD43</f>
        <v>0</v>
      </c>
      <c r="AA133">
        <f>'Entrada datos'!AE43</f>
        <v>0</v>
      </c>
      <c r="AB133">
        <f>'Entrada datos'!AF43</f>
        <v>0</v>
      </c>
      <c r="AC133">
        <f>'Entrada datos'!AG43</f>
        <v>0</v>
      </c>
      <c r="AD133" s="17">
        <f t="shared" si="37"/>
        <v>0</v>
      </c>
      <c r="AE133">
        <f>'Entrada datos'!AH43</f>
        <v>0</v>
      </c>
      <c r="AF133">
        <f>'Entrada datos'!AI43</f>
        <v>0</v>
      </c>
      <c r="AG133">
        <f>'Entrada datos'!AJ43</f>
        <v>0</v>
      </c>
      <c r="AH133">
        <f>'Entrada datos'!AK43</f>
        <v>0</v>
      </c>
      <c r="AI133">
        <f>'Entrada datos'!AL43</f>
        <v>0</v>
      </c>
      <c r="AJ133">
        <f>'Entrada datos'!AM43</f>
        <v>0</v>
      </c>
      <c r="AK133" s="17">
        <f t="shared" si="38"/>
        <v>0</v>
      </c>
      <c r="AL133">
        <f>'Entrada datos'!AN43</f>
        <v>0</v>
      </c>
      <c r="AM133">
        <f>'Entrada datos'!AO43</f>
        <v>0</v>
      </c>
      <c r="AN133">
        <f>'Entrada datos'!AP43</f>
        <v>0</v>
      </c>
      <c r="AO133">
        <f>'Entrada datos'!AQ43</f>
        <v>0</v>
      </c>
      <c r="AP133">
        <f>'Entrada datos'!AR43</f>
        <v>0</v>
      </c>
      <c r="AQ133">
        <f>'Entrada datos'!AS43</f>
        <v>0</v>
      </c>
      <c r="AR133" s="17">
        <f t="shared" si="39"/>
        <v>0</v>
      </c>
      <c r="AS133" s="23">
        <f t="shared" si="40"/>
        <v>0</v>
      </c>
      <c r="AT133">
        <f t="shared" si="41"/>
        <v>1900</v>
      </c>
      <c r="AU133" s="40" t="str">
        <f t="shared" si="42"/>
        <v>enero</v>
      </c>
      <c r="AV133">
        <f t="shared" si="43"/>
        <v>0</v>
      </c>
      <c r="AW133">
        <f t="shared" si="44"/>
        <v>0</v>
      </c>
      <c r="AX133" s="24">
        <f t="shared" si="45"/>
        <v>0</v>
      </c>
      <c r="AY133" s="24">
        <f t="shared" si="46"/>
        <v>0</v>
      </c>
      <c r="AZ133" s="24">
        <f t="shared" si="47"/>
        <v>0</v>
      </c>
      <c r="BA133">
        <f t="shared" si="48"/>
        <v>0</v>
      </c>
      <c r="BB133">
        <f t="shared" si="49"/>
        <v>0</v>
      </c>
      <c r="BC133" s="24">
        <f t="shared" si="50"/>
        <v>0</v>
      </c>
      <c r="BD133">
        <f t="shared" si="51"/>
        <v>0</v>
      </c>
    </row>
    <row r="134" spans="1:56" x14ac:dyDescent="0.3">
      <c r="A134">
        <f>'Entrada datos'!A44</f>
        <v>0</v>
      </c>
      <c r="B134">
        <f>'Entrada datos'!B44</f>
        <v>0</v>
      </c>
      <c r="C134">
        <f>'Entrada datos'!C44</f>
        <v>0</v>
      </c>
      <c r="D134">
        <f>'Entrada datos'!D44</f>
        <v>0</v>
      </c>
      <c r="E134" s="18">
        <f>'Entrada datos'!G44</f>
        <v>0</v>
      </c>
      <c r="F134" s="18">
        <f>'Entrada datos'!H44</f>
        <v>0</v>
      </c>
      <c r="G134">
        <f>'Entrada datos'!J44</f>
        <v>0</v>
      </c>
      <c r="H134">
        <f>'Entrada datos'!L44</f>
        <v>0</v>
      </c>
      <c r="I134">
        <f>'Entrada datos'!O44</f>
        <v>0</v>
      </c>
      <c r="J134">
        <f>'Entrada datos'!P44</f>
        <v>0</v>
      </c>
      <c r="K134">
        <f>'Entrada datos'!Q44</f>
        <v>0</v>
      </c>
      <c r="L134">
        <f>'Entrada datos'!R44</f>
        <v>0</v>
      </c>
      <c r="M134">
        <f>'Entrada datos'!S44</f>
        <v>0</v>
      </c>
      <c r="N134">
        <f>'Entrada datos'!T44</f>
        <v>0</v>
      </c>
      <c r="O134">
        <f>'Entrada datos'!U44</f>
        <v>0</v>
      </c>
      <c r="P134" s="17">
        <f t="shared" si="35"/>
        <v>0</v>
      </c>
      <c r="Q134">
        <f>'Entrada datos'!V44</f>
        <v>0</v>
      </c>
      <c r="R134">
        <f>'Entrada datos'!W44</f>
        <v>0</v>
      </c>
      <c r="S134">
        <f>'Entrada datos'!X44</f>
        <v>0</v>
      </c>
      <c r="T134">
        <f>'Entrada datos'!Y44</f>
        <v>0</v>
      </c>
      <c r="U134">
        <f>'Entrada datos'!Z44</f>
        <v>0</v>
      </c>
      <c r="V134">
        <f>'Entrada datos'!AA44</f>
        <v>0</v>
      </c>
      <c r="W134" s="17">
        <f t="shared" si="36"/>
        <v>0</v>
      </c>
      <c r="X134">
        <f>'Entrada datos'!AB44</f>
        <v>0</v>
      </c>
      <c r="Y134">
        <f>'Entrada datos'!AC44</f>
        <v>0</v>
      </c>
      <c r="Z134">
        <f>'Entrada datos'!AD44</f>
        <v>0</v>
      </c>
      <c r="AA134">
        <f>'Entrada datos'!AE44</f>
        <v>0</v>
      </c>
      <c r="AB134">
        <f>'Entrada datos'!AF44</f>
        <v>0</v>
      </c>
      <c r="AC134">
        <f>'Entrada datos'!AG44</f>
        <v>0</v>
      </c>
      <c r="AD134" s="17">
        <f t="shared" si="37"/>
        <v>0</v>
      </c>
      <c r="AE134">
        <f>'Entrada datos'!AH44</f>
        <v>0</v>
      </c>
      <c r="AF134">
        <f>'Entrada datos'!AI44</f>
        <v>0</v>
      </c>
      <c r="AG134">
        <f>'Entrada datos'!AJ44</f>
        <v>0</v>
      </c>
      <c r="AH134">
        <f>'Entrada datos'!AK44</f>
        <v>0</v>
      </c>
      <c r="AI134">
        <f>'Entrada datos'!AL44</f>
        <v>0</v>
      </c>
      <c r="AJ134">
        <f>'Entrada datos'!AM44</f>
        <v>0</v>
      </c>
      <c r="AK134" s="17">
        <f t="shared" si="38"/>
        <v>0</v>
      </c>
      <c r="AL134">
        <f>'Entrada datos'!AN44</f>
        <v>0</v>
      </c>
      <c r="AM134">
        <f>'Entrada datos'!AO44</f>
        <v>0</v>
      </c>
      <c r="AN134">
        <f>'Entrada datos'!AP44</f>
        <v>0</v>
      </c>
      <c r="AO134">
        <f>'Entrada datos'!AQ44</f>
        <v>0</v>
      </c>
      <c r="AP134">
        <f>'Entrada datos'!AR44</f>
        <v>0</v>
      </c>
      <c r="AQ134">
        <f>'Entrada datos'!AS44</f>
        <v>0</v>
      </c>
      <c r="AR134" s="17">
        <f t="shared" si="39"/>
        <v>0</v>
      </c>
      <c r="AS134" s="23">
        <f t="shared" si="40"/>
        <v>0</v>
      </c>
      <c r="AT134">
        <f t="shared" si="41"/>
        <v>1900</v>
      </c>
      <c r="AU134" s="40" t="str">
        <f t="shared" si="42"/>
        <v>enero</v>
      </c>
      <c r="AV134">
        <f t="shared" si="43"/>
        <v>0</v>
      </c>
      <c r="AW134">
        <f t="shared" si="44"/>
        <v>0</v>
      </c>
      <c r="AX134" s="24">
        <f t="shared" si="45"/>
        <v>0</v>
      </c>
      <c r="AY134" s="24">
        <f t="shared" si="46"/>
        <v>0</v>
      </c>
      <c r="AZ134" s="24">
        <f t="shared" si="47"/>
        <v>0</v>
      </c>
      <c r="BA134">
        <f t="shared" si="48"/>
        <v>0</v>
      </c>
      <c r="BB134">
        <f t="shared" si="49"/>
        <v>0</v>
      </c>
      <c r="BC134" s="24">
        <f t="shared" si="50"/>
        <v>0</v>
      </c>
      <c r="BD134">
        <f t="shared" si="51"/>
        <v>0</v>
      </c>
    </row>
    <row r="135" spans="1:56" x14ac:dyDescent="0.3">
      <c r="A135">
        <f>'Entrada datos'!A45</f>
        <v>0</v>
      </c>
      <c r="B135">
        <f>'Entrada datos'!B45</f>
        <v>0</v>
      </c>
      <c r="C135">
        <f>'Entrada datos'!C45</f>
        <v>0</v>
      </c>
      <c r="D135">
        <f>'Entrada datos'!D45</f>
        <v>0</v>
      </c>
      <c r="E135" s="18">
        <f>'Entrada datos'!G45</f>
        <v>0</v>
      </c>
      <c r="F135" s="18">
        <f>'Entrada datos'!H45</f>
        <v>0</v>
      </c>
      <c r="G135">
        <f>'Entrada datos'!J45</f>
        <v>0</v>
      </c>
      <c r="H135">
        <f>'Entrada datos'!L45</f>
        <v>0</v>
      </c>
      <c r="I135">
        <f>'Entrada datos'!O45</f>
        <v>0</v>
      </c>
      <c r="J135">
        <f>'Entrada datos'!P45</f>
        <v>0</v>
      </c>
      <c r="K135">
        <f>'Entrada datos'!Q45</f>
        <v>0</v>
      </c>
      <c r="L135">
        <f>'Entrada datos'!R45</f>
        <v>0</v>
      </c>
      <c r="M135">
        <f>'Entrada datos'!S45</f>
        <v>0</v>
      </c>
      <c r="N135">
        <f>'Entrada datos'!T45</f>
        <v>0</v>
      </c>
      <c r="O135">
        <f>'Entrada datos'!U45</f>
        <v>0</v>
      </c>
      <c r="P135" s="17">
        <f t="shared" si="35"/>
        <v>0</v>
      </c>
      <c r="Q135">
        <f>'Entrada datos'!V45</f>
        <v>0</v>
      </c>
      <c r="R135">
        <f>'Entrada datos'!W45</f>
        <v>0</v>
      </c>
      <c r="S135">
        <f>'Entrada datos'!X45</f>
        <v>0</v>
      </c>
      <c r="T135">
        <f>'Entrada datos'!Y45</f>
        <v>0</v>
      </c>
      <c r="U135">
        <f>'Entrada datos'!Z45</f>
        <v>0</v>
      </c>
      <c r="V135">
        <f>'Entrada datos'!AA45</f>
        <v>0</v>
      </c>
      <c r="W135" s="17">
        <f t="shared" si="36"/>
        <v>0</v>
      </c>
      <c r="X135">
        <f>'Entrada datos'!AB45</f>
        <v>0</v>
      </c>
      <c r="Y135">
        <f>'Entrada datos'!AC45</f>
        <v>0</v>
      </c>
      <c r="Z135">
        <f>'Entrada datos'!AD45</f>
        <v>0</v>
      </c>
      <c r="AA135">
        <f>'Entrada datos'!AE45</f>
        <v>0</v>
      </c>
      <c r="AB135">
        <f>'Entrada datos'!AF45</f>
        <v>0</v>
      </c>
      <c r="AC135">
        <f>'Entrada datos'!AG45</f>
        <v>0</v>
      </c>
      <c r="AD135" s="17">
        <f t="shared" si="37"/>
        <v>0</v>
      </c>
      <c r="AE135">
        <f>'Entrada datos'!AH45</f>
        <v>0</v>
      </c>
      <c r="AF135">
        <f>'Entrada datos'!AI45</f>
        <v>0</v>
      </c>
      <c r="AG135">
        <f>'Entrada datos'!AJ45</f>
        <v>0</v>
      </c>
      <c r="AH135">
        <f>'Entrada datos'!AK45</f>
        <v>0</v>
      </c>
      <c r="AI135">
        <f>'Entrada datos'!AL45</f>
        <v>0</v>
      </c>
      <c r="AJ135">
        <f>'Entrada datos'!AM45</f>
        <v>0</v>
      </c>
      <c r="AK135" s="17">
        <f t="shared" si="38"/>
        <v>0</v>
      </c>
      <c r="AL135">
        <f>'Entrada datos'!AN45</f>
        <v>0</v>
      </c>
      <c r="AM135">
        <f>'Entrada datos'!AO45</f>
        <v>0</v>
      </c>
      <c r="AN135">
        <f>'Entrada datos'!AP45</f>
        <v>0</v>
      </c>
      <c r="AO135">
        <f>'Entrada datos'!AQ45</f>
        <v>0</v>
      </c>
      <c r="AP135">
        <f>'Entrada datos'!AR45</f>
        <v>0</v>
      </c>
      <c r="AQ135">
        <f>'Entrada datos'!AS45</f>
        <v>0</v>
      </c>
      <c r="AR135" s="17">
        <f t="shared" si="39"/>
        <v>0</v>
      </c>
      <c r="AS135" s="23">
        <f t="shared" si="40"/>
        <v>0</v>
      </c>
      <c r="AT135">
        <f t="shared" si="41"/>
        <v>1900</v>
      </c>
      <c r="AU135" s="40" t="str">
        <f t="shared" si="42"/>
        <v>enero</v>
      </c>
      <c r="AV135">
        <f t="shared" si="43"/>
        <v>0</v>
      </c>
      <c r="AW135">
        <f t="shared" si="44"/>
        <v>0</v>
      </c>
      <c r="AX135" s="24">
        <f t="shared" si="45"/>
        <v>0</v>
      </c>
      <c r="AY135" s="24">
        <f t="shared" si="46"/>
        <v>0</v>
      </c>
      <c r="AZ135" s="24">
        <f t="shared" si="47"/>
        <v>0</v>
      </c>
      <c r="BA135">
        <f t="shared" si="48"/>
        <v>0</v>
      </c>
      <c r="BB135">
        <f t="shared" si="49"/>
        <v>0</v>
      </c>
      <c r="BC135" s="24">
        <f t="shared" si="50"/>
        <v>0</v>
      </c>
      <c r="BD135">
        <f t="shared" si="51"/>
        <v>0</v>
      </c>
    </row>
    <row r="136" spans="1:56" x14ac:dyDescent="0.3">
      <c r="A136">
        <f>'Entrada datos'!A46</f>
        <v>0</v>
      </c>
      <c r="B136">
        <f>'Entrada datos'!B46</f>
        <v>0</v>
      </c>
      <c r="C136">
        <f>'Entrada datos'!C46</f>
        <v>0</v>
      </c>
      <c r="D136">
        <f>'Entrada datos'!D46</f>
        <v>0</v>
      </c>
      <c r="E136" s="18">
        <f>'Entrada datos'!G46</f>
        <v>0</v>
      </c>
      <c r="F136" s="18">
        <f>'Entrada datos'!H46</f>
        <v>0</v>
      </c>
      <c r="G136">
        <f>'Entrada datos'!J46</f>
        <v>0</v>
      </c>
      <c r="H136">
        <f>'Entrada datos'!L46</f>
        <v>0</v>
      </c>
      <c r="I136">
        <f>'Entrada datos'!O46</f>
        <v>0</v>
      </c>
      <c r="J136">
        <f>'Entrada datos'!P46</f>
        <v>0</v>
      </c>
      <c r="K136">
        <f>'Entrada datos'!Q46</f>
        <v>0</v>
      </c>
      <c r="L136">
        <f>'Entrada datos'!R46</f>
        <v>0</v>
      </c>
      <c r="M136">
        <f>'Entrada datos'!S46</f>
        <v>0</v>
      </c>
      <c r="N136">
        <f>'Entrada datos'!T46</f>
        <v>0</v>
      </c>
      <c r="O136">
        <f>'Entrada datos'!U46</f>
        <v>0</v>
      </c>
      <c r="P136" s="17">
        <f t="shared" si="35"/>
        <v>0</v>
      </c>
      <c r="Q136">
        <f>'Entrada datos'!V46</f>
        <v>0</v>
      </c>
      <c r="R136">
        <f>'Entrada datos'!W46</f>
        <v>0</v>
      </c>
      <c r="S136">
        <f>'Entrada datos'!X46</f>
        <v>0</v>
      </c>
      <c r="T136">
        <f>'Entrada datos'!Y46</f>
        <v>0</v>
      </c>
      <c r="U136">
        <f>'Entrada datos'!Z46</f>
        <v>0</v>
      </c>
      <c r="V136">
        <f>'Entrada datos'!AA46</f>
        <v>0</v>
      </c>
      <c r="W136" s="17">
        <f t="shared" si="36"/>
        <v>0</v>
      </c>
      <c r="X136">
        <f>'Entrada datos'!AB46</f>
        <v>0</v>
      </c>
      <c r="Y136">
        <f>'Entrada datos'!AC46</f>
        <v>0</v>
      </c>
      <c r="Z136">
        <f>'Entrada datos'!AD46</f>
        <v>0</v>
      </c>
      <c r="AA136">
        <f>'Entrada datos'!AE46</f>
        <v>0</v>
      </c>
      <c r="AB136">
        <f>'Entrada datos'!AF46</f>
        <v>0</v>
      </c>
      <c r="AC136">
        <f>'Entrada datos'!AG46</f>
        <v>0</v>
      </c>
      <c r="AD136" s="17">
        <f t="shared" si="37"/>
        <v>0</v>
      </c>
      <c r="AE136">
        <f>'Entrada datos'!AH46</f>
        <v>0</v>
      </c>
      <c r="AF136">
        <f>'Entrada datos'!AI46</f>
        <v>0</v>
      </c>
      <c r="AG136">
        <f>'Entrada datos'!AJ46</f>
        <v>0</v>
      </c>
      <c r="AH136">
        <f>'Entrada datos'!AK46</f>
        <v>0</v>
      </c>
      <c r="AI136">
        <f>'Entrada datos'!AL46</f>
        <v>0</v>
      </c>
      <c r="AJ136">
        <f>'Entrada datos'!AM46</f>
        <v>0</v>
      </c>
      <c r="AK136" s="17">
        <f t="shared" si="38"/>
        <v>0</v>
      </c>
      <c r="AL136">
        <f>'Entrada datos'!AN46</f>
        <v>0</v>
      </c>
      <c r="AM136">
        <f>'Entrada datos'!AO46</f>
        <v>0</v>
      </c>
      <c r="AN136">
        <f>'Entrada datos'!AP46</f>
        <v>0</v>
      </c>
      <c r="AO136">
        <f>'Entrada datos'!AQ46</f>
        <v>0</v>
      </c>
      <c r="AP136">
        <f>'Entrada datos'!AR46</f>
        <v>0</v>
      </c>
      <c r="AQ136">
        <f>'Entrada datos'!AS46</f>
        <v>0</v>
      </c>
      <c r="AR136" s="17">
        <f t="shared" si="39"/>
        <v>0</v>
      </c>
      <c r="AS136" s="23">
        <f t="shared" si="40"/>
        <v>0</v>
      </c>
      <c r="AT136">
        <f t="shared" si="41"/>
        <v>1900</v>
      </c>
      <c r="AU136" s="40" t="str">
        <f t="shared" si="42"/>
        <v>enero</v>
      </c>
      <c r="AV136">
        <f t="shared" si="43"/>
        <v>0</v>
      </c>
      <c r="AW136">
        <f t="shared" si="44"/>
        <v>0</v>
      </c>
      <c r="AX136" s="24">
        <f t="shared" si="45"/>
        <v>0</v>
      </c>
      <c r="AY136" s="24">
        <f t="shared" si="46"/>
        <v>0</v>
      </c>
      <c r="AZ136" s="24">
        <f t="shared" si="47"/>
        <v>0</v>
      </c>
      <c r="BA136">
        <f t="shared" si="48"/>
        <v>0</v>
      </c>
      <c r="BB136">
        <f t="shared" si="49"/>
        <v>0</v>
      </c>
      <c r="BC136" s="24">
        <f t="shared" si="50"/>
        <v>0</v>
      </c>
      <c r="BD136">
        <f t="shared" si="51"/>
        <v>0</v>
      </c>
    </row>
    <row r="137" spans="1:56" x14ac:dyDescent="0.3">
      <c r="A137">
        <f>'Entrada datos'!A47</f>
        <v>0</v>
      </c>
      <c r="B137">
        <f>'Entrada datos'!B47</f>
        <v>0</v>
      </c>
      <c r="C137">
        <f>'Entrada datos'!C47</f>
        <v>0</v>
      </c>
      <c r="D137">
        <f>'Entrada datos'!D47</f>
        <v>0</v>
      </c>
      <c r="E137" s="18">
        <f>'Entrada datos'!G47</f>
        <v>0</v>
      </c>
      <c r="F137" s="18">
        <f>'Entrada datos'!H47</f>
        <v>0</v>
      </c>
      <c r="G137">
        <f>'Entrada datos'!J47</f>
        <v>0</v>
      </c>
      <c r="H137">
        <f>'Entrada datos'!L47</f>
        <v>0</v>
      </c>
      <c r="I137">
        <f>'Entrada datos'!O47</f>
        <v>0</v>
      </c>
      <c r="J137">
        <f>'Entrada datos'!P47</f>
        <v>0</v>
      </c>
      <c r="K137">
        <f>'Entrada datos'!Q47</f>
        <v>0</v>
      </c>
      <c r="L137">
        <f>'Entrada datos'!R47</f>
        <v>0</v>
      </c>
      <c r="M137">
        <f>'Entrada datos'!S47</f>
        <v>0</v>
      </c>
      <c r="N137">
        <f>'Entrada datos'!T47</f>
        <v>0</v>
      </c>
      <c r="O137">
        <f>'Entrada datos'!U47</f>
        <v>0</v>
      </c>
      <c r="P137" s="17">
        <f t="shared" si="35"/>
        <v>0</v>
      </c>
      <c r="Q137">
        <f>'Entrada datos'!V47</f>
        <v>0</v>
      </c>
      <c r="R137">
        <f>'Entrada datos'!W47</f>
        <v>0</v>
      </c>
      <c r="S137">
        <f>'Entrada datos'!X47</f>
        <v>0</v>
      </c>
      <c r="T137">
        <f>'Entrada datos'!Y47</f>
        <v>0</v>
      </c>
      <c r="U137">
        <f>'Entrada datos'!Z47</f>
        <v>0</v>
      </c>
      <c r="V137">
        <f>'Entrada datos'!AA47</f>
        <v>0</v>
      </c>
      <c r="W137" s="17">
        <f t="shared" si="36"/>
        <v>0</v>
      </c>
      <c r="X137">
        <f>'Entrada datos'!AB47</f>
        <v>0</v>
      </c>
      <c r="Y137">
        <f>'Entrada datos'!AC47</f>
        <v>0</v>
      </c>
      <c r="Z137">
        <f>'Entrada datos'!AD47</f>
        <v>0</v>
      </c>
      <c r="AA137">
        <f>'Entrada datos'!AE47</f>
        <v>0</v>
      </c>
      <c r="AB137">
        <f>'Entrada datos'!AF47</f>
        <v>0</v>
      </c>
      <c r="AC137">
        <f>'Entrada datos'!AG47</f>
        <v>0</v>
      </c>
      <c r="AD137" s="17">
        <f t="shared" si="37"/>
        <v>0</v>
      </c>
      <c r="AE137">
        <f>'Entrada datos'!AH47</f>
        <v>0</v>
      </c>
      <c r="AF137">
        <f>'Entrada datos'!AI47</f>
        <v>0</v>
      </c>
      <c r="AG137">
        <f>'Entrada datos'!AJ47</f>
        <v>0</v>
      </c>
      <c r="AH137">
        <f>'Entrada datos'!AK47</f>
        <v>0</v>
      </c>
      <c r="AI137">
        <f>'Entrada datos'!AL47</f>
        <v>0</v>
      </c>
      <c r="AJ137">
        <f>'Entrada datos'!AM47</f>
        <v>0</v>
      </c>
      <c r="AK137" s="17">
        <f t="shared" si="38"/>
        <v>0</v>
      </c>
      <c r="AL137">
        <f>'Entrada datos'!AN47</f>
        <v>0</v>
      </c>
      <c r="AM137">
        <f>'Entrada datos'!AO47</f>
        <v>0</v>
      </c>
      <c r="AN137">
        <f>'Entrada datos'!AP47</f>
        <v>0</v>
      </c>
      <c r="AO137">
        <f>'Entrada datos'!AQ47</f>
        <v>0</v>
      </c>
      <c r="AP137">
        <f>'Entrada datos'!AR47</f>
        <v>0</v>
      </c>
      <c r="AQ137">
        <f>'Entrada datos'!AS47</f>
        <v>0</v>
      </c>
      <c r="AR137" s="17">
        <f t="shared" si="39"/>
        <v>0</v>
      </c>
      <c r="AS137" s="23">
        <f t="shared" si="40"/>
        <v>0</v>
      </c>
      <c r="AT137">
        <f t="shared" si="41"/>
        <v>1900</v>
      </c>
      <c r="AU137" s="40" t="str">
        <f t="shared" si="42"/>
        <v>enero</v>
      </c>
      <c r="AV137">
        <f t="shared" si="43"/>
        <v>0</v>
      </c>
      <c r="AW137">
        <f t="shared" si="44"/>
        <v>0</v>
      </c>
      <c r="AX137" s="24">
        <f t="shared" si="45"/>
        <v>0</v>
      </c>
      <c r="AY137" s="24">
        <f t="shared" si="46"/>
        <v>0</v>
      </c>
      <c r="AZ137" s="24">
        <f t="shared" si="47"/>
        <v>0</v>
      </c>
      <c r="BA137">
        <f t="shared" si="48"/>
        <v>0</v>
      </c>
      <c r="BB137">
        <f t="shared" si="49"/>
        <v>0</v>
      </c>
      <c r="BC137" s="24">
        <f t="shared" si="50"/>
        <v>0</v>
      </c>
      <c r="BD137">
        <f t="shared" si="51"/>
        <v>0</v>
      </c>
    </row>
    <row r="138" spans="1:56" x14ac:dyDescent="0.3">
      <c r="A138">
        <f>'Entrada datos'!A48</f>
        <v>0</v>
      </c>
      <c r="B138">
        <f>'Entrada datos'!B48</f>
        <v>0</v>
      </c>
      <c r="C138">
        <f>'Entrada datos'!C48</f>
        <v>0</v>
      </c>
      <c r="D138">
        <f>'Entrada datos'!D48</f>
        <v>0</v>
      </c>
      <c r="E138" s="18">
        <f>'Entrada datos'!G48</f>
        <v>0</v>
      </c>
      <c r="F138" s="18">
        <f>'Entrada datos'!H48</f>
        <v>0</v>
      </c>
      <c r="G138">
        <f>'Entrada datos'!J48</f>
        <v>0</v>
      </c>
      <c r="H138">
        <f>'Entrada datos'!L48</f>
        <v>0</v>
      </c>
      <c r="I138">
        <f>'Entrada datos'!O48</f>
        <v>0</v>
      </c>
      <c r="J138">
        <f>'Entrada datos'!P48</f>
        <v>0</v>
      </c>
      <c r="K138">
        <f>'Entrada datos'!Q48</f>
        <v>0</v>
      </c>
      <c r="L138">
        <f>'Entrada datos'!R48</f>
        <v>0</v>
      </c>
      <c r="M138">
        <f>'Entrada datos'!S48</f>
        <v>0</v>
      </c>
      <c r="N138">
        <f>'Entrada datos'!T48</f>
        <v>0</v>
      </c>
      <c r="O138">
        <f>'Entrada datos'!U48</f>
        <v>0</v>
      </c>
      <c r="P138" s="17">
        <f t="shared" si="35"/>
        <v>0</v>
      </c>
      <c r="Q138">
        <f>'Entrada datos'!V48</f>
        <v>0</v>
      </c>
      <c r="R138">
        <f>'Entrada datos'!W48</f>
        <v>0</v>
      </c>
      <c r="S138">
        <f>'Entrada datos'!X48</f>
        <v>0</v>
      </c>
      <c r="T138">
        <f>'Entrada datos'!Y48</f>
        <v>0</v>
      </c>
      <c r="U138">
        <f>'Entrada datos'!Z48</f>
        <v>0</v>
      </c>
      <c r="V138">
        <f>'Entrada datos'!AA48</f>
        <v>0</v>
      </c>
      <c r="W138" s="17">
        <f t="shared" si="36"/>
        <v>0</v>
      </c>
      <c r="X138">
        <f>'Entrada datos'!AB48</f>
        <v>0</v>
      </c>
      <c r="Y138">
        <f>'Entrada datos'!AC48</f>
        <v>0</v>
      </c>
      <c r="Z138">
        <f>'Entrada datos'!AD48</f>
        <v>0</v>
      </c>
      <c r="AA138">
        <f>'Entrada datos'!AE48</f>
        <v>0</v>
      </c>
      <c r="AB138">
        <f>'Entrada datos'!AF48</f>
        <v>0</v>
      </c>
      <c r="AC138">
        <f>'Entrada datos'!AG48</f>
        <v>0</v>
      </c>
      <c r="AD138" s="17">
        <f t="shared" si="37"/>
        <v>0</v>
      </c>
      <c r="AE138">
        <f>'Entrada datos'!AH48</f>
        <v>0</v>
      </c>
      <c r="AF138">
        <f>'Entrada datos'!AI48</f>
        <v>0</v>
      </c>
      <c r="AG138">
        <f>'Entrada datos'!AJ48</f>
        <v>0</v>
      </c>
      <c r="AH138">
        <f>'Entrada datos'!AK48</f>
        <v>0</v>
      </c>
      <c r="AI138">
        <f>'Entrada datos'!AL48</f>
        <v>0</v>
      </c>
      <c r="AJ138">
        <f>'Entrada datos'!AM48</f>
        <v>0</v>
      </c>
      <c r="AK138" s="17">
        <f t="shared" si="38"/>
        <v>0</v>
      </c>
      <c r="AL138">
        <f>'Entrada datos'!AN48</f>
        <v>0</v>
      </c>
      <c r="AM138">
        <f>'Entrada datos'!AO48</f>
        <v>0</v>
      </c>
      <c r="AN138">
        <f>'Entrada datos'!AP48</f>
        <v>0</v>
      </c>
      <c r="AO138">
        <f>'Entrada datos'!AQ48</f>
        <v>0</v>
      </c>
      <c r="AP138">
        <f>'Entrada datos'!AR48</f>
        <v>0</v>
      </c>
      <c r="AQ138">
        <f>'Entrada datos'!AS48</f>
        <v>0</v>
      </c>
      <c r="AR138" s="17">
        <f t="shared" si="39"/>
        <v>0</v>
      </c>
      <c r="AS138" s="23">
        <f t="shared" si="40"/>
        <v>0</v>
      </c>
      <c r="AT138">
        <f t="shared" si="41"/>
        <v>1900</v>
      </c>
      <c r="AU138" s="40" t="str">
        <f t="shared" si="42"/>
        <v>enero</v>
      </c>
      <c r="AV138">
        <f t="shared" si="43"/>
        <v>0</v>
      </c>
      <c r="AW138">
        <f t="shared" si="44"/>
        <v>0</v>
      </c>
      <c r="AX138" s="24">
        <f t="shared" si="45"/>
        <v>0</v>
      </c>
      <c r="AY138" s="24">
        <f t="shared" si="46"/>
        <v>0</v>
      </c>
      <c r="AZ138" s="24">
        <f t="shared" si="47"/>
        <v>0</v>
      </c>
      <c r="BA138">
        <f t="shared" si="48"/>
        <v>0</v>
      </c>
      <c r="BB138">
        <f t="shared" si="49"/>
        <v>0</v>
      </c>
      <c r="BC138" s="24">
        <f t="shared" si="50"/>
        <v>0</v>
      </c>
      <c r="BD138">
        <f t="shared" si="51"/>
        <v>0</v>
      </c>
    </row>
    <row r="139" spans="1:56" x14ac:dyDescent="0.3">
      <c r="A139">
        <f>'Entrada datos'!A49</f>
        <v>0</v>
      </c>
      <c r="B139">
        <f>'Entrada datos'!B49</f>
        <v>0</v>
      </c>
      <c r="C139">
        <f>'Entrada datos'!C49</f>
        <v>0</v>
      </c>
      <c r="D139">
        <f>'Entrada datos'!D49</f>
        <v>0</v>
      </c>
      <c r="E139" s="18">
        <f>'Entrada datos'!G49</f>
        <v>0</v>
      </c>
      <c r="F139" s="18">
        <f>'Entrada datos'!H49</f>
        <v>0</v>
      </c>
      <c r="G139">
        <f>'Entrada datos'!J49</f>
        <v>0</v>
      </c>
      <c r="H139">
        <f>'Entrada datos'!L49</f>
        <v>0</v>
      </c>
      <c r="I139">
        <f>'Entrada datos'!O49</f>
        <v>0</v>
      </c>
      <c r="J139">
        <f>'Entrada datos'!P49</f>
        <v>0</v>
      </c>
      <c r="K139">
        <f>'Entrada datos'!Q49</f>
        <v>0</v>
      </c>
      <c r="L139">
        <f>'Entrada datos'!R49</f>
        <v>0</v>
      </c>
      <c r="M139">
        <f>'Entrada datos'!S49</f>
        <v>0</v>
      </c>
      <c r="N139">
        <f>'Entrada datos'!T49</f>
        <v>0</v>
      </c>
      <c r="O139">
        <f>'Entrada datos'!U49</f>
        <v>0</v>
      </c>
      <c r="P139" s="17">
        <f t="shared" si="35"/>
        <v>0</v>
      </c>
      <c r="Q139">
        <f>'Entrada datos'!V49</f>
        <v>0</v>
      </c>
      <c r="R139">
        <f>'Entrada datos'!W49</f>
        <v>0</v>
      </c>
      <c r="S139">
        <f>'Entrada datos'!X49</f>
        <v>0</v>
      </c>
      <c r="T139">
        <f>'Entrada datos'!Y49</f>
        <v>0</v>
      </c>
      <c r="U139">
        <f>'Entrada datos'!Z49</f>
        <v>0</v>
      </c>
      <c r="V139">
        <f>'Entrada datos'!AA49</f>
        <v>0</v>
      </c>
      <c r="W139" s="17">
        <f t="shared" si="36"/>
        <v>0</v>
      </c>
      <c r="X139">
        <f>'Entrada datos'!AB49</f>
        <v>0</v>
      </c>
      <c r="Y139">
        <f>'Entrada datos'!AC49</f>
        <v>0</v>
      </c>
      <c r="Z139">
        <f>'Entrada datos'!AD49</f>
        <v>0</v>
      </c>
      <c r="AA139">
        <f>'Entrada datos'!AE49</f>
        <v>0</v>
      </c>
      <c r="AB139">
        <f>'Entrada datos'!AF49</f>
        <v>0</v>
      </c>
      <c r="AC139">
        <f>'Entrada datos'!AG49</f>
        <v>0</v>
      </c>
      <c r="AD139" s="17">
        <f t="shared" si="37"/>
        <v>0</v>
      </c>
      <c r="AE139">
        <f>'Entrada datos'!AH49</f>
        <v>0</v>
      </c>
      <c r="AF139">
        <f>'Entrada datos'!AI49</f>
        <v>0</v>
      </c>
      <c r="AG139">
        <f>'Entrada datos'!AJ49</f>
        <v>0</v>
      </c>
      <c r="AH139">
        <f>'Entrada datos'!AK49</f>
        <v>0</v>
      </c>
      <c r="AI139">
        <f>'Entrada datos'!AL49</f>
        <v>0</v>
      </c>
      <c r="AJ139">
        <f>'Entrada datos'!AM49</f>
        <v>0</v>
      </c>
      <c r="AK139" s="17">
        <f t="shared" si="38"/>
        <v>0</v>
      </c>
      <c r="AL139">
        <f>'Entrada datos'!AN49</f>
        <v>0</v>
      </c>
      <c r="AM139">
        <f>'Entrada datos'!AO49</f>
        <v>0</v>
      </c>
      <c r="AN139">
        <f>'Entrada datos'!AP49</f>
        <v>0</v>
      </c>
      <c r="AO139">
        <f>'Entrada datos'!AQ49</f>
        <v>0</v>
      </c>
      <c r="AP139">
        <f>'Entrada datos'!AR49</f>
        <v>0</v>
      </c>
      <c r="AQ139">
        <f>'Entrada datos'!AS49</f>
        <v>0</v>
      </c>
      <c r="AR139" s="17">
        <f t="shared" si="39"/>
        <v>0</v>
      </c>
      <c r="AS139" s="23">
        <f t="shared" si="40"/>
        <v>0</v>
      </c>
      <c r="AT139">
        <f t="shared" si="41"/>
        <v>1900</v>
      </c>
      <c r="AU139" s="40" t="str">
        <f t="shared" si="42"/>
        <v>enero</v>
      </c>
      <c r="AV139">
        <f t="shared" si="43"/>
        <v>0</v>
      </c>
      <c r="AW139">
        <f t="shared" si="44"/>
        <v>0</v>
      </c>
      <c r="AX139" s="24">
        <f t="shared" si="45"/>
        <v>0</v>
      </c>
      <c r="AY139" s="24">
        <f t="shared" si="46"/>
        <v>0</v>
      </c>
      <c r="AZ139" s="24">
        <f t="shared" si="47"/>
        <v>0</v>
      </c>
      <c r="BA139">
        <f t="shared" si="48"/>
        <v>0</v>
      </c>
      <c r="BB139">
        <f t="shared" si="49"/>
        <v>0</v>
      </c>
      <c r="BC139" s="24">
        <f t="shared" si="50"/>
        <v>0</v>
      </c>
      <c r="BD139">
        <f t="shared" si="51"/>
        <v>0</v>
      </c>
    </row>
    <row r="140" spans="1:56" x14ac:dyDescent="0.3">
      <c r="A140">
        <f>'Entrada datos'!A50</f>
        <v>0</v>
      </c>
      <c r="B140">
        <f>'Entrada datos'!B50</f>
        <v>0</v>
      </c>
      <c r="C140">
        <f>'Entrada datos'!C50</f>
        <v>0</v>
      </c>
      <c r="D140">
        <f>'Entrada datos'!D50</f>
        <v>0</v>
      </c>
      <c r="E140" s="18">
        <f>'Entrada datos'!G50</f>
        <v>0</v>
      </c>
      <c r="F140" s="18">
        <f>'Entrada datos'!H50</f>
        <v>0</v>
      </c>
      <c r="G140">
        <f>'Entrada datos'!J50</f>
        <v>0</v>
      </c>
      <c r="H140">
        <f>'Entrada datos'!L50</f>
        <v>0</v>
      </c>
      <c r="I140">
        <f>'Entrada datos'!O50</f>
        <v>0</v>
      </c>
      <c r="J140">
        <f>'Entrada datos'!P50</f>
        <v>0</v>
      </c>
      <c r="K140">
        <f>'Entrada datos'!Q50</f>
        <v>0</v>
      </c>
      <c r="L140">
        <f>'Entrada datos'!R50</f>
        <v>0</v>
      </c>
      <c r="M140">
        <f>'Entrada datos'!S50</f>
        <v>0</v>
      </c>
      <c r="N140">
        <f>'Entrada datos'!T50</f>
        <v>0</v>
      </c>
      <c r="O140">
        <f>'Entrada datos'!U50</f>
        <v>0</v>
      </c>
      <c r="P140" s="17">
        <f t="shared" si="35"/>
        <v>0</v>
      </c>
      <c r="Q140">
        <f>'Entrada datos'!V50</f>
        <v>0</v>
      </c>
      <c r="R140">
        <f>'Entrada datos'!W50</f>
        <v>0</v>
      </c>
      <c r="S140">
        <f>'Entrada datos'!X50</f>
        <v>0</v>
      </c>
      <c r="T140">
        <f>'Entrada datos'!Y50</f>
        <v>0</v>
      </c>
      <c r="U140">
        <f>'Entrada datos'!Z50</f>
        <v>0</v>
      </c>
      <c r="V140">
        <f>'Entrada datos'!AA50</f>
        <v>0</v>
      </c>
      <c r="W140" s="17">
        <f t="shared" si="36"/>
        <v>0</v>
      </c>
      <c r="X140">
        <f>'Entrada datos'!AB50</f>
        <v>0</v>
      </c>
      <c r="Y140">
        <f>'Entrada datos'!AC50</f>
        <v>0</v>
      </c>
      <c r="Z140">
        <f>'Entrada datos'!AD50</f>
        <v>0</v>
      </c>
      <c r="AA140">
        <f>'Entrada datos'!AE50</f>
        <v>0</v>
      </c>
      <c r="AB140">
        <f>'Entrada datos'!AF50</f>
        <v>0</v>
      </c>
      <c r="AC140">
        <f>'Entrada datos'!AG50</f>
        <v>0</v>
      </c>
      <c r="AD140" s="17">
        <f t="shared" si="37"/>
        <v>0</v>
      </c>
      <c r="AE140">
        <f>'Entrada datos'!AH50</f>
        <v>0</v>
      </c>
      <c r="AF140">
        <f>'Entrada datos'!AI50</f>
        <v>0</v>
      </c>
      <c r="AG140">
        <f>'Entrada datos'!AJ50</f>
        <v>0</v>
      </c>
      <c r="AH140">
        <f>'Entrada datos'!AK50</f>
        <v>0</v>
      </c>
      <c r="AI140">
        <f>'Entrada datos'!AL50</f>
        <v>0</v>
      </c>
      <c r="AJ140">
        <f>'Entrada datos'!AM50</f>
        <v>0</v>
      </c>
      <c r="AK140" s="17">
        <f t="shared" si="38"/>
        <v>0</v>
      </c>
      <c r="AL140">
        <f>'Entrada datos'!AN50</f>
        <v>0</v>
      </c>
      <c r="AM140">
        <f>'Entrada datos'!AO50</f>
        <v>0</v>
      </c>
      <c r="AN140">
        <f>'Entrada datos'!AP50</f>
        <v>0</v>
      </c>
      <c r="AO140">
        <f>'Entrada datos'!AQ50</f>
        <v>0</v>
      </c>
      <c r="AP140">
        <f>'Entrada datos'!AR50</f>
        <v>0</v>
      </c>
      <c r="AQ140">
        <f>'Entrada datos'!AS50</f>
        <v>0</v>
      </c>
      <c r="AR140" s="17">
        <f t="shared" si="39"/>
        <v>0</v>
      </c>
      <c r="AS140" s="23">
        <f t="shared" si="40"/>
        <v>0</v>
      </c>
      <c r="AT140">
        <f t="shared" si="41"/>
        <v>1900</v>
      </c>
      <c r="AU140" s="40" t="str">
        <f t="shared" si="42"/>
        <v>enero</v>
      </c>
      <c r="AV140">
        <f t="shared" si="43"/>
        <v>0</v>
      </c>
      <c r="AW140">
        <f t="shared" si="44"/>
        <v>0</v>
      </c>
      <c r="AX140" s="24">
        <f t="shared" si="45"/>
        <v>0</v>
      </c>
      <c r="AY140" s="24">
        <f t="shared" si="46"/>
        <v>0</v>
      </c>
      <c r="AZ140" s="24">
        <f t="shared" si="47"/>
        <v>0</v>
      </c>
      <c r="BA140">
        <f t="shared" si="48"/>
        <v>0</v>
      </c>
      <c r="BB140">
        <f t="shared" si="49"/>
        <v>0</v>
      </c>
      <c r="BC140" s="24">
        <f t="shared" si="50"/>
        <v>0</v>
      </c>
      <c r="BD140">
        <f t="shared" si="51"/>
        <v>0</v>
      </c>
    </row>
    <row r="141" spans="1:56" x14ac:dyDescent="0.3">
      <c r="A141">
        <f>'Entrada datos'!A51</f>
        <v>0</v>
      </c>
      <c r="B141">
        <f>'Entrada datos'!B51</f>
        <v>0</v>
      </c>
      <c r="C141">
        <f>'Entrada datos'!C51</f>
        <v>0</v>
      </c>
      <c r="D141">
        <f>'Entrada datos'!D51</f>
        <v>0</v>
      </c>
      <c r="E141" s="18">
        <f>'Entrada datos'!G51</f>
        <v>0</v>
      </c>
      <c r="F141" s="18">
        <f>'Entrada datos'!H51</f>
        <v>0</v>
      </c>
      <c r="G141">
        <f>'Entrada datos'!J51</f>
        <v>0</v>
      </c>
      <c r="H141">
        <f>'Entrada datos'!L51</f>
        <v>0</v>
      </c>
      <c r="I141">
        <f>'Entrada datos'!O51</f>
        <v>0</v>
      </c>
      <c r="J141">
        <f>'Entrada datos'!P51</f>
        <v>0</v>
      </c>
      <c r="K141">
        <f>'Entrada datos'!Q51</f>
        <v>0</v>
      </c>
      <c r="L141">
        <f>'Entrada datos'!R51</f>
        <v>0</v>
      </c>
      <c r="M141">
        <f>'Entrada datos'!S51</f>
        <v>0</v>
      </c>
      <c r="N141">
        <f>'Entrada datos'!T51</f>
        <v>0</v>
      </c>
      <c r="O141">
        <f>'Entrada datos'!U51</f>
        <v>0</v>
      </c>
      <c r="P141" s="17">
        <f t="shared" si="35"/>
        <v>0</v>
      </c>
      <c r="Q141">
        <f>'Entrada datos'!V51</f>
        <v>0</v>
      </c>
      <c r="R141">
        <f>'Entrada datos'!W51</f>
        <v>0</v>
      </c>
      <c r="S141">
        <f>'Entrada datos'!X51</f>
        <v>0</v>
      </c>
      <c r="T141">
        <f>'Entrada datos'!Y51</f>
        <v>0</v>
      </c>
      <c r="U141">
        <f>'Entrada datos'!Z51</f>
        <v>0</v>
      </c>
      <c r="V141">
        <f>'Entrada datos'!AA51</f>
        <v>0</v>
      </c>
      <c r="W141" s="17">
        <f t="shared" si="36"/>
        <v>0</v>
      </c>
      <c r="X141">
        <f>'Entrada datos'!AB51</f>
        <v>0</v>
      </c>
      <c r="Y141">
        <f>'Entrada datos'!AC51</f>
        <v>0</v>
      </c>
      <c r="Z141">
        <f>'Entrada datos'!AD51</f>
        <v>0</v>
      </c>
      <c r="AA141">
        <f>'Entrada datos'!AE51</f>
        <v>0</v>
      </c>
      <c r="AB141">
        <f>'Entrada datos'!AF51</f>
        <v>0</v>
      </c>
      <c r="AC141">
        <f>'Entrada datos'!AG51</f>
        <v>0</v>
      </c>
      <c r="AD141" s="17">
        <f t="shared" si="37"/>
        <v>0</v>
      </c>
      <c r="AE141">
        <f>'Entrada datos'!AH51</f>
        <v>0</v>
      </c>
      <c r="AF141">
        <f>'Entrada datos'!AI51</f>
        <v>0</v>
      </c>
      <c r="AG141">
        <f>'Entrada datos'!AJ51</f>
        <v>0</v>
      </c>
      <c r="AH141">
        <f>'Entrada datos'!AK51</f>
        <v>0</v>
      </c>
      <c r="AI141">
        <f>'Entrada datos'!AL51</f>
        <v>0</v>
      </c>
      <c r="AJ141">
        <f>'Entrada datos'!AM51</f>
        <v>0</v>
      </c>
      <c r="AK141" s="17">
        <f t="shared" si="38"/>
        <v>0</v>
      </c>
      <c r="AL141">
        <f>'Entrada datos'!AN51</f>
        <v>0</v>
      </c>
      <c r="AM141">
        <f>'Entrada datos'!AO51</f>
        <v>0</v>
      </c>
      <c r="AN141">
        <f>'Entrada datos'!AP51</f>
        <v>0</v>
      </c>
      <c r="AO141">
        <f>'Entrada datos'!AQ51</f>
        <v>0</v>
      </c>
      <c r="AP141">
        <f>'Entrada datos'!AR51</f>
        <v>0</v>
      </c>
      <c r="AQ141">
        <f>'Entrada datos'!AS51</f>
        <v>0</v>
      </c>
      <c r="AR141" s="17">
        <f t="shared" si="39"/>
        <v>0</v>
      </c>
      <c r="AS141" s="23">
        <f t="shared" si="40"/>
        <v>0</v>
      </c>
      <c r="AT141">
        <f t="shared" si="41"/>
        <v>1900</v>
      </c>
      <c r="AU141" s="40" t="str">
        <f t="shared" si="42"/>
        <v>enero</v>
      </c>
      <c r="AV141">
        <f t="shared" si="43"/>
        <v>0</v>
      </c>
      <c r="AW141">
        <f t="shared" si="44"/>
        <v>0</v>
      </c>
      <c r="AX141" s="24">
        <f t="shared" si="45"/>
        <v>0</v>
      </c>
      <c r="AY141" s="24">
        <f t="shared" si="46"/>
        <v>0</v>
      </c>
      <c r="AZ141" s="24">
        <f t="shared" si="47"/>
        <v>0</v>
      </c>
      <c r="BA141">
        <f t="shared" si="48"/>
        <v>0</v>
      </c>
      <c r="BB141">
        <f t="shared" si="49"/>
        <v>0</v>
      </c>
      <c r="BC141" s="24">
        <f t="shared" si="50"/>
        <v>0</v>
      </c>
      <c r="BD141">
        <f t="shared" si="51"/>
        <v>0</v>
      </c>
    </row>
    <row r="142" spans="1:56" x14ac:dyDescent="0.3">
      <c r="A142">
        <f>'Entrada datos'!A52</f>
        <v>0</v>
      </c>
      <c r="B142">
        <f>'Entrada datos'!B52</f>
        <v>0</v>
      </c>
      <c r="C142">
        <f>'Entrada datos'!C52</f>
        <v>0</v>
      </c>
      <c r="D142">
        <f>'Entrada datos'!D52</f>
        <v>0</v>
      </c>
      <c r="E142" s="18">
        <f>'Entrada datos'!G52</f>
        <v>0</v>
      </c>
      <c r="F142" s="18">
        <f>'Entrada datos'!H52</f>
        <v>0</v>
      </c>
      <c r="G142">
        <f>'Entrada datos'!J52</f>
        <v>0</v>
      </c>
      <c r="H142">
        <f>'Entrada datos'!L52</f>
        <v>0</v>
      </c>
      <c r="I142">
        <f>'Entrada datos'!O52</f>
        <v>0</v>
      </c>
      <c r="J142">
        <f>'Entrada datos'!P52</f>
        <v>0</v>
      </c>
      <c r="K142">
        <f>'Entrada datos'!Q52</f>
        <v>0</v>
      </c>
      <c r="L142">
        <f>'Entrada datos'!R52</f>
        <v>0</v>
      </c>
      <c r="M142">
        <f>'Entrada datos'!S52</f>
        <v>0</v>
      </c>
      <c r="N142">
        <f>'Entrada datos'!T52</f>
        <v>0</v>
      </c>
      <c r="O142">
        <f>'Entrada datos'!U52</f>
        <v>0</v>
      </c>
      <c r="P142" s="17">
        <f t="shared" si="35"/>
        <v>0</v>
      </c>
      <c r="Q142">
        <f>'Entrada datos'!V52</f>
        <v>0</v>
      </c>
      <c r="R142">
        <f>'Entrada datos'!W52</f>
        <v>0</v>
      </c>
      <c r="S142">
        <f>'Entrada datos'!X52</f>
        <v>0</v>
      </c>
      <c r="T142">
        <f>'Entrada datos'!Y52</f>
        <v>0</v>
      </c>
      <c r="U142">
        <f>'Entrada datos'!Z52</f>
        <v>0</v>
      </c>
      <c r="V142">
        <f>'Entrada datos'!AA52</f>
        <v>0</v>
      </c>
      <c r="W142" s="17">
        <f t="shared" si="36"/>
        <v>0</v>
      </c>
      <c r="X142">
        <f>'Entrada datos'!AB52</f>
        <v>0</v>
      </c>
      <c r="Y142">
        <f>'Entrada datos'!AC52</f>
        <v>0</v>
      </c>
      <c r="Z142">
        <f>'Entrada datos'!AD52</f>
        <v>0</v>
      </c>
      <c r="AA142">
        <f>'Entrada datos'!AE52</f>
        <v>0</v>
      </c>
      <c r="AB142">
        <f>'Entrada datos'!AF52</f>
        <v>0</v>
      </c>
      <c r="AC142">
        <f>'Entrada datos'!AG52</f>
        <v>0</v>
      </c>
      <c r="AD142" s="17">
        <f t="shared" si="37"/>
        <v>0</v>
      </c>
      <c r="AE142">
        <f>'Entrada datos'!AH52</f>
        <v>0</v>
      </c>
      <c r="AF142">
        <f>'Entrada datos'!AI52</f>
        <v>0</v>
      </c>
      <c r="AG142">
        <f>'Entrada datos'!AJ52</f>
        <v>0</v>
      </c>
      <c r="AH142">
        <f>'Entrada datos'!AK52</f>
        <v>0</v>
      </c>
      <c r="AI142">
        <f>'Entrada datos'!AL52</f>
        <v>0</v>
      </c>
      <c r="AJ142">
        <f>'Entrada datos'!AM52</f>
        <v>0</v>
      </c>
      <c r="AK142" s="17">
        <f t="shared" si="38"/>
        <v>0</v>
      </c>
      <c r="AL142">
        <f>'Entrada datos'!AN52</f>
        <v>0</v>
      </c>
      <c r="AM142">
        <f>'Entrada datos'!AO52</f>
        <v>0</v>
      </c>
      <c r="AN142">
        <f>'Entrada datos'!AP52</f>
        <v>0</v>
      </c>
      <c r="AO142">
        <f>'Entrada datos'!AQ52</f>
        <v>0</v>
      </c>
      <c r="AP142">
        <f>'Entrada datos'!AR52</f>
        <v>0</v>
      </c>
      <c r="AQ142">
        <f>'Entrada datos'!AS52</f>
        <v>0</v>
      </c>
      <c r="AR142" s="17">
        <f t="shared" si="39"/>
        <v>0</v>
      </c>
      <c r="AS142" s="23">
        <f t="shared" si="40"/>
        <v>0</v>
      </c>
      <c r="AT142">
        <f t="shared" si="41"/>
        <v>1900</v>
      </c>
      <c r="AU142" s="40" t="str">
        <f t="shared" si="42"/>
        <v>enero</v>
      </c>
      <c r="AV142">
        <f t="shared" si="43"/>
        <v>0</v>
      </c>
      <c r="AW142">
        <f t="shared" si="44"/>
        <v>0</v>
      </c>
      <c r="AX142" s="24">
        <f t="shared" si="45"/>
        <v>0</v>
      </c>
      <c r="AY142" s="24">
        <f t="shared" si="46"/>
        <v>0</v>
      </c>
      <c r="AZ142" s="24">
        <f t="shared" si="47"/>
        <v>0</v>
      </c>
      <c r="BA142">
        <f t="shared" si="48"/>
        <v>0</v>
      </c>
      <c r="BB142">
        <f t="shared" si="49"/>
        <v>0</v>
      </c>
      <c r="BC142" s="24">
        <f t="shared" si="50"/>
        <v>0</v>
      </c>
      <c r="BD142">
        <f t="shared" si="51"/>
        <v>0</v>
      </c>
    </row>
    <row r="143" spans="1:56" x14ac:dyDescent="0.3">
      <c r="A143">
        <f>'Entrada datos'!A53</f>
        <v>0</v>
      </c>
      <c r="B143">
        <f>'Entrada datos'!B53</f>
        <v>0</v>
      </c>
      <c r="C143">
        <f>'Entrada datos'!C53</f>
        <v>0</v>
      </c>
      <c r="D143">
        <f>'Entrada datos'!D53</f>
        <v>0</v>
      </c>
      <c r="E143" s="18">
        <f>'Entrada datos'!G53</f>
        <v>0</v>
      </c>
      <c r="F143" s="18">
        <f>'Entrada datos'!H53</f>
        <v>0</v>
      </c>
      <c r="G143">
        <f>'Entrada datos'!J53</f>
        <v>0</v>
      </c>
      <c r="H143">
        <f>'Entrada datos'!L53</f>
        <v>0</v>
      </c>
      <c r="I143">
        <f>'Entrada datos'!O53</f>
        <v>0</v>
      </c>
      <c r="J143">
        <f>'Entrada datos'!P53</f>
        <v>0</v>
      </c>
      <c r="K143">
        <f>'Entrada datos'!Q53</f>
        <v>0</v>
      </c>
      <c r="L143">
        <f>'Entrada datos'!R53</f>
        <v>0</v>
      </c>
      <c r="M143">
        <f>'Entrada datos'!S53</f>
        <v>0</v>
      </c>
      <c r="N143">
        <f>'Entrada datos'!T53</f>
        <v>0</v>
      </c>
      <c r="O143">
        <f>'Entrada datos'!U53</f>
        <v>0</v>
      </c>
      <c r="P143" s="17">
        <f t="shared" si="35"/>
        <v>0</v>
      </c>
      <c r="Q143">
        <f>'Entrada datos'!V53</f>
        <v>0</v>
      </c>
      <c r="R143">
        <f>'Entrada datos'!W53</f>
        <v>0</v>
      </c>
      <c r="S143">
        <f>'Entrada datos'!X53</f>
        <v>0</v>
      </c>
      <c r="T143">
        <f>'Entrada datos'!Y53</f>
        <v>0</v>
      </c>
      <c r="U143">
        <f>'Entrada datos'!Z53</f>
        <v>0</v>
      </c>
      <c r="V143">
        <f>'Entrada datos'!AA53</f>
        <v>0</v>
      </c>
      <c r="W143" s="17">
        <f t="shared" si="36"/>
        <v>0</v>
      </c>
      <c r="X143">
        <f>'Entrada datos'!AB53</f>
        <v>0</v>
      </c>
      <c r="Y143">
        <f>'Entrada datos'!AC53</f>
        <v>0</v>
      </c>
      <c r="Z143">
        <f>'Entrada datos'!AD53</f>
        <v>0</v>
      </c>
      <c r="AA143">
        <f>'Entrada datos'!AE53</f>
        <v>0</v>
      </c>
      <c r="AB143">
        <f>'Entrada datos'!AF53</f>
        <v>0</v>
      </c>
      <c r="AC143">
        <f>'Entrada datos'!AG53</f>
        <v>0</v>
      </c>
      <c r="AD143" s="17">
        <f t="shared" si="37"/>
        <v>0</v>
      </c>
      <c r="AE143">
        <f>'Entrada datos'!AH53</f>
        <v>0</v>
      </c>
      <c r="AF143">
        <f>'Entrada datos'!AI53</f>
        <v>0</v>
      </c>
      <c r="AG143">
        <f>'Entrada datos'!AJ53</f>
        <v>0</v>
      </c>
      <c r="AH143">
        <f>'Entrada datos'!AK53</f>
        <v>0</v>
      </c>
      <c r="AI143">
        <f>'Entrada datos'!AL53</f>
        <v>0</v>
      </c>
      <c r="AJ143">
        <f>'Entrada datos'!AM53</f>
        <v>0</v>
      </c>
      <c r="AK143" s="17">
        <f t="shared" si="38"/>
        <v>0</v>
      </c>
      <c r="AL143">
        <f>'Entrada datos'!AN53</f>
        <v>0</v>
      </c>
      <c r="AM143">
        <f>'Entrada datos'!AO53</f>
        <v>0</v>
      </c>
      <c r="AN143">
        <f>'Entrada datos'!AP53</f>
        <v>0</v>
      </c>
      <c r="AO143">
        <f>'Entrada datos'!AQ53</f>
        <v>0</v>
      </c>
      <c r="AP143">
        <f>'Entrada datos'!AR53</f>
        <v>0</v>
      </c>
      <c r="AQ143">
        <f>'Entrada datos'!AS53</f>
        <v>0</v>
      </c>
      <c r="AR143" s="17">
        <f t="shared" si="39"/>
        <v>0</v>
      </c>
      <c r="AS143" s="23">
        <f t="shared" si="40"/>
        <v>0</v>
      </c>
      <c r="AT143">
        <f t="shared" si="41"/>
        <v>1900</v>
      </c>
      <c r="AU143" s="40" t="str">
        <f t="shared" si="42"/>
        <v>enero</v>
      </c>
      <c r="AV143">
        <f t="shared" si="43"/>
        <v>0</v>
      </c>
      <c r="AW143">
        <f t="shared" si="44"/>
        <v>0</v>
      </c>
      <c r="AX143" s="24">
        <f t="shared" si="45"/>
        <v>0</v>
      </c>
      <c r="AY143" s="24">
        <f t="shared" si="46"/>
        <v>0</v>
      </c>
      <c r="AZ143" s="24">
        <f t="shared" si="47"/>
        <v>0</v>
      </c>
      <c r="BA143">
        <f t="shared" si="48"/>
        <v>0</v>
      </c>
      <c r="BB143">
        <f t="shared" si="49"/>
        <v>0</v>
      </c>
      <c r="BC143" s="24">
        <f t="shared" si="50"/>
        <v>0</v>
      </c>
      <c r="BD143">
        <f t="shared" si="51"/>
        <v>0</v>
      </c>
    </row>
    <row r="144" spans="1:56" x14ac:dyDescent="0.3">
      <c r="A144">
        <f>'Entrada datos'!A54</f>
        <v>0</v>
      </c>
      <c r="B144">
        <f>'Entrada datos'!B54</f>
        <v>0</v>
      </c>
      <c r="C144">
        <f>'Entrada datos'!C54</f>
        <v>0</v>
      </c>
      <c r="D144">
        <f>'Entrada datos'!D54</f>
        <v>0</v>
      </c>
      <c r="E144" s="18">
        <f>'Entrada datos'!G54</f>
        <v>0</v>
      </c>
      <c r="F144" s="18">
        <f>'Entrada datos'!H54</f>
        <v>0</v>
      </c>
      <c r="G144">
        <f>'Entrada datos'!J54</f>
        <v>0</v>
      </c>
      <c r="H144">
        <f>'Entrada datos'!L54</f>
        <v>0</v>
      </c>
      <c r="I144">
        <f>'Entrada datos'!O54</f>
        <v>0</v>
      </c>
      <c r="J144">
        <f>'Entrada datos'!P54</f>
        <v>0</v>
      </c>
      <c r="K144">
        <f>'Entrada datos'!Q54</f>
        <v>0</v>
      </c>
      <c r="L144">
        <f>'Entrada datos'!R54</f>
        <v>0</v>
      </c>
      <c r="M144">
        <f>'Entrada datos'!S54</f>
        <v>0</v>
      </c>
      <c r="N144">
        <f>'Entrada datos'!T54</f>
        <v>0</v>
      </c>
      <c r="O144">
        <f>'Entrada datos'!U54</f>
        <v>0</v>
      </c>
      <c r="P144" s="17">
        <f t="shared" si="35"/>
        <v>0</v>
      </c>
      <c r="Q144">
        <f>'Entrada datos'!V54</f>
        <v>0</v>
      </c>
      <c r="R144">
        <f>'Entrada datos'!W54</f>
        <v>0</v>
      </c>
      <c r="S144">
        <f>'Entrada datos'!X54</f>
        <v>0</v>
      </c>
      <c r="T144">
        <f>'Entrada datos'!Y54</f>
        <v>0</v>
      </c>
      <c r="U144">
        <f>'Entrada datos'!Z54</f>
        <v>0</v>
      </c>
      <c r="V144">
        <f>'Entrada datos'!AA54</f>
        <v>0</v>
      </c>
      <c r="W144" s="17">
        <f t="shared" si="36"/>
        <v>0</v>
      </c>
      <c r="X144">
        <f>'Entrada datos'!AB54</f>
        <v>0</v>
      </c>
      <c r="Y144">
        <f>'Entrada datos'!AC54</f>
        <v>0</v>
      </c>
      <c r="Z144">
        <f>'Entrada datos'!AD54</f>
        <v>0</v>
      </c>
      <c r="AA144">
        <f>'Entrada datos'!AE54</f>
        <v>0</v>
      </c>
      <c r="AB144">
        <f>'Entrada datos'!AF54</f>
        <v>0</v>
      </c>
      <c r="AC144">
        <f>'Entrada datos'!AG54</f>
        <v>0</v>
      </c>
      <c r="AD144" s="17">
        <f t="shared" si="37"/>
        <v>0</v>
      </c>
      <c r="AE144">
        <f>'Entrada datos'!AH54</f>
        <v>0</v>
      </c>
      <c r="AF144">
        <f>'Entrada datos'!AI54</f>
        <v>0</v>
      </c>
      <c r="AG144">
        <f>'Entrada datos'!AJ54</f>
        <v>0</v>
      </c>
      <c r="AH144">
        <f>'Entrada datos'!AK54</f>
        <v>0</v>
      </c>
      <c r="AI144">
        <f>'Entrada datos'!AL54</f>
        <v>0</v>
      </c>
      <c r="AJ144">
        <f>'Entrada datos'!AM54</f>
        <v>0</v>
      </c>
      <c r="AK144" s="17">
        <f t="shared" si="38"/>
        <v>0</v>
      </c>
      <c r="AL144">
        <f>'Entrada datos'!AN54</f>
        <v>0</v>
      </c>
      <c r="AM144">
        <f>'Entrada datos'!AO54</f>
        <v>0</v>
      </c>
      <c r="AN144">
        <f>'Entrada datos'!AP54</f>
        <v>0</v>
      </c>
      <c r="AO144">
        <f>'Entrada datos'!AQ54</f>
        <v>0</v>
      </c>
      <c r="AP144">
        <f>'Entrada datos'!AR54</f>
        <v>0</v>
      </c>
      <c r="AQ144">
        <f>'Entrada datos'!AS54</f>
        <v>0</v>
      </c>
      <c r="AR144" s="17">
        <f t="shared" si="39"/>
        <v>0</v>
      </c>
      <c r="AS144" s="23">
        <f t="shared" si="40"/>
        <v>0</v>
      </c>
      <c r="AT144">
        <f t="shared" si="41"/>
        <v>1900</v>
      </c>
      <c r="AU144" s="40" t="str">
        <f t="shared" si="42"/>
        <v>enero</v>
      </c>
      <c r="AV144">
        <f t="shared" si="43"/>
        <v>0</v>
      </c>
      <c r="AW144">
        <f t="shared" si="44"/>
        <v>0</v>
      </c>
      <c r="AX144" s="24">
        <f t="shared" si="45"/>
        <v>0</v>
      </c>
      <c r="AY144" s="24">
        <f t="shared" si="46"/>
        <v>0</v>
      </c>
      <c r="AZ144" s="24">
        <f t="shared" si="47"/>
        <v>0</v>
      </c>
      <c r="BA144">
        <f t="shared" si="48"/>
        <v>0</v>
      </c>
      <c r="BB144">
        <f t="shared" si="49"/>
        <v>0</v>
      </c>
      <c r="BC144" s="24">
        <f t="shared" si="50"/>
        <v>0</v>
      </c>
      <c r="BD144">
        <f t="shared" si="51"/>
        <v>0</v>
      </c>
    </row>
    <row r="145" spans="1:56" x14ac:dyDescent="0.3">
      <c r="A145">
        <f>'Entrada datos'!A55</f>
        <v>0</v>
      </c>
      <c r="B145">
        <f>'Entrada datos'!B55</f>
        <v>0</v>
      </c>
      <c r="C145">
        <f>'Entrada datos'!C55</f>
        <v>0</v>
      </c>
      <c r="D145">
        <f>'Entrada datos'!D55</f>
        <v>0</v>
      </c>
      <c r="E145" s="18">
        <f>'Entrada datos'!G55</f>
        <v>0</v>
      </c>
      <c r="F145" s="18">
        <f>'Entrada datos'!H55</f>
        <v>0</v>
      </c>
      <c r="G145">
        <f>'Entrada datos'!J55</f>
        <v>0</v>
      </c>
      <c r="H145">
        <f>'Entrada datos'!L55</f>
        <v>0</v>
      </c>
      <c r="I145">
        <f>'Entrada datos'!O55</f>
        <v>0</v>
      </c>
      <c r="J145">
        <f>'Entrada datos'!P55</f>
        <v>0</v>
      </c>
      <c r="K145">
        <f>'Entrada datos'!Q55</f>
        <v>0</v>
      </c>
      <c r="L145">
        <f>'Entrada datos'!R55</f>
        <v>0</v>
      </c>
      <c r="M145">
        <f>'Entrada datos'!S55</f>
        <v>0</v>
      </c>
      <c r="N145">
        <f>'Entrada datos'!T55</f>
        <v>0</v>
      </c>
      <c r="O145">
        <f>'Entrada datos'!U55</f>
        <v>0</v>
      </c>
      <c r="P145" s="17">
        <f t="shared" si="35"/>
        <v>0</v>
      </c>
      <c r="Q145">
        <f>'Entrada datos'!V55</f>
        <v>0</v>
      </c>
      <c r="R145">
        <f>'Entrada datos'!W55</f>
        <v>0</v>
      </c>
      <c r="S145">
        <f>'Entrada datos'!X55</f>
        <v>0</v>
      </c>
      <c r="T145">
        <f>'Entrada datos'!Y55</f>
        <v>0</v>
      </c>
      <c r="U145">
        <f>'Entrada datos'!Z55</f>
        <v>0</v>
      </c>
      <c r="V145">
        <f>'Entrada datos'!AA55</f>
        <v>0</v>
      </c>
      <c r="W145" s="17">
        <f t="shared" si="36"/>
        <v>0</v>
      </c>
      <c r="X145">
        <f>'Entrada datos'!AB55</f>
        <v>0</v>
      </c>
      <c r="Y145">
        <f>'Entrada datos'!AC55</f>
        <v>0</v>
      </c>
      <c r="Z145">
        <f>'Entrada datos'!AD55</f>
        <v>0</v>
      </c>
      <c r="AA145">
        <f>'Entrada datos'!AE55</f>
        <v>0</v>
      </c>
      <c r="AB145">
        <f>'Entrada datos'!AF55</f>
        <v>0</v>
      </c>
      <c r="AC145">
        <f>'Entrada datos'!AG55</f>
        <v>0</v>
      </c>
      <c r="AD145" s="17">
        <f t="shared" si="37"/>
        <v>0</v>
      </c>
      <c r="AE145">
        <f>'Entrada datos'!AH55</f>
        <v>0</v>
      </c>
      <c r="AF145">
        <f>'Entrada datos'!AI55</f>
        <v>0</v>
      </c>
      <c r="AG145">
        <f>'Entrada datos'!AJ55</f>
        <v>0</v>
      </c>
      <c r="AH145">
        <f>'Entrada datos'!AK55</f>
        <v>0</v>
      </c>
      <c r="AI145">
        <f>'Entrada datos'!AL55</f>
        <v>0</v>
      </c>
      <c r="AJ145">
        <f>'Entrada datos'!AM55</f>
        <v>0</v>
      </c>
      <c r="AK145" s="17">
        <f t="shared" si="38"/>
        <v>0</v>
      </c>
      <c r="AL145">
        <f>'Entrada datos'!AN55</f>
        <v>0</v>
      </c>
      <c r="AM145">
        <f>'Entrada datos'!AO55</f>
        <v>0</v>
      </c>
      <c r="AN145">
        <f>'Entrada datos'!AP55</f>
        <v>0</v>
      </c>
      <c r="AO145">
        <f>'Entrada datos'!AQ55</f>
        <v>0</v>
      </c>
      <c r="AP145">
        <f>'Entrada datos'!AR55</f>
        <v>0</v>
      </c>
      <c r="AQ145">
        <f>'Entrada datos'!AS55</f>
        <v>0</v>
      </c>
      <c r="AR145" s="17">
        <f t="shared" si="39"/>
        <v>0</v>
      </c>
      <c r="AS145" s="23">
        <f t="shared" si="40"/>
        <v>0</v>
      </c>
      <c r="AT145">
        <f t="shared" si="41"/>
        <v>1900</v>
      </c>
      <c r="AU145" s="40" t="str">
        <f t="shared" si="42"/>
        <v>enero</v>
      </c>
      <c r="AV145">
        <f t="shared" si="43"/>
        <v>0</v>
      </c>
      <c r="AW145">
        <f t="shared" si="44"/>
        <v>0</v>
      </c>
      <c r="AX145" s="24">
        <f t="shared" si="45"/>
        <v>0</v>
      </c>
      <c r="AY145" s="24">
        <f t="shared" si="46"/>
        <v>0</v>
      </c>
      <c r="AZ145" s="24">
        <f t="shared" si="47"/>
        <v>0</v>
      </c>
      <c r="BA145">
        <f t="shared" si="48"/>
        <v>0</v>
      </c>
      <c r="BB145">
        <f t="shared" si="49"/>
        <v>0</v>
      </c>
      <c r="BC145" s="24">
        <f t="shared" si="50"/>
        <v>0</v>
      </c>
      <c r="BD145">
        <f t="shared" si="51"/>
        <v>0</v>
      </c>
    </row>
    <row r="146" spans="1:56" x14ac:dyDescent="0.3">
      <c r="A146">
        <f>'Entrada datos'!A56</f>
        <v>0</v>
      </c>
      <c r="B146">
        <f>'Entrada datos'!B56</f>
        <v>0</v>
      </c>
      <c r="C146">
        <f>'Entrada datos'!C56</f>
        <v>0</v>
      </c>
      <c r="D146">
        <f>'Entrada datos'!D56</f>
        <v>0</v>
      </c>
      <c r="E146" s="18">
        <f>'Entrada datos'!G56</f>
        <v>0</v>
      </c>
      <c r="F146" s="18">
        <f>'Entrada datos'!H56</f>
        <v>0</v>
      </c>
      <c r="G146">
        <f>'Entrada datos'!J56</f>
        <v>0</v>
      </c>
      <c r="H146">
        <f>'Entrada datos'!L56</f>
        <v>0</v>
      </c>
      <c r="I146">
        <f>'Entrada datos'!O56</f>
        <v>0</v>
      </c>
      <c r="J146">
        <f>'Entrada datos'!P56</f>
        <v>0</v>
      </c>
      <c r="K146">
        <f>'Entrada datos'!Q56</f>
        <v>0</v>
      </c>
      <c r="L146">
        <f>'Entrada datos'!R56</f>
        <v>0</v>
      </c>
      <c r="M146">
        <f>'Entrada datos'!S56</f>
        <v>0</v>
      </c>
      <c r="N146">
        <f>'Entrada datos'!T56</f>
        <v>0</v>
      </c>
      <c r="O146">
        <f>'Entrada datos'!U56</f>
        <v>0</v>
      </c>
      <c r="P146" s="17">
        <f t="shared" si="35"/>
        <v>0</v>
      </c>
      <c r="Q146">
        <f>'Entrada datos'!V56</f>
        <v>0</v>
      </c>
      <c r="R146">
        <f>'Entrada datos'!W56</f>
        <v>0</v>
      </c>
      <c r="S146">
        <f>'Entrada datos'!X56</f>
        <v>0</v>
      </c>
      <c r="T146">
        <f>'Entrada datos'!Y56</f>
        <v>0</v>
      </c>
      <c r="U146">
        <f>'Entrada datos'!Z56</f>
        <v>0</v>
      </c>
      <c r="V146">
        <f>'Entrada datos'!AA56</f>
        <v>0</v>
      </c>
      <c r="W146" s="17">
        <f t="shared" si="36"/>
        <v>0</v>
      </c>
      <c r="X146">
        <f>'Entrada datos'!AB56</f>
        <v>0</v>
      </c>
      <c r="Y146">
        <f>'Entrada datos'!AC56</f>
        <v>0</v>
      </c>
      <c r="Z146">
        <f>'Entrada datos'!AD56</f>
        <v>0</v>
      </c>
      <c r="AA146">
        <f>'Entrada datos'!AE56</f>
        <v>0</v>
      </c>
      <c r="AB146">
        <f>'Entrada datos'!AF56</f>
        <v>0</v>
      </c>
      <c r="AC146">
        <f>'Entrada datos'!AG56</f>
        <v>0</v>
      </c>
      <c r="AD146" s="17">
        <f t="shared" si="37"/>
        <v>0</v>
      </c>
      <c r="AE146">
        <f>'Entrada datos'!AH56</f>
        <v>0</v>
      </c>
      <c r="AF146">
        <f>'Entrada datos'!AI56</f>
        <v>0</v>
      </c>
      <c r="AG146">
        <f>'Entrada datos'!AJ56</f>
        <v>0</v>
      </c>
      <c r="AH146">
        <f>'Entrada datos'!AK56</f>
        <v>0</v>
      </c>
      <c r="AI146">
        <f>'Entrada datos'!AL56</f>
        <v>0</v>
      </c>
      <c r="AJ146">
        <f>'Entrada datos'!AM56</f>
        <v>0</v>
      </c>
      <c r="AK146" s="17">
        <f t="shared" si="38"/>
        <v>0</v>
      </c>
      <c r="AL146">
        <f>'Entrada datos'!AN56</f>
        <v>0</v>
      </c>
      <c r="AM146">
        <f>'Entrada datos'!AO56</f>
        <v>0</v>
      </c>
      <c r="AN146">
        <f>'Entrada datos'!AP56</f>
        <v>0</v>
      </c>
      <c r="AO146">
        <f>'Entrada datos'!AQ56</f>
        <v>0</v>
      </c>
      <c r="AP146">
        <f>'Entrada datos'!AR56</f>
        <v>0</v>
      </c>
      <c r="AQ146">
        <f>'Entrada datos'!AS56</f>
        <v>0</v>
      </c>
      <c r="AR146" s="17">
        <f t="shared" si="39"/>
        <v>0</v>
      </c>
      <c r="AS146" s="23">
        <f t="shared" si="40"/>
        <v>0</v>
      </c>
      <c r="AT146">
        <f t="shared" si="41"/>
        <v>1900</v>
      </c>
      <c r="AU146" s="40" t="str">
        <f t="shared" si="42"/>
        <v>enero</v>
      </c>
      <c r="AV146">
        <f t="shared" si="43"/>
        <v>0</v>
      </c>
      <c r="AW146">
        <f t="shared" si="44"/>
        <v>0</v>
      </c>
      <c r="AX146" s="24">
        <f t="shared" si="45"/>
        <v>0</v>
      </c>
      <c r="AY146" s="24">
        <f t="shared" si="46"/>
        <v>0</v>
      </c>
      <c r="AZ146" s="24">
        <f t="shared" si="47"/>
        <v>0</v>
      </c>
      <c r="BA146">
        <f t="shared" si="48"/>
        <v>0</v>
      </c>
      <c r="BB146">
        <f t="shared" si="49"/>
        <v>0</v>
      </c>
      <c r="BC146" s="24">
        <f t="shared" si="50"/>
        <v>0</v>
      </c>
      <c r="BD146">
        <f t="shared" si="51"/>
        <v>0</v>
      </c>
    </row>
    <row r="147" spans="1:56" x14ac:dyDescent="0.3">
      <c r="A147">
        <f>'Entrada datos'!A57</f>
        <v>0</v>
      </c>
      <c r="B147">
        <f>'Entrada datos'!B57</f>
        <v>0</v>
      </c>
      <c r="C147">
        <f>'Entrada datos'!C57</f>
        <v>0</v>
      </c>
      <c r="D147">
        <f>'Entrada datos'!D57</f>
        <v>0</v>
      </c>
      <c r="E147" s="18">
        <f>'Entrada datos'!G57</f>
        <v>0</v>
      </c>
      <c r="F147" s="18">
        <f>'Entrada datos'!H57</f>
        <v>0</v>
      </c>
      <c r="G147">
        <f>'Entrada datos'!J57</f>
        <v>0</v>
      </c>
      <c r="H147">
        <f>'Entrada datos'!L57</f>
        <v>0</v>
      </c>
      <c r="I147">
        <f>'Entrada datos'!O57</f>
        <v>0</v>
      </c>
      <c r="J147">
        <f>'Entrada datos'!P57</f>
        <v>0</v>
      </c>
      <c r="K147">
        <f>'Entrada datos'!Q57</f>
        <v>0</v>
      </c>
      <c r="L147">
        <f>'Entrada datos'!R57</f>
        <v>0</v>
      </c>
      <c r="M147">
        <f>'Entrada datos'!S57</f>
        <v>0</v>
      </c>
      <c r="N147">
        <f>'Entrada datos'!T57</f>
        <v>0</v>
      </c>
      <c r="O147">
        <f>'Entrada datos'!U57</f>
        <v>0</v>
      </c>
      <c r="P147" s="17">
        <f t="shared" si="35"/>
        <v>0</v>
      </c>
      <c r="Q147">
        <f>'Entrada datos'!V57</f>
        <v>0</v>
      </c>
      <c r="R147">
        <f>'Entrada datos'!W57</f>
        <v>0</v>
      </c>
      <c r="S147">
        <f>'Entrada datos'!X57</f>
        <v>0</v>
      </c>
      <c r="T147">
        <f>'Entrada datos'!Y57</f>
        <v>0</v>
      </c>
      <c r="U147">
        <f>'Entrada datos'!Z57</f>
        <v>0</v>
      </c>
      <c r="V147">
        <f>'Entrada datos'!AA57</f>
        <v>0</v>
      </c>
      <c r="W147" s="17">
        <f t="shared" si="36"/>
        <v>0</v>
      </c>
      <c r="X147">
        <f>'Entrada datos'!AB57</f>
        <v>0</v>
      </c>
      <c r="Y147">
        <f>'Entrada datos'!AC57</f>
        <v>0</v>
      </c>
      <c r="Z147">
        <f>'Entrada datos'!AD57</f>
        <v>0</v>
      </c>
      <c r="AA147">
        <f>'Entrada datos'!AE57</f>
        <v>0</v>
      </c>
      <c r="AB147">
        <f>'Entrada datos'!AF57</f>
        <v>0</v>
      </c>
      <c r="AC147">
        <f>'Entrada datos'!AG57</f>
        <v>0</v>
      </c>
      <c r="AD147" s="17">
        <f t="shared" si="37"/>
        <v>0</v>
      </c>
      <c r="AE147">
        <f>'Entrada datos'!AH57</f>
        <v>0</v>
      </c>
      <c r="AF147">
        <f>'Entrada datos'!AI57</f>
        <v>0</v>
      </c>
      <c r="AG147">
        <f>'Entrada datos'!AJ57</f>
        <v>0</v>
      </c>
      <c r="AH147">
        <f>'Entrada datos'!AK57</f>
        <v>0</v>
      </c>
      <c r="AI147">
        <f>'Entrada datos'!AL57</f>
        <v>0</v>
      </c>
      <c r="AJ147">
        <f>'Entrada datos'!AM57</f>
        <v>0</v>
      </c>
      <c r="AK147" s="17">
        <f t="shared" si="38"/>
        <v>0</v>
      </c>
      <c r="AL147">
        <f>'Entrada datos'!AN57</f>
        <v>0</v>
      </c>
      <c r="AM147">
        <f>'Entrada datos'!AO57</f>
        <v>0</v>
      </c>
      <c r="AN147">
        <f>'Entrada datos'!AP57</f>
        <v>0</v>
      </c>
      <c r="AO147">
        <f>'Entrada datos'!AQ57</f>
        <v>0</v>
      </c>
      <c r="AP147">
        <f>'Entrada datos'!AR57</f>
        <v>0</v>
      </c>
      <c r="AQ147">
        <f>'Entrada datos'!AS57</f>
        <v>0</v>
      </c>
      <c r="AR147" s="17">
        <f t="shared" si="39"/>
        <v>0</v>
      </c>
      <c r="AS147" s="23">
        <f t="shared" si="40"/>
        <v>0</v>
      </c>
      <c r="AT147">
        <f t="shared" si="41"/>
        <v>1900</v>
      </c>
      <c r="AU147" s="40" t="str">
        <f t="shared" si="42"/>
        <v>enero</v>
      </c>
      <c r="AV147">
        <f t="shared" si="43"/>
        <v>0</v>
      </c>
      <c r="AW147">
        <f t="shared" si="44"/>
        <v>0</v>
      </c>
      <c r="AX147" s="24">
        <f t="shared" si="45"/>
        <v>0</v>
      </c>
      <c r="AY147" s="24">
        <f t="shared" si="46"/>
        <v>0</v>
      </c>
      <c r="AZ147" s="24">
        <f t="shared" si="47"/>
        <v>0</v>
      </c>
      <c r="BA147">
        <f t="shared" si="48"/>
        <v>0</v>
      </c>
      <c r="BB147">
        <f t="shared" si="49"/>
        <v>0</v>
      </c>
      <c r="BC147" s="24">
        <f t="shared" si="50"/>
        <v>0</v>
      </c>
      <c r="BD147">
        <f t="shared" si="51"/>
        <v>0</v>
      </c>
    </row>
    <row r="148" spans="1:56" x14ac:dyDescent="0.3">
      <c r="A148">
        <f>'Entrada datos'!A58</f>
        <v>0</v>
      </c>
      <c r="B148">
        <f>'Entrada datos'!B58</f>
        <v>0</v>
      </c>
      <c r="C148">
        <f>'Entrada datos'!C58</f>
        <v>0</v>
      </c>
      <c r="D148">
        <f>'Entrada datos'!D58</f>
        <v>0</v>
      </c>
      <c r="E148" s="18">
        <f>'Entrada datos'!G58</f>
        <v>0</v>
      </c>
      <c r="F148" s="18">
        <f>'Entrada datos'!H58</f>
        <v>0</v>
      </c>
      <c r="G148">
        <f>'Entrada datos'!J58</f>
        <v>0</v>
      </c>
      <c r="H148">
        <f>'Entrada datos'!L58</f>
        <v>0</v>
      </c>
      <c r="I148">
        <f>'Entrada datos'!O58</f>
        <v>0</v>
      </c>
      <c r="J148">
        <f>'Entrada datos'!P58</f>
        <v>0</v>
      </c>
      <c r="K148">
        <f>'Entrada datos'!Q58</f>
        <v>0</v>
      </c>
      <c r="L148">
        <f>'Entrada datos'!R58</f>
        <v>0</v>
      </c>
      <c r="M148">
        <f>'Entrada datos'!S58</f>
        <v>0</v>
      </c>
      <c r="N148">
        <f>'Entrada datos'!T58</f>
        <v>0</v>
      </c>
      <c r="O148">
        <f>'Entrada datos'!U58</f>
        <v>0</v>
      </c>
      <c r="P148" s="17">
        <f t="shared" si="35"/>
        <v>0</v>
      </c>
      <c r="Q148">
        <f>'Entrada datos'!V58</f>
        <v>0</v>
      </c>
      <c r="R148">
        <f>'Entrada datos'!W58</f>
        <v>0</v>
      </c>
      <c r="S148">
        <f>'Entrada datos'!X58</f>
        <v>0</v>
      </c>
      <c r="T148">
        <f>'Entrada datos'!Y58</f>
        <v>0</v>
      </c>
      <c r="U148">
        <f>'Entrada datos'!Z58</f>
        <v>0</v>
      </c>
      <c r="V148">
        <f>'Entrada datos'!AA58</f>
        <v>0</v>
      </c>
      <c r="W148" s="17">
        <f t="shared" si="36"/>
        <v>0</v>
      </c>
      <c r="X148">
        <f>'Entrada datos'!AB58</f>
        <v>0</v>
      </c>
      <c r="Y148">
        <f>'Entrada datos'!AC58</f>
        <v>0</v>
      </c>
      <c r="Z148">
        <f>'Entrada datos'!AD58</f>
        <v>0</v>
      </c>
      <c r="AA148">
        <f>'Entrada datos'!AE58</f>
        <v>0</v>
      </c>
      <c r="AB148">
        <f>'Entrada datos'!AF58</f>
        <v>0</v>
      </c>
      <c r="AC148">
        <f>'Entrada datos'!AG58</f>
        <v>0</v>
      </c>
      <c r="AD148" s="17">
        <f t="shared" si="37"/>
        <v>0</v>
      </c>
      <c r="AE148">
        <f>'Entrada datos'!AH58</f>
        <v>0</v>
      </c>
      <c r="AF148">
        <f>'Entrada datos'!AI58</f>
        <v>0</v>
      </c>
      <c r="AG148">
        <f>'Entrada datos'!AJ58</f>
        <v>0</v>
      </c>
      <c r="AH148">
        <f>'Entrada datos'!AK58</f>
        <v>0</v>
      </c>
      <c r="AI148">
        <f>'Entrada datos'!AL58</f>
        <v>0</v>
      </c>
      <c r="AJ148">
        <f>'Entrada datos'!AM58</f>
        <v>0</v>
      </c>
      <c r="AK148" s="17">
        <f t="shared" si="38"/>
        <v>0</v>
      </c>
      <c r="AL148">
        <f>'Entrada datos'!AN58</f>
        <v>0</v>
      </c>
      <c r="AM148">
        <f>'Entrada datos'!AO58</f>
        <v>0</v>
      </c>
      <c r="AN148">
        <f>'Entrada datos'!AP58</f>
        <v>0</v>
      </c>
      <c r="AO148">
        <f>'Entrada datos'!AQ58</f>
        <v>0</v>
      </c>
      <c r="AP148">
        <f>'Entrada datos'!AR58</f>
        <v>0</v>
      </c>
      <c r="AQ148">
        <f>'Entrada datos'!AS58</f>
        <v>0</v>
      </c>
      <c r="AR148" s="17">
        <f t="shared" si="39"/>
        <v>0</v>
      </c>
      <c r="AS148" s="23">
        <f t="shared" si="40"/>
        <v>0</v>
      </c>
      <c r="AT148">
        <f t="shared" si="41"/>
        <v>1900</v>
      </c>
      <c r="AU148" s="40" t="str">
        <f t="shared" si="42"/>
        <v>enero</v>
      </c>
      <c r="AV148">
        <f t="shared" si="43"/>
        <v>0</v>
      </c>
      <c r="AW148">
        <f t="shared" si="44"/>
        <v>0</v>
      </c>
      <c r="AX148" s="24">
        <f t="shared" si="45"/>
        <v>0</v>
      </c>
      <c r="AY148" s="24">
        <f t="shared" si="46"/>
        <v>0</v>
      </c>
      <c r="AZ148" s="24">
        <f t="shared" si="47"/>
        <v>0</v>
      </c>
      <c r="BA148">
        <f t="shared" si="48"/>
        <v>0</v>
      </c>
      <c r="BB148">
        <f t="shared" si="49"/>
        <v>0</v>
      </c>
      <c r="BC148" s="24">
        <f t="shared" si="50"/>
        <v>0</v>
      </c>
      <c r="BD148">
        <f t="shared" si="51"/>
        <v>0</v>
      </c>
    </row>
    <row r="149" spans="1:56" x14ac:dyDescent="0.3">
      <c r="A149">
        <f>'Entrada datos'!A59</f>
        <v>0</v>
      </c>
      <c r="B149">
        <f>'Entrada datos'!B59</f>
        <v>0</v>
      </c>
      <c r="C149">
        <f>'Entrada datos'!C59</f>
        <v>0</v>
      </c>
      <c r="D149">
        <f>'Entrada datos'!D59</f>
        <v>0</v>
      </c>
      <c r="E149" s="18">
        <f>'Entrada datos'!G59</f>
        <v>0</v>
      </c>
      <c r="F149" s="18">
        <f>'Entrada datos'!H59</f>
        <v>0</v>
      </c>
      <c r="G149">
        <f>'Entrada datos'!J59</f>
        <v>0</v>
      </c>
      <c r="H149">
        <f>'Entrada datos'!L59</f>
        <v>0</v>
      </c>
      <c r="I149">
        <f>'Entrada datos'!O59</f>
        <v>0</v>
      </c>
      <c r="J149">
        <f>'Entrada datos'!P59</f>
        <v>0</v>
      </c>
      <c r="K149">
        <f>'Entrada datos'!Q59</f>
        <v>0</v>
      </c>
      <c r="L149">
        <f>'Entrada datos'!R59</f>
        <v>0</v>
      </c>
      <c r="M149">
        <f>'Entrada datos'!S59</f>
        <v>0</v>
      </c>
      <c r="N149">
        <f>'Entrada datos'!T59</f>
        <v>0</v>
      </c>
      <c r="O149">
        <f>'Entrada datos'!U59</f>
        <v>0</v>
      </c>
      <c r="P149" s="17">
        <f t="shared" si="35"/>
        <v>0</v>
      </c>
      <c r="Q149">
        <f>'Entrada datos'!V59</f>
        <v>0</v>
      </c>
      <c r="R149">
        <f>'Entrada datos'!W59</f>
        <v>0</v>
      </c>
      <c r="S149">
        <f>'Entrada datos'!X59</f>
        <v>0</v>
      </c>
      <c r="T149">
        <f>'Entrada datos'!Y59</f>
        <v>0</v>
      </c>
      <c r="U149">
        <f>'Entrada datos'!Z59</f>
        <v>0</v>
      </c>
      <c r="V149">
        <f>'Entrada datos'!AA59</f>
        <v>0</v>
      </c>
      <c r="W149" s="17">
        <f t="shared" si="36"/>
        <v>0</v>
      </c>
      <c r="X149">
        <f>'Entrada datos'!AB59</f>
        <v>0</v>
      </c>
      <c r="Y149">
        <f>'Entrada datos'!AC59</f>
        <v>0</v>
      </c>
      <c r="Z149">
        <f>'Entrada datos'!AD59</f>
        <v>0</v>
      </c>
      <c r="AA149">
        <f>'Entrada datos'!AE59</f>
        <v>0</v>
      </c>
      <c r="AB149">
        <f>'Entrada datos'!AF59</f>
        <v>0</v>
      </c>
      <c r="AC149">
        <f>'Entrada datos'!AG59</f>
        <v>0</v>
      </c>
      <c r="AD149" s="17">
        <f t="shared" si="37"/>
        <v>0</v>
      </c>
      <c r="AE149">
        <f>'Entrada datos'!AH59</f>
        <v>0</v>
      </c>
      <c r="AF149">
        <f>'Entrada datos'!AI59</f>
        <v>0</v>
      </c>
      <c r="AG149">
        <f>'Entrada datos'!AJ59</f>
        <v>0</v>
      </c>
      <c r="AH149">
        <f>'Entrada datos'!AK59</f>
        <v>0</v>
      </c>
      <c r="AI149">
        <f>'Entrada datos'!AL59</f>
        <v>0</v>
      </c>
      <c r="AJ149">
        <f>'Entrada datos'!AM59</f>
        <v>0</v>
      </c>
      <c r="AK149" s="17">
        <f t="shared" si="38"/>
        <v>0</v>
      </c>
      <c r="AL149">
        <f>'Entrada datos'!AN59</f>
        <v>0</v>
      </c>
      <c r="AM149">
        <f>'Entrada datos'!AO59</f>
        <v>0</v>
      </c>
      <c r="AN149">
        <f>'Entrada datos'!AP59</f>
        <v>0</v>
      </c>
      <c r="AO149">
        <f>'Entrada datos'!AQ59</f>
        <v>0</v>
      </c>
      <c r="AP149">
        <f>'Entrada datos'!AR59</f>
        <v>0</v>
      </c>
      <c r="AQ149">
        <f>'Entrada datos'!AS59</f>
        <v>0</v>
      </c>
      <c r="AR149" s="17">
        <f t="shared" si="39"/>
        <v>0</v>
      </c>
      <c r="AS149" s="23">
        <f t="shared" si="40"/>
        <v>0</v>
      </c>
      <c r="AT149">
        <f t="shared" si="41"/>
        <v>1900</v>
      </c>
      <c r="AU149" s="40" t="str">
        <f t="shared" si="42"/>
        <v>enero</v>
      </c>
      <c r="AV149">
        <f t="shared" si="43"/>
        <v>0</v>
      </c>
      <c r="AW149">
        <f t="shared" si="44"/>
        <v>0</v>
      </c>
      <c r="AX149" s="24">
        <f t="shared" si="45"/>
        <v>0</v>
      </c>
      <c r="AY149" s="24">
        <f t="shared" si="46"/>
        <v>0</v>
      </c>
      <c r="AZ149" s="24">
        <f t="shared" si="47"/>
        <v>0</v>
      </c>
      <c r="BA149">
        <f t="shared" si="48"/>
        <v>0</v>
      </c>
      <c r="BB149">
        <f t="shared" si="49"/>
        <v>0</v>
      </c>
      <c r="BC149" s="24">
        <f t="shared" si="50"/>
        <v>0</v>
      </c>
      <c r="BD149">
        <f t="shared" si="51"/>
        <v>0</v>
      </c>
    </row>
    <row r="150" spans="1:56" x14ac:dyDescent="0.3">
      <c r="A150">
        <f>'Entrada datos'!A60</f>
        <v>0</v>
      </c>
      <c r="B150">
        <f>'Entrada datos'!B60</f>
        <v>0</v>
      </c>
      <c r="C150">
        <f>'Entrada datos'!C60</f>
        <v>0</v>
      </c>
      <c r="D150">
        <f>'Entrada datos'!D60</f>
        <v>0</v>
      </c>
      <c r="E150" s="18">
        <f>'Entrada datos'!G60</f>
        <v>0</v>
      </c>
      <c r="F150" s="18">
        <f>'Entrada datos'!H60</f>
        <v>0</v>
      </c>
      <c r="G150">
        <f>'Entrada datos'!J60</f>
        <v>0</v>
      </c>
      <c r="H150">
        <f>'Entrada datos'!L60</f>
        <v>0</v>
      </c>
      <c r="I150">
        <f>'Entrada datos'!O60</f>
        <v>0</v>
      </c>
      <c r="J150">
        <f>'Entrada datos'!P60</f>
        <v>0</v>
      </c>
      <c r="K150">
        <f>'Entrada datos'!Q60</f>
        <v>0</v>
      </c>
      <c r="L150">
        <f>'Entrada datos'!R60</f>
        <v>0</v>
      </c>
      <c r="M150">
        <f>'Entrada datos'!S60</f>
        <v>0</v>
      </c>
      <c r="N150">
        <f>'Entrada datos'!T60</f>
        <v>0</v>
      </c>
      <c r="O150">
        <f>'Entrada datos'!U60</f>
        <v>0</v>
      </c>
      <c r="P150" s="17">
        <f t="shared" si="35"/>
        <v>0</v>
      </c>
      <c r="Q150">
        <f>'Entrada datos'!V60</f>
        <v>0</v>
      </c>
      <c r="R150">
        <f>'Entrada datos'!W60</f>
        <v>0</v>
      </c>
      <c r="S150">
        <f>'Entrada datos'!X60</f>
        <v>0</v>
      </c>
      <c r="T150">
        <f>'Entrada datos'!Y60</f>
        <v>0</v>
      </c>
      <c r="U150">
        <f>'Entrada datos'!Z60</f>
        <v>0</v>
      </c>
      <c r="V150">
        <f>'Entrada datos'!AA60</f>
        <v>0</v>
      </c>
      <c r="W150" s="17">
        <f t="shared" si="36"/>
        <v>0</v>
      </c>
      <c r="X150">
        <f>'Entrada datos'!AB60</f>
        <v>0</v>
      </c>
      <c r="Y150">
        <f>'Entrada datos'!AC60</f>
        <v>0</v>
      </c>
      <c r="Z150">
        <f>'Entrada datos'!AD60</f>
        <v>0</v>
      </c>
      <c r="AA150">
        <f>'Entrada datos'!AE60</f>
        <v>0</v>
      </c>
      <c r="AB150">
        <f>'Entrada datos'!AF60</f>
        <v>0</v>
      </c>
      <c r="AC150">
        <f>'Entrada datos'!AG60</f>
        <v>0</v>
      </c>
      <c r="AD150" s="17">
        <f t="shared" si="37"/>
        <v>0</v>
      </c>
      <c r="AE150">
        <f>'Entrada datos'!AH60</f>
        <v>0</v>
      </c>
      <c r="AF150">
        <f>'Entrada datos'!AI60</f>
        <v>0</v>
      </c>
      <c r="AG150">
        <f>'Entrada datos'!AJ60</f>
        <v>0</v>
      </c>
      <c r="AH150">
        <f>'Entrada datos'!AK60</f>
        <v>0</v>
      </c>
      <c r="AI150">
        <f>'Entrada datos'!AL60</f>
        <v>0</v>
      </c>
      <c r="AJ150">
        <f>'Entrada datos'!AM60</f>
        <v>0</v>
      </c>
      <c r="AK150" s="17">
        <f t="shared" si="38"/>
        <v>0</v>
      </c>
      <c r="AL150">
        <f>'Entrada datos'!AN60</f>
        <v>0</v>
      </c>
      <c r="AM150">
        <f>'Entrada datos'!AO60</f>
        <v>0</v>
      </c>
      <c r="AN150">
        <f>'Entrada datos'!AP60</f>
        <v>0</v>
      </c>
      <c r="AO150">
        <f>'Entrada datos'!AQ60</f>
        <v>0</v>
      </c>
      <c r="AP150">
        <f>'Entrada datos'!AR60</f>
        <v>0</v>
      </c>
      <c r="AQ150">
        <f>'Entrada datos'!AS60</f>
        <v>0</v>
      </c>
      <c r="AR150" s="17">
        <f t="shared" si="39"/>
        <v>0</v>
      </c>
      <c r="AS150" s="23">
        <f t="shared" si="40"/>
        <v>0</v>
      </c>
      <c r="AT150">
        <f t="shared" si="41"/>
        <v>1900</v>
      </c>
      <c r="AU150" s="40" t="str">
        <f t="shared" si="42"/>
        <v>enero</v>
      </c>
      <c r="AV150">
        <f t="shared" si="43"/>
        <v>0</v>
      </c>
      <c r="AW150">
        <f t="shared" si="44"/>
        <v>0</v>
      </c>
      <c r="AX150" s="24">
        <f t="shared" si="45"/>
        <v>0</v>
      </c>
      <c r="AY150" s="24">
        <f t="shared" si="46"/>
        <v>0</v>
      </c>
      <c r="AZ150" s="24">
        <f t="shared" si="47"/>
        <v>0</v>
      </c>
      <c r="BA150">
        <f t="shared" si="48"/>
        <v>0</v>
      </c>
      <c r="BB150">
        <f t="shared" si="49"/>
        <v>0</v>
      </c>
      <c r="BC150" s="24">
        <f t="shared" si="50"/>
        <v>0</v>
      </c>
      <c r="BD150">
        <f t="shared" si="51"/>
        <v>0</v>
      </c>
    </row>
    <row r="151" spans="1:56" x14ac:dyDescent="0.3">
      <c r="A151">
        <f>'Entrada datos'!A61</f>
        <v>0</v>
      </c>
      <c r="B151">
        <f>'Entrada datos'!B61</f>
        <v>0</v>
      </c>
      <c r="C151">
        <f>'Entrada datos'!C61</f>
        <v>0</v>
      </c>
      <c r="D151">
        <f>'Entrada datos'!D61</f>
        <v>0</v>
      </c>
      <c r="E151" s="18">
        <f>'Entrada datos'!G61</f>
        <v>0</v>
      </c>
      <c r="F151" s="18">
        <f>'Entrada datos'!H61</f>
        <v>0</v>
      </c>
      <c r="G151">
        <f>'Entrada datos'!J61</f>
        <v>0</v>
      </c>
      <c r="H151">
        <f>'Entrada datos'!L61</f>
        <v>0</v>
      </c>
      <c r="I151">
        <f>'Entrada datos'!O61</f>
        <v>0</v>
      </c>
      <c r="J151">
        <f>'Entrada datos'!P61</f>
        <v>0</v>
      </c>
      <c r="K151">
        <f>'Entrada datos'!Q61</f>
        <v>0</v>
      </c>
      <c r="L151">
        <f>'Entrada datos'!R61</f>
        <v>0</v>
      </c>
      <c r="M151">
        <f>'Entrada datos'!S61</f>
        <v>0</v>
      </c>
      <c r="N151">
        <f>'Entrada datos'!T61</f>
        <v>0</v>
      </c>
      <c r="O151">
        <f>'Entrada datos'!U61</f>
        <v>0</v>
      </c>
      <c r="P151" s="17">
        <f t="shared" si="35"/>
        <v>0</v>
      </c>
      <c r="Q151">
        <f>'Entrada datos'!V61</f>
        <v>0</v>
      </c>
      <c r="R151">
        <f>'Entrada datos'!W61</f>
        <v>0</v>
      </c>
      <c r="S151">
        <f>'Entrada datos'!X61</f>
        <v>0</v>
      </c>
      <c r="T151">
        <f>'Entrada datos'!Y61</f>
        <v>0</v>
      </c>
      <c r="U151">
        <f>'Entrada datos'!Z61</f>
        <v>0</v>
      </c>
      <c r="V151">
        <f>'Entrada datos'!AA61</f>
        <v>0</v>
      </c>
      <c r="W151" s="17">
        <f t="shared" si="36"/>
        <v>0</v>
      </c>
      <c r="X151">
        <f>'Entrada datos'!AB61</f>
        <v>0</v>
      </c>
      <c r="Y151">
        <f>'Entrada datos'!AC61</f>
        <v>0</v>
      </c>
      <c r="Z151">
        <f>'Entrada datos'!AD61</f>
        <v>0</v>
      </c>
      <c r="AA151">
        <f>'Entrada datos'!AE61</f>
        <v>0</v>
      </c>
      <c r="AB151">
        <f>'Entrada datos'!AF61</f>
        <v>0</v>
      </c>
      <c r="AC151">
        <f>'Entrada datos'!AG61</f>
        <v>0</v>
      </c>
      <c r="AD151" s="17">
        <f t="shared" si="37"/>
        <v>0</v>
      </c>
      <c r="AE151">
        <f>'Entrada datos'!AH61</f>
        <v>0</v>
      </c>
      <c r="AF151">
        <f>'Entrada datos'!AI61</f>
        <v>0</v>
      </c>
      <c r="AG151">
        <f>'Entrada datos'!AJ61</f>
        <v>0</v>
      </c>
      <c r="AH151">
        <f>'Entrada datos'!AK61</f>
        <v>0</v>
      </c>
      <c r="AI151">
        <f>'Entrada datos'!AL61</f>
        <v>0</v>
      </c>
      <c r="AJ151">
        <f>'Entrada datos'!AM61</f>
        <v>0</v>
      </c>
      <c r="AK151" s="17">
        <f t="shared" si="38"/>
        <v>0</v>
      </c>
      <c r="AL151">
        <f>'Entrada datos'!AN61</f>
        <v>0</v>
      </c>
      <c r="AM151">
        <f>'Entrada datos'!AO61</f>
        <v>0</v>
      </c>
      <c r="AN151">
        <f>'Entrada datos'!AP61</f>
        <v>0</v>
      </c>
      <c r="AO151">
        <f>'Entrada datos'!AQ61</f>
        <v>0</v>
      </c>
      <c r="AP151">
        <f>'Entrada datos'!AR61</f>
        <v>0</v>
      </c>
      <c r="AQ151">
        <f>'Entrada datos'!AS61</f>
        <v>0</v>
      </c>
      <c r="AR151" s="17">
        <f t="shared" si="39"/>
        <v>0</v>
      </c>
      <c r="AS151" s="23">
        <f t="shared" si="40"/>
        <v>0</v>
      </c>
      <c r="AT151">
        <f t="shared" si="41"/>
        <v>1900</v>
      </c>
      <c r="AU151" s="40" t="str">
        <f t="shared" si="42"/>
        <v>enero</v>
      </c>
      <c r="AV151">
        <f t="shared" si="43"/>
        <v>0</v>
      </c>
      <c r="AW151">
        <f t="shared" si="44"/>
        <v>0</v>
      </c>
      <c r="AX151" s="24">
        <f t="shared" si="45"/>
        <v>0</v>
      </c>
      <c r="AY151" s="24">
        <f t="shared" si="46"/>
        <v>0</v>
      </c>
      <c r="AZ151" s="24">
        <f t="shared" si="47"/>
        <v>0</v>
      </c>
      <c r="BA151">
        <f t="shared" si="48"/>
        <v>0</v>
      </c>
      <c r="BB151">
        <f t="shared" si="49"/>
        <v>0</v>
      </c>
      <c r="BC151" s="24">
        <f t="shared" si="50"/>
        <v>0</v>
      </c>
      <c r="BD151">
        <f t="shared" si="51"/>
        <v>0</v>
      </c>
    </row>
    <row r="152" spans="1:56" x14ac:dyDescent="0.3">
      <c r="A152">
        <f>'Entrada datos'!A62</f>
        <v>0</v>
      </c>
      <c r="B152">
        <f>'Entrada datos'!B62</f>
        <v>0</v>
      </c>
      <c r="C152">
        <f>'Entrada datos'!C62</f>
        <v>0</v>
      </c>
      <c r="D152">
        <f>'Entrada datos'!D62</f>
        <v>0</v>
      </c>
      <c r="E152" s="18">
        <f>'Entrada datos'!G62</f>
        <v>0</v>
      </c>
      <c r="F152" s="18">
        <f>'Entrada datos'!H62</f>
        <v>0</v>
      </c>
      <c r="G152">
        <f>'Entrada datos'!J62</f>
        <v>0</v>
      </c>
      <c r="H152">
        <f>'Entrada datos'!L62</f>
        <v>0</v>
      </c>
      <c r="I152">
        <f>'Entrada datos'!O62</f>
        <v>0</v>
      </c>
      <c r="J152">
        <f>'Entrada datos'!P62</f>
        <v>0</v>
      </c>
      <c r="K152">
        <f>'Entrada datos'!Q62</f>
        <v>0</v>
      </c>
      <c r="L152">
        <f>'Entrada datos'!R62</f>
        <v>0</v>
      </c>
      <c r="M152">
        <f>'Entrada datos'!S62</f>
        <v>0</v>
      </c>
      <c r="N152">
        <f>'Entrada datos'!T62</f>
        <v>0</v>
      </c>
      <c r="O152">
        <f>'Entrada datos'!U62</f>
        <v>0</v>
      </c>
      <c r="P152" s="17">
        <f t="shared" si="35"/>
        <v>0</v>
      </c>
      <c r="Q152">
        <f>'Entrada datos'!V62</f>
        <v>0</v>
      </c>
      <c r="R152">
        <f>'Entrada datos'!W62</f>
        <v>0</v>
      </c>
      <c r="S152">
        <f>'Entrada datos'!X62</f>
        <v>0</v>
      </c>
      <c r="T152">
        <f>'Entrada datos'!Y62</f>
        <v>0</v>
      </c>
      <c r="U152">
        <f>'Entrada datos'!Z62</f>
        <v>0</v>
      </c>
      <c r="V152">
        <f>'Entrada datos'!AA62</f>
        <v>0</v>
      </c>
      <c r="W152" s="17">
        <f t="shared" si="36"/>
        <v>0</v>
      </c>
      <c r="X152">
        <f>'Entrada datos'!AB62</f>
        <v>0</v>
      </c>
      <c r="Y152">
        <f>'Entrada datos'!AC62</f>
        <v>0</v>
      </c>
      <c r="Z152">
        <f>'Entrada datos'!AD62</f>
        <v>0</v>
      </c>
      <c r="AA152">
        <f>'Entrada datos'!AE62</f>
        <v>0</v>
      </c>
      <c r="AB152">
        <f>'Entrada datos'!AF62</f>
        <v>0</v>
      </c>
      <c r="AC152">
        <f>'Entrada datos'!AG62</f>
        <v>0</v>
      </c>
      <c r="AD152" s="17">
        <f t="shared" si="37"/>
        <v>0</v>
      </c>
      <c r="AE152">
        <f>'Entrada datos'!AH62</f>
        <v>0</v>
      </c>
      <c r="AF152">
        <f>'Entrada datos'!AI62</f>
        <v>0</v>
      </c>
      <c r="AG152">
        <f>'Entrada datos'!AJ62</f>
        <v>0</v>
      </c>
      <c r="AH152">
        <f>'Entrada datos'!AK62</f>
        <v>0</v>
      </c>
      <c r="AI152">
        <f>'Entrada datos'!AL62</f>
        <v>0</v>
      </c>
      <c r="AJ152">
        <f>'Entrada datos'!AM62</f>
        <v>0</v>
      </c>
      <c r="AK152" s="17">
        <f t="shared" si="38"/>
        <v>0</v>
      </c>
      <c r="AL152">
        <f>'Entrada datos'!AN62</f>
        <v>0</v>
      </c>
      <c r="AM152">
        <f>'Entrada datos'!AO62</f>
        <v>0</v>
      </c>
      <c r="AN152">
        <f>'Entrada datos'!AP62</f>
        <v>0</v>
      </c>
      <c r="AO152">
        <f>'Entrada datos'!AQ62</f>
        <v>0</v>
      </c>
      <c r="AP152">
        <f>'Entrada datos'!AR62</f>
        <v>0</v>
      </c>
      <c r="AQ152">
        <f>'Entrada datos'!AS62</f>
        <v>0</v>
      </c>
      <c r="AR152" s="17">
        <f t="shared" si="39"/>
        <v>0</v>
      </c>
      <c r="AS152" s="23">
        <f t="shared" si="40"/>
        <v>0</v>
      </c>
      <c r="AT152">
        <f t="shared" si="41"/>
        <v>1900</v>
      </c>
      <c r="AU152" s="40" t="str">
        <f t="shared" si="42"/>
        <v>enero</v>
      </c>
      <c r="AV152">
        <f t="shared" si="43"/>
        <v>0</v>
      </c>
      <c r="AW152">
        <f t="shared" si="44"/>
        <v>0</v>
      </c>
      <c r="AX152" s="24">
        <f t="shared" si="45"/>
        <v>0</v>
      </c>
      <c r="AY152" s="24">
        <f t="shared" si="46"/>
        <v>0</v>
      </c>
      <c r="AZ152" s="24">
        <f t="shared" si="47"/>
        <v>0</v>
      </c>
      <c r="BA152">
        <f t="shared" si="48"/>
        <v>0</v>
      </c>
      <c r="BB152">
        <f t="shared" si="49"/>
        <v>0</v>
      </c>
      <c r="BC152" s="24">
        <f t="shared" si="50"/>
        <v>0</v>
      </c>
      <c r="BD152">
        <f t="shared" si="51"/>
        <v>0</v>
      </c>
    </row>
    <row r="153" spans="1:56" x14ac:dyDescent="0.3">
      <c r="A153">
        <f>'Entrada datos'!A63</f>
        <v>0</v>
      </c>
      <c r="B153">
        <f>'Entrada datos'!B63</f>
        <v>0</v>
      </c>
      <c r="C153">
        <f>'Entrada datos'!C63</f>
        <v>0</v>
      </c>
      <c r="D153">
        <f>'Entrada datos'!D63</f>
        <v>0</v>
      </c>
      <c r="E153" s="18">
        <f>'Entrada datos'!G63</f>
        <v>0</v>
      </c>
      <c r="F153" s="18">
        <f>'Entrada datos'!H63</f>
        <v>0</v>
      </c>
      <c r="G153">
        <f>'Entrada datos'!J63</f>
        <v>0</v>
      </c>
      <c r="H153">
        <f>'Entrada datos'!L63</f>
        <v>0</v>
      </c>
      <c r="I153">
        <f>'Entrada datos'!O63</f>
        <v>0</v>
      </c>
      <c r="J153">
        <f>'Entrada datos'!P63</f>
        <v>0</v>
      </c>
      <c r="K153">
        <f>'Entrada datos'!Q63</f>
        <v>0</v>
      </c>
      <c r="L153">
        <f>'Entrada datos'!R63</f>
        <v>0</v>
      </c>
      <c r="M153">
        <f>'Entrada datos'!S63</f>
        <v>0</v>
      </c>
      <c r="N153">
        <f>'Entrada datos'!T63</f>
        <v>0</v>
      </c>
      <c r="O153">
        <f>'Entrada datos'!U63</f>
        <v>0</v>
      </c>
      <c r="P153" s="17">
        <f t="shared" si="35"/>
        <v>0</v>
      </c>
      <c r="Q153">
        <f>'Entrada datos'!V63</f>
        <v>0</v>
      </c>
      <c r="R153">
        <f>'Entrada datos'!W63</f>
        <v>0</v>
      </c>
      <c r="S153">
        <f>'Entrada datos'!X63</f>
        <v>0</v>
      </c>
      <c r="T153">
        <f>'Entrada datos'!Y63</f>
        <v>0</v>
      </c>
      <c r="U153">
        <f>'Entrada datos'!Z63</f>
        <v>0</v>
      </c>
      <c r="V153">
        <f>'Entrada datos'!AA63</f>
        <v>0</v>
      </c>
      <c r="W153" s="17">
        <f t="shared" si="36"/>
        <v>0</v>
      </c>
      <c r="X153">
        <f>'Entrada datos'!AB63</f>
        <v>0</v>
      </c>
      <c r="Y153">
        <f>'Entrada datos'!AC63</f>
        <v>0</v>
      </c>
      <c r="Z153">
        <f>'Entrada datos'!AD63</f>
        <v>0</v>
      </c>
      <c r="AA153">
        <f>'Entrada datos'!AE63</f>
        <v>0</v>
      </c>
      <c r="AB153">
        <f>'Entrada datos'!AF63</f>
        <v>0</v>
      </c>
      <c r="AC153">
        <f>'Entrada datos'!AG63</f>
        <v>0</v>
      </c>
      <c r="AD153" s="17">
        <f t="shared" si="37"/>
        <v>0</v>
      </c>
      <c r="AE153">
        <f>'Entrada datos'!AH63</f>
        <v>0</v>
      </c>
      <c r="AF153">
        <f>'Entrada datos'!AI63</f>
        <v>0</v>
      </c>
      <c r="AG153">
        <f>'Entrada datos'!AJ63</f>
        <v>0</v>
      </c>
      <c r="AH153">
        <f>'Entrada datos'!AK63</f>
        <v>0</v>
      </c>
      <c r="AI153">
        <f>'Entrada datos'!AL63</f>
        <v>0</v>
      </c>
      <c r="AJ153">
        <f>'Entrada datos'!AM63</f>
        <v>0</v>
      </c>
      <c r="AK153" s="17">
        <f t="shared" si="38"/>
        <v>0</v>
      </c>
      <c r="AL153">
        <f>'Entrada datos'!AN63</f>
        <v>0</v>
      </c>
      <c r="AM153">
        <f>'Entrada datos'!AO63</f>
        <v>0</v>
      </c>
      <c r="AN153">
        <f>'Entrada datos'!AP63</f>
        <v>0</v>
      </c>
      <c r="AO153">
        <f>'Entrada datos'!AQ63</f>
        <v>0</v>
      </c>
      <c r="AP153">
        <f>'Entrada datos'!AR63</f>
        <v>0</v>
      </c>
      <c r="AQ153">
        <f>'Entrada datos'!AS63</f>
        <v>0</v>
      </c>
      <c r="AR153" s="17">
        <f t="shared" si="39"/>
        <v>0</v>
      </c>
      <c r="AS153" s="23">
        <f t="shared" si="40"/>
        <v>0</v>
      </c>
      <c r="AT153">
        <f t="shared" si="41"/>
        <v>1900</v>
      </c>
      <c r="AU153" s="40" t="str">
        <f t="shared" si="42"/>
        <v>enero</v>
      </c>
      <c r="AV153">
        <f t="shared" si="43"/>
        <v>0</v>
      </c>
      <c r="AW153">
        <f t="shared" si="44"/>
        <v>0</v>
      </c>
      <c r="AX153" s="24">
        <f t="shared" si="45"/>
        <v>0</v>
      </c>
      <c r="AY153" s="24">
        <f t="shared" si="46"/>
        <v>0</v>
      </c>
      <c r="AZ153" s="24">
        <f t="shared" si="47"/>
        <v>0</v>
      </c>
      <c r="BA153">
        <f t="shared" si="48"/>
        <v>0</v>
      </c>
      <c r="BB153">
        <f t="shared" si="49"/>
        <v>0</v>
      </c>
      <c r="BC153" s="24">
        <f t="shared" si="50"/>
        <v>0</v>
      </c>
      <c r="BD153">
        <f t="shared" si="51"/>
        <v>0</v>
      </c>
    </row>
    <row r="154" spans="1:56" x14ac:dyDescent="0.3">
      <c r="A154">
        <f>'Entrada datos'!A64</f>
        <v>0</v>
      </c>
      <c r="B154">
        <f>'Entrada datos'!B64</f>
        <v>0</v>
      </c>
      <c r="C154">
        <f>'Entrada datos'!C64</f>
        <v>0</v>
      </c>
      <c r="D154">
        <f>'Entrada datos'!D64</f>
        <v>0</v>
      </c>
      <c r="E154" s="18">
        <f>'Entrada datos'!G64</f>
        <v>0</v>
      </c>
      <c r="F154" s="18">
        <f>'Entrada datos'!H64</f>
        <v>0</v>
      </c>
      <c r="G154">
        <f>'Entrada datos'!J64</f>
        <v>0</v>
      </c>
      <c r="H154">
        <f>'Entrada datos'!L64</f>
        <v>0</v>
      </c>
      <c r="I154">
        <f>'Entrada datos'!O64</f>
        <v>0</v>
      </c>
      <c r="J154">
        <f>'Entrada datos'!P64</f>
        <v>0</v>
      </c>
      <c r="K154">
        <f>'Entrada datos'!Q64</f>
        <v>0</v>
      </c>
      <c r="L154">
        <f>'Entrada datos'!R64</f>
        <v>0</v>
      </c>
      <c r="M154">
        <f>'Entrada datos'!S64</f>
        <v>0</v>
      </c>
      <c r="N154">
        <f>'Entrada datos'!T64</f>
        <v>0</v>
      </c>
      <c r="O154">
        <f>'Entrada datos'!U64</f>
        <v>0</v>
      </c>
      <c r="P154" s="17">
        <f t="shared" si="35"/>
        <v>0</v>
      </c>
      <c r="Q154">
        <f>'Entrada datos'!V64</f>
        <v>0</v>
      </c>
      <c r="R154">
        <f>'Entrada datos'!W64</f>
        <v>0</v>
      </c>
      <c r="S154">
        <f>'Entrada datos'!X64</f>
        <v>0</v>
      </c>
      <c r="T154">
        <f>'Entrada datos'!Y64</f>
        <v>0</v>
      </c>
      <c r="U154">
        <f>'Entrada datos'!Z64</f>
        <v>0</v>
      </c>
      <c r="V154">
        <f>'Entrada datos'!AA64</f>
        <v>0</v>
      </c>
      <c r="W154" s="17">
        <f t="shared" si="36"/>
        <v>0</v>
      </c>
      <c r="X154">
        <f>'Entrada datos'!AB64</f>
        <v>0</v>
      </c>
      <c r="Y154">
        <f>'Entrada datos'!AC64</f>
        <v>0</v>
      </c>
      <c r="Z154">
        <f>'Entrada datos'!AD64</f>
        <v>0</v>
      </c>
      <c r="AA154">
        <f>'Entrada datos'!AE64</f>
        <v>0</v>
      </c>
      <c r="AB154">
        <f>'Entrada datos'!AF64</f>
        <v>0</v>
      </c>
      <c r="AC154">
        <f>'Entrada datos'!AG64</f>
        <v>0</v>
      </c>
      <c r="AD154" s="17">
        <f t="shared" si="37"/>
        <v>0</v>
      </c>
      <c r="AE154">
        <f>'Entrada datos'!AH64</f>
        <v>0</v>
      </c>
      <c r="AF154">
        <f>'Entrada datos'!AI64</f>
        <v>0</v>
      </c>
      <c r="AG154">
        <f>'Entrada datos'!AJ64</f>
        <v>0</v>
      </c>
      <c r="AH154">
        <f>'Entrada datos'!AK64</f>
        <v>0</v>
      </c>
      <c r="AI154">
        <f>'Entrada datos'!AL64</f>
        <v>0</v>
      </c>
      <c r="AJ154">
        <f>'Entrada datos'!AM64</f>
        <v>0</v>
      </c>
      <c r="AK154" s="17">
        <f t="shared" si="38"/>
        <v>0</v>
      </c>
      <c r="AL154">
        <f>'Entrada datos'!AN64</f>
        <v>0</v>
      </c>
      <c r="AM154">
        <f>'Entrada datos'!AO64</f>
        <v>0</v>
      </c>
      <c r="AN154">
        <f>'Entrada datos'!AP64</f>
        <v>0</v>
      </c>
      <c r="AO154">
        <f>'Entrada datos'!AQ64</f>
        <v>0</v>
      </c>
      <c r="AP154">
        <f>'Entrada datos'!AR64</f>
        <v>0</v>
      </c>
      <c r="AQ154">
        <f>'Entrada datos'!AS64</f>
        <v>0</v>
      </c>
      <c r="AR154" s="17">
        <f t="shared" si="39"/>
        <v>0</v>
      </c>
      <c r="AS154" s="23">
        <f t="shared" si="40"/>
        <v>0</v>
      </c>
      <c r="AT154">
        <f t="shared" si="41"/>
        <v>1900</v>
      </c>
      <c r="AU154" s="40" t="str">
        <f t="shared" si="42"/>
        <v>enero</v>
      </c>
      <c r="AV154">
        <f t="shared" si="43"/>
        <v>0</v>
      </c>
      <c r="AW154">
        <f t="shared" si="44"/>
        <v>0</v>
      </c>
      <c r="AX154" s="24">
        <f t="shared" si="45"/>
        <v>0</v>
      </c>
      <c r="AY154" s="24">
        <f t="shared" si="46"/>
        <v>0</v>
      </c>
      <c r="AZ154" s="24">
        <f t="shared" si="47"/>
        <v>0</v>
      </c>
      <c r="BA154">
        <f t="shared" si="48"/>
        <v>0</v>
      </c>
      <c r="BB154">
        <f t="shared" si="49"/>
        <v>0</v>
      </c>
      <c r="BC154" s="24">
        <f t="shared" si="50"/>
        <v>0</v>
      </c>
      <c r="BD154">
        <f t="shared" si="51"/>
        <v>0</v>
      </c>
    </row>
    <row r="155" spans="1:56" x14ac:dyDescent="0.3">
      <c r="A155">
        <f>'Entrada datos'!A65</f>
        <v>0</v>
      </c>
      <c r="B155">
        <f>'Entrada datos'!B65</f>
        <v>0</v>
      </c>
      <c r="C155">
        <f>'Entrada datos'!C65</f>
        <v>0</v>
      </c>
      <c r="D155">
        <f>'Entrada datos'!D65</f>
        <v>0</v>
      </c>
      <c r="E155" s="18">
        <f>'Entrada datos'!G65</f>
        <v>0</v>
      </c>
      <c r="F155" s="18">
        <f>'Entrada datos'!H65</f>
        <v>0</v>
      </c>
      <c r="G155">
        <f>'Entrada datos'!J65</f>
        <v>0</v>
      </c>
      <c r="H155">
        <f>'Entrada datos'!L65</f>
        <v>0</v>
      </c>
      <c r="I155">
        <f>'Entrada datos'!O65</f>
        <v>0</v>
      </c>
      <c r="J155">
        <f>'Entrada datos'!P65</f>
        <v>0</v>
      </c>
      <c r="K155">
        <f>'Entrada datos'!Q65</f>
        <v>0</v>
      </c>
      <c r="L155">
        <f>'Entrada datos'!R65</f>
        <v>0</v>
      </c>
      <c r="M155">
        <f>'Entrada datos'!S65</f>
        <v>0</v>
      </c>
      <c r="N155">
        <f>'Entrada datos'!T65</f>
        <v>0</v>
      </c>
      <c r="O155">
        <f>'Entrada datos'!U65</f>
        <v>0</v>
      </c>
      <c r="P155" s="17">
        <f t="shared" si="35"/>
        <v>0</v>
      </c>
      <c r="Q155">
        <f>'Entrada datos'!V65</f>
        <v>0</v>
      </c>
      <c r="R155">
        <f>'Entrada datos'!W65</f>
        <v>0</v>
      </c>
      <c r="S155">
        <f>'Entrada datos'!X65</f>
        <v>0</v>
      </c>
      <c r="T155">
        <f>'Entrada datos'!Y65</f>
        <v>0</v>
      </c>
      <c r="U155">
        <f>'Entrada datos'!Z65</f>
        <v>0</v>
      </c>
      <c r="V155">
        <f>'Entrada datos'!AA65</f>
        <v>0</v>
      </c>
      <c r="W155" s="17">
        <f t="shared" si="36"/>
        <v>0</v>
      </c>
      <c r="X155">
        <f>'Entrada datos'!AB65</f>
        <v>0</v>
      </c>
      <c r="Y155">
        <f>'Entrada datos'!AC65</f>
        <v>0</v>
      </c>
      <c r="Z155">
        <f>'Entrada datos'!AD65</f>
        <v>0</v>
      </c>
      <c r="AA155">
        <f>'Entrada datos'!AE65</f>
        <v>0</v>
      </c>
      <c r="AB155">
        <f>'Entrada datos'!AF65</f>
        <v>0</v>
      </c>
      <c r="AC155">
        <f>'Entrada datos'!AG65</f>
        <v>0</v>
      </c>
      <c r="AD155" s="17">
        <f t="shared" si="37"/>
        <v>0</v>
      </c>
      <c r="AE155">
        <f>'Entrada datos'!AH65</f>
        <v>0</v>
      </c>
      <c r="AF155">
        <f>'Entrada datos'!AI65</f>
        <v>0</v>
      </c>
      <c r="AG155">
        <f>'Entrada datos'!AJ65</f>
        <v>0</v>
      </c>
      <c r="AH155">
        <f>'Entrada datos'!AK65</f>
        <v>0</v>
      </c>
      <c r="AI155">
        <f>'Entrada datos'!AL65</f>
        <v>0</v>
      </c>
      <c r="AJ155">
        <f>'Entrada datos'!AM65</f>
        <v>0</v>
      </c>
      <c r="AK155" s="17">
        <f t="shared" si="38"/>
        <v>0</v>
      </c>
      <c r="AL155">
        <f>'Entrada datos'!AN65</f>
        <v>0</v>
      </c>
      <c r="AM155">
        <f>'Entrada datos'!AO65</f>
        <v>0</v>
      </c>
      <c r="AN155">
        <f>'Entrada datos'!AP65</f>
        <v>0</v>
      </c>
      <c r="AO155">
        <f>'Entrada datos'!AQ65</f>
        <v>0</v>
      </c>
      <c r="AP155">
        <f>'Entrada datos'!AR65</f>
        <v>0</v>
      </c>
      <c r="AQ155">
        <f>'Entrada datos'!AS65</f>
        <v>0</v>
      </c>
      <c r="AR155" s="17">
        <f t="shared" si="39"/>
        <v>0</v>
      </c>
      <c r="AS155" s="23">
        <f t="shared" si="40"/>
        <v>0</v>
      </c>
      <c r="AT155">
        <f t="shared" si="41"/>
        <v>1900</v>
      </c>
      <c r="AU155" s="40" t="str">
        <f t="shared" si="42"/>
        <v>enero</v>
      </c>
      <c r="AV155">
        <f t="shared" si="43"/>
        <v>0</v>
      </c>
      <c r="AW155">
        <f t="shared" si="44"/>
        <v>0</v>
      </c>
      <c r="AX155" s="24">
        <f t="shared" si="45"/>
        <v>0</v>
      </c>
      <c r="AY155" s="24">
        <f t="shared" si="46"/>
        <v>0</v>
      </c>
      <c r="AZ155" s="24">
        <f t="shared" si="47"/>
        <v>0</v>
      </c>
      <c r="BA155">
        <f t="shared" si="48"/>
        <v>0</v>
      </c>
      <c r="BB155">
        <f t="shared" si="49"/>
        <v>0</v>
      </c>
      <c r="BC155" s="24">
        <f t="shared" si="50"/>
        <v>0</v>
      </c>
      <c r="BD155">
        <f t="shared" si="51"/>
        <v>0</v>
      </c>
    </row>
    <row r="156" spans="1:56" x14ac:dyDescent="0.3">
      <c r="A156">
        <f>'Entrada datos'!A66</f>
        <v>0</v>
      </c>
      <c r="B156">
        <f>'Entrada datos'!B66</f>
        <v>0</v>
      </c>
      <c r="C156">
        <f>'Entrada datos'!C66</f>
        <v>0</v>
      </c>
      <c r="D156">
        <f>'Entrada datos'!D66</f>
        <v>0</v>
      </c>
      <c r="E156" s="18">
        <f>'Entrada datos'!G66</f>
        <v>0</v>
      </c>
      <c r="F156" s="18">
        <f>'Entrada datos'!H66</f>
        <v>0</v>
      </c>
      <c r="G156">
        <f>'Entrada datos'!J66</f>
        <v>0</v>
      </c>
      <c r="H156">
        <f>'Entrada datos'!L66</f>
        <v>0</v>
      </c>
      <c r="I156">
        <f>'Entrada datos'!O66</f>
        <v>0</v>
      </c>
      <c r="J156">
        <f>'Entrada datos'!P66</f>
        <v>0</v>
      </c>
      <c r="K156">
        <f>'Entrada datos'!Q66</f>
        <v>0</v>
      </c>
      <c r="L156">
        <f>'Entrada datos'!R66</f>
        <v>0</v>
      </c>
      <c r="M156">
        <f>'Entrada datos'!S66</f>
        <v>0</v>
      </c>
      <c r="N156">
        <f>'Entrada datos'!T66</f>
        <v>0</v>
      </c>
      <c r="O156">
        <f>'Entrada datos'!U66</f>
        <v>0</v>
      </c>
      <c r="P156" s="17">
        <f t="shared" si="35"/>
        <v>0</v>
      </c>
      <c r="Q156">
        <f>'Entrada datos'!V66</f>
        <v>0</v>
      </c>
      <c r="R156">
        <f>'Entrada datos'!W66</f>
        <v>0</v>
      </c>
      <c r="S156">
        <f>'Entrada datos'!X66</f>
        <v>0</v>
      </c>
      <c r="T156">
        <f>'Entrada datos'!Y66</f>
        <v>0</v>
      </c>
      <c r="U156">
        <f>'Entrada datos'!Z66</f>
        <v>0</v>
      </c>
      <c r="V156">
        <f>'Entrada datos'!AA66</f>
        <v>0</v>
      </c>
      <c r="W156" s="17">
        <f t="shared" si="36"/>
        <v>0</v>
      </c>
      <c r="X156">
        <f>'Entrada datos'!AB66</f>
        <v>0</v>
      </c>
      <c r="Y156">
        <f>'Entrada datos'!AC66</f>
        <v>0</v>
      </c>
      <c r="Z156">
        <f>'Entrada datos'!AD66</f>
        <v>0</v>
      </c>
      <c r="AA156">
        <f>'Entrada datos'!AE66</f>
        <v>0</v>
      </c>
      <c r="AB156">
        <f>'Entrada datos'!AF66</f>
        <v>0</v>
      </c>
      <c r="AC156">
        <f>'Entrada datos'!AG66</f>
        <v>0</v>
      </c>
      <c r="AD156" s="17">
        <f t="shared" si="37"/>
        <v>0</v>
      </c>
      <c r="AE156">
        <f>'Entrada datos'!AH66</f>
        <v>0</v>
      </c>
      <c r="AF156">
        <f>'Entrada datos'!AI66</f>
        <v>0</v>
      </c>
      <c r="AG156">
        <f>'Entrada datos'!AJ66</f>
        <v>0</v>
      </c>
      <c r="AH156">
        <f>'Entrada datos'!AK66</f>
        <v>0</v>
      </c>
      <c r="AI156">
        <f>'Entrada datos'!AL66</f>
        <v>0</v>
      </c>
      <c r="AJ156">
        <f>'Entrada datos'!AM66</f>
        <v>0</v>
      </c>
      <c r="AK156" s="17">
        <f t="shared" si="38"/>
        <v>0</v>
      </c>
      <c r="AL156">
        <f>'Entrada datos'!AN66</f>
        <v>0</v>
      </c>
      <c r="AM156">
        <f>'Entrada datos'!AO66</f>
        <v>0</v>
      </c>
      <c r="AN156">
        <f>'Entrada datos'!AP66</f>
        <v>0</v>
      </c>
      <c r="AO156">
        <f>'Entrada datos'!AQ66</f>
        <v>0</v>
      </c>
      <c r="AP156">
        <f>'Entrada datos'!AR66</f>
        <v>0</v>
      </c>
      <c r="AQ156">
        <f>'Entrada datos'!AS66</f>
        <v>0</v>
      </c>
      <c r="AR156" s="17">
        <f t="shared" si="39"/>
        <v>0</v>
      </c>
      <c r="AS156" s="23">
        <f t="shared" si="40"/>
        <v>0</v>
      </c>
      <c r="AT156">
        <f t="shared" si="41"/>
        <v>1900</v>
      </c>
      <c r="AU156" s="40" t="str">
        <f t="shared" si="42"/>
        <v>enero</v>
      </c>
      <c r="AV156">
        <f t="shared" si="43"/>
        <v>0</v>
      </c>
      <c r="AW156">
        <f t="shared" si="44"/>
        <v>0</v>
      </c>
      <c r="AX156" s="24">
        <f t="shared" si="45"/>
        <v>0</v>
      </c>
      <c r="AY156" s="24">
        <f t="shared" si="46"/>
        <v>0</v>
      </c>
      <c r="AZ156" s="24">
        <f t="shared" si="47"/>
        <v>0</v>
      </c>
      <c r="BA156">
        <f t="shared" si="48"/>
        <v>0</v>
      </c>
      <c r="BB156">
        <f t="shared" si="49"/>
        <v>0</v>
      </c>
      <c r="BC156" s="24">
        <f t="shared" si="50"/>
        <v>0</v>
      </c>
      <c r="BD156">
        <f t="shared" si="51"/>
        <v>0</v>
      </c>
    </row>
    <row r="157" spans="1:56" x14ac:dyDescent="0.3">
      <c r="A157">
        <f>'Entrada datos'!A67</f>
        <v>0</v>
      </c>
      <c r="B157">
        <f>'Entrada datos'!B67</f>
        <v>0</v>
      </c>
      <c r="C157">
        <f>'Entrada datos'!C67</f>
        <v>0</v>
      </c>
      <c r="D157">
        <f>'Entrada datos'!D67</f>
        <v>0</v>
      </c>
      <c r="E157" s="18">
        <f>'Entrada datos'!G67</f>
        <v>0</v>
      </c>
      <c r="F157" s="18">
        <f>'Entrada datos'!H67</f>
        <v>0</v>
      </c>
      <c r="G157">
        <f>'Entrada datos'!J67</f>
        <v>0</v>
      </c>
      <c r="H157">
        <f>'Entrada datos'!L67</f>
        <v>0</v>
      </c>
      <c r="I157">
        <f>'Entrada datos'!O67</f>
        <v>0</v>
      </c>
      <c r="J157">
        <f>'Entrada datos'!P67</f>
        <v>0</v>
      </c>
      <c r="K157">
        <f>'Entrada datos'!Q67</f>
        <v>0</v>
      </c>
      <c r="L157">
        <f>'Entrada datos'!R67</f>
        <v>0</v>
      </c>
      <c r="M157">
        <f>'Entrada datos'!S67</f>
        <v>0</v>
      </c>
      <c r="N157">
        <f>'Entrada datos'!T67</f>
        <v>0</v>
      </c>
      <c r="O157">
        <f>'Entrada datos'!U67</f>
        <v>0</v>
      </c>
      <c r="P157" s="17">
        <f t="shared" si="35"/>
        <v>0</v>
      </c>
      <c r="Q157">
        <f>'Entrada datos'!V67</f>
        <v>0</v>
      </c>
      <c r="R157">
        <f>'Entrada datos'!W67</f>
        <v>0</v>
      </c>
      <c r="S157">
        <f>'Entrada datos'!X67</f>
        <v>0</v>
      </c>
      <c r="T157">
        <f>'Entrada datos'!Y67</f>
        <v>0</v>
      </c>
      <c r="U157">
        <f>'Entrada datos'!Z67</f>
        <v>0</v>
      </c>
      <c r="V157">
        <f>'Entrada datos'!AA67</f>
        <v>0</v>
      </c>
      <c r="W157" s="17">
        <f t="shared" si="36"/>
        <v>0</v>
      </c>
      <c r="X157">
        <f>'Entrada datos'!AB67</f>
        <v>0</v>
      </c>
      <c r="Y157">
        <f>'Entrada datos'!AC67</f>
        <v>0</v>
      </c>
      <c r="Z157">
        <f>'Entrada datos'!AD67</f>
        <v>0</v>
      </c>
      <c r="AA157">
        <f>'Entrada datos'!AE67</f>
        <v>0</v>
      </c>
      <c r="AB157">
        <f>'Entrada datos'!AF67</f>
        <v>0</v>
      </c>
      <c r="AC157">
        <f>'Entrada datos'!AG67</f>
        <v>0</v>
      </c>
      <c r="AD157" s="17">
        <f t="shared" si="37"/>
        <v>0</v>
      </c>
      <c r="AE157">
        <f>'Entrada datos'!AH67</f>
        <v>0</v>
      </c>
      <c r="AF157">
        <f>'Entrada datos'!AI67</f>
        <v>0</v>
      </c>
      <c r="AG157">
        <f>'Entrada datos'!AJ67</f>
        <v>0</v>
      </c>
      <c r="AH157">
        <f>'Entrada datos'!AK67</f>
        <v>0</v>
      </c>
      <c r="AI157">
        <f>'Entrada datos'!AL67</f>
        <v>0</v>
      </c>
      <c r="AJ157">
        <f>'Entrada datos'!AM67</f>
        <v>0</v>
      </c>
      <c r="AK157" s="17">
        <f t="shared" si="38"/>
        <v>0</v>
      </c>
      <c r="AL157">
        <f>'Entrada datos'!AN67</f>
        <v>0</v>
      </c>
      <c r="AM157">
        <f>'Entrada datos'!AO67</f>
        <v>0</v>
      </c>
      <c r="AN157">
        <f>'Entrada datos'!AP67</f>
        <v>0</v>
      </c>
      <c r="AO157">
        <f>'Entrada datos'!AQ67</f>
        <v>0</v>
      </c>
      <c r="AP157">
        <f>'Entrada datos'!AR67</f>
        <v>0</v>
      </c>
      <c r="AQ157">
        <f>'Entrada datos'!AS67</f>
        <v>0</v>
      </c>
      <c r="AR157" s="17">
        <f t="shared" si="39"/>
        <v>0</v>
      </c>
      <c r="AS157" s="23">
        <f t="shared" si="40"/>
        <v>0</v>
      </c>
      <c r="AT157">
        <f t="shared" si="41"/>
        <v>1900</v>
      </c>
      <c r="AU157" s="40" t="str">
        <f t="shared" si="42"/>
        <v>enero</v>
      </c>
      <c r="AV157">
        <f t="shared" si="43"/>
        <v>0</v>
      </c>
      <c r="AW157">
        <f t="shared" si="44"/>
        <v>0</v>
      </c>
      <c r="AX157" s="24">
        <f t="shared" si="45"/>
        <v>0</v>
      </c>
      <c r="AY157" s="24">
        <f t="shared" si="46"/>
        <v>0</v>
      </c>
      <c r="AZ157" s="24">
        <f t="shared" si="47"/>
        <v>0</v>
      </c>
      <c r="BA157">
        <f t="shared" si="48"/>
        <v>0</v>
      </c>
      <c r="BB157">
        <f t="shared" si="49"/>
        <v>0</v>
      </c>
      <c r="BC157" s="24">
        <f t="shared" si="50"/>
        <v>0</v>
      </c>
      <c r="BD157">
        <f t="shared" si="51"/>
        <v>0</v>
      </c>
    </row>
    <row r="158" spans="1:56" x14ac:dyDescent="0.3">
      <c r="A158">
        <f>'Entrada datos'!A68</f>
        <v>0</v>
      </c>
      <c r="B158">
        <f>'Entrada datos'!B68</f>
        <v>0</v>
      </c>
      <c r="C158">
        <f>'Entrada datos'!C68</f>
        <v>0</v>
      </c>
      <c r="D158">
        <f>'Entrada datos'!D68</f>
        <v>0</v>
      </c>
      <c r="E158" s="18">
        <f>'Entrada datos'!G68</f>
        <v>0</v>
      </c>
      <c r="F158" s="18">
        <f>'Entrada datos'!H68</f>
        <v>0</v>
      </c>
      <c r="G158">
        <f>'Entrada datos'!J68</f>
        <v>0</v>
      </c>
      <c r="H158">
        <f>'Entrada datos'!L68</f>
        <v>0</v>
      </c>
      <c r="I158">
        <f>'Entrada datos'!O68</f>
        <v>0</v>
      </c>
      <c r="J158">
        <f>'Entrada datos'!P68</f>
        <v>0</v>
      </c>
      <c r="K158">
        <f>'Entrada datos'!Q68</f>
        <v>0</v>
      </c>
      <c r="L158">
        <f>'Entrada datos'!R68</f>
        <v>0</v>
      </c>
      <c r="M158">
        <f>'Entrada datos'!S68</f>
        <v>0</v>
      </c>
      <c r="N158">
        <f>'Entrada datos'!T68</f>
        <v>0</v>
      </c>
      <c r="O158">
        <f>'Entrada datos'!U68</f>
        <v>0</v>
      </c>
      <c r="P158" s="17">
        <f t="shared" si="35"/>
        <v>0</v>
      </c>
      <c r="Q158">
        <f>'Entrada datos'!V68</f>
        <v>0</v>
      </c>
      <c r="R158">
        <f>'Entrada datos'!W68</f>
        <v>0</v>
      </c>
      <c r="S158">
        <f>'Entrada datos'!X68</f>
        <v>0</v>
      </c>
      <c r="T158">
        <f>'Entrada datos'!Y68</f>
        <v>0</v>
      </c>
      <c r="U158">
        <f>'Entrada datos'!Z68</f>
        <v>0</v>
      </c>
      <c r="V158">
        <f>'Entrada datos'!AA68</f>
        <v>0</v>
      </c>
      <c r="W158" s="17">
        <f t="shared" si="36"/>
        <v>0</v>
      </c>
      <c r="X158">
        <f>'Entrada datos'!AB68</f>
        <v>0</v>
      </c>
      <c r="Y158">
        <f>'Entrada datos'!AC68</f>
        <v>0</v>
      </c>
      <c r="Z158">
        <f>'Entrada datos'!AD68</f>
        <v>0</v>
      </c>
      <c r="AA158">
        <f>'Entrada datos'!AE68</f>
        <v>0</v>
      </c>
      <c r="AB158">
        <f>'Entrada datos'!AF68</f>
        <v>0</v>
      </c>
      <c r="AC158">
        <f>'Entrada datos'!AG68</f>
        <v>0</v>
      </c>
      <c r="AD158" s="17">
        <f t="shared" si="37"/>
        <v>0</v>
      </c>
      <c r="AE158">
        <f>'Entrada datos'!AH68</f>
        <v>0</v>
      </c>
      <c r="AF158">
        <f>'Entrada datos'!AI68</f>
        <v>0</v>
      </c>
      <c r="AG158">
        <f>'Entrada datos'!AJ68</f>
        <v>0</v>
      </c>
      <c r="AH158">
        <f>'Entrada datos'!AK68</f>
        <v>0</v>
      </c>
      <c r="AI158">
        <f>'Entrada datos'!AL68</f>
        <v>0</v>
      </c>
      <c r="AJ158">
        <f>'Entrada datos'!AM68</f>
        <v>0</v>
      </c>
      <c r="AK158" s="17">
        <f t="shared" si="38"/>
        <v>0</v>
      </c>
      <c r="AL158">
        <f>'Entrada datos'!AN68</f>
        <v>0</v>
      </c>
      <c r="AM158">
        <f>'Entrada datos'!AO68</f>
        <v>0</v>
      </c>
      <c r="AN158">
        <f>'Entrada datos'!AP68</f>
        <v>0</v>
      </c>
      <c r="AO158">
        <f>'Entrada datos'!AQ68</f>
        <v>0</v>
      </c>
      <c r="AP158">
        <f>'Entrada datos'!AR68</f>
        <v>0</v>
      </c>
      <c r="AQ158">
        <f>'Entrada datos'!AS68</f>
        <v>0</v>
      </c>
      <c r="AR158" s="17">
        <f t="shared" si="39"/>
        <v>0</v>
      </c>
      <c r="AS158" s="23">
        <f t="shared" si="40"/>
        <v>0</v>
      </c>
      <c r="AT158">
        <f t="shared" si="41"/>
        <v>1900</v>
      </c>
      <c r="AU158" s="40" t="str">
        <f t="shared" si="42"/>
        <v>enero</v>
      </c>
      <c r="AV158">
        <f t="shared" si="43"/>
        <v>0</v>
      </c>
      <c r="AW158">
        <f t="shared" si="44"/>
        <v>0</v>
      </c>
      <c r="AX158" s="24">
        <f t="shared" si="45"/>
        <v>0</v>
      </c>
      <c r="AY158" s="24">
        <f t="shared" si="46"/>
        <v>0</v>
      </c>
      <c r="AZ158" s="24">
        <f t="shared" si="47"/>
        <v>0</v>
      </c>
      <c r="BA158">
        <f t="shared" si="48"/>
        <v>0</v>
      </c>
      <c r="BB158">
        <f t="shared" si="49"/>
        <v>0</v>
      </c>
      <c r="BC158" s="24">
        <f t="shared" si="50"/>
        <v>0</v>
      </c>
      <c r="BD158">
        <f t="shared" si="51"/>
        <v>0</v>
      </c>
    </row>
    <row r="159" spans="1:56" x14ac:dyDescent="0.3">
      <c r="A159">
        <f>'Entrada datos'!A69</f>
        <v>0</v>
      </c>
      <c r="B159">
        <f>'Entrada datos'!B69</f>
        <v>0</v>
      </c>
      <c r="C159">
        <f>'Entrada datos'!C69</f>
        <v>0</v>
      </c>
      <c r="D159">
        <f>'Entrada datos'!D69</f>
        <v>0</v>
      </c>
      <c r="E159" s="18">
        <f>'Entrada datos'!G69</f>
        <v>0</v>
      </c>
      <c r="F159" s="18">
        <f>'Entrada datos'!H69</f>
        <v>0</v>
      </c>
      <c r="G159">
        <f>'Entrada datos'!J69</f>
        <v>0</v>
      </c>
      <c r="H159">
        <f>'Entrada datos'!L69</f>
        <v>0</v>
      </c>
      <c r="I159">
        <f>'Entrada datos'!O69</f>
        <v>0</v>
      </c>
      <c r="J159">
        <f>'Entrada datos'!P69</f>
        <v>0</v>
      </c>
      <c r="K159">
        <f>'Entrada datos'!Q69</f>
        <v>0</v>
      </c>
      <c r="L159">
        <f>'Entrada datos'!R69</f>
        <v>0</v>
      </c>
      <c r="M159">
        <f>'Entrada datos'!S69</f>
        <v>0</v>
      </c>
      <c r="N159">
        <f>'Entrada datos'!T69</f>
        <v>0</v>
      </c>
      <c r="O159">
        <f>'Entrada datos'!U69</f>
        <v>0</v>
      </c>
      <c r="P159" s="17">
        <f t="shared" si="35"/>
        <v>0</v>
      </c>
      <c r="Q159">
        <f>'Entrada datos'!V69</f>
        <v>0</v>
      </c>
      <c r="R159">
        <f>'Entrada datos'!W69</f>
        <v>0</v>
      </c>
      <c r="S159">
        <f>'Entrada datos'!X69</f>
        <v>0</v>
      </c>
      <c r="T159">
        <f>'Entrada datos'!Y69</f>
        <v>0</v>
      </c>
      <c r="U159">
        <f>'Entrada datos'!Z69</f>
        <v>0</v>
      </c>
      <c r="V159">
        <f>'Entrada datos'!AA69</f>
        <v>0</v>
      </c>
      <c r="W159" s="17">
        <f t="shared" si="36"/>
        <v>0</v>
      </c>
      <c r="X159">
        <f>'Entrada datos'!AB69</f>
        <v>0</v>
      </c>
      <c r="Y159">
        <f>'Entrada datos'!AC69</f>
        <v>0</v>
      </c>
      <c r="Z159">
        <f>'Entrada datos'!AD69</f>
        <v>0</v>
      </c>
      <c r="AA159">
        <f>'Entrada datos'!AE69</f>
        <v>0</v>
      </c>
      <c r="AB159">
        <f>'Entrada datos'!AF69</f>
        <v>0</v>
      </c>
      <c r="AC159">
        <f>'Entrada datos'!AG69</f>
        <v>0</v>
      </c>
      <c r="AD159" s="17">
        <f t="shared" si="37"/>
        <v>0</v>
      </c>
      <c r="AE159">
        <f>'Entrada datos'!AH69</f>
        <v>0</v>
      </c>
      <c r="AF159">
        <f>'Entrada datos'!AI69</f>
        <v>0</v>
      </c>
      <c r="AG159">
        <f>'Entrada datos'!AJ69</f>
        <v>0</v>
      </c>
      <c r="AH159">
        <f>'Entrada datos'!AK69</f>
        <v>0</v>
      </c>
      <c r="AI159">
        <f>'Entrada datos'!AL69</f>
        <v>0</v>
      </c>
      <c r="AJ159">
        <f>'Entrada datos'!AM69</f>
        <v>0</v>
      </c>
      <c r="AK159" s="17">
        <f t="shared" si="38"/>
        <v>0</v>
      </c>
      <c r="AL159">
        <f>'Entrada datos'!AN69</f>
        <v>0</v>
      </c>
      <c r="AM159">
        <f>'Entrada datos'!AO69</f>
        <v>0</v>
      </c>
      <c r="AN159">
        <f>'Entrada datos'!AP69</f>
        <v>0</v>
      </c>
      <c r="AO159">
        <f>'Entrada datos'!AQ69</f>
        <v>0</v>
      </c>
      <c r="AP159">
        <f>'Entrada datos'!AR69</f>
        <v>0</v>
      </c>
      <c r="AQ159">
        <f>'Entrada datos'!AS69</f>
        <v>0</v>
      </c>
      <c r="AR159" s="17">
        <f t="shared" si="39"/>
        <v>0</v>
      </c>
      <c r="AS159" s="23">
        <f t="shared" si="40"/>
        <v>0</v>
      </c>
      <c r="AT159">
        <f t="shared" si="41"/>
        <v>1900</v>
      </c>
      <c r="AU159" s="40" t="str">
        <f t="shared" si="42"/>
        <v>enero</v>
      </c>
      <c r="AV159">
        <f t="shared" si="43"/>
        <v>0</v>
      </c>
      <c r="AW159">
        <f t="shared" si="44"/>
        <v>0</v>
      </c>
      <c r="AX159" s="24">
        <f t="shared" si="45"/>
        <v>0</v>
      </c>
      <c r="AY159" s="24">
        <f t="shared" si="46"/>
        <v>0</v>
      </c>
      <c r="AZ159" s="24">
        <f t="shared" si="47"/>
        <v>0</v>
      </c>
      <c r="BA159">
        <f t="shared" si="48"/>
        <v>0</v>
      </c>
      <c r="BB159">
        <f t="shared" si="49"/>
        <v>0</v>
      </c>
      <c r="BC159" s="24">
        <f t="shared" si="50"/>
        <v>0</v>
      </c>
      <c r="BD159">
        <f t="shared" si="51"/>
        <v>0</v>
      </c>
    </row>
    <row r="160" spans="1:56" x14ac:dyDescent="0.3">
      <c r="A160">
        <f>'Entrada datos'!A70</f>
        <v>0</v>
      </c>
      <c r="B160">
        <f>'Entrada datos'!B70</f>
        <v>0</v>
      </c>
      <c r="C160">
        <f>'Entrada datos'!C70</f>
        <v>0</v>
      </c>
      <c r="D160">
        <f>'Entrada datos'!D70</f>
        <v>0</v>
      </c>
      <c r="E160" s="18">
        <f>'Entrada datos'!G70</f>
        <v>0</v>
      </c>
      <c r="F160" s="18">
        <f>'Entrada datos'!H70</f>
        <v>0</v>
      </c>
      <c r="G160">
        <f>'Entrada datos'!J70</f>
        <v>0</v>
      </c>
      <c r="H160">
        <f>'Entrada datos'!L70</f>
        <v>0</v>
      </c>
      <c r="I160">
        <f>'Entrada datos'!O70</f>
        <v>0</v>
      </c>
      <c r="J160">
        <f>'Entrada datos'!P70</f>
        <v>0</v>
      </c>
      <c r="K160">
        <f>'Entrada datos'!Q70</f>
        <v>0</v>
      </c>
      <c r="L160">
        <f>'Entrada datos'!R70</f>
        <v>0</v>
      </c>
      <c r="M160">
        <f>'Entrada datos'!S70</f>
        <v>0</v>
      </c>
      <c r="N160">
        <f>'Entrada datos'!T70</f>
        <v>0</v>
      </c>
      <c r="O160">
        <f>'Entrada datos'!U70</f>
        <v>0</v>
      </c>
      <c r="P160" s="17">
        <f t="shared" si="35"/>
        <v>0</v>
      </c>
      <c r="Q160">
        <f>'Entrada datos'!V70</f>
        <v>0</v>
      </c>
      <c r="R160">
        <f>'Entrada datos'!W70</f>
        <v>0</v>
      </c>
      <c r="S160">
        <f>'Entrada datos'!X70</f>
        <v>0</v>
      </c>
      <c r="T160">
        <f>'Entrada datos'!Y70</f>
        <v>0</v>
      </c>
      <c r="U160">
        <f>'Entrada datos'!Z70</f>
        <v>0</v>
      </c>
      <c r="V160">
        <f>'Entrada datos'!AA70</f>
        <v>0</v>
      </c>
      <c r="W160" s="17">
        <f t="shared" si="36"/>
        <v>0</v>
      </c>
      <c r="X160">
        <f>'Entrada datos'!AB70</f>
        <v>0</v>
      </c>
      <c r="Y160">
        <f>'Entrada datos'!AC70</f>
        <v>0</v>
      </c>
      <c r="Z160">
        <f>'Entrada datos'!AD70</f>
        <v>0</v>
      </c>
      <c r="AA160">
        <f>'Entrada datos'!AE70</f>
        <v>0</v>
      </c>
      <c r="AB160">
        <f>'Entrada datos'!AF70</f>
        <v>0</v>
      </c>
      <c r="AC160">
        <f>'Entrada datos'!AG70</f>
        <v>0</v>
      </c>
      <c r="AD160" s="17">
        <f t="shared" si="37"/>
        <v>0</v>
      </c>
      <c r="AE160">
        <f>'Entrada datos'!AH70</f>
        <v>0</v>
      </c>
      <c r="AF160">
        <f>'Entrada datos'!AI70</f>
        <v>0</v>
      </c>
      <c r="AG160">
        <f>'Entrada datos'!AJ70</f>
        <v>0</v>
      </c>
      <c r="AH160">
        <f>'Entrada datos'!AK70</f>
        <v>0</v>
      </c>
      <c r="AI160">
        <f>'Entrada datos'!AL70</f>
        <v>0</v>
      </c>
      <c r="AJ160">
        <f>'Entrada datos'!AM70</f>
        <v>0</v>
      </c>
      <c r="AK160" s="17">
        <f t="shared" si="38"/>
        <v>0</v>
      </c>
      <c r="AL160">
        <f>'Entrada datos'!AN70</f>
        <v>0</v>
      </c>
      <c r="AM160">
        <f>'Entrada datos'!AO70</f>
        <v>0</v>
      </c>
      <c r="AN160">
        <f>'Entrada datos'!AP70</f>
        <v>0</v>
      </c>
      <c r="AO160">
        <f>'Entrada datos'!AQ70</f>
        <v>0</v>
      </c>
      <c r="AP160">
        <f>'Entrada datos'!AR70</f>
        <v>0</v>
      </c>
      <c r="AQ160">
        <f>'Entrada datos'!AS70</f>
        <v>0</v>
      </c>
      <c r="AR160" s="17">
        <f t="shared" si="39"/>
        <v>0</v>
      </c>
      <c r="AS160" s="23">
        <f t="shared" si="40"/>
        <v>0</v>
      </c>
      <c r="AT160">
        <f t="shared" si="41"/>
        <v>1900</v>
      </c>
      <c r="AU160" s="40" t="str">
        <f t="shared" si="42"/>
        <v>enero</v>
      </c>
      <c r="AV160">
        <f t="shared" si="43"/>
        <v>0</v>
      </c>
      <c r="AW160">
        <f t="shared" si="44"/>
        <v>0</v>
      </c>
      <c r="AX160" s="24">
        <f t="shared" si="45"/>
        <v>0</v>
      </c>
      <c r="AY160" s="24">
        <f t="shared" si="46"/>
        <v>0</v>
      </c>
      <c r="AZ160" s="24">
        <f t="shared" si="47"/>
        <v>0</v>
      </c>
      <c r="BA160">
        <f t="shared" si="48"/>
        <v>0</v>
      </c>
      <c r="BB160">
        <f t="shared" si="49"/>
        <v>0</v>
      </c>
      <c r="BC160" s="24">
        <f t="shared" si="50"/>
        <v>0</v>
      </c>
      <c r="BD160">
        <f t="shared" si="51"/>
        <v>0</v>
      </c>
    </row>
    <row r="161" spans="1:56" x14ac:dyDescent="0.3">
      <c r="A161">
        <f>'Entrada datos'!A71</f>
        <v>0</v>
      </c>
      <c r="B161">
        <f>'Entrada datos'!B71</f>
        <v>0</v>
      </c>
      <c r="C161">
        <f>'Entrada datos'!C71</f>
        <v>0</v>
      </c>
      <c r="D161">
        <f>'Entrada datos'!D71</f>
        <v>0</v>
      </c>
      <c r="E161" s="18">
        <f>'Entrada datos'!G71</f>
        <v>0</v>
      </c>
      <c r="F161" s="18">
        <f>'Entrada datos'!H71</f>
        <v>0</v>
      </c>
      <c r="G161">
        <f>'Entrada datos'!J71</f>
        <v>0</v>
      </c>
      <c r="H161">
        <f>'Entrada datos'!L71</f>
        <v>0</v>
      </c>
      <c r="I161">
        <f>'Entrada datos'!O71</f>
        <v>0</v>
      </c>
      <c r="J161">
        <f>'Entrada datos'!P71</f>
        <v>0</v>
      </c>
      <c r="K161">
        <f>'Entrada datos'!Q71</f>
        <v>0</v>
      </c>
      <c r="L161">
        <f>'Entrada datos'!R71</f>
        <v>0</v>
      </c>
      <c r="M161">
        <f>'Entrada datos'!S71</f>
        <v>0</v>
      </c>
      <c r="N161">
        <f>'Entrada datos'!T71</f>
        <v>0</v>
      </c>
      <c r="O161">
        <f>'Entrada datos'!U71</f>
        <v>0</v>
      </c>
      <c r="P161" s="17">
        <f t="shared" si="35"/>
        <v>0</v>
      </c>
      <c r="Q161">
        <f>'Entrada datos'!V71</f>
        <v>0</v>
      </c>
      <c r="R161">
        <f>'Entrada datos'!W71</f>
        <v>0</v>
      </c>
      <c r="S161">
        <f>'Entrada datos'!X71</f>
        <v>0</v>
      </c>
      <c r="T161">
        <f>'Entrada datos'!Y71</f>
        <v>0</v>
      </c>
      <c r="U161">
        <f>'Entrada datos'!Z71</f>
        <v>0</v>
      </c>
      <c r="V161">
        <f>'Entrada datos'!AA71</f>
        <v>0</v>
      </c>
      <c r="W161" s="17">
        <f t="shared" si="36"/>
        <v>0</v>
      </c>
      <c r="X161">
        <f>'Entrada datos'!AB71</f>
        <v>0</v>
      </c>
      <c r="Y161">
        <f>'Entrada datos'!AC71</f>
        <v>0</v>
      </c>
      <c r="Z161">
        <f>'Entrada datos'!AD71</f>
        <v>0</v>
      </c>
      <c r="AA161">
        <f>'Entrada datos'!AE71</f>
        <v>0</v>
      </c>
      <c r="AB161">
        <f>'Entrada datos'!AF71</f>
        <v>0</v>
      </c>
      <c r="AC161">
        <f>'Entrada datos'!AG71</f>
        <v>0</v>
      </c>
      <c r="AD161" s="17">
        <f t="shared" si="37"/>
        <v>0</v>
      </c>
      <c r="AE161">
        <f>'Entrada datos'!AH71</f>
        <v>0</v>
      </c>
      <c r="AF161">
        <f>'Entrada datos'!AI71</f>
        <v>0</v>
      </c>
      <c r="AG161">
        <f>'Entrada datos'!AJ71</f>
        <v>0</v>
      </c>
      <c r="AH161">
        <f>'Entrada datos'!AK71</f>
        <v>0</v>
      </c>
      <c r="AI161">
        <f>'Entrada datos'!AL71</f>
        <v>0</v>
      </c>
      <c r="AJ161">
        <f>'Entrada datos'!AM71</f>
        <v>0</v>
      </c>
      <c r="AK161" s="17">
        <f t="shared" si="38"/>
        <v>0</v>
      </c>
      <c r="AL161">
        <f>'Entrada datos'!AN71</f>
        <v>0</v>
      </c>
      <c r="AM161">
        <f>'Entrada datos'!AO71</f>
        <v>0</v>
      </c>
      <c r="AN161">
        <f>'Entrada datos'!AP71</f>
        <v>0</v>
      </c>
      <c r="AO161">
        <f>'Entrada datos'!AQ71</f>
        <v>0</v>
      </c>
      <c r="AP161">
        <f>'Entrada datos'!AR71</f>
        <v>0</v>
      </c>
      <c r="AQ161">
        <f>'Entrada datos'!AS71</f>
        <v>0</v>
      </c>
      <c r="AR161" s="17">
        <f t="shared" si="39"/>
        <v>0</v>
      </c>
      <c r="AS161" s="23">
        <f t="shared" si="40"/>
        <v>0</v>
      </c>
      <c r="AT161">
        <f t="shared" si="41"/>
        <v>1900</v>
      </c>
      <c r="AU161" s="40" t="str">
        <f t="shared" si="42"/>
        <v>enero</v>
      </c>
      <c r="AV161">
        <f t="shared" si="43"/>
        <v>0</v>
      </c>
      <c r="AW161">
        <f t="shared" si="44"/>
        <v>0</v>
      </c>
      <c r="AX161" s="24">
        <f t="shared" si="45"/>
        <v>0</v>
      </c>
      <c r="AY161" s="24">
        <f t="shared" si="46"/>
        <v>0</v>
      </c>
      <c r="AZ161" s="24">
        <f t="shared" si="47"/>
        <v>0</v>
      </c>
      <c r="BA161">
        <f t="shared" si="48"/>
        <v>0</v>
      </c>
      <c r="BB161">
        <f t="shared" si="49"/>
        <v>0</v>
      </c>
      <c r="BC161" s="24">
        <f t="shared" si="50"/>
        <v>0</v>
      </c>
      <c r="BD161">
        <f t="shared" si="51"/>
        <v>0</v>
      </c>
    </row>
    <row r="162" spans="1:56" x14ac:dyDescent="0.3">
      <c r="A162">
        <f>'Entrada datos'!A72</f>
        <v>0</v>
      </c>
      <c r="B162">
        <f>'Entrada datos'!B72</f>
        <v>0</v>
      </c>
      <c r="C162">
        <f>'Entrada datos'!C72</f>
        <v>0</v>
      </c>
      <c r="D162">
        <f>'Entrada datos'!D72</f>
        <v>0</v>
      </c>
      <c r="E162" s="18">
        <f>'Entrada datos'!G72</f>
        <v>0</v>
      </c>
      <c r="F162" s="18">
        <f>'Entrada datos'!H72</f>
        <v>0</v>
      </c>
      <c r="G162">
        <f>'Entrada datos'!J72</f>
        <v>0</v>
      </c>
      <c r="H162">
        <f>'Entrada datos'!L72</f>
        <v>0</v>
      </c>
      <c r="I162">
        <f>'Entrada datos'!O72</f>
        <v>0</v>
      </c>
      <c r="J162">
        <f>'Entrada datos'!P72</f>
        <v>0</v>
      </c>
      <c r="K162">
        <f>'Entrada datos'!Q72</f>
        <v>0</v>
      </c>
      <c r="L162">
        <f>'Entrada datos'!R72</f>
        <v>0</v>
      </c>
      <c r="M162">
        <f>'Entrada datos'!S72</f>
        <v>0</v>
      </c>
      <c r="N162">
        <f>'Entrada datos'!T72</f>
        <v>0</v>
      </c>
      <c r="O162">
        <f>'Entrada datos'!U72</f>
        <v>0</v>
      </c>
      <c r="P162" s="17">
        <f t="shared" si="35"/>
        <v>0</v>
      </c>
      <c r="Q162">
        <f>'Entrada datos'!V72</f>
        <v>0</v>
      </c>
      <c r="R162">
        <f>'Entrada datos'!W72</f>
        <v>0</v>
      </c>
      <c r="S162">
        <f>'Entrada datos'!X72</f>
        <v>0</v>
      </c>
      <c r="T162">
        <f>'Entrada datos'!Y72</f>
        <v>0</v>
      </c>
      <c r="U162">
        <f>'Entrada datos'!Z72</f>
        <v>0</v>
      </c>
      <c r="V162">
        <f>'Entrada datos'!AA72</f>
        <v>0</v>
      </c>
      <c r="W162" s="17">
        <f t="shared" si="36"/>
        <v>0</v>
      </c>
      <c r="X162">
        <f>'Entrada datos'!AB72</f>
        <v>0</v>
      </c>
      <c r="Y162">
        <f>'Entrada datos'!AC72</f>
        <v>0</v>
      </c>
      <c r="Z162">
        <f>'Entrada datos'!AD72</f>
        <v>0</v>
      </c>
      <c r="AA162">
        <f>'Entrada datos'!AE72</f>
        <v>0</v>
      </c>
      <c r="AB162">
        <f>'Entrada datos'!AF72</f>
        <v>0</v>
      </c>
      <c r="AC162">
        <f>'Entrada datos'!AG72</f>
        <v>0</v>
      </c>
      <c r="AD162" s="17">
        <f t="shared" si="37"/>
        <v>0</v>
      </c>
      <c r="AE162">
        <f>'Entrada datos'!AH72</f>
        <v>0</v>
      </c>
      <c r="AF162">
        <f>'Entrada datos'!AI72</f>
        <v>0</v>
      </c>
      <c r="AG162">
        <f>'Entrada datos'!AJ72</f>
        <v>0</v>
      </c>
      <c r="AH162">
        <f>'Entrada datos'!AK72</f>
        <v>0</v>
      </c>
      <c r="AI162">
        <f>'Entrada datos'!AL72</f>
        <v>0</v>
      </c>
      <c r="AJ162">
        <f>'Entrada datos'!AM72</f>
        <v>0</v>
      </c>
      <c r="AK162" s="17">
        <f t="shared" si="38"/>
        <v>0</v>
      </c>
      <c r="AL162">
        <f>'Entrada datos'!AN72</f>
        <v>0</v>
      </c>
      <c r="AM162">
        <f>'Entrada datos'!AO72</f>
        <v>0</v>
      </c>
      <c r="AN162">
        <f>'Entrada datos'!AP72</f>
        <v>0</v>
      </c>
      <c r="AO162">
        <f>'Entrada datos'!AQ72</f>
        <v>0</v>
      </c>
      <c r="AP162">
        <f>'Entrada datos'!AR72</f>
        <v>0</v>
      </c>
      <c r="AQ162">
        <f>'Entrada datos'!AS72</f>
        <v>0</v>
      </c>
      <c r="AR162" s="17">
        <f t="shared" si="39"/>
        <v>0</v>
      </c>
      <c r="AS162" s="23">
        <f t="shared" si="40"/>
        <v>0</v>
      </c>
      <c r="AT162">
        <f t="shared" si="41"/>
        <v>1900</v>
      </c>
      <c r="AU162" s="40" t="str">
        <f t="shared" si="42"/>
        <v>enero</v>
      </c>
      <c r="AV162">
        <f t="shared" si="43"/>
        <v>0</v>
      </c>
      <c r="AW162">
        <f t="shared" si="44"/>
        <v>0</v>
      </c>
      <c r="AX162" s="24">
        <f t="shared" si="45"/>
        <v>0</v>
      </c>
      <c r="AY162" s="24">
        <f t="shared" si="46"/>
        <v>0</v>
      </c>
      <c r="AZ162" s="24">
        <f t="shared" si="47"/>
        <v>0</v>
      </c>
      <c r="BA162">
        <f t="shared" si="48"/>
        <v>0</v>
      </c>
      <c r="BB162">
        <f t="shared" si="49"/>
        <v>0</v>
      </c>
      <c r="BC162" s="24">
        <f t="shared" si="50"/>
        <v>0</v>
      </c>
      <c r="BD162">
        <f t="shared" si="51"/>
        <v>0</v>
      </c>
    </row>
    <row r="163" spans="1:56" x14ac:dyDescent="0.3">
      <c r="A163">
        <f>'Entrada datos'!A73</f>
        <v>0</v>
      </c>
      <c r="B163">
        <f>'Entrada datos'!B73</f>
        <v>0</v>
      </c>
      <c r="C163">
        <f>'Entrada datos'!C73</f>
        <v>0</v>
      </c>
      <c r="D163">
        <f>'Entrada datos'!D73</f>
        <v>0</v>
      </c>
      <c r="E163" s="18">
        <f>'Entrada datos'!G73</f>
        <v>0</v>
      </c>
      <c r="F163" s="18">
        <f>'Entrada datos'!H73</f>
        <v>0</v>
      </c>
      <c r="G163">
        <f>'Entrada datos'!J73</f>
        <v>0</v>
      </c>
      <c r="H163">
        <f>'Entrada datos'!L73</f>
        <v>0</v>
      </c>
      <c r="I163">
        <f>'Entrada datos'!O73</f>
        <v>0</v>
      </c>
      <c r="J163">
        <f>'Entrada datos'!P73</f>
        <v>0</v>
      </c>
      <c r="K163">
        <f>'Entrada datos'!Q73</f>
        <v>0</v>
      </c>
      <c r="L163">
        <f>'Entrada datos'!R73</f>
        <v>0</v>
      </c>
      <c r="M163">
        <f>'Entrada datos'!S73</f>
        <v>0</v>
      </c>
      <c r="N163">
        <f>'Entrada datos'!T73</f>
        <v>0</v>
      </c>
      <c r="O163">
        <f>'Entrada datos'!U73</f>
        <v>0</v>
      </c>
      <c r="P163" s="17">
        <f t="shared" si="35"/>
        <v>0</v>
      </c>
      <c r="Q163">
        <f>'Entrada datos'!V73</f>
        <v>0</v>
      </c>
      <c r="R163">
        <f>'Entrada datos'!W73</f>
        <v>0</v>
      </c>
      <c r="S163">
        <f>'Entrada datos'!X73</f>
        <v>0</v>
      </c>
      <c r="T163">
        <f>'Entrada datos'!Y73</f>
        <v>0</v>
      </c>
      <c r="U163">
        <f>'Entrada datos'!Z73</f>
        <v>0</v>
      </c>
      <c r="V163">
        <f>'Entrada datos'!AA73</f>
        <v>0</v>
      </c>
      <c r="W163" s="17">
        <f t="shared" si="36"/>
        <v>0</v>
      </c>
      <c r="X163">
        <f>'Entrada datos'!AB73</f>
        <v>0</v>
      </c>
      <c r="Y163">
        <f>'Entrada datos'!AC73</f>
        <v>0</v>
      </c>
      <c r="Z163">
        <f>'Entrada datos'!AD73</f>
        <v>0</v>
      </c>
      <c r="AA163">
        <f>'Entrada datos'!AE73</f>
        <v>0</v>
      </c>
      <c r="AB163">
        <f>'Entrada datos'!AF73</f>
        <v>0</v>
      </c>
      <c r="AC163">
        <f>'Entrada datos'!AG73</f>
        <v>0</v>
      </c>
      <c r="AD163" s="17">
        <f t="shared" si="37"/>
        <v>0</v>
      </c>
      <c r="AE163">
        <f>'Entrada datos'!AH73</f>
        <v>0</v>
      </c>
      <c r="AF163">
        <f>'Entrada datos'!AI73</f>
        <v>0</v>
      </c>
      <c r="AG163">
        <f>'Entrada datos'!AJ73</f>
        <v>0</v>
      </c>
      <c r="AH163">
        <f>'Entrada datos'!AK73</f>
        <v>0</v>
      </c>
      <c r="AI163">
        <f>'Entrada datos'!AL73</f>
        <v>0</v>
      </c>
      <c r="AJ163">
        <f>'Entrada datos'!AM73</f>
        <v>0</v>
      </c>
      <c r="AK163" s="17">
        <f t="shared" si="38"/>
        <v>0</v>
      </c>
      <c r="AL163">
        <f>'Entrada datos'!AN73</f>
        <v>0</v>
      </c>
      <c r="AM163">
        <f>'Entrada datos'!AO73</f>
        <v>0</v>
      </c>
      <c r="AN163">
        <f>'Entrada datos'!AP73</f>
        <v>0</v>
      </c>
      <c r="AO163">
        <f>'Entrada datos'!AQ73</f>
        <v>0</v>
      </c>
      <c r="AP163">
        <f>'Entrada datos'!AR73</f>
        <v>0</v>
      </c>
      <c r="AQ163">
        <f>'Entrada datos'!AS73</f>
        <v>0</v>
      </c>
      <c r="AR163" s="17">
        <f t="shared" si="39"/>
        <v>0</v>
      </c>
      <c r="AS163" s="23">
        <f t="shared" si="40"/>
        <v>0</v>
      </c>
      <c r="AT163">
        <f t="shared" si="41"/>
        <v>1900</v>
      </c>
      <c r="AU163" s="40" t="str">
        <f t="shared" si="42"/>
        <v>enero</v>
      </c>
      <c r="AV163">
        <f t="shared" si="43"/>
        <v>0</v>
      </c>
      <c r="AW163">
        <f t="shared" si="44"/>
        <v>0</v>
      </c>
      <c r="AX163" s="24">
        <f t="shared" si="45"/>
        <v>0</v>
      </c>
      <c r="AY163" s="24">
        <f t="shared" si="46"/>
        <v>0</v>
      </c>
      <c r="AZ163" s="24">
        <f t="shared" si="47"/>
        <v>0</v>
      </c>
      <c r="BA163">
        <f t="shared" si="48"/>
        <v>0</v>
      </c>
      <c r="BB163">
        <f t="shared" si="49"/>
        <v>0</v>
      </c>
      <c r="BC163" s="24">
        <f t="shared" si="50"/>
        <v>0</v>
      </c>
      <c r="BD163">
        <f t="shared" si="51"/>
        <v>0</v>
      </c>
    </row>
    <row r="164" spans="1:56" x14ac:dyDescent="0.3">
      <c r="A164">
        <f>'Entrada datos'!A74</f>
        <v>0</v>
      </c>
      <c r="B164">
        <f>'Entrada datos'!B74</f>
        <v>0</v>
      </c>
      <c r="C164">
        <f>'Entrada datos'!C74</f>
        <v>0</v>
      </c>
      <c r="D164">
        <f>'Entrada datos'!D74</f>
        <v>0</v>
      </c>
      <c r="E164" s="18">
        <f>'Entrada datos'!G74</f>
        <v>0</v>
      </c>
      <c r="F164" s="18">
        <f>'Entrada datos'!H74</f>
        <v>0</v>
      </c>
      <c r="G164">
        <f>'Entrada datos'!J74</f>
        <v>0</v>
      </c>
      <c r="H164">
        <f>'Entrada datos'!L74</f>
        <v>0</v>
      </c>
      <c r="I164">
        <f>'Entrada datos'!O74</f>
        <v>0</v>
      </c>
      <c r="J164">
        <f>'Entrada datos'!P74</f>
        <v>0</v>
      </c>
      <c r="K164">
        <f>'Entrada datos'!Q74</f>
        <v>0</v>
      </c>
      <c r="L164">
        <f>'Entrada datos'!R74</f>
        <v>0</v>
      </c>
      <c r="M164">
        <f>'Entrada datos'!S74</f>
        <v>0</v>
      </c>
      <c r="N164">
        <f>'Entrada datos'!T74</f>
        <v>0</v>
      </c>
      <c r="O164">
        <f>'Entrada datos'!U74</f>
        <v>0</v>
      </c>
      <c r="P164" s="17">
        <f t="shared" si="35"/>
        <v>0</v>
      </c>
      <c r="Q164">
        <f>'Entrada datos'!V74</f>
        <v>0</v>
      </c>
      <c r="R164">
        <f>'Entrada datos'!W74</f>
        <v>0</v>
      </c>
      <c r="S164">
        <f>'Entrada datos'!X74</f>
        <v>0</v>
      </c>
      <c r="T164">
        <f>'Entrada datos'!Y74</f>
        <v>0</v>
      </c>
      <c r="U164">
        <f>'Entrada datos'!Z74</f>
        <v>0</v>
      </c>
      <c r="V164">
        <f>'Entrada datos'!AA74</f>
        <v>0</v>
      </c>
      <c r="W164" s="17">
        <f t="shared" si="36"/>
        <v>0</v>
      </c>
      <c r="X164">
        <f>'Entrada datos'!AB74</f>
        <v>0</v>
      </c>
      <c r="Y164">
        <f>'Entrada datos'!AC74</f>
        <v>0</v>
      </c>
      <c r="Z164">
        <f>'Entrada datos'!AD74</f>
        <v>0</v>
      </c>
      <c r="AA164">
        <f>'Entrada datos'!AE74</f>
        <v>0</v>
      </c>
      <c r="AB164">
        <f>'Entrada datos'!AF74</f>
        <v>0</v>
      </c>
      <c r="AC164">
        <f>'Entrada datos'!AG74</f>
        <v>0</v>
      </c>
      <c r="AD164" s="17">
        <f t="shared" si="37"/>
        <v>0</v>
      </c>
      <c r="AE164">
        <f>'Entrada datos'!AH74</f>
        <v>0</v>
      </c>
      <c r="AF164">
        <f>'Entrada datos'!AI74</f>
        <v>0</v>
      </c>
      <c r="AG164">
        <f>'Entrada datos'!AJ74</f>
        <v>0</v>
      </c>
      <c r="AH164">
        <f>'Entrada datos'!AK74</f>
        <v>0</v>
      </c>
      <c r="AI164">
        <f>'Entrada datos'!AL74</f>
        <v>0</v>
      </c>
      <c r="AJ164">
        <f>'Entrada datos'!AM74</f>
        <v>0</v>
      </c>
      <c r="AK164" s="17">
        <f t="shared" si="38"/>
        <v>0</v>
      </c>
      <c r="AL164">
        <f>'Entrada datos'!AN74</f>
        <v>0</v>
      </c>
      <c r="AM164">
        <f>'Entrada datos'!AO74</f>
        <v>0</v>
      </c>
      <c r="AN164">
        <f>'Entrada datos'!AP74</f>
        <v>0</v>
      </c>
      <c r="AO164">
        <f>'Entrada datos'!AQ74</f>
        <v>0</v>
      </c>
      <c r="AP164">
        <f>'Entrada datos'!AR74</f>
        <v>0</v>
      </c>
      <c r="AQ164">
        <f>'Entrada datos'!AS74</f>
        <v>0</v>
      </c>
      <c r="AR164" s="17">
        <f t="shared" si="39"/>
        <v>0</v>
      </c>
      <c r="AS164" s="23">
        <f t="shared" si="40"/>
        <v>0</v>
      </c>
      <c r="AT164">
        <f t="shared" si="41"/>
        <v>1900</v>
      </c>
      <c r="AU164" s="40" t="str">
        <f t="shared" si="42"/>
        <v>enero</v>
      </c>
      <c r="AV164">
        <f t="shared" si="43"/>
        <v>0</v>
      </c>
      <c r="AW164">
        <f t="shared" si="44"/>
        <v>0</v>
      </c>
      <c r="AX164" s="24">
        <f t="shared" si="45"/>
        <v>0</v>
      </c>
      <c r="AY164" s="24">
        <f t="shared" si="46"/>
        <v>0</v>
      </c>
      <c r="AZ164" s="24">
        <f t="shared" si="47"/>
        <v>0</v>
      </c>
      <c r="BA164">
        <f t="shared" si="48"/>
        <v>0</v>
      </c>
      <c r="BB164">
        <f t="shared" si="49"/>
        <v>0</v>
      </c>
      <c r="BC164" s="24">
        <f t="shared" si="50"/>
        <v>0</v>
      </c>
      <c r="BD164">
        <f t="shared" si="51"/>
        <v>0</v>
      </c>
    </row>
    <row r="165" spans="1:56" x14ac:dyDescent="0.3">
      <c r="A165">
        <f>'Entrada datos'!A75</f>
        <v>0</v>
      </c>
      <c r="B165">
        <f>'Entrada datos'!B75</f>
        <v>0</v>
      </c>
      <c r="C165">
        <f>'Entrada datos'!C75</f>
        <v>0</v>
      </c>
      <c r="D165">
        <f>'Entrada datos'!D75</f>
        <v>0</v>
      </c>
      <c r="E165" s="18">
        <f>'Entrada datos'!G75</f>
        <v>0</v>
      </c>
      <c r="F165" s="18">
        <f>'Entrada datos'!H75</f>
        <v>0</v>
      </c>
      <c r="G165">
        <f>'Entrada datos'!J75</f>
        <v>0</v>
      </c>
      <c r="H165">
        <f>'Entrada datos'!L75</f>
        <v>0</v>
      </c>
      <c r="I165">
        <f>'Entrada datos'!O75</f>
        <v>0</v>
      </c>
      <c r="J165">
        <f>'Entrada datos'!P75</f>
        <v>0</v>
      </c>
      <c r="K165">
        <f>'Entrada datos'!Q75</f>
        <v>0</v>
      </c>
      <c r="L165">
        <f>'Entrada datos'!R75</f>
        <v>0</v>
      </c>
      <c r="M165">
        <f>'Entrada datos'!S75</f>
        <v>0</v>
      </c>
      <c r="N165">
        <f>'Entrada datos'!T75</f>
        <v>0</v>
      </c>
      <c r="O165">
        <f>'Entrada datos'!U75</f>
        <v>0</v>
      </c>
      <c r="P165" s="17">
        <f t="shared" si="35"/>
        <v>0</v>
      </c>
      <c r="Q165">
        <f>'Entrada datos'!V75</f>
        <v>0</v>
      </c>
      <c r="R165">
        <f>'Entrada datos'!W75</f>
        <v>0</v>
      </c>
      <c r="S165">
        <f>'Entrada datos'!X75</f>
        <v>0</v>
      </c>
      <c r="T165">
        <f>'Entrada datos'!Y75</f>
        <v>0</v>
      </c>
      <c r="U165">
        <f>'Entrada datos'!Z75</f>
        <v>0</v>
      </c>
      <c r="V165">
        <f>'Entrada datos'!AA75</f>
        <v>0</v>
      </c>
      <c r="W165" s="17">
        <f t="shared" si="36"/>
        <v>0</v>
      </c>
      <c r="X165">
        <f>'Entrada datos'!AB75</f>
        <v>0</v>
      </c>
      <c r="Y165">
        <f>'Entrada datos'!AC75</f>
        <v>0</v>
      </c>
      <c r="Z165">
        <f>'Entrada datos'!AD75</f>
        <v>0</v>
      </c>
      <c r="AA165">
        <f>'Entrada datos'!AE75</f>
        <v>0</v>
      </c>
      <c r="AB165">
        <f>'Entrada datos'!AF75</f>
        <v>0</v>
      </c>
      <c r="AC165">
        <f>'Entrada datos'!AG75</f>
        <v>0</v>
      </c>
      <c r="AD165" s="17">
        <f t="shared" si="37"/>
        <v>0</v>
      </c>
      <c r="AE165">
        <f>'Entrada datos'!AH75</f>
        <v>0</v>
      </c>
      <c r="AF165">
        <f>'Entrada datos'!AI75</f>
        <v>0</v>
      </c>
      <c r="AG165">
        <f>'Entrada datos'!AJ75</f>
        <v>0</v>
      </c>
      <c r="AH165">
        <f>'Entrada datos'!AK75</f>
        <v>0</v>
      </c>
      <c r="AI165">
        <f>'Entrada datos'!AL75</f>
        <v>0</v>
      </c>
      <c r="AJ165">
        <f>'Entrada datos'!AM75</f>
        <v>0</v>
      </c>
      <c r="AK165" s="17">
        <f t="shared" si="38"/>
        <v>0</v>
      </c>
      <c r="AL165">
        <f>'Entrada datos'!AN75</f>
        <v>0</v>
      </c>
      <c r="AM165">
        <f>'Entrada datos'!AO75</f>
        <v>0</v>
      </c>
      <c r="AN165">
        <f>'Entrada datos'!AP75</f>
        <v>0</v>
      </c>
      <c r="AO165">
        <f>'Entrada datos'!AQ75</f>
        <v>0</v>
      </c>
      <c r="AP165">
        <f>'Entrada datos'!AR75</f>
        <v>0</v>
      </c>
      <c r="AQ165">
        <f>'Entrada datos'!AS75</f>
        <v>0</v>
      </c>
      <c r="AR165" s="17">
        <f t="shared" si="39"/>
        <v>0</v>
      </c>
      <c r="AS165" s="23">
        <f t="shared" si="40"/>
        <v>0</v>
      </c>
      <c r="AT165">
        <f t="shared" si="41"/>
        <v>1900</v>
      </c>
      <c r="AU165" s="40" t="str">
        <f t="shared" si="42"/>
        <v>enero</v>
      </c>
      <c r="AV165">
        <f t="shared" si="43"/>
        <v>0</v>
      </c>
      <c r="AW165">
        <f t="shared" si="44"/>
        <v>0</v>
      </c>
      <c r="AX165" s="24">
        <f t="shared" si="45"/>
        <v>0</v>
      </c>
      <c r="AY165" s="24">
        <f t="shared" si="46"/>
        <v>0</v>
      </c>
      <c r="AZ165" s="24">
        <f t="shared" si="47"/>
        <v>0</v>
      </c>
      <c r="BA165">
        <f t="shared" si="48"/>
        <v>0</v>
      </c>
      <c r="BB165">
        <f t="shared" si="49"/>
        <v>0</v>
      </c>
      <c r="BC165" s="24">
        <f t="shared" si="50"/>
        <v>0</v>
      </c>
      <c r="BD165">
        <f t="shared" si="51"/>
        <v>0</v>
      </c>
    </row>
    <row r="166" spans="1:56" x14ac:dyDescent="0.3">
      <c r="A166">
        <f>'Entrada datos'!A76</f>
        <v>0</v>
      </c>
      <c r="B166">
        <f>'Entrada datos'!B76</f>
        <v>0</v>
      </c>
      <c r="C166">
        <f>'Entrada datos'!C76</f>
        <v>0</v>
      </c>
      <c r="D166">
        <f>'Entrada datos'!D76</f>
        <v>0</v>
      </c>
      <c r="E166" s="18">
        <f>'Entrada datos'!G76</f>
        <v>0</v>
      </c>
      <c r="F166" s="18">
        <f>'Entrada datos'!H76</f>
        <v>0</v>
      </c>
      <c r="G166">
        <f>'Entrada datos'!J76</f>
        <v>0</v>
      </c>
      <c r="H166">
        <f>'Entrada datos'!L76</f>
        <v>0</v>
      </c>
      <c r="I166">
        <f>'Entrada datos'!O76</f>
        <v>0</v>
      </c>
      <c r="J166">
        <f>'Entrada datos'!P76</f>
        <v>0</v>
      </c>
      <c r="K166">
        <f>'Entrada datos'!Q76</f>
        <v>0</v>
      </c>
      <c r="L166">
        <f>'Entrada datos'!R76</f>
        <v>0</v>
      </c>
      <c r="M166">
        <f>'Entrada datos'!S76</f>
        <v>0</v>
      </c>
      <c r="N166">
        <f>'Entrada datos'!T76</f>
        <v>0</v>
      </c>
      <c r="O166">
        <f>'Entrada datos'!U76</f>
        <v>0</v>
      </c>
      <c r="P166" s="17">
        <f t="shared" si="35"/>
        <v>0</v>
      </c>
      <c r="Q166">
        <f>'Entrada datos'!V76</f>
        <v>0</v>
      </c>
      <c r="R166">
        <f>'Entrada datos'!W76</f>
        <v>0</v>
      </c>
      <c r="S166">
        <f>'Entrada datos'!X76</f>
        <v>0</v>
      </c>
      <c r="T166">
        <f>'Entrada datos'!Y76</f>
        <v>0</v>
      </c>
      <c r="U166">
        <f>'Entrada datos'!Z76</f>
        <v>0</v>
      </c>
      <c r="V166">
        <f>'Entrada datos'!AA76</f>
        <v>0</v>
      </c>
      <c r="W166" s="17">
        <f t="shared" si="36"/>
        <v>0</v>
      </c>
      <c r="X166">
        <f>'Entrada datos'!AB76</f>
        <v>0</v>
      </c>
      <c r="Y166">
        <f>'Entrada datos'!AC76</f>
        <v>0</v>
      </c>
      <c r="Z166">
        <f>'Entrada datos'!AD76</f>
        <v>0</v>
      </c>
      <c r="AA166">
        <f>'Entrada datos'!AE76</f>
        <v>0</v>
      </c>
      <c r="AB166">
        <f>'Entrada datos'!AF76</f>
        <v>0</v>
      </c>
      <c r="AC166">
        <f>'Entrada datos'!AG76</f>
        <v>0</v>
      </c>
      <c r="AD166" s="17">
        <f t="shared" si="37"/>
        <v>0</v>
      </c>
      <c r="AE166">
        <f>'Entrada datos'!AH76</f>
        <v>0</v>
      </c>
      <c r="AF166">
        <f>'Entrada datos'!AI76</f>
        <v>0</v>
      </c>
      <c r="AG166">
        <f>'Entrada datos'!AJ76</f>
        <v>0</v>
      </c>
      <c r="AH166">
        <f>'Entrada datos'!AK76</f>
        <v>0</v>
      </c>
      <c r="AI166">
        <f>'Entrada datos'!AL76</f>
        <v>0</v>
      </c>
      <c r="AJ166">
        <f>'Entrada datos'!AM76</f>
        <v>0</v>
      </c>
      <c r="AK166" s="17">
        <f t="shared" si="38"/>
        <v>0</v>
      </c>
      <c r="AL166">
        <f>'Entrada datos'!AN76</f>
        <v>0</v>
      </c>
      <c r="AM166">
        <f>'Entrada datos'!AO76</f>
        <v>0</v>
      </c>
      <c r="AN166">
        <f>'Entrada datos'!AP76</f>
        <v>0</v>
      </c>
      <c r="AO166">
        <f>'Entrada datos'!AQ76</f>
        <v>0</v>
      </c>
      <c r="AP166">
        <f>'Entrada datos'!AR76</f>
        <v>0</v>
      </c>
      <c r="AQ166">
        <f>'Entrada datos'!AS76</f>
        <v>0</v>
      </c>
      <c r="AR166" s="17">
        <f t="shared" si="39"/>
        <v>0</v>
      </c>
      <c r="AS166" s="23">
        <f t="shared" si="40"/>
        <v>0</v>
      </c>
      <c r="AT166">
        <f t="shared" si="41"/>
        <v>1900</v>
      </c>
      <c r="AU166" s="40" t="str">
        <f t="shared" si="42"/>
        <v>enero</v>
      </c>
      <c r="AV166">
        <f t="shared" si="43"/>
        <v>0</v>
      </c>
      <c r="AW166">
        <f t="shared" si="44"/>
        <v>0</v>
      </c>
      <c r="AX166" s="24">
        <f t="shared" si="45"/>
        <v>0</v>
      </c>
      <c r="AY166" s="24">
        <f t="shared" si="46"/>
        <v>0</v>
      </c>
      <c r="AZ166" s="24">
        <f t="shared" si="47"/>
        <v>0</v>
      </c>
      <c r="BA166">
        <f t="shared" si="48"/>
        <v>0</v>
      </c>
      <c r="BB166">
        <f t="shared" si="49"/>
        <v>0</v>
      </c>
      <c r="BC166" s="24">
        <f t="shared" si="50"/>
        <v>0</v>
      </c>
      <c r="BD166">
        <f t="shared" si="51"/>
        <v>0</v>
      </c>
    </row>
    <row r="167" spans="1:56" x14ac:dyDescent="0.3">
      <c r="A167">
        <f>'Entrada datos'!A77</f>
        <v>0</v>
      </c>
      <c r="B167">
        <f>'Entrada datos'!B77</f>
        <v>0</v>
      </c>
      <c r="C167">
        <f>'Entrada datos'!C77</f>
        <v>0</v>
      </c>
      <c r="D167">
        <f>'Entrada datos'!D77</f>
        <v>0</v>
      </c>
      <c r="E167" s="18">
        <f>'Entrada datos'!G77</f>
        <v>0</v>
      </c>
      <c r="F167" s="18">
        <f>'Entrada datos'!H77</f>
        <v>0</v>
      </c>
      <c r="G167">
        <f>'Entrada datos'!J77</f>
        <v>0</v>
      </c>
      <c r="H167">
        <f>'Entrada datos'!L77</f>
        <v>0</v>
      </c>
      <c r="I167">
        <f>'Entrada datos'!O77</f>
        <v>0</v>
      </c>
      <c r="J167">
        <f>'Entrada datos'!P77</f>
        <v>0</v>
      </c>
      <c r="K167">
        <f>'Entrada datos'!Q77</f>
        <v>0</v>
      </c>
      <c r="L167">
        <f>'Entrada datos'!R77</f>
        <v>0</v>
      </c>
      <c r="M167">
        <f>'Entrada datos'!S77</f>
        <v>0</v>
      </c>
      <c r="N167">
        <f>'Entrada datos'!T77</f>
        <v>0</v>
      </c>
      <c r="O167">
        <f>'Entrada datos'!U77</f>
        <v>0</v>
      </c>
      <c r="P167" s="17">
        <f t="shared" si="35"/>
        <v>0</v>
      </c>
      <c r="Q167">
        <f>'Entrada datos'!V77</f>
        <v>0</v>
      </c>
      <c r="R167">
        <f>'Entrada datos'!W77</f>
        <v>0</v>
      </c>
      <c r="S167">
        <f>'Entrada datos'!X77</f>
        <v>0</v>
      </c>
      <c r="T167">
        <f>'Entrada datos'!Y77</f>
        <v>0</v>
      </c>
      <c r="U167">
        <f>'Entrada datos'!Z77</f>
        <v>0</v>
      </c>
      <c r="V167">
        <f>'Entrada datos'!AA77</f>
        <v>0</v>
      </c>
      <c r="W167" s="17">
        <f t="shared" si="36"/>
        <v>0</v>
      </c>
      <c r="X167">
        <f>'Entrada datos'!AB77</f>
        <v>0</v>
      </c>
      <c r="Y167">
        <f>'Entrada datos'!AC77</f>
        <v>0</v>
      </c>
      <c r="Z167">
        <f>'Entrada datos'!AD77</f>
        <v>0</v>
      </c>
      <c r="AA167">
        <f>'Entrada datos'!AE77</f>
        <v>0</v>
      </c>
      <c r="AB167">
        <f>'Entrada datos'!AF77</f>
        <v>0</v>
      </c>
      <c r="AC167">
        <f>'Entrada datos'!AG77</f>
        <v>0</v>
      </c>
      <c r="AD167" s="17">
        <f t="shared" si="37"/>
        <v>0</v>
      </c>
      <c r="AE167">
        <f>'Entrada datos'!AH77</f>
        <v>0</v>
      </c>
      <c r="AF167">
        <f>'Entrada datos'!AI77</f>
        <v>0</v>
      </c>
      <c r="AG167">
        <f>'Entrada datos'!AJ77</f>
        <v>0</v>
      </c>
      <c r="AH167">
        <f>'Entrada datos'!AK77</f>
        <v>0</v>
      </c>
      <c r="AI167">
        <f>'Entrada datos'!AL77</f>
        <v>0</v>
      </c>
      <c r="AJ167">
        <f>'Entrada datos'!AM77</f>
        <v>0</v>
      </c>
      <c r="AK167" s="17">
        <f t="shared" si="38"/>
        <v>0</v>
      </c>
      <c r="AL167">
        <f>'Entrada datos'!AN77</f>
        <v>0</v>
      </c>
      <c r="AM167">
        <f>'Entrada datos'!AO77</f>
        <v>0</v>
      </c>
      <c r="AN167">
        <f>'Entrada datos'!AP77</f>
        <v>0</v>
      </c>
      <c r="AO167">
        <f>'Entrada datos'!AQ77</f>
        <v>0</v>
      </c>
      <c r="AP167">
        <f>'Entrada datos'!AR77</f>
        <v>0</v>
      </c>
      <c r="AQ167">
        <f>'Entrada datos'!AS77</f>
        <v>0</v>
      </c>
      <c r="AR167" s="17">
        <f t="shared" si="39"/>
        <v>0</v>
      </c>
      <c r="AS167" s="23">
        <f t="shared" si="40"/>
        <v>0</v>
      </c>
      <c r="AT167">
        <f t="shared" si="41"/>
        <v>1900</v>
      </c>
      <c r="AU167" s="40" t="str">
        <f t="shared" si="42"/>
        <v>enero</v>
      </c>
      <c r="AV167">
        <f t="shared" si="43"/>
        <v>0</v>
      </c>
      <c r="AW167">
        <f t="shared" si="44"/>
        <v>0</v>
      </c>
      <c r="AX167" s="24">
        <f t="shared" si="45"/>
        <v>0</v>
      </c>
      <c r="AY167" s="24">
        <f t="shared" si="46"/>
        <v>0</v>
      </c>
      <c r="AZ167" s="24">
        <f t="shared" si="47"/>
        <v>0</v>
      </c>
      <c r="BA167">
        <f t="shared" si="48"/>
        <v>0</v>
      </c>
      <c r="BB167">
        <f t="shared" si="49"/>
        <v>0</v>
      </c>
      <c r="BC167" s="24">
        <f t="shared" si="50"/>
        <v>0</v>
      </c>
      <c r="BD167">
        <f t="shared" si="51"/>
        <v>0</v>
      </c>
    </row>
    <row r="168" spans="1:56" x14ac:dyDescent="0.3">
      <c r="A168">
        <f>'Entrada datos'!A78</f>
        <v>0</v>
      </c>
      <c r="B168">
        <f>'Entrada datos'!B78</f>
        <v>0</v>
      </c>
      <c r="C168">
        <f>'Entrada datos'!C78</f>
        <v>0</v>
      </c>
      <c r="D168">
        <f>'Entrada datos'!D78</f>
        <v>0</v>
      </c>
      <c r="E168" s="18">
        <f>'Entrada datos'!G78</f>
        <v>0</v>
      </c>
      <c r="F168" s="18">
        <f>'Entrada datos'!H78</f>
        <v>0</v>
      </c>
      <c r="G168">
        <f>'Entrada datos'!J78</f>
        <v>0</v>
      </c>
      <c r="H168">
        <f>'Entrada datos'!L78</f>
        <v>0</v>
      </c>
      <c r="I168">
        <f>'Entrada datos'!O78</f>
        <v>0</v>
      </c>
      <c r="J168">
        <f>'Entrada datos'!P78</f>
        <v>0</v>
      </c>
      <c r="K168">
        <f>'Entrada datos'!Q78</f>
        <v>0</v>
      </c>
      <c r="L168">
        <f>'Entrada datos'!R78</f>
        <v>0</v>
      </c>
      <c r="M168">
        <f>'Entrada datos'!S78</f>
        <v>0</v>
      </c>
      <c r="N168">
        <f>'Entrada datos'!T78</f>
        <v>0</v>
      </c>
      <c r="O168">
        <f>'Entrada datos'!U78</f>
        <v>0</v>
      </c>
      <c r="P168" s="17">
        <f t="shared" si="35"/>
        <v>0</v>
      </c>
      <c r="Q168">
        <f>'Entrada datos'!V78</f>
        <v>0</v>
      </c>
      <c r="R168">
        <f>'Entrada datos'!W78</f>
        <v>0</v>
      </c>
      <c r="S168">
        <f>'Entrada datos'!X78</f>
        <v>0</v>
      </c>
      <c r="T168">
        <f>'Entrada datos'!Y78</f>
        <v>0</v>
      </c>
      <c r="U168">
        <f>'Entrada datos'!Z78</f>
        <v>0</v>
      </c>
      <c r="V168">
        <f>'Entrada datos'!AA78</f>
        <v>0</v>
      </c>
      <c r="W168" s="17">
        <f t="shared" si="36"/>
        <v>0</v>
      </c>
      <c r="X168">
        <f>'Entrada datos'!AB78</f>
        <v>0</v>
      </c>
      <c r="Y168">
        <f>'Entrada datos'!AC78</f>
        <v>0</v>
      </c>
      <c r="Z168">
        <f>'Entrada datos'!AD78</f>
        <v>0</v>
      </c>
      <c r="AA168">
        <f>'Entrada datos'!AE78</f>
        <v>0</v>
      </c>
      <c r="AB168">
        <f>'Entrada datos'!AF78</f>
        <v>0</v>
      </c>
      <c r="AC168">
        <f>'Entrada datos'!AG78</f>
        <v>0</v>
      </c>
      <c r="AD168" s="17">
        <f t="shared" si="37"/>
        <v>0</v>
      </c>
      <c r="AE168">
        <f>'Entrada datos'!AH78</f>
        <v>0</v>
      </c>
      <c r="AF168">
        <f>'Entrada datos'!AI78</f>
        <v>0</v>
      </c>
      <c r="AG168">
        <f>'Entrada datos'!AJ78</f>
        <v>0</v>
      </c>
      <c r="AH168">
        <f>'Entrada datos'!AK78</f>
        <v>0</v>
      </c>
      <c r="AI168">
        <f>'Entrada datos'!AL78</f>
        <v>0</v>
      </c>
      <c r="AJ168">
        <f>'Entrada datos'!AM78</f>
        <v>0</v>
      </c>
      <c r="AK168" s="17">
        <f t="shared" si="38"/>
        <v>0</v>
      </c>
      <c r="AL168">
        <f>'Entrada datos'!AN78</f>
        <v>0</v>
      </c>
      <c r="AM168">
        <f>'Entrada datos'!AO78</f>
        <v>0</v>
      </c>
      <c r="AN168">
        <f>'Entrada datos'!AP78</f>
        <v>0</v>
      </c>
      <c r="AO168">
        <f>'Entrada datos'!AQ78</f>
        <v>0</v>
      </c>
      <c r="AP168">
        <f>'Entrada datos'!AR78</f>
        <v>0</v>
      </c>
      <c r="AQ168">
        <f>'Entrada datos'!AS78</f>
        <v>0</v>
      </c>
      <c r="AR168" s="17">
        <f t="shared" si="39"/>
        <v>0</v>
      </c>
      <c r="AS168" s="23">
        <f t="shared" si="40"/>
        <v>0</v>
      </c>
      <c r="AT168">
        <f t="shared" si="41"/>
        <v>1900</v>
      </c>
      <c r="AU168" s="40" t="str">
        <f t="shared" si="42"/>
        <v>enero</v>
      </c>
      <c r="AV168">
        <f t="shared" si="43"/>
        <v>0</v>
      </c>
      <c r="AW168">
        <f t="shared" si="44"/>
        <v>0</v>
      </c>
      <c r="AX168" s="24">
        <f t="shared" si="45"/>
        <v>0</v>
      </c>
      <c r="AY168" s="24">
        <f t="shared" si="46"/>
        <v>0</v>
      </c>
      <c r="AZ168" s="24">
        <f t="shared" si="47"/>
        <v>0</v>
      </c>
      <c r="BA168">
        <f t="shared" si="48"/>
        <v>0</v>
      </c>
      <c r="BB168">
        <f t="shared" si="49"/>
        <v>0</v>
      </c>
      <c r="BC168" s="24">
        <f t="shared" si="50"/>
        <v>0</v>
      </c>
      <c r="BD168">
        <f t="shared" si="51"/>
        <v>0</v>
      </c>
    </row>
    <row r="169" spans="1:56" x14ac:dyDescent="0.3">
      <c r="A169">
        <f>'Entrada datos'!A79</f>
        <v>0</v>
      </c>
      <c r="B169">
        <f>'Entrada datos'!B79</f>
        <v>0</v>
      </c>
      <c r="C169">
        <f>'Entrada datos'!C79</f>
        <v>0</v>
      </c>
      <c r="D169">
        <f>'Entrada datos'!D79</f>
        <v>0</v>
      </c>
      <c r="E169" s="18">
        <f>'Entrada datos'!G79</f>
        <v>0</v>
      </c>
      <c r="F169" s="18">
        <f>'Entrada datos'!H79</f>
        <v>0</v>
      </c>
      <c r="G169">
        <f>'Entrada datos'!J79</f>
        <v>0</v>
      </c>
      <c r="H169">
        <f>'Entrada datos'!L79</f>
        <v>0</v>
      </c>
      <c r="I169">
        <f>'Entrada datos'!O79</f>
        <v>0</v>
      </c>
      <c r="J169">
        <f>'Entrada datos'!P79</f>
        <v>0</v>
      </c>
      <c r="K169">
        <f>'Entrada datos'!Q79</f>
        <v>0</v>
      </c>
      <c r="L169">
        <f>'Entrada datos'!R79</f>
        <v>0</v>
      </c>
      <c r="M169">
        <f>'Entrada datos'!S79</f>
        <v>0</v>
      </c>
      <c r="N169">
        <f>'Entrada datos'!T79</f>
        <v>0</v>
      </c>
      <c r="O169">
        <f>'Entrada datos'!U79</f>
        <v>0</v>
      </c>
      <c r="P169" s="17">
        <f t="shared" si="35"/>
        <v>0</v>
      </c>
      <c r="Q169">
        <f>'Entrada datos'!V79</f>
        <v>0</v>
      </c>
      <c r="R169">
        <f>'Entrada datos'!W79</f>
        <v>0</v>
      </c>
      <c r="S169">
        <f>'Entrada datos'!X79</f>
        <v>0</v>
      </c>
      <c r="T169">
        <f>'Entrada datos'!Y79</f>
        <v>0</v>
      </c>
      <c r="U169">
        <f>'Entrada datos'!Z79</f>
        <v>0</v>
      </c>
      <c r="V169">
        <f>'Entrada datos'!AA79</f>
        <v>0</v>
      </c>
      <c r="W169" s="17">
        <f t="shared" si="36"/>
        <v>0</v>
      </c>
      <c r="X169">
        <f>'Entrada datos'!AB79</f>
        <v>0</v>
      </c>
      <c r="Y169">
        <f>'Entrada datos'!AC79</f>
        <v>0</v>
      </c>
      <c r="Z169">
        <f>'Entrada datos'!AD79</f>
        <v>0</v>
      </c>
      <c r="AA169">
        <f>'Entrada datos'!AE79</f>
        <v>0</v>
      </c>
      <c r="AB169">
        <f>'Entrada datos'!AF79</f>
        <v>0</v>
      </c>
      <c r="AC169">
        <f>'Entrada datos'!AG79</f>
        <v>0</v>
      </c>
      <c r="AD169" s="17">
        <f t="shared" si="37"/>
        <v>0</v>
      </c>
      <c r="AE169">
        <f>'Entrada datos'!AH79</f>
        <v>0</v>
      </c>
      <c r="AF169">
        <f>'Entrada datos'!AI79</f>
        <v>0</v>
      </c>
      <c r="AG169">
        <f>'Entrada datos'!AJ79</f>
        <v>0</v>
      </c>
      <c r="AH169">
        <f>'Entrada datos'!AK79</f>
        <v>0</v>
      </c>
      <c r="AI169">
        <f>'Entrada datos'!AL79</f>
        <v>0</v>
      </c>
      <c r="AJ169">
        <f>'Entrada datos'!AM79</f>
        <v>0</v>
      </c>
      <c r="AK169" s="17">
        <f t="shared" si="38"/>
        <v>0</v>
      </c>
      <c r="AL169">
        <f>'Entrada datos'!AN79</f>
        <v>0</v>
      </c>
      <c r="AM169">
        <f>'Entrada datos'!AO79</f>
        <v>0</v>
      </c>
      <c r="AN169">
        <f>'Entrada datos'!AP79</f>
        <v>0</v>
      </c>
      <c r="AO169">
        <f>'Entrada datos'!AQ79</f>
        <v>0</v>
      </c>
      <c r="AP169">
        <f>'Entrada datos'!AR79</f>
        <v>0</v>
      </c>
      <c r="AQ169">
        <f>'Entrada datos'!AS79</f>
        <v>0</v>
      </c>
      <c r="AR169" s="17">
        <f t="shared" si="39"/>
        <v>0</v>
      </c>
      <c r="AS169" s="23">
        <f t="shared" si="40"/>
        <v>0</v>
      </c>
      <c r="AT169">
        <f t="shared" si="41"/>
        <v>1900</v>
      </c>
      <c r="AU169" s="40" t="str">
        <f t="shared" si="42"/>
        <v>enero</v>
      </c>
      <c r="AV169">
        <f t="shared" si="43"/>
        <v>0</v>
      </c>
      <c r="AW169">
        <f t="shared" si="44"/>
        <v>0</v>
      </c>
      <c r="AX169" s="24">
        <f t="shared" si="45"/>
        <v>0</v>
      </c>
      <c r="AY169" s="24">
        <f t="shared" si="46"/>
        <v>0</v>
      </c>
      <c r="AZ169" s="24">
        <f t="shared" si="47"/>
        <v>0</v>
      </c>
      <c r="BA169">
        <f t="shared" si="48"/>
        <v>0</v>
      </c>
      <c r="BB169">
        <f t="shared" si="49"/>
        <v>0</v>
      </c>
      <c r="BC169" s="24">
        <f t="shared" si="50"/>
        <v>0</v>
      </c>
      <c r="BD169">
        <f t="shared" si="51"/>
        <v>0</v>
      </c>
    </row>
    <row r="170" spans="1:56" x14ac:dyDescent="0.3">
      <c r="A170">
        <f>'Entrada datos'!A80</f>
        <v>0</v>
      </c>
      <c r="B170">
        <f>'Entrada datos'!B80</f>
        <v>0</v>
      </c>
      <c r="C170">
        <f>'Entrada datos'!C80</f>
        <v>0</v>
      </c>
      <c r="D170">
        <f>'Entrada datos'!D80</f>
        <v>0</v>
      </c>
      <c r="E170" s="18">
        <f>'Entrada datos'!G80</f>
        <v>0</v>
      </c>
      <c r="F170" s="18">
        <f>'Entrada datos'!H80</f>
        <v>0</v>
      </c>
      <c r="G170">
        <f>'Entrada datos'!J80</f>
        <v>0</v>
      </c>
      <c r="H170">
        <f>'Entrada datos'!L80</f>
        <v>0</v>
      </c>
      <c r="I170">
        <f>'Entrada datos'!O80</f>
        <v>0</v>
      </c>
      <c r="J170">
        <f>'Entrada datos'!P80</f>
        <v>0</v>
      </c>
      <c r="K170">
        <f>'Entrada datos'!Q80</f>
        <v>0</v>
      </c>
      <c r="L170">
        <f>'Entrada datos'!R80</f>
        <v>0</v>
      </c>
      <c r="M170">
        <f>'Entrada datos'!S80</f>
        <v>0</v>
      </c>
      <c r="N170">
        <f>'Entrada datos'!T80</f>
        <v>0</v>
      </c>
      <c r="O170">
        <f>'Entrada datos'!U80</f>
        <v>0</v>
      </c>
      <c r="P170" s="17">
        <f t="shared" si="35"/>
        <v>0</v>
      </c>
      <c r="Q170">
        <f>'Entrada datos'!V80</f>
        <v>0</v>
      </c>
      <c r="R170">
        <f>'Entrada datos'!W80</f>
        <v>0</v>
      </c>
      <c r="S170">
        <f>'Entrada datos'!X80</f>
        <v>0</v>
      </c>
      <c r="T170">
        <f>'Entrada datos'!Y80</f>
        <v>0</v>
      </c>
      <c r="U170">
        <f>'Entrada datos'!Z80</f>
        <v>0</v>
      </c>
      <c r="V170">
        <f>'Entrada datos'!AA80</f>
        <v>0</v>
      </c>
      <c r="W170" s="17">
        <f t="shared" si="36"/>
        <v>0</v>
      </c>
      <c r="X170">
        <f>'Entrada datos'!AB80</f>
        <v>0</v>
      </c>
      <c r="Y170">
        <f>'Entrada datos'!AC80</f>
        <v>0</v>
      </c>
      <c r="Z170">
        <f>'Entrada datos'!AD80</f>
        <v>0</v>
      </c>
      <c r="AA170">
        <f>'Entrada datos'!AE80</f>
        <v>0</v>
      </c>
      <c r="AB170">
        <f>'Entrada datos'!AF80</f>
        <v>0</v>
      </c>
      <c r="AC170">
        <f>'Entrada datos'!AG80</f>
        <v>0</v>
      </c>
      <c r="AD170" s="17">
        <f t="shared" si="37"/>
        <v>0</v>
      </c>
      <c r="AE170">
        <f>'Entrada datos'!AH80</f>
        <v>0</v>
      </c>
      <c r="AF170">
        <f>'Entrada datos'!AI80</f>
        <v>0</v>
      </c>
      <c r="AG170">
        <f>'Entrada datos'!AJ80</f>
        <v>0</v>
      </c>
      <c r="AH170">
        <f>'Entrada datos'!AK80</f>
        <v>0</v>
      </c>
      <c r="AI170">
        <f>'Entrada datos'!AL80</f>
        <v>0</v>
      </c>
      <c r="AJ170">
        <f>'Entrada datos'!AM80</f>
        <v>0</v>
      </c>
      <c r="AK170" s="17">
        <f t="shared" si="38"/>
        <v>0</v>
      </c>
      <c r="AL170">
        <f>'Entrada datos'!AN80</f>
        <v>0</v>
      </c>
      <c r="AM170">
        <f>'Entrada datos'!AO80</f>
        <v>0</v>
      </c>
      <c r="AN170">
        <f>'Entrada datos'!AP80</f>
        <v>0</v>
      </c>
      <c r="AO170">
        <f>'Entrada datos'!AQ80</f>
        <v>0</v>
      </c>
      <c r="AP170">
        <f>'Entrada datos'!AR80</f>
        <v>0</v>
      </c>
      <c r="AQ170">
        <f>'Entrada datos'!AS80</f>
        <v>0</v>
      </c>
      <c r="AR170" s="17">
        <f t="shared" si="39"/>
        <v>0</v>
      </c>
      <c r="AS170" s="23">
        <f t="shared" si="40"/>
        <v>0</v>
      </c>
      <c r="AT170">
        <f t="shared" si="41"/>
        <v>1900</v>
      </c>
      <c r="AU170" s="40" t="str">
        <f t="shared" si="42"/>
        <v>enero</v>
      </c>
      <c r="AV170">
        <f t="shared" si="43"/>
        <v>0</v>
      </c>
      <c r="AW170">
        <f t="shared" si="44"/>
        <v>0</v>
      </c>
      <c r="AX170" s="24">
        <f t="shared" si="45"/>
        <v>0</v>
      </c>
      <c r="AY170" s="24">
        <f t="shared" si="46"/>
        <v>0</v>
      </c>
      <c r="AZ170" s="24">
        <f t="shared" si="47"/>
        <v>0</v>
      </c>
      <c r="BA170">
        <f t="shared" si="48"/>
        <v>0</v>
      </c>
      <c r="BB170">
        <f t="shared" si="49"/>
        <v>0</v>
      </c>
      <c r="BC170" s="24">
        <f t="shared" si="50"/>
        <v>0</v>
      </c>
      <c r="BD170">
        <f t="shared" si="51"/>
        <v>0</v>
      </c>
    </row>
    <row r="171" spans="1:56" x14ac:dyDescent="0.3">
      <c r="A171">
        <f>'Entrada datos'!A81</f>
        <v>0</v>
      </c>
      <c r="B171">
        <f>'Entrada datos'!B81</f>
        <v>0</v>
      </c>
      <c r="C171">
        <f>'Entrada datos'!C81</f>
        <v>0</v>
      </c>
      <c r="D171">
        <f>'Entrada datos'!D81</f>
        <v>0</v>
      </c>
      <c r="E171" s="18">
        <f>'Entrada datos'!G81</f>
        <v>0</v>
      </c>
      <c r="F171" s="18">
        <f>'Entrada datos'!H81</f>
        <v>0</v>
      </c>
      <c r="G171">
        <f>'Entrada datos'!J81</f>
        <v>0</v>
      </c>
      <c r="H171">
        <f>'Entrada datos'!L81</f>
        <v>0</v>
      </c>
      <c r="I171">
        <f>'Entrada datos'!O81</f>
        <v>0</v>
      </c>
      <c r="J171">
        <f>'Entrada datos'!P81</f>
        <v>0</v>
      </c>
      <c r="K171">
        <f>'Entrada datos'!Q81</f>
        <v>0</v>
      </c>
      <c r="L171">
        <f>'Entrada datos'!R81</f>
        <v>0</v>
      </c>
      <c r="M171">
        <f>'Entrada datos'!S81</f>
        <v>0</v>
      </c>
      <c r="N171">
        <f>'Entrada datos'!T81</f>
        <v>0</v>
      </c>
      <c r="O171">
        <f>'Entrada datos'!U81</f>
        <v>0</v>
      </c>
      <c r="P171" s="17">
        <f t="shared" si="35"/>
        <v>0</v>
      </c>
      <c r="Q171">
        <f>'Entrada datos'!V81</f>
        <v>0</v>
      </c>
      <c r="R171">
        <f>'Entrada datos'!W81</f>
        <v>0</v>
      </c>
      <c r="S171">
        <f>'Entrada datos'!X81</f>
        <v>0</v>
      </c>
      <c r="T171">
        <f>'Entrada datos'!Y81</f>
        <v>0</v>
      </c>
      <c r="U171">
        <f>'Entrada datos'!Z81</f>
        <v>0</v>
      </c>
      <c r="V171">
        <f>'Entrada datos'!AA81</f>
        <v>0</v>
      </c>
      <c r="W171" s="17">
        <f t="shared" si="36"/>
        <v>0</v>
      </c>
      <c r="X171">
        <f>'Entrada datos'!AB81</f>
        <v>0</v>
      </c>
      <c r="Y171">
        <f>'Entrada datos'!AC81</f>
        <v>0</v>
      </c>
      <c r="Z171">
        <f>'Entrada datos'!AD81</f>
        <v>0</v>
      </c>
      <c r="AA171">
        <f>'Entrada datos'!AE81</f>
        <v>0</v>
      </c>
      <c r="AB171">
        <f>'Entrada datos'!AF81</f>
        <v>0</v>
      </c>
      <c r="AC171">
        <f>'Entrada datos'!AG81</f>
        <v>0</v>
      </c>
      <c r="AD171" s="17">
        <f t="shared" si="37"/>
        <v>0</v>
      </c>
      <c r="AE171">
        <f>'Entrada datos'!AH81</f>
        <v>0</v>
      </c>
      <c r="AF171">
        <f>'Entrada datos'!AI81</f>
        <v>0</v>
      </c>
      <c r="AG171">
        <f>'Entrada datos'!AJ81</f>
        <v>0</v>
      </c>
      <c r="AH171">
        <f>'Entrada datos'!AK81</f>
        <v>0</v>
      </c>
      <c r="AI171">
        <f>'Entrada datos'!AL81</f>
        <v>0</v>
      </c>
      <c r="AJ171">
        <f>'Entrada datos'!AM81</f>
        <v>0</v>
      </c>
      <c r="AK171" s="17">
        <f t="shared" si="38"/>
        <v>0</v>
      </c>
      <c r="AL171">
        <f>'Entrada datos'!AN81</f>
        <v>0</v>
      </c>
      <c r="AM171">
        <f>'Entrada datos'!AO81</f>
        <v>0</v>
      </c>
      <c r="AN171">
        <f>'Entrada datos'!AP81</f>
        <v>0</v>
      </c>
      <c r="AO171">
        <f>'Entrada datos'!AQ81</f>
        <v>0</v>
      </c>
      <c r="AP171">
        <f>'Entrada datos'!AR81</f>
        <v>0</v>
      </c>
      <c r="AQ171">
        <f>'Entrada datos'!AS81</f>
        <v>0</v>
      </c>
      <c r="AR171" s="17">
        <f t="shared" si="39"/>
        <v>0</v>
      </c>
      <c r="AS171" s="23">
        <f t="shared" si="40"/>
        <v>0</v>
      </c>
      <c r="AT171">
        <f t="shared" si="41"/>
        <v>1900</v>
      </c>
      <c r="AU171" s="40" t="str">
        <f t="shared" si="42"/>
        <v>enero</v>
      </c>
      <c r="AV171">
        <f t="shared" si="43"/>
        <v>0</v>
      </c>
      <c r="AW171">
        <f t="shared" si="44"/>
        <v>0</v>
      </c>
      <c r="AX171" s="24">
        <f t="shared" si="45"/>
        <v>0</v>
      </c>
      <c r="AY171" s="24">
        <f t="shared" si="46"/>
        <v>0</v>
      </c>
      <c r="AZ171" s="24">
        <f t="shared" si="47"/>
        <v>0</v>
      </c>
      <c r="BA171">
        <f t="shared" si="48"/>
        <v>0</v>
      </c>
      <c r="BB171">
        <f t="shared" si="49"/>
        <v>0</v>
      </c>
      <c r="BC171" s="24">
        <f t="shared" si="50"/>
        <v>0</v>
      </c>
      <c r="BD171">
        <f t="shared" si="51"/>
        <v>0</v>
      </c>
    </row>
    <row r="172" spans="1:56" x14ac:dyDescent="0.3">
      <c r="A172">
        <f>'Entrada datos'!A82</f>
        <v>0</v>
      </c>
      <c r="B172">
        <f>'Entrada datos'!B82</f>
        <v>0</v>
      </c>
      <c r="C172">
        <f>'Entrada datos'!C82</f>
        <v>0</v>
      </c>
      <c r="D172">
        <f>'Entrada datos'!D82</f>
        <v>0</v>
      </c>
      <c r="E172" s="18">
        <f>'Entrada datos'!G82</f>
        <v>0</v>
      </c>
      <c r="F172" s="18">
        <f>'Entrada datos'!H82</f>
        <v>0</v>
      </c>
      <c r="G172">
        <f>'Entrada datos'!J82</f>
        <v>0</v>
      </c>
      <c r="H172">
        <f>'Entrada datos'!L82</f>
        <v>0</v>
      </c>
      <c r="I172">
        <f>'Entrada datos'!O82</f>
        <v>0</v>
      </c>
      <c r="J172">
        <f>'Entrada datos'!P82</f>
        <v>0</v>
      </c>
      <c r="K172">
        <f>'Entrada datos'!Q82</f>
        <v>0</v>
      </c>
      <c r="L172">
        <f>'Entrada datos'!R82</f>
        <v>0</v>
      </c>
      <c r="M172">
        <f>'Entrada datos'!S82</f>
        <v>0</v>
      </c>
      <c r="N172">
        <f>'Entrada datos'!T82</f>
        <v>0</v>
      </c>
      <c r="O172">
        <f>'Entrada datos'!U82</f>
        <v>0</v>
      </c>
      <c r="P172" s="17">
        <f t="shared" si="35"/>
        <v>0</v>
      </c>
      <c r="Q172">
        <f>'Entrada datos'!V82</f>
        <v>0</v>
      </c>
      <c r="R172">
        <f>'Entrada datos'!W82</f>
        <v>0</v>
      </c>
      <c r="S172">
        <f>'Entrada datos'!X82</f>
        <v>0</v>
      </c>
      <c r="T172">
        <f>'Entrada datos'!Y82</f>
        <v>0</v>
      </c>
      <c r="U172">
        <f>'Entrada datos'!Z82</f>
        <v>0</v>
      </c>
      <c r="V172">
        <f>'Entrada datos'!AA82</f>
        <v>0</v>
      </c>
      <c r="W172" s="17">
        <f t="shared" si="36"/>
        <v>0</v>
      </c>
      <c r="X172">
        <f>'Entrada datos'!AB82</f>
        <v>0</v>
      </c>
      <c r="Y172">
        <f>'Entrada datos'!AC82</f>
        <v>0</v>
      </c>
      <c r="Z172">
        <f>'Entrada datos'!AD82</f>
        <v>0</v>
      </c>
      <c r="AA172">
        <f>'Entrada datos'!AE82</f>
        <v>0</v>
      </c>
      <c r="AB172">
        <f>'Entrada datos'!AF82</f>
        <v>0</v>
      </c>
      <c r="AC172">
        <f>'Entrada datos'!AG82</f>
        <v>0</v>
      </c>
      <c r="AD172" s="17">
        <f t="shared" si="37"/>
        <v>0</v>
      </c>
      <c r="AE172">
        <f>'Entrada datos'!AH82</f>
        <v>0</v>
      </c>
      <c r="AF172">
        <f>'Entrada datos'!AI82</f>
        <v>0</v>
      </c>
      <c r="AG172">
        <f>'Entrada datos'!AJ82</f>
        <v>0</v>
      </c>
      <c r="AH172">
        <f>'Entrada datos'!AK82</f>
        <v>0</v>
      </c>
      <c r="AI172">
        <f>'Entrada datos'!AL82</f>
        <v>0</v>
      </c>
      <c r="AJ172">
        <f>'Entrada datos'!AM82</f>
        <v>0</v>
      </c>
      <c r="AK172" s="17">
        <f t="shared" si="38"/>
        <v>0</v>
      </c>
      <c r="AL172">
        <f>'Entrada datos'!AN82</f>
        <v>0</v>
      </c>
      <c r="AM172">
        <f>'Entrada datos'!AO82</f>
        <v>0</v>
      </c>
      <c r="AN172">
        <f>'Entrada datos'!AP82</f>
        <v>0</v>
      </c>
      <c r="AO172">
        <f>'Entrada datos'!AQ82</f>
        <v>0</v>
      </c>
      <c r="AP172">
        <f>'Entrada datos'!AR82</f>
        <v>0</v>
      </c>
      <c r="AQ172">
        <f>'Entrada datos'!AS82</f>
        <v>0</v>
      </c>
      <c r="AR172" s="17">
        <f t="shared" si="39"/>
        <v>0</v>
      </c>
      <c r="AS172" s="23">
        <f t="shared" si="40"/>
        <v>0</v>
      </c>
      <c r="AT172">
        <f t="shared" si="41"/>
        <v>1900</v>
      </c>
      <c r="AU172" s="40" t="str">
        <f t="shared" si="42"/>
        <v>enero</v>
      </c>
      <c r="AV172">
        <f t="shared" si="43"/>
        <v>0</v>
      </c>
      <c r="AW172">
        <f t="shared" si="44"/>
        <v>0</v>
      </c>
      <c r="AX172" s="24">
        <f t="shared" si="45"/>
        <v>0</v>
      </c>
      <c r="AY172" s="24">
        <f t="shared" si="46"/>
        <v>0</v>
      </c>
      <c r="AZ172" s="24">
        <f t="shared" si="47"/>
        <v>0</v>
      </c>
      <c r="BA172">
        <f t="shared" si="48"/>
        <v>0</v>
      </c>
      <c r="BB172">
        <f t="shared" si="49"/>
        <v>0</v>
      </c>
      <c r="BC172" s="24">
        <f t="shared" si="50"/>
        <v>0</v>
      </c>
      <c r="BD172">
        <f t="shared" si="51"/>
        <v>0</v>
      </c>
    </row>
    <row r="173" spans="1:56" x14ac:dyDescent="0.3">
      <c r="A173">
        <f>'Entrada datos'!A83</f>
        <v>0</v>
      </c>
      <c r="B173">
        <f>'Entrada datos'!B83</f>
        <v>0</v>
      </c>
      <c r="C173">
        <f>'Entrada datos'!C83</f>
        <v>0</v>
      </c>
      <c r="D173">
        <f>'Entrada datos'!D83</f>
        <v>0</v>
      </c>
      <c r="E173" s="18">
        <f>'Entrada datos'!G83</f>
        <v>0</v>
      </c>
      <c r="F173" s="18">
        <f>'Entrada datos'!H83</f>
        <v>0</v>
      </c>
      <c r="G173">
        <f>'Entrada datos'!J83</f>
        <v>0</v>
      </c>
      <c r="H173">
        <f>'Entrada datos'!L83</f>
        <v>0</v>
      </c>
      <c r="I173">
        <f>'Entrada datos'!O83</f>
        <v>0</v>
      </c>
      <c r="J173">
        <f>'Entrada datos'!P83</f>
        <v>0</v>
      </c>
      <c r="K173">
        <f>'Entrada datos'!Q83</f>
        <v>0</v>
      </c>
      <c r="L173">
        <f>'Entrada datos'!R83</f>
        <v>0</v>
      </c>
      <c r="M173">
        <f>'Entrada datos'!S83</f>
        <v>0</v>
      </c>
      <c r="N173">
        <f>'Entrada datos'!T83</f>
        <v>0</v>
      </c>
      <c r="O173">
        <f>'Entrada datos'!U83</f>
        <v>0</v>
      </c>
      <c r="P173" s="17">
        <f t="shared" si="35"/>
        <v>0</v>
      </c>
      <c r="Q173">
        <f>'Entrada datos'!V83</f>
        <v>0</v>
      </c>
      <c r="R173">
        <f>'Entrada datos'!W83</f>
        <v>0</v>
      </c>
      <c r="S173">
        <f>'Entrada datos'!X83</f>
        <v>0</v>
      </c>
      <c r="T173">
        <f>'Entrada datos'!Y83</f>
        <v>0</v>
      </c>
      <c r="U173">
        <f>'Entrada datos'!Z83</f>
        <v>0</v>
      </c>
      <c r="V173">
        <f>'Entrada datos'!AA83</f>
        <v>0</v>
      </c>
      <c r="W173" s="17">
        <f t="shared" si="36"/>
        <v>0</v>
      </c>
      <c r="X173">
        <f>'Entrada datos'!AB83</f>
        <v>0</v>
      </c>
      <c r="Y173">
        <f>'Entrada datos'!AC83</f>
        <v>0</v>
      </c>
      <c r="Z173">
        <f>'Entrada datos'!AD83</f>
        <v>0</v>
      </c>
      <c r="AA173">
        <f>'Entrada datos'!AE83</f>
        <v>0</v>
      </c>
      <c r="AB173">
        <f>'Entrada datos'!AF83</f>
        <v>0</v>
      </c>
      <c r="AC173">
        <f>'Entrada datos'!AG83</f>
        <v>0</v>
      </c>
      <c r="AD173" s="17">
        <f t="shared" si="37"/>
        <v>0</v>
      </c>
      <c r="AE173">
        <f>'Entrada datos'!AH83</f>
        <v>0</v>
      </c>
      <c r="AF173">
        <f>'Entrada datos'!AI83</f>
        <v>0</v>
      </c>
      <c r="AG173">
        <f>'Entrada datos'!AJ83</f>
        <v>0</v>
      </c>
      <c r="AH173">
        <f>'Entrada datos'!AK83</f>
        <v>0</v>
      </c>
      <c r="AI173">
        <f>'Entrada datos'!AL83</f>
        <v>0</v>
      </c>
      <c r="AJ173">
        <f>'Entrada datos'!AM83</f>
        <v>0</v>
      </c>
      <c r="AK173" s="17">
        <f t="shared" si="38"/>
        <v>0</v>
      </c>
      <c r="AL173">
        <f>'Entrada datos'!AN83</f>
        <v>0</v>
      </c>
      <c r="AM173">
        <f>'Entrada datos'!AO83</f>
        <v>0</v>
      </c>
      <c r="AN173">
        <f>'Entrada datos'!AP83</f>
        <v>0</v>
      </c>
      <c r="AO173">
        <f>'Entrada datos'!AQ83</f>
        <v>0</v>
      </c>
      <c r="AP173">
        <f>'Entrada datos'!AR83</f>
        <v>0</v>
      </c>
      <c r="AQ173">
        <f>'Entrada datos'!AS83</f>
        <v>0</v>
      </c>
      <c r="AR173" s="17">
        <f t="shared" si="39"/>
        <v>0</v>
      </c>
      <c r="AS173" s="23">
        <f t="shared" si="40"/>
        <v>0</v>
      </c>
      <c r="AT173">
        <f t="shared" si="41"/>
        <v>1900</v>
      </c>
      <c r="AU173" s="40" t="str">
        <f t="shared" si="42"/>
        <v>enero</v>
      </c>
      <c r="AV173">
        <f t="shared" si="43"/>
        <v>0</v>
      </c>
      <c r="AW173">
        <f t="shared" si="44"/>
        <v>0</v>
      </c>
      <c r="AX173" s="24">
        <f t="shared" si="45"/>
        <v>0</v>
      </c>
      <c r="AY173" s="24">
        <f t="shared" si="46"/>
        <v>0</v>
      </c>
      <c r="AZ173" s="24">
        <f t="shared" si="47"/>
        <v>0</v>
      </c>
      <c r="BA173">
        <f t="shared" si="48"/>
        <v>0</v>
      </c>
      <c r="BB173">
        <f t="shared" si="49"/>
        <v>0</v>
      </c>
      <c r="BC173" s="24">
        <f t="shared" si="50"/>
        <v>0</v>
      </c>
      <c r="BD173">
        <f t="shared" si="51"/>
        <v>0</v>
      </c>
    </row>
    <row r="174" spans="1:56" x14ac:dyDescent="0.3">
      <c r="A174">
        <f>'Entrada datos'!A84</f>
        <v>0</v>
      </c>
      <c r="B174">
        <f>'Entrada datos'!B84</f>
        <v>0</v>
      </c>
      <c r="C174">
        <f>'Entrada datos'!C84</f>
        <v>0</v>
      </c>
      <c r="D174">
        <f>'Entrada datos'!D84</f>
        <v>0</v>
      </c>
      <c r="E174" s="18">
        <f>'Entrada datos'!G84</f>
        <v>0</v>
      </c>
      <c r="F174" s="18">
        <f>'Entrada datos'!H84</f>
        <v>0</v>
      </c>
      <c r="G174">
        <f>'Entrada datos'!J84</f>
        <v>0</v>
      </c>
      <c r="H174">
        <f>'Entrada datos'!L84</f>
        <v>0</v>
      </c>
      <c r="I174">
        <f>'Entrada datos'!O84</f>
        <v>0</v>
      </c>
      <c r="J174">
        <f>'Entrada datos'!P84</f>
        <v>0</v>
      </c>
      <c r="K174">
        <f>'Entrada datos'!Q84</f>
        <v>0</v>
      </c>
      <c r="L174">
        <f>'Entrada datos'!R84</f>
        <v>0</v>
      </c>
      <c r="M174">
        <f>'Entrada datos'!S84</f>
        <v>0</v>
      </c>
      <c r="N174">
        <f>'Entrada datos'!T84</f>
        <v>0</v>
      </c>
      <c r="O174">
        <f>'Entrada datos'!U84</f>
        <v>0</v>
      </c>
      <c r="P174" s="17">
        <f t="shared" si="35"/>
        <v>0</v>
      </c>
      <c r="Q174">
        <f>'Entrada datos'!V84</f>
        <v>0</v>
      </c>
      <c r="R174">
        <f>'Entrada datos'!W84</f>
        <v>0</v>
      </c>
      <c r="S174">
        <f>'Entrada datos'!X84</f>
        <v>0</v>
      </c>
      <c r="T174">
        <f>'Entrada datos'!Y84</f>
        <v>0</v>
      </c>
      <c r="U174">
        <f>'Entrada datos'!Z84</f>
        <v>0</v>
      </c>
      <c r="V174">
        <f>'Entrada datos'!AA84</f>
        <v>0</v>
      </c>
      <c r="W174" s="17">
        <f t="shared" si="36"/>
        <v>0</v>
      </c>
      <c r="X174">
        <f>'Entrada datos'!AB84</f>
        <v>0</v>
      </c>
      <c r="Y174">
        <f>'Entrada datos'!AC84</f>
        <v>0</v>
      </c>
      <c r="Z174">
        <f>'Entrada datos'!AD84</f>
        <v>0</v>
      </c>
      <c r="AA174">
        <f>'Entrada datos'!AE84</f>
        <v>0</v>
      </c>
      <c r="AB174">
        <f>'Entrada datos'!AF84</f>
        <v>0</v>
      </c>
      <c r="AC174">
        <f>'Entrada datos'!AG84</f>
        <v>0</v>
      </c>
      <c r="AD174" s="17">
        <f t="shared" si="37"/>
        <v>0</v>
      </c>
      <c r="AE174">
        <f>'Entrada datos'!AH84</f>
        <v>0</v>
      </c>
      <c r="AF174">
        <f>'Entrada datos'!AI84</f>
        <v>0</v>
      </c>
      <c r="AG174">
        <f>'Entrada datos'!AJ84</f>
        <v>0</v>
      </c>
      <c r="AH174">
        <f>'Entrada datos'!AK84</f>
        <v>0</v>
      </c>
      <c r="AI174">
        <f>'Entrada datos'!AL84</f>
        <v>0</v>
      </c>
      <c r="AJ174">
        <f>'Entrada datos'!AM84</f>
        <v>0</v>
      </c>
      <c r="AK174" s="17">
        <f t="shared" si="38"/>
        <v>0</v>
      </c>
      <c r="AL174">
        <f>'Entrada datos'!AN84</f>
        <v>0</v>
      </c>
      <c r="AM174">
        <f>'Entrada datos'!AO84</f>
        <v>0</v>
      </c>
      <c r="AN174">
        <f>'Entrada datos'!AP84</f>
        <v>0</v>
      </c>
      <c r="AO174">
        <f>'Entrada datos'!AQ84</f>
        <v>0</v>
      </c>
      <c r="AP174">
        <f>'Entrada datos'!AR84</f>
        <v>0</v>
      </c>
      <c r="AQ174">
        <f>'Entrada datos'!AS84</f>
        <v>0</v>
      </c>
      <c r="AR174" s="17">
        <f t="shared" si="39"/>
        <v>0</v>
      </c>
      <c r="AS174" s="23">
        <f t="shared" si="40"/>
        <v>0</v>
      </c>
      <c r="AT174">
        <f t="shared" si="41"/>
        <v>1900</v>
      </c>
      <c r="AU174" s="40" t="str">
        <f t="shared" si="42"/>
        <v>enero</v>
      </c>
      <c r="AV174">
        <f t="shared" si="43"/>
        <v>0</v>
      </c>
      <c r="AW174">
        <f t="shared" si="44"/>
        <v>0</v>
      </c>
      <c r="AX174" s="24">
        <f t="shared" si="45"/>
        <v>0</v>
      </c>
      <c r="AY174" s="24">
        <f t="shared" si="46"/>
        <v>0</v>
      </c>
      <c r="AZ174" s="24">
        <f t="shared" si="47"/>
        <v>0</v>
      </c>
      <c r="BA174">
        <f t="shared" si="48"/>
        <v>0</v>
      </c>
      <c r="BB174">
        <f t="shared" si="49"/>
        <v>0</v>
      </c>
      <c r="BC174" s="24">
        <f t="shared" si="50"/>
        <v>0</v>
      </c>
      <c r="BD174">
        <f t="shared" si="51"/>
        <v>0</v>
      </c>
    </row>
    <row r="175" spans="1:56" x14ac:dyDescent="0.3">
      <c r="A175">
        <f>'Entrada datos'!A85</f>
        <v>0</v>
      </c>
      <c r="B175">
        <f>'Entrada datos'!B85</f>
        <v>0</v>
      </c>
      <c r="C175">
        <f>'Entrada datos'!C85</f>
        <v>0</v>
      </c>
      <c r="D175">
        <f>'Entrada datos'!D85</f>
        <v>0</v>
      </c>
      <c r="E175" s="18">
        <f>'Entrada datos'!G85</f>
        <v>0</v>
      </c>
      <c r="F175" s="18">
        <f>'Entrada datos'!H85</f>
        <v>0</v>
      </c>
      <c r="G175">
        <f>'Entrada datos'!J85</f>
        <v>0</v>
      </c>
      <c r="H175">
        <f>'Entrada datos'!L85</f>
        <v>0</v>
      </c>
      <c r="I175">
        <f>'Entrada datos'!O85</f>
        <v>0</v>
      </c>
      <c r="J175">
        <f>'Entrada datos'!P85</f>
        <v>0</v>
      </c>
      <c r="K175">
        <f>'Entrada datos'!Q85</f>
        <v>0</v>
      </c>
      <c r="L175">
        <f>'Entrada datos'!R85</f>
        <v>0</v>
      </c>
      <c r="M175">
        <f>'Entrada datos'!S85</f>
        <v>0</v>
      </c>
      <c r="N175">
        <f>'Entrada datos'!T85</f>
        <v>0</v>
      </c>
      <c r="O175">
        <f>'Entrada datos'!U85</f>
        <v>0</v>
      </c>
      <c r="P175" s="17">
        <f t="shared" si="35"/>
        <v>0</v>
      </c>
      <c r="Q175">
        <f>'Entrada datos'!V85</f>
        <v>0</v>
      </c>
      <c r="R175">
        <f>'Entrada datos'!W85</f>
        <v>0</v>
      </c>
      <c r="S175">
        <f>'Entrada datos'!X85</f>
        <v>0</v>
      </c>
      <c r="T175">
        <f>'Entrada datos'!Y85</f>
        <v>0</v>
      </c>
      <c r="U175">
        <f>'Entrada datos'!Z85</f>
        <v>0</v>
      </c>
      <c r="V175">
        <f>'Entrada datos'!AA85</f>
        <v>0</v>
      </c>
      <c r="W175" s="17">
        <f t="shared" si="36"/>
        <v>0</v>
      </c>
      <c r="X175">
        <f>'Entrada datos'!AB85</f>
        <v>0</v>
      </c>
      <c r="Y175">
        <f>'Entrada datos'!AC85</f>
        <v>0</v>
      </c>
      <c r="Z175">
        <f>'Entrada datos'!AD85</f>
        <v>0</v>
      </c>
      <c r="AA175">
        <f>'Entrada datos'!AE85</f>
        <v>0</v>
      </c>
      <c r="AB175">
        <f>'Entrada datos'!AF85</f>
        <v>0</v>
      </c>
      <c r="AC175">
        <f>'Entrada datos'!AG85</f>
        <v>0</v>
      </c>
      <c r="AD175" s="17">
        <f t="shared" si="37"/>
        <v>0</v>
      </c>
      <c r="AE175">
        <f>'Entrada datos'!AH85</f>
        <v>0</v>
      </c>
      <c r="AF175">
        <f>'Entrada datos'!AI85</f>
        <v>0</v>
      </c>
      <c r="AG175">
        <f>'Entrada datos'!AJ85</f>
        <v>0</v>
      </c>
      <c r="AH175">
        <f>'Entrada datos'!AK85</f>
        <v>0</v>
      </c>
      <c r="AI175">
        <f>'Entrada datos'!AL85</f>
        <v>0</v>
      </c>
      <c r="AJ175">
        <f>'Entrada datos'!AM85</f>
        <v>0</v>
      </c>
      <c r="AK175" s="17">
        <f t="shared" si="38"/>
        <v>0</v>
      </c>
      <c r="AL175">
        <f>'Entrada datos'!AN85</f>
        <v>0</v>
      </c>
      <c r="AM175">
        <f>'Entrada datos'!AO85</f>
        <v>0</v>
      </c>
      <c r="AN175">
        <f>'Entrada datos'!AP85</f>
        <v>0</v>
      </c>
      <c r="AO175">
        <f>'Entrada datos'!AQ85</f>
        <v>0</v>
      </c>
      <c r="AP175">
        <f>'Entrada datos'!AR85</f>
        <v>0</v>
      </c>
      <c r="AQ175">
        <f>'Entrada datos'!AS85</f>
        <v>0</v>
      </c>
      <c r="AR175" s="17">
        <f t="shared" si="39"/>
        <v>0</v>
      </c>
      <c r="AS175" s="23">
        <f t="shared" si="40"/>
        <v>0</v>
      </c>
      <c r="AT175">
        <f t="shared" si="41"/>
        <v>1900</v>
      </c>
      <c r="AU175" s="40" t="str">
        <f t="shared" si="42"/>
        <v>enero</v>
      </c>
      <c r="AV175">
        <f t="shared" si="43"/>
        <v>0</v>
      </c>
      <c r="AW175">
        <f t="shared" si="44"/>
        <v>0</v>
      </c>
      <c r="AX175" s="24">
        <f t="shared" si="45"/>
        <v>0</v>
      </c>
      <c r="AY175" s="24">
        <f t="shared" si="46"/>
        <v>0</v>
      </c>
      <c r="AZ175" s="24">
        <f t="shared" si="47"/>
        <v>0</v>
      </c>
      <c r="BA175">
        <f t="shared" si="48"/>
        <v>0</v>
      </c>
      <c r="BB175">
        <f t="shared" si="49"/>
        <v>0</v>
      </c>
      <c r="BC175" s="24">
        <f t="shared" si="50"/>
        <v>0</v>
      </c>
      <c r="BD175">
        <f t="shared" si="51"/>
        <v>0</v>
      </c>
    </row>
    <row r="176" spans="1:56" x14ac:dyDescent="0.3">
      <c r="A176">
        <f>'Entrada datos'!A86</f>
        <v>0</v>
      </c>
      <c r="B176">
        <f>'Entrada datos'!B86</f>
        <v>0</v>
      </c>
      <c r="C176">
        <f>'Entrada datos'!C86</f>
        <v>0</v>
      </c>
      <c r="D176">
        <f>'Entrada datos'!D86</f>
        <v>0</v>
      </c>
      <c r="E176" s="18">
        <f>'Entrada datos'!G86</f>
        <v>0</v>
      </c>
      <c r="F176" s="18">
        <f>'Entrada datos'!H86</f>
        <v>0</v>
      </c>
      <c r="G176">
        <f>'Entrada datos'!J86</f>
        <v>0</v>
      </c>
      <c r="H176">
        <f>'Entrada datos'!L86</f>
        <v>0</v>
      </c>
      <c r="I176">
        <f>'Entrada datos'!O86</f>
        <v>0</v>
      </c>
      <c r="J176">
        <f>'Entrada datos'!P86</f>
        <v>0</v>
      </c>
      <c r="K176">
        <f>'Entrada datos'!Q86</f>
        <v>0</v>
      </c>
      <c r="L176">
        <f>'Entrada datos'!R86</f>
        <v>0</v>
      </c>
      <c r="M176">
        <f>'Entrada datos'!S86</f>
        <v>0</v>
      </c>
      <c r="N176">
        <f>'Entrada datos'!T86</f>
        <v>0</v>
      </c>
      <c r="O176">
        <f>'Entrada datos'!U86</f>
        <v>0</v>
      </c>
      <c r="P176" s="17">
        <f t="shared" si="35"/>
        <v>0</v>
      </c>
      <c r="Q176">
        <f>'Entrada datos'!V86</f>
        <v>0</v>
      </c>
      <c r="R176">
        <f>'Entrada datos'!W86</f>
        <v>0</v>
      </c>
      <c r="S176">
        <f>'Entrada datos'!X86</f>
        <v>0</v>
      </c>
      <c r="T176">
        <f>'Entrada datos'!Y86</f>
        <v>0</v>
      </c>
      <c r="U176">
        <f>'Entrada datos'!Z86</f>
        <v>0</v>
      </c>
      <c r="V176">
        <f>'Entrada datos'!AA86</f>
        <v>0</v>
      </c>
      <c r="W176" s="17">
        <f t="shared" si="36"/>
        <v>0</v>
      </c>
      <c r="X176">
        <f>'Entrada datos'!AB86</f>
        <v>0</v>
      </c>
      <c r="Y176">
        <f>'Entrada datos'!AC86</f>
        <v>0</v>
      </c>
      <c r="Z176">
        <f>'Entrada datos'!AD86</f>
        <v>0</v>
      </c>
      <c r="AA176">
        <f>'Entrada datos'!AE86</f>
        <v>0</v>
      </c>
      <c r="AB176">
        <f>'Entrada datos'!AF86</f>
        <v>0</v>
      </c>
      <c r="AC176">
        <f>'Entrada datos'!AG86</f>
        <v>0</v>
      </c>
      <c r="AD176" s="17">
        <f t="shared" si="37"/>
        <v>0</v>
      </c>
      <c r="AE176">
        <f>'Entrada datos'!AH86</f>
        <v>0</v>
      </c>
      <c r="AF176">
        <f>'Entrada datos'!AI86</f>
        <v>0</v>
      </c>
      <c r="AG176">
        <f>'Entrada datos'!AJ86</f>
        <v>0</v>
      </c>
      <c r="AH176">
        <f>'Entrada datos'!AK86</f>
        <v>0</v>
      </c>
      <c r="AI176">
        <f>'Entrada datos'!AL86</f>
        <v>0</v>
      </c>
      <c r="AJ176">
        <f>'Entrada datos'!AM86</f>
        <v>0</v>
      </c>
      <c r="AK176" s="17">
        <f t="shared" si="38"/>
        <v>0</v>
      </c>
      <c r="AL176">
        <f>'Entrada datos'!AN86</f>
        <v>0</v>
      </c>
      <c r="AM176">
        <f>'Entrada datos'!AO86</f>
        <v>0</v>
      </c>
      <c r="AN176">
        <f>'Entrada datos'!AP86</f>
        <v>0</v>
      </c>
      <c r="AO176">
        <f>'Entrada datos'!AQ86</f>
        <v>0</v>
      </c>
      <c r="AP176">
        <f>'Entrada datos'!AR86</f>
        <v>0</v>
      </c>
      <c r="AQ176">
        <f>'Entrada datos'!AS86</f>
        <v>0</v>
      </c>
      <c r="AR176" s="17">
        <f t="shared" si="39"/>
        <v>0</v>
      </c>
      <c r="AS176" s="23">
        <f t="shared" si="40"/>
        <v>0</v>
      </c>
      <c r="AT176">
        <f t="shared" si="41"/>
        <v>1900</v>
      </c>
      <c r="AU176" s="40" t="str">
        <f t="shared" si="42"/>
        <v>enero</v>
      </c>
      <c r="AV176">
        <f t="shared" si="43"/>
        <v>0</v>
      </c>
      <c r="AW176">
        <f t="shared" si="44"/>
        <v>0</v>
      </c>
      <c r="AX176" s="24">
        <f t="shared" si="45"/>
        <v>0</v>
      </c>
      <c r="AY176" s="24">
        <f t="shared" si="46"/>
        <v>0</v>
      </c>
      <c r="AZ176" s="24">
        <f t="shared" si="47"/>
        <v>0</v>
      </c>
      <c r="BA176">
        <f t="shared" si="48"/>
        <v>0</v>
      </c>
      <c r="BB176">
        <f t="shared" si="49"/>
        <v>0</v>
      </c>
      <c r="BC176" s="24">
        <f t="shared" si="50"/>
        <v>0</v>
      </c>
      <c r="BD176">
        <f t="shared" si="51"/>
        <v>0</v>
      </c>
    </row>
    <row r="177" spans="1:56" x14ac:dyDescent="0.3">
      <c r="A177">
        <f>'Entrada datos'!A87</f>
        <v>0</v>
      </c>
      <c r="B177">
        <f>'Entrada datos'!B87</f>
        <v>0</v>
      </c>
      <c r="C177">
        <f>'Entrada datos'!C87</f>
        <v>0</v>
      </c>
      <c r="D177">
        <f>'Entrada datos'!D87</f>
        <v>0</v>
      </c>
      <c r="E177" s="18">
        <f>'Entrada datos'!G87</f>
        <v>0</v>
      </c>
      <c r="F177" s="18">
        <f>'Entrada datos'!H87</f>
        <v>0</v>
      </c>
      <c r="G177">
        <f>'Entrada datos'!J87</f>
        <v>0</v>
      </c>
      <c r="H177">
        <f>'Entrada datos'!L87</f>
        <v>0</v>
      </c>
      <c r="I177">
        <f>'Entrada datos'!O87</f>
        <v>0</v>
      </c>
      <c r="J177">
        <f>'Entrada datos'!P87</f>
        <v>0</v>
      </c>
      <c r="K177">
        <f>'Entrada datos'!Q87</f>
        <v>0</v>
      </c>
      <c r="L177">
        <f>'Entrada datos'!R87</f>
        <v>0</v>
      </c>
      <c r="M177">
        <f>'Entrada datos'!S87</f>
        <v>0</v>
      </c>
      <c r="N177">
        <f>'Entrada datos'!T87</f>
        <v>0</v>
      </c>
      <c r="O177">
        <f>'Entrada datos'!U87</f>
        <v>0</v>
      </c>
      <c r="P177" s="17">
        <f t="shared" si="35"/>
        <v>0</v>
      </c>
      <c r="Q177">
        <f>'Entrada datos'!V87</f>
        <v>0</v>
      </c>
      <c r="R177">
        <f>'Entrada datos'!W87</f>
        <v>0</v>
      </c>
      <c r="S177">
        <f>'Entrada datos'!X87</f>
        <v>0</v>
      </c>
      <c r="T177">
        <f>'Entrada datos'!Y87</f>
        <v>0</v>
      </c>
      <c r="U177">
        <f>'Entrada datos'!Z87</f>
        <v>0</v>
      </c>
      <c r="V177">
        <f>'Entrada datos'!AA87</f>
        <v>0</v>
      </c>
      <c r="W177" s="17">
        <f t="shared" si="36"/>
        <v>0</v>
      </c>
      <c r="X177">
        <f>'Entrada datos'!AB87</f>
        <v>0</v>
      </c>
      <c r="Y177">
        <f>'Entrada datos'!AC87</f>
        <v>0</v>
      </c>
      <c r="Z177">
        <f>'Entrada datos'!AD87</f>
        <v>0</v>
      </c>
      <c r="AA177">
        <f>'Entrada datos'!AE87</f>
        <v>0</v>
      </c>
      <c r="AB177">
        <f>'Entrada datos'!AF87</f>
        <v>0</v>
      </c>
      <c r="AC177">
        <f>'Entrada datos'!AG87</f>
        <v>0</v>
      </c>
      <c r="AD177" s="17">
        <f t="shared" si="37"/>
        <v>0</v>
      </c>
      <c r="AE177">
        <f>'Entrada datos'!AH87</f>
        <v>0</v>
      </c>
      <c r="AF177">
        <f>'Entrada datos'!AI87</f>
        <v>0</v>
      </c>
      <c r="AG177">
        <f>'Entrada datos'!AJ87</f>
        <v>0</v>
      </c>
      <c r="AH177">
        <f>'Entrada datos'!AK87</f>
        <v>0</v>
      </c>
      <c r="AI177">
        <f>'Entrada datos'!AL87</f>
        <v>0</v>
      </c>
      <c r="AJ177">
        <f>'Entrada datos'!AM87</f>
        <v>0</v>
      </c>
      <c r="AK177" s="17">
        <f t="shared" si="38"/>
        <v>0</v>
      </c>
      <c r="AL177">
        <f>'Entrada datos'!AN87</f>
        <v>0</v>
      </c>
      <c r="AM177">
        <f>'Entrada datos'!AO87</f>
        <v>0</v>
      </c>
      <c r="AN177">
        <f>'Entrada datos'!AP87</f>
        <v>0</v>
      </c>
      <c r="AO177">
        <f>'Entrada datos'!AQ87</f>
        <v>0</v>
      </c>
      <c r="AP177">
        <f>'Entrada datos'!AR87</f>
        <v>0</v>
      </c>
      <c r="AQ177">
        <f>'Entrada datos'!AS87</f>
        <v>0</v>
      </c>
      <c r="AR177" s="17">
        <f t="shared" si="39"/>
        <v>0</v>
      </c>
      <c r="AS177" s="23">
        <f t="shared" si="40"/>
        <v>0</v>
      </c>
      <c r="AT177">
        <f t="shared" si="41"/>
        <v>1900</v>
      </c>
      <c r="AU177" s="40" t="str">
        <f t="shared" si="42"/>
        <v>enero</v>
      </c>
      <c r="AV177">
        <f t="shared" si="43"/>
        <v>0</v>
      </c>
      <c r="AW177">
        <f t="shared" si="44"/>
        <v>0</v>
      </c>
      <c r="AX177" s="24">
        <f t="shared" si="45"/>
        <v>0</v>
      </c>
      <c r="AY177" s="24">
        <f t="shared" si="46"/>
        <v>0</v>
      </c>
      <c r="AZ177" s="24">
        <f t="shared" si="47"/>
        <v>0</v>
      </c>
      <c r="BA177">
        <f t="shared" si="48"/>
        <v>0</v>
      </c>
      <c r="BB177">
        <f t="shared" si="49"/>
        <v>0</v>
      </c>
      <c r="BC177" s="24">
        <f t="shared" si="50"/>
        <v>0</v>
      </c>
      <c r="BD177">
        <f t="shared" si="51"/>
        <v>0</v>
      </c>
    </row>
    <row r="178" spans="1:56" x14ac:dyDescent="0.3">
      <c r="A178">
        <f>'Entrada datos'!A88</f>
        <v>0</v>
      </c>
      <c r="B178">
        <f>'Entrada datos'!B88</f>
        <v>0</v>
      </c>
      <c r="C178">
        <f>'Entrada datos'!C88</f>
        <v>0</v>
      </c>
      <c r="D178">
        <f>'Entrada datos'!D88</f>
        <v>0</v>
      </c>
      <c r="E178" s="18">
        <f>'Entrada datos'!G88</f>
        <v>0</v>
      </c>
      <c r="F178" s="18">
        <f>'Entrada datos'!H88</f>
        <v>0</v>
      </c>
      <c r="G178">
        <f>'Entrada datos'!J88</f>
        <v>0</v>
      </c>
      <c r="H178">
        <f>'Entrada datos'!L88</f>
        <v>0</v>
      </c>
      <c r="I178">
        <f>'Entrada datos'!O88</f>
        <v>0</v>
      </c>
      <c r="J178">
        <f>'Entrada datos'!P88</f>
        <v>0</v>
      </c>
      <c r="K178">
        <f>'Entrada datos'!Q88</f>
        <v>0</v>
      </c>
      <c r="L178">
        <f>'Entrada datos'!R88</f>
        <v>0</v>
      </c>
      <c r="M178">
        <f>'Entrada datos'!S88</f>
        <v>0</v>
      </c>
      <c r="N178">
        <f>'Entrada datos'!T88</f>
        <v>0</v>
      </c>
      <c r="O178">
        <f>'Entrada datos'!U88</f>
        <v>0</v>
      </c>
      <c r="P178" s="17">
        <f t="shared" si="35"/>
        <v>0</v>
      </c>
      <c r="Q178">
        <f>'Entrada datos'!V88</f>
        <v>0</v>
      </c>
      <c r="R178">
        <f>'Entrada datos'!W88</f>
        <v>0</v>
      </c>
      <c r="S178">
        <f>'Entrada datos'!X88</f>
        <v>0</v>
      </c>
      <c r="T178">
        <f>'Entrada datos'!Y88</f>
        <v>0</v>
      </c>
      <c r="U178">
        <f>'Entrada datos'!Z88</f>
        <v>0</v>
      </c>
      <c r="V178">
        <f>'Entrada datos'!AA88</f>
        <v>0</v>
      </c>
      <c r="W178" s="17">
        <f t="shared" si="36"/>
        <v>0</v>
      </c>
      <c r="X178">
        <f>'Entrada datos'!AB88</f>
        <v>0</v>
      </c>
      <c r="Y178">
        <f>'Entrada datos'!AC88</f>
        <v>0</v>
      </c>
      <c r="Z178">
        <f>'Entrada datos'!AD88</f>
        <v>0</v>
      </c>
      <c r="AA178">
        <f>'Entrada datos'!AE88</f>
        <v>0</v>
      </c>
      <c r="AB178">
        <f>'Entrada datos'!AF88</f>
        <v>0</v>
      </c>
      <c r="AC178">
        <f>'Entrada datos'!AG88</f>
        <v>0</v>
      </c>
      <c r="AD178" s="17">
        <f t="shared" si="37"/>
        <v>0</v>
      </c>
      <c r="AE178">
        <f>'Entrada datos'!AH88</f>
        <v>0</v>
      </c>
      <c r="AF178">
        <f>'Entrada datos'!AI88</f>
        <v>0</v>
      </c>
      <c r="AG178">
        <f>'Entrada datos'!AJ88</f>
        <v>0</v>
      </c>
      <c r="AH178">
        <f>'Entrada datos'!AK88</f>
        <v>0</v>
      </c>
      <c r="AI178">
        <f>'Entrada datos'!AL88</f>
        <v>0</v>
      </c>
      <c r="AJ178">
        <f>'Entrada datos'!AM88</f>
        <v>0</v>
      </c>
      <c r="AK178" s="17">
        <f t="shared" si="38"/>
        <v>0</v>
      </c>
      <c r="AL178">
        <f>'Entrada datos'!AN88</f>
        <v>0</v>
      </c>
      <c r="AM178">
        <f>'Entrada datos'!AO88</f>
        <v>0</v>
      </c>
      <c r="AN178">
        <f>'Entrada datos'!AP88</f>
        <v>0</v>
      </c>
      <c r="AO178">
        <f>'Entrada datos'!AQ88</f>
        <v>0</v>
      </c>
      <c r="AP178">
        <f>'Entrada datos'!AR88</f>
        <v>0</v>
      </c>
      <c r="AQ178">
        <f>'Entrada datos'!AS88</f>
        <v>0</v>
      </c>
      <c r="AR178" s="17">
        <f t="shared" si="39"/>
        <v>0</v>
      </c>
      <c r="AS178" s="23">
        <f t="shared" si="40"/>
        <v>0</v>
      </c>
      <c r="AT178">
        <f t="shared" si="41"/>
        <v>1900</v>
      </c>
      <c r="AU178" s="40" t="str">
        <f t="shared" si="42"/>
        <v>enero</v>
      </c>
      <c r="AV178">
        <f t="shared" si="43"/>
        <v>0</v>
      </c>
      <c r="AW178">
        <f t="shared" si="44"/>
        <v>0</v>
      </c>
      <c r="AX178" s="24">
        <f t="shared" si="45"/>
        <v>0</v>
      </c>
      <c r="AY178" s="24">
        <f t="shared" si="46"/>
        <v>0</v>
      </c>
      <c r="AZ178" s="24">
        <f t="shared" si="47"/>
        <v>0</v>
      </c>
      <c r="BA178">
        <f t="shared" si="48"/>
        <v>0</v>
      </c>
      <c r="BB178">
        <f t="shared" si="49"/>
        <v>0</v>
      </c>
      <c r="BC178" s="24">
        <f t="shared" si="50"/>
        <v>0</v>
      </c>
      <c r="BD178">
        <f t="shared" si="51"/>
        <v>0</v>
      </c>
    </row>
    <row r="179" spans="1:56" x14ac:dyDescent="0.3">
      <c r="A179">
        <f>'Entrada datos'!A89</f>
        <v>0</v>
      </c>
      <c r="B179">
        <f>'Entrada datos'!B89</f>
        <v>0</v>
      </c>
      <c r="C179">
        <f>'Entrada datos'!C89</f>
        <v>0</v>
      </c>
      <c r="D179">
        <f>'Entrada datos'!D89</f>
        <v>0</v>
      </c>
      <c r="E179" s="18">
        <f>'Entrada datos'!G89</f>
        <v>0</v>
      </c>
      <c r="F179" s="18">
        <f>'Entrada datos'!H89</f>
        <v>0</v>
      </c>
      <c r="G179">
        <f>'Entrada datos'!J89</f>
        <v>0</v>
      </c>
      <c r="H179">
        <f>'Entrada datos'!L89</f>
        <v>0</v>
      </c>
      <c r="I179">
        <f>'Entrada datos'!O89</f>
        <v>0</v>
      </c>
      <c r="J179">
        <f>'Entrada datos'!P89</f>
        <v>0</v>
      </c>
      <c r="K179">
        <f>'Entrada datos'!Q89</f>
        <v>0</v>
      </c>
      <c r="L179">
        <f>'Entrada datos'!R89</f>
        <v>0</v>
      </c>
      <c r="M179">
        <f>'Entrada datos'!S89</f>
        <v>0</v>
      </c>
      <c r="N179">
        <f>'Entrada datos'!T89</f>
        <v>0</v>
      </c>
      <c r="O179">
        <f>'Entrada datos'!U89</f>
        <v>0</v>
      </c>
      <c r="P179" s="17">
        <f t="shared" si="35"/>
        <v>0</v>
      </c>
      <c r="Q179">
        <f>'Entrada datos'!V89</f>
        <v>0</v>
      </c>
      <c r="R179">
        <f>'Entrada datos'!W89</f>
        <v>0</v>
      </c>
      <c r="S179">
        <f>'Entrada datos'!X89</f>
        <v>0</v>
      </c>
      <c r="T179">
        <f>'Entrada datos'!Y89</f>
        <v>0</v>
      </c>
      <c r="U179">
        <f>'Entrada datos'!Z89</f>
        <v>0</v>
      </c>
      <c r="V179">
        <f>'Entrada datos'!AA89</f>
        <v>0</v>
      </c>
      <c r="W179" s="17">
        <f t="shared" si="36"/>
        <v>0</v>
      </c>
      <c r="X179">
        <f>'Entrada datos'!AB89</f>
        <v>0</v>
      </c>
      <c r="Y179">
        <f>'Entrada datos'!AC89</f>
        <v>0</v>
      </c>
      <c r="Z179">
        <f>'Entrada datos'!AD89</f>
        <v>0</v>
      </c>
      <c r="AA179">
        <f>'Entrada datos'!AE89</f>
        <v>0</v>
      </c>
      <c r="AB179">
        <f>'Entrada datos'!AF89</f>
        <v>0</v>
      </c>
      <c r="AC179">
        <f>'Entrada datos'!AG89</f>
        <v>0</v>
      </c>
      <c r="AD179" s="17">
        <f t="shared" si="37"/>
        <v>0</v>
      </c>
      <c r="AE179">
        <f>'Entrada datos'!AH89</f>
        <v>0</v>
      </c>
      <c r="AF179">
        <f>'Entrada datos'!AI89</f>
        <v>0</v>
      </c>
      <c r="AG179">
        <f>'Entrada datos'!AJ89</f>
        <v>0</v>
      </c>
      <c r="AH179">
        <f>'Entrada datos'!AK89</f>
        <v>0</v>
      </c>
      <c r="AI179">
        <f>'Entrada datos'!AL89</f>
        <v>0</v>
      </c>
      <c r="AJ179">
        <f>'Entrada datos'!AM89</f>
        <v>0</v>
      </c>
      <c r="AK179" s="17">
        <f t="shared" si="38"/>
        <v>0</v>
      </c>
      <c r="AL179">
        <f>'Entrada datos'!AN89</f>
        <v>0</v>
      </c>
      <c r="AM179">
        <f>'Entrada datos'!AO89</f>
        <v>0</v>
      </c>
      <c r="AN179">
        <f>'Entrada datos'!AP89</f>
        <v>0</v>
      </c>
      <c r="AO179">
        <f>'Entrada datos'!AQ89</f>
        <v>0</v>
      </c>
      <c r="AP179">
        <f>'Entrada datos'!AR89</f>
        <v>0</v>
      </c>
      <c r="AQ179">
        <f>'Entrada datos'!AS89</f>
        <v>0</v>
      </c>
      <c r="AR179" s="17">
        <f t="shared" si="39"/>
        <v>0</v>
      </c>
      <c r="AS179" s="23">
        <f t="shared" si="40"/>
        <v>0</v>
      </c>
      <c r="AT179">
        <f t="shared" si="41"/>
        <v>1900</v>
      </c>
      <c r="AU179" s="40" t="str">
        <f t="shared" si="42"/>
        <v>enero</v>
      </c>
      <c r="AV179">
        <f t="shared" si="43"/>
        <v>0</v>
      </c>
      <c r="AW179">
        <f t="shared" si="44"/>
        <v>0</v>
      </c>
      <c r="AX179" s="24">
        <f t="shared" si="45"/>
        <v>0</v>
      </c>
      <c r="AY179" s="24">
        <f t="shared" si="46"/>
        <v>0</v>
      </c>
      <c r="AZ179" s="24">
        <f t="shared" si="47"/>
        <v>0</v>
      </c>
      <c r="BA179">
        <f t="shared" si="48"/>
        <v>0</v>
      </c>
      <c r="BB179">
        <f t="shared" si="49"/>
        <v>0</v>
      </c>
      <c r="BC179" s="24">
        <f t="shared" si="50"/>
        <v>0</v>
      </c>
      <c r="BD179">
        <f t="shared" si="51"/>
        <v>0</v>
      </c>
    </row>
    <row r="180" spans="1:56" x14ac:dyDescent="0.3">
      <c r="A180">
        <f>'Entrada datos'!A90</f>
        <v>0</v>
      </c>
      <c r="B180">
        <f>'Entrada datos'!B90</f>
        <v>0</v>
      </c>
      <c r="C180">
        <f>'Entrada datos'!C90</f>
        <v>0</v>
      </c>
      <c r="D180">
        <f>'Entrada datos'!D90</f>
        <v>0</v>
      </c>
      <c r="E180" s="18">
        <f>'Entrada datos'!G90</f>
        <v>0</v>
      </c>
      <c r="F180" s="18">
        <f>'Entrada datos'!H90</f>
        <v>0</v>
      </c>
      <c r="G180">
        <f>'Entrada datos'!J90</f>
        <v>0</v>
      </c>
      <c r="H180">
        <f>'Entrada datos'!L90</f>
        <v>0</v>
      </c>
      <c r="I180">
        <f>'Entrada datos'!O90</f>
        <v>0</v>
      </c>
      <c r="J180">
        <f>'Entrada datos'!P90</f>
        <v>0</v>
      </c>
      <c r="K180">
        <f>'Entrada datos'!Q90</f>
        <v>0</v>
      </c>
      <c r="L180">
        <f>'Entrada datos'!R90</f>
        <v>0</v>
      </c>
      <c r="M180">
        <f>'Entrada datos'!S90</f>
        <v>0</v>
      </c>
      <c r="N180">
        <f>'Entrada datos'!T90</f>
        <v>0</v>
      </c>
      <c r="O180">
        <f>'Entrada datos'!U90</f>
        <v>0</v>
      </c>
      <c r="P180" s="17">
        <f t="shared" si="35"/>
        <v>0</v>
      </c>
      <c r="Q180">
        <f>'Entrada datos'!V90</f>
        <v>0</v>
      </c>
      <c r="R180">
        <f>'Entrada datos'!W90</f>
        <v>0</v>
      </c>
      <c r="S180">
        <f>'Entrada datos'!X90</f>
        <v>0</v>
      </c>
      <c r="T180">
        <f>'Entrada datos'!Y90</f>
        <v>0</v>
      </c>
      <c r="U180">
        <f>'Entrada datos'!Z90</f>
        <v>0</v>
      </c>
      <c r="V180">
        <f>'Entrada datos'!AA90</f>
        <v>0</v>
      </c>
      <c r="W180" s="17">
        <f t="shared" si="36"/>
        <v>0</v>
      </c>
      <c r="X180">
        <f>'Entrada datos'!AB90</f>
        <v>0</v>
      </c>
      <c r="Y180">
        <f>'Entrada datos'!AC90</f>
        <v>0</v>
      </c>
      <c r="Z180">
        <f>'Entrada datos'!AD90</f>
        <v>0</v>
      </c>
      <c r="AA180">
        <f>'Entrada datos'!AE90</f>
        <v>0</v>
      </c>
      <c r="AB180">
        <f>'Entrada datos'!AF90</f>
        <v>0</v>
      </c>
      <c r="AC180">
        <f>'Entrada datos'!AG90</f>
        <v>0</v>
      </c>
      <c r="AD180" s="17">
        <f t="shared" si="37"/>
        <v>0</v>
      </c>
      <c r="AE180">
        <f>'Entrada datos'!AH90</f>
        <v>0</v>
      </c>
      <c r="AF180">
        <f>'Entrada datos'!AI90</f>
        <v>0</v>
      </c>
      <c r="AG180">
        <f>'Entrada datos'!AJ90</f>
        <v>0</v>
      </c>
      <c r="AH180">
        <f>'Entrada datos'!AK90</f>
        <v>0</v>
      </c>
      <c r="AI180">
        <f>'Entrada datos'!AL90</f>
        <v>0</v>
      </c>
      <c r="AJ180">
        <f>'Entrada datos'!AM90</f>
        <v>0</v>
      </c>
      <c r="AK180" s="17">
        <f t="shared" si="38"/>
        <v>0</v>
      </c>
      <c r="AL180">
        <f>'Entrada datos'!AN90</f>
        <v>0</v>
      </c>
      <c r="AM180">
        <f>'Entrada datos'!AO90</f>
        <v>0</v>
      </c>
      <c r="AN180">
        <f>'Entrada datos'!AP90</f>
        <v>0</v>
      </c>
      <c r="AO180">
        <f>'Entrada datos'!AQ90</f>
        <v>0</v>
      </c>
      <c r="AP180">
        <f>'Entrada datos'!AR90</f>
        <v>0</v>
      </c>
      <c r="AQ180">
        <f>'Entrada datos'!AS90</f>
        <v>0</v>
      </c>
      <c r="AR180" s="17">
        <f t="shared" si="39"/>
        <v>0</v>
      </c>
      <c r="AS180" s="23">
        <f t="shared" si="40"/>
        <v>0</v>
      </c>
      <c r="AT180">
        <f t="shared" si="41"/>
        <v>1900</v>
      </c>
      <c r="AU180" s="40" t="str">
        <f t="shared" si="42"/>
        <v>enero</v>
      </c>
      <c r="AV180">
        <f t="shared" si="43"/>
        <v>0</v>
      </c>
      <c r="AW180">
        <f t="shared" si="44"/>
        <v>0</v>
      </c>
      <c r="AX180" s="24">
        <f t="shared" si="45"/>
        <v>0</v>
      </c>
      <c r="AY180" s="24">
        <f t="shared" si="46"/>
        <v>0</v>
      </c>
      <c r="AZ180" s="24">
        <f t="shared" si="47"/>
        <v>0</v>
      </c>
      <c r="BA180">
        <f t="shared" si="48"/>
        <v>0</v>
      </c>
      <c r="BB180">
        <f t="shared" si="49"/>
        <v>0</v>
      </c>
      <c r="BC180" s="24">
        <f t="shared" si="50"/>
        <v>0</v>
      </c>
      <c r="BD180">
        <f t="shared" si="51"/>
        <v>0</v>
      </c>
    </row>
    <row r="181" spans="1:56" x14ac:dyDescent="0.3">
      <c r="A181">
        <f>'Entrada datos'!A91</f>
        <v>0</v>
      </c>
      <c r="B181">
        <f>'Entrada datos'!B91</f>
        <v>0</v>
      </c>
      <c r="C181">
        <f>'Entrada datos'!C91</f>
        <v>0</v>
      </c>
      <c r="D181">
        <f>'Entrada datos'!D91</f>
        <v>0</v>
      </c>
      <c r="E181" s="18">
        <f>'Entrada datos'!G91</f>
        <v>0</v>
      </c>
      <c r="F181" s="18">
        <f>'Entrada datos'!H91</f>
        <v>0</v>
      </c>
      <c r="G181">
        <f>'Entrada datos'!J91</f>
        <v>0</v>
      </c>
      <c r="H181">
        <f>'Entrada datos'!L91</f>
        <v>0</v>
      </c>
      <c r="I181">
        <f>'Entrada datos'!O91</f>
        <v>0</v>
      </c>
      <c r="J181">
        <f>'Entrada datos'!P91</f>
        <v>0</v>
      </c>
      <c r="K181">
        <f>'Entrada datos'!Q91</f>
        <v>0</v>
      </c>
      <c r="L181">
        <f>'Entrada datos'!R91</f>
        <v>0</v>
      </c>
      <c r="M181">
        <f>'Entrada datos'!S91</f>
        <v>0</v>
      </c>
      <c r="N181">
        <f>'Entrada datos'!T91</f>
        <v>0</v>
      </c>
      <c r="O181">
        <f>'Entrada datos'!U91</f>
        <v>0</v>
      </c>
      <c r="P181" s="17">
        <f t="shared" si="35"/>
        <v>0</v>
      </c>
      <c r="Q181">
        <f>'Entrada datos'!V91</f>
        <v>0</v>
      </c>
      <c r="R181">
        <f>'Entrada datos'!W91</f>
        <v>0</v>
      </c>
      <c r="S181">
        <f>'Entrada datos'!X91</f>
        <v>0</v>
      </c>
      <c r="T181">
        <f>'Entrada datos'!Y91</f>
        <v>0</v>
      </c>
      <c r="U181">
        <f>'Entrada datos'!Z91</f>
        <v>0</v>
      </c>
      <c r="V181">
        <f>'Entrada datos'!AA91</f>
        <v>0</v>
      </c>
      <c r="W181" s="17">
        <f t="shared" si="36"/>
        <v>0</v>
      </c>
      <c r="X181">
        <f>'Entrada datos'!AB91</f>
        <v>0</v>
      </c>
      <c r="Y181">
        <f>'Entrada datos'!AC91</f>
        <v>0</v>
      </c>
      <c r="Z181">
        <f>'Entrada datos'!AD91</f>
        <v>0</v>
      </c>
      <c r="AA181">
        <f>'Entrada datos'!AE91</f>
        <v>0</v>
      </c>
      <c r="AB181">
        <f>'Entrada datos'!AF91</f>
        <v>0</v>
      </c>
      <c r="AC181">
        <f>'Entrada datos'!AG91</f>
        <v>0</v>
      </c>
      <c r="AD181" s="17">
        <f t="shared" si="37"/>
        <v>0</v>
      </c>
      <c r="AE181">
        <f>'Entrada datos'!AH91</f>
        <v>0</v>
      </c>
      <c r="AF181">
        <f>'Entrada datos'!AI91</f>
        <v>0</v>
      </c>
      <c r="AG181">
        <f>'Entrada datos'!AJ91</f>
        <v>0</v>
      </c>
      <c r="AH181">
        <f>'Entrada datos'!AK91</f>
        <v>0</v>
      </c>
      <c r="AI181">
        <f>'Entrada datos'!AL91</f>
        <v>0</v>
      </c>
      <c r="AJ181">
        <f>'Entrada datos'!AM91</f>
        <v>0</v>
      </c>
      <c r="AK181" s="17">
        <f t="shared" si="38"/>
        <v>0</v>
      </c>
      <c r="AL181">
        <f>'Entrada datos'!AN91</f>
        <v>0</v>
      </c>
      <c r="AM181">
        <f>'Entrada datos'!AO91</f>
        <v>0</v>
      </c>
      <c r="AN181">
        <f>'Entrada datos'!AP91</f>
        <v>0</v>
      </c>
      <c r="AO181">
        <f>'Entrada datos'!AQ91</f>
        <v>0</v>
      </c>
      <c r="AP181">
        <f>'Entrada datos'!AR91</f>
        <v>0</v>
      </c>
      <c r="AQ181">
        <f>'Entrada datos'!AS91</f>
        <v>0</v>
      </c>
      <c r="AR181" s="17">
        <f t="shared" si="39"/>
        <v>0</v>
      </c>
      <c r="AS181" s="23">
        <f t="shared" si="40"/>
        <v>0</v>
      </c>
      <c r="AT181">
        <f t="shared" si="41"/>
        <v>1900</v>
      </c>
      <c r="AU181" s="40" t="str">
        <f t="shared" si="42"/>
        <v>enero</v>
      </c>
      <c r="AV181">
        <f t="shared" si="43"/>
        <v>0</v>
      </c>
      <c r="AW181">
        <f t="shared" si="44"/>
        <v>0</v>
      </c>
      <c r="AX181" s="24">
        <f t="shared" si="45"/>
        <v>0</v>
      </c>
      <c r="AY181" s="24">
        <f t="shared" si="46"/>
        <v>0</v>
      </c>
      <c r="AZ181" s="24">
        <f t="shared" si="47"/>
        <v>0</v>
      </c>
      <c r="BA181">
        <f t="shared" si="48"/>
        <v>0</v>
      </c>
      <c r="BB181">
        <f t="shared" si="49"/>
        <v>0</v>
      </c>
      <c r="BC181" s="24">
        <f t="shared" si="50"/>
        <v>0</v>
      </c>
      <c r="BD181">
        <f t="shared" si="51"/>
        <v>0</v>
      </c>
    </row>
    <row r="182" spans="1:56" x14ac:dyDescent="0.3">
      <c r="A182">
        <f>'Entrada datos'!A92</f>
        <v>0</v>
      </c>
      <c r="B182">
        <f>'Entrada datos'!B92</f>
        <v>0</v>
      </c>
      <c r="C182">
        <f>'Entrada datos'!C92</f>
        <v>0</v>
      </c>
      <c r="D182">
        <f>'Entrada datos'!D92</f>
        <v>0</v>
      </c>
      <c r="E182" s="18">
        <f>'Entrada datos'!G92</f>
        <v>0</v>
      </c>
      <c r="F182" s="18">
        <f>'Entrada datos'!H92</f>
        <v>0</v>
      </c>
      <c r="G182">
        <f>'Entrada datos'!J92</f>
        <v>0</v>
      </c>
      <c r="H182">
        <f>'Entrada datos'!L92</f>
        <v>0</v>
      </c>
      <c r="I182">
        <f>'Entrada datos'!O92</f>
        <v>0</v>
      </c>
      <c r="J182">
        <f>'Entrada datos'!P92</f>
        <v>0</v>
      </c>
      <c r="K182">
        <f>'Entrada datos'!Q92</f>
        <v>0</v>
      </c>
      <c r="L182">
        <f>'Entrada datos'!R92</f>
        <v>0</v>
      </c>
      <c r="M182">
        <f>'Entrada datos'!S92</f>
        <v>0</v>
      </c>
      <c r="N182">
        <f>'Entrada datos'!T92</f>
        <v>0</v>
      </c>
      <c r="O182">
        <f>'Entrada datos'!U92</f>
        <v>0</v>
      </c>
      <c r="P182" s="17">
        <f t="shared" si="35"/>
        <v>0</v>
      </c>
      <c r="Q182">
        <f>'Entrada datos'!V92</f>
        <v>0</v>
      </c>
      <c r="R182">
        <f>'Entrada datos'!W92</f>
        <v>0</v>
      </c>
      <c r="S182">
        <f>'Entrada datos'!X92</f>
        <v>0</v>
      </c>
      <c r="T182">
        <f>'Entrada datos'!Y92</f>
        <v>0</v>
      </c>
      <c r="U182">
        <f>'Entrada datos'!Z92</f>
        <v>0</v>
      </c>
      <c r="V182">
        <f>'Entrada datos'!AA92</f>
        <v>0</v>
      </c>
      <c r="W182" s="17">
        <f t="shared" si="36"/>
        <v>0</v>
      </c>
      <c r="X182">
        <f>'Entrada datos'!AB92</f>
        <v>0</v>
      </c>
      <c r="Y182">
        <f>'Entrada datos'!AC92</f>
        <v>0</v>
      </c>
      <c r="Z182">
        <f>'Entrada datos'!AD92</f>
        <v>0</v>
      </c>
      <c r="AA182">
        <f>'Entrada datos'!AE92</f>
        <v>0</v>
      </c>
      <c r="AB182">
        <f>'Entrada datos'!AF92</f>
        <v>0</v>
      </c>
      <c r="AC182">
        <f>'Entrada datos'!AG92</f>
        <v>0</v>
      </c>
      <c r="AD182" s="17">
        <f t="shared" si="37"/>
        <v>0</v>
      </c>
      <c r="AE182">
        <f>'Entrada datos'!AH92</f>
        <v>0</v>
      </c>
      <c r="AF182">
        <f>'Entrada datos'!AI92</f>
        <v>0</v>
      </c>
      <c r="AG182">
        <f>'Entrada datos'!AJ92</f>
        <v>0</v>
      </c>
      <c r="AH182">
        <f>'Entrada datos'!AK92</f>
        <v>0</v>
      </c>
      <c r="AI182">
        <f>'Entrada datos'!AL92</f>
        <v>0</v>
      </c>
      <c r="AJ182">
        <f>'Entrada datos'!AM92</f>
        <v>0</v>
      </c>
      <c r="AK182" s="17">
        <f t="shared" si="38"/>
        <v>0</v>
      </c>
      <c r="AL182">
        <f>'Entrada datos'!AN92</f>
        <v>0</v>
      </c>
      <c r="AM182">
        <f>'Entrada datos'!AO92</f>
        <v>0</v>
      </c>
      <c r="AN182">
        <f>'Entrada datos'!AP92</f>
        <v>0</v>
      </c>
      <c r="AO182">
        <f>'Entrada datos'!AQ92</f>
        <v>0</v>
      </c>
      <c r="AP182">
        <f>'Entrada datos'!AR92</f>
        <v>0</v>
      </c>
      <c r="AQ182">
        <f>'Entrada datos'!AS92</f>
        <v>0</v>
      </c>
      <c r="AR182" s="17">
        <f t="shared" si="39"/>
        <v>0</v>
      </c>
      <c r="AS182" s="23">
        <f t="shared" si="40"/>
        <v>0</v>
      </c>
      <c r="AT182">
        <f t="shared" si="41"/>
        <v>1900</v>
      </c>
      <c r="AU182" s="40" t="str">
        <f t="shared" si="42"/>
        <v>enero</v>
      </c>
      <c r="AV182">
        <f t="shared" si="43"/>
        <v>0</v>
      </c>
      <c r="AW182">
        <f t="shared" si="44"/>
        <v>0</v>
      </c>
      <c r="AX182" s="24">
        <f t="shared" si="45"/>
        <v>0</v>
      </c>
      <c r="AY182" s="24">
        <f t="shared" si="46"/>
        <v>0</v>
      </c>
      <c r="AZ182" s="24">
        <f t="shared" si="47"/>
        <v>0</v>
      </c>
      <c r="BA182">
        <f t="shared" si="48"/>
        <v>0</v>
      </c>
      <c r="BB182">
        <f t="shared" si="49"/>
        <v>0</v>
      </c>
      <c r="BC182" s="24">
        <f t="shared" si="50"/>
        <v>0</v>
      </c>
      <c r="BD182">
        <f t="shared" si="51"/>
        <v>0</v>
      </c>
    </row>
    <row r="183" spans="1:56" x14ac:dyDescent="0.3">
      <c r="A183">
        <f>'Entrada datos'!A93</f>
        <v>0</v>
      </c>
      <c r="B183">
        <f>'Entrada datos'!B93</f>
        <v>0</v>
      </c>
      <c r="C183">
        <f>'Entrada datos'!C93</f>
        <v>0</v>
      </c>
      <c r="D183">
        <f>'Entrada datos'!D93</f>
        <v>0</v>
      </c>
      <c r="E183" s="18">
        <f>'Entrada datos'!G93</f>
        <v>0</v>
      </c>
      <c r="F183" s="18">
        <f>'Entrada datos'!H93</f>
        <v>0</v>
      </c>
      <c r="G183">
        <f>'Entrada datos'!J93</f>
        <v>0</v>
      </c>
      <c r="H183">
        <f>'Entrada datos'!L93</f>
        <v>0</v>
      </c>
      <c r="I183">
        <f>'Entrada datos'!O93</f>
        <v>0</v>
      </c>
      <c r="J183">
        <f>'Entrada datos'!P93</f>
        <v>0</v>
      </c>
      <c r="K183">
        <f>'Entrada datos'!Q93</f>
        <v>0</v>
      </c>
      <c r="L183">
        <f>'Entrada datos'!R93</f>
        <v>0</v>
      </c>
      <c r="M183">
        <f>'Entrada datos'!S93</f>
        <v>0</v>
      </c>
      <c r="N183">
        <f>'Entrada datos'!T93</f>
        <v>0</v>
      </c>
      <c r="O183">
        <f>'Entrada datos'!U93</f>
        <v>0</v>
      </c>
      <c r="P183" s="17">
        <f t="shared" si="35"/>
        <v>0</v>
      </c>
      <c r="Q183">
        <f>'Entrada datos'!V93</f>
        <v>0</v>
      </c>
      <c r="R183">
        <f>'Entrada datos'!W93</f>
        <v>0</v>
      </c>
      <c r="S183">
        <f>'Entrada datos'!X93</f>
        <v>0</v>
      </c>
      <c r="T183">
        <f>'Entrada datos'!Y93</f>
        <v>0</v>
      </c>
      <c r="U183">
        <f>'Entrada datos'!Z93</f>
        <v>0</v>
      </c>
      <c r="V183">
        <f>'Entrada datos'!AA93</f>
        <v>0</v>
      </c>
      <c r="W183" s="17">
        <f t="shared" si="36"/>
        <v>0</v>
      </c>
      <c r="X183">
        <f>'Entrada datos'!AB93</f>
        <v>0</v>
      </c>
      <c r="Y183">
        <f>'Entrada datos'!AC93</f>
        <v>0</v>
      </c>
      <c r="Z183">
        <f>'Entrada datos'!AD93</f>
        <v>0</v>
      </c>
      <c r="AA183">
        <f>'Entrada datos'!AE93</f>
        <v>0</v>
      </c>
      <c r="AB183">
        <f>'Entrada datos'!AF93</f>
        <v>0</v>
      </c>
      <c r="AC183">
        <f>'Entrada datos'!AG93</f>
        <v>0</v>
      </c>
      <c r="AD183" s="17">
        <f t="shared" si="37"/>
        <v>0</v>
      </c>
      <c r="AE183">
        <f>'Entrada datos'!AH93</f>
        <v>0</v>
      </c>
      <c r="AF183">
        <f>'Entrada datos'!AI93</f>
        <v>0</v>
      </c>
      <c r="AG183">
        <f>'Entrada datos'!AJ93</f>
        <v>0</v>
      </c>
      <c r="AH183">
        <f>'Entrada datos'!AK93</f>
        <v>0</v>
      </c>
      <c r="AI183">
        <f>'Entrada datos'!AL93</f>
        <v>0</v>
      </c>
      <c r="AJ183">
        <f>'Entrada datos'!AM93</f>
        <v>0</v>
      </c>
      <c r="AK183" s="17">
        <f t="shared" si="38"/>
        <v>0</v>
      </c>
      <c r="AL183">
        <f>'Entrada datos'!AN93</f>
        <v>0</v>
      </c>
      <c r="AM183">
        <f>'Entrada datos'!AO93</f>
        <v>0</v>
      </c>
      <c r="AN183">
        <f>'Entrada datos'!AP93</f>
        <v>0</v>
      </c>
      <c r="AO183">
        <f>'Entrada datos'!AQ93</f>
        <v>0</v>
      </c>
      <c r="AP183">
        <f>'Entrada datos'!AR93</f>
        <v>0</v>
      </c>
      <c r="AQ183">
        <f>'Entrada datos'!AS93</f>
        <v>0</v>
      </c>
      <c r="AR183" s="17">
        <f t="shared" si="39"/>
        <v>0</v>
      </c>
      <c r="AS183" s="23">
        <f t="shared" si="40"/>
        <v>0</v>
      </c>
      <c r="AT183">
        <f t="shared" si="41"/>
        <v>1900</v>
      </c>
      <c r="AU183" s="40" t="str">
        <f t="shared" si="42"/>
        <v>enero</v>
      </c>
      <c r="AV183">
        <f t="shared" si="43"/>
        <v>0</v>
      </c>
      <c r="AW183">
        <f t="shared" si="44"/>
        <v>0</v>
      </c>
      <c r="AX183" s="24">
        <f t="shared" si="45"/>
        <v>0</v>
      </c>
      <c r="AY183" s="24">
        <f t="shared" si="46"/>
        <v>0</v>
      </c>
      <c r="AZ183" s="24">
        <f t="shared" si="47"/>
        <v>0</v>
      </c>
      <c r="BA183">
        <f t="shared" si="48"/>
        <v>0</v>
      </c>
      <c r="BB183">
        <f t="shared" si="49"/>
        <v>0</v>
      </c>
      <c r="BC183" s="24">
        <f t="shared" si="50"/>
        <v>0</v>
      </c>
      <c r="BD183">
        <f t="shared" si="51"/>
        <v>0</v>
      </c>
    </row>
    <row r="184" spans="1:56" x14ac:dyDescent="0.3">
      <c r="A184">
        <f>'Entrada datos'!A94</f>
        <v>0</v>
      </c>
      <c r="B184">
        <f>'Entrada datos'!B94</f>
        <v>0</v>
      </c>
      <c r="C184">
        <f>'Entrada datos'!C94</f>
        <v>0</v>
      </c>
      <c r="D184">
        <f>'Entrada datos'!D94</f>
        <v>0</v>
      </c>
      <c r="E184" s="18">
        <f>'Entrada datos'!G94</f>
        <v>0</v>
      </c>
      <c r="F184" s="18">
        <f>'Entrada datos'!H94</f>
        <v>0</v>
      </c>
      <c r="G184">
        <f>'Entrada datos'!J94</f>
        <v>0</v>
      </c>
      <c r="H184">
        <f>'Entrada datos'!L94</f>
        <v>0</v>
      </c>
      <c r="I184">
        <f>'Entrada datos'!O94</f>
        <v>0</v>
      </c>
      <c r="J184">
        <f>'Entrada datos'!P94</f>
        <v>0</v>
      </c>
      <c r="K184">
        <f>'Entrada datos'!Q94</f>
        <v>0</v>
      </c>
      <c r="L184">
        <f>'Entrada datos'!R94</f>
        <v>0</v>
      </c>
      <c r="M184">
        <f>'Entrada datos'!S94</f>
        <v>0</v>
      </c>
      <c r="N184">
        <f>'Entrada datos'!T94</f>
        <v>0</v>
      </c>
      <c r="O184">
        <f>'Entrada datos'!U94</f>
        <v>0</v>
      </c>
      <c r="P184" s="17">
        <f t="shared" si="35"/>
        <v>0</v>
      </c>
      <c r="Q184">
        <f>'Entrada datos'!V94</f>
        <v>0</v>
      </c>
      <c r="R184">
        <f>'Entrada datos'!W94</f>
        <v>0</v>
      </c>
      <c r="S184">
        <f>'Entrada datos'!X94</f>
        <v>0</v>
      </c>
      <c r="T184">
        <f>'Entrada datos'!Y94</f>
        <v>0</v>
      </c>
      <c r="U184">
        <f>'Entrada datos'!Z94</f>
        <v>0</v>
      </c>
      <c r="V184">
        <f>'Entrada datos'!AA94</f>
        <v>0</v>
      </c>
      <c r="W184" s="17">
        <f t="shared" si="36"/>
        <v>0</v>
      </c>
      <c r="X184">
        <f>'Entrada datos'!AB94</f>
        <v>0</v>
      </c>
      <c r="Y184">
        <f>'Entrada datos'!AC94</f>
        <v>0</v>
      </c>
      <c r="Z184">
        <f>'Entrada datos'!AD94</f>
        <v>0</v>
      </c>
      <c r="AA184">
        <f>'Entrada datos'!AE94</f>
        <v>0</v>
      </c>
      <c r="AB184">
        <f>'Entrada datos'!AF94</f>
        <v>0</v>
      </c>
      <c r="AC184">
        <f>'Entrada datos'!AG94</f>
        <v>0</v>
      </c>
      <c r="AD184" s="17">
        <f t="shared" si="37"/>
        <v>0</v>
      </c>
      <c r="AE184">
        <f>'Entrada datos'!AH94</f>
        <v>0</v>
      </c>
      <c r="AF184">
        <f>'Entrada datos'!AI94</f>
        <v>0</v>
      </c>
      <c r="AG184">
        <f>'Entrada datos'!AJ94</f>
        <v>0</v>
      </c>
      <c r="AH184">
        <f>'Entrada datos'!AK94</f>
        <v>0</v>
      </c>
      <c r="AI184">
        <f>'Entrada datos'!AL94</f>
        <v>0</v>
      </c>
      <c r="AJ184">
        <f>'Entrada datos'!AM94</f>
        <v>0</v>
      </c>
      <c r="AK184" s="17">
        <f t="shared" si="38"/>
        <v>0</v>
      </c>
      <c r="AL184">
        <f>'Entrada datos'!AN94</f>
        <v>0</v>
      </c>
      <c r="AM184">
        <f>'Entrada datos'!AO94</f>
        <v>0</v>
      </c>
      <c r="AN184">
        <f>'Entrada datos'!AP94</f>
        <v>0</v>
      </c>
      <c r="AO184">
        <f>'Entrada datos'!AQ94</f>
        <v>0</v>
      </c>
      <c r="AP184">
        <f>'Entrada datos'!AR94</f>
        <v>0</v>
      </c>
      <c r="AQ184">
        <f>'Entrada datos'!AS94</f>
        <v>0</v>
      </c>
      <c r="AR184" s="17">
        <f t="shared" si="39"/>
        <v>0</v>
      </c>
      <c r="AS184" s="23">
        <f t="shared" si="40"/>
        <v>0</v>
      </c>
      <c r="AT184">
        <f t="shared" si="41"/>
        <v>1900</v>
      </c>
      <c r="AU184" s="40" t="str">
        <f t="shared" si="42"/>
        <v>enero</v>
      </c>
      <c r="AV184">
        <f t="shared" si="43"/>
        <v>0</v>
      </c>
      <c r="AW184">
        <f t="shared" si="44"/>
        <v>0</v>
      </c>
      <c r="AX184" s="24">
        <f t="shared" si="45"/>
        <v>0</v>
      </c>
      <c r="AY184" s="24">
        <f t="shared" si="46"/>
        <v>0</v>
      </c>
      <c r="AZ184" s="24">
        <f t="shared" si="47"/>
        <v>0</v>
      </c>
      <c r="BA184">
        <f t="shared" si="48"/>
        <v>0</v>
      </c>
      <c r="BB184">
        <f t="shared" si="49"/>
        <v>0</v>
      </c>
      <c r="BC184" s="24">
        <f t="shared" si="50"/>
        <v>0</v>
      </c>
      <c r="BD184">
        <f t="shared" si="51"/>
        <v>0</v>
      </c>
    </row>
    <row r="185" spans="1:56" x14ac:dyDescent="0.3">
      <c r="A185">
        <f>'Entrada datos'!A95</f>
        <v>0</v>
      </c>
      <c r="B185">
        <f>'Entrada datos'!B95</f>
        <v>0</v>
      </c>
      <c r="C185">
        <f>'Entrada datos'!C95</f>
        <v>0</v>
      </c>
      <c r="D185">
        <f>'Entrada datos'!D95</f>
        <v>0</v>
      </c>
      <c r="E185" s="18">
        <f>'Entrada datos'!G95</f>
        <v>0</v>
      </c>
      <c r="F185" s="18">
        <f>'Entrada datos'!H95</f>
        <v>0</v>
      </c>
      <c r="G185">
        <f>'Entrada datos'!J95</f>
        <v>0</v>
      </c>
      <c r="H185">
        <f>'Entrada datos'!L95</f>
        <v>0</v>
      </c>
      <c r="I185">
        <f>'Entrada datos'!O95</f>
        <v>0</v>
      </c>
      <c r="J185">
        <f>'Entrada datos'!P95</f>
        <v>0</v>
      </c>
      <c r="K185">
        <f>'Entrada datos'!Q95</f>
        <v>0</v>
      </c>
      <c r="L185">
        <f>'Entrada datos'!R95</f>
        <v>0</v>
      </c>
      <c r="M185">
        <f>'Entrada datos'!S95</f>
        <v>0</v>
      </c>
      <c r="N185">
        <f>'Entrada datos'!T95</f>
        <v>0</v>
      </c>
      <c r="O185">
        <f>'Entrada datos'!U95</f>
        <v>0</v>
      </c>
      <c r="P185" s="17">
        <f t="shared" si="35"/>
        <v>0</v>
      </c>
      <c r="Q185">
        <f>'Entrada datos'!V95</f>
        <v>0</v>
      </c>
      <c r="R185">
        <f>'Entrada datos'!W95</f>
        <v>0</v>
      </c>
      <c r="S185">
        <f>'Entrada datos'!X95</f>
        <v>0</v>
      </c>
      <c r="T185">
        <f>'Entrada datos'!Y95</f>
        <v>0</v>
      </c>
      <c r="U185">
        <f>'Entrada datos'!Z95</f>
        <v>0</v>
      </c>
      <c r="V185">
        <f>'Entrada datos'!AA95</f>
        <v>0</v>
      </c>
      <c r="W185" s="17">
        <f t="shared" si="36"/>
        <v>0</v>
      </c>
      <c r="X185">
        <f>'Entrada datos'!AB95</f>
        <v>0</v>
      </c>
      <c r="Y185">
        <f>'Entrada datos'!AC95</f>
        <v>0</v>
      </c>
      <c r="Z185">
        <f>'Entrada datos'!AD95</f>
        <v>0</v>
      </c>
      <c r="AA185">
        <f>'Entrada datos'!AE95</f>
        <v>0</v>
      </c>
      <c r="AB185">
        <f>'Entrada datos'!AF95</f>
        <v>0</v>
      </c>
      <c r="AC185">
        <f>'Entrada datos'!AG95</f>
        <v>0</v>
      </c>
      <c r="AD185" s="17">
        <f t="shared" si="37"/>
        <v>0</v>
      </c>
      <c r="AE185">
        <f>'Entrada datos'!AH95</f>
        <v>0</v>
      </c>
      <c r="AF185">
        <f>'Entrada datos'!AI95</f>
        <v>0</v>
      </c>
      <c r="AG185">
        <f>'Entrada datos'!AJ95</f>
        <v>0</v>
      </c>
      <c r="AH185">
        <f>'Entrada datos'!AK95</f>
        <v>0</v>
      </c>
      <c r="AI185">
        <f>'Entrada datos'!AL95</f>
        <v>0</v>
      </c>
      <c r="AJ185">
        <f>'Entrada datos'!AM95</f>
        <v>0</v>
      </c>
      <c r="AK185" s="17">
        <f t="shared" si="38"/>
        <v>0</v>
      </c>
      <c r="AL185">
        <f>'Entrada datos'!AN95</f>
        <v>0</v>
      </c>
      <c r="AM185">
        <f>'Entrada datos'!AO95</f>
        <v>0</v>
      </c>
      <c r="AN185">
        <f>'Entrada datos'!AP95</f>
        <v>0</v>
      </c>
      <c r="AO185">
        <f>'Entrada datos'!AQ95</f>
        <v>0</v>
      </c>
      <c r="AP185">
        <f>'Entrada datos'!AR95</f>
        <v>0</v>
      </c>
      <c r="AQ185">
        <f>'Entrada datos'!AS95</f>
        <v>0</v>
      </c>
      <c r="AR185" s="17">
        <f t="shared" si="39"/>
        <v>0</v>
      </c>
      <c r="AS185" s="23">
        <f t="shared" si="40"/>
        <v>0</v>
      </c>
      <c r="AT185">
        <f t="shared" si="41"/>
        <v>1900</v>
      </c>
      <c r="AU185" s="40" t="str">
        <f t="shared" si="42"/>
        <v>enero</v>
      </c>
      <c r="AV185">
        <f t="shared" si="43"/>
        <v>0</v>
      </c>
      <c r="AW185">
        <f t="shared" si="44"/>
        <v>0</v>
      </c>
      <c r="AX185" s="24">
        <f t="shared" si="45"/>
        <v>0</v>
      </c>
      <c r="AY185" s="24">
        <f t="shared" si="46"/>
        <v>0</v>
      </c>
      <c r="AZ185" s="24">
        <f t="shared" si="47"/>
        <v>0</v>
      </c>
      <c r="BA185">
        <f t="shared" si="48"/>
        <v>0</v>
      </c>
      <c r="BB185">
        <f t="shared" si="49"/>
        <v>0</v>
      </c>
      <c r="BC185" s="24">
        <f t="shared" si="50"/>
        <v>0</v>
      </c>
      <c r="BD185">
        <f t="shared" si="51"/>
        <v>0</v>
      </c>
    </row>
    <row r="186" spans="1:56" x14ac:dyDescent="0.3">
      <c r="A186">
        <f>'Entrada datos'!A96</f>
        <v>0</v>
      </c>
      <c r="B186">
        <f>'Entrada datos'!B96</f>
        <v>0</v>
      </c>
      <c r="C186">
        <f>'Entrada datos'!C96</f>
        <v>0</v>
      </c>
      <c r="D186">
        <f>'Entrada datos'!D96</f>
        <v>0</v>
      </c>
      <c r="E186" s="18">
        <f>'Entrada datos'!G96</f>
        <v>0</v>
      </c>
      <c r="F186" s="18">
        <f>'Entrada datos'!H96</f>
        <v>0</v>
      </c>
      <c r="G186">
        <f>'Entrada datos'!J96</f>
        <v>0</v>
      </c>
      <c r="H186">
        <f>'Entrada datos'!L96</f>
        <v>0</v>
      </c>
      <c r="I186">
        <f>'Entrada datos'!O96</f>
        <v>0</v>
      </c>
      <c r="J186">
        <f>'Entrada datos'!P96</f>
        <v>0</v>
      </c>
      <c r="K186">
        <f>'Entrada datos'!Q96</f>
        <v>0</v>
      </c>
      <c r="L186">
        <f>'Entrada datos'!R96</f>
        <v>0</v>
      </c>
      <c r="M186">
        <f>'Entrada datos'!S96</f>
        <v>0</v>
      </c>
      <c r="N186">
        <f>'Entrada datos'!T96</f>
        <v>0</v>
      </c>
      <c r="O186">
        <f>'Entrada datos'!U96</f>
        <v>0</v>
      </c>
      <c r="P186" s="17">
        <f t="shared" si="35"/>
        <v>0</v>
      </c>
      <c r="Q186">
        <f>'Entrada datos'!V96</f>
        <v>0</v>
      </c>
      <c r="R186">
        <f>'Entrada datos'!W96</f>
        <v>0</v>
      </c>
      <c r="S186">
        <f>'Entrada datos'!X96</f>
        <v>0</v>
      </c>
      <c r="T186">
        <f>'Entrada datos'!Y96</f>
        <v>0</v>
      </c>
      <c r="U186">
        <f>'Entrada datos'!Z96</f>
        <v>0</v>
      </c>
      <c r="V186">
        <f>'Entrada datos'!AA96</f>
        <v>0</v>
      </c>
      <c r="W186" s="17">
        <f t="shared" si="36"/>
        <v>0</v>
      </c>
      <c r="X186">
        <f>'Entrada datos'!AB96</f>
        <v>0</v>
      </c>
      <c r="Y186">
        <f>'Entrada datos'!AC96</f>
        <v>0</v>
      </c>
      <c r="Z186">
        <f>'Entrada datos'!AD96</f>
        <v>0</v>
      </c>
      <c r="AA186">
        <f>'Entrada datos'!AE96</f>
        <v>0</v>
      </c>
      <c r="AB186">
        <f>'Entrada datos'!AF96</f>
        <v>0</v>
      </c>
      <c r="AC186">
        <f>'Entrada datos'!AG96</f>
        <v>0</v>
      </c>
      <c r="AD186" s="17">
        <f t="shared" si="37"/>
        <v>0</v>
      </c>
      <c r="AE186">
        <f>'Entrada datos'!AH96</f>
        <v>0</v>
      </c>
      <c r="AF186">
        <f>'Entrada datos'!AI96</f>
        <v>0</v>
      </c>
      <c r="AG186">
        <f>'Entrada datos'!AJ96</f>
        <v>0</v>
      </c>
      <c r="AH186">
        <f>'Entrada datos'!AK96</f>
        <v>0</v>
      </c>
      <c r="AI186">
        <f>'Entrada datos'!AL96</f>
        <v>0</v>
      </c>
      <c r="AJ186">
        <f>'Entrada datos'!AM96</f>
        <v>0</v>
      </c>
      <c r="AK186" s="17">
        <f t="shared" si="38"/>
        <v>0</v>
      </c>
      <c r="AL186">
        <f>'Entrada datos'!AN96</f>
        <v>0</v>
      </c>
      <c r="AM186">
        <f>'Entrada datos'!AO96</f>
        <v>0</v>
      </c>
      <c r="AN186">
        <f>'Entrada datos'!AP96</f>
        <v>0</v>
      </c>
      <c r="AO186">
        <f>'Entrada datos'!AQ96</f>
        <v>0</v>
      </c>
      <c r="AP186">
        <f>'Entrada datos'!AR96</f>
        <v>0</v>
      </c>
      <c r="AQ186">
        <f>'Entrada datos'!AS96</f>
        <v>0</v>
      </c>
      <c r="AR186" s="17">
        <f t="shared" si="39"/>
        <v>0</v>
      </c>
      <c r="AS186" s="23">
        <f t="shared" si="40"/>
        <v>0</v>
      </c>
      <c r="AT186">
        <f t="shared" si="41"/>
        <v>1900</v>
      </c>
      <c r="AU186" s="40" t="str">
        <f t="shared" si="42"/>
        <v>enero</v>
      </c>
      <c r="AV186">
        <f t="shared" si="43"/>
        <v>0</v>
      </c>
      <c r="AW186">
        <f t="shared" si="44"/>
        <v>0</v>
      </c>
      <c r="AX186" s="24">
        <f t="shared" si="45"/>
        <v>0</v>
      </c>
      <c r="AY186" s="24">
        <f t="shared" si="46"/>
        <v>0</v>
      </c>
      <c r="AZ186" s="24">
        <f t="shared" si="47"/>
        <v>0</v>
      </c>
      <c r="BA186">
        <f t="shared" si="48"/>
        <v>0</v>
      </c>
      <c r="BB186">
        <f t="shared" si="49"/>
        <v>0</v>
      </c>
      <c r="BC186" s="24">
        <f t="shared" si="50"/>
        <v>0</v>
      </c>
      <c r="BD186">
        <f t="shared" si="51"/>
        <v>0</v>
      </c>
    </row>
    <row r="187" spans="1:56" x14ac:dyDescent="0.3">
      <c r="A187">
        <f>'Entrada datos'!A97</f>
        <v>0</v>
      </c>
      <c r="B187">
        <f>'Entrada datos'!B97</f>
        <v>0</v>
      </c>
      <c r="C187">
        <f>'Entrada datos'!C97</f>
        <v>0</v>
      </c>
      <c r="D187">
        <f>'Entrada datos'!D97</f>
        <v>0</v>
      </c>
      <c r="E187" s="18">
        <f>'Entrada datos'!G97</f>
        <v>0</v>
      </c>
      <c r="F187" s="18">
        <f>'Entrada datos'!H97</f>
        <v>0</v>
      </c>
      <c r="G187">
        <f>'Entrada datos'!J97</f>
        <v>0</v>
      </c>
      <c r="H187">
        <f>'Entrada datos'!L97</f>
        <v>0</v>
      </c>
      <c r="I187">
        <f>'Entrada datos'!O97</f>
        <v>0</v>
      </c>
      <c r="J187">
        <f>'Entrada datos'!P97</f>
        <v>0</v>
      </c>
      <c r="K187">
        <f>'Entrada datos'!Q97</f>
        <v>0</v>
      </c>
      <c r="L187">
        <f>'Entrada datos'!R97</f>
        <v>0</v>
      </c>
      <c r="M187">
        <f>'Entrada datos'!S97</f>
        <v>0</v>
      </c>
      <c r="N187">
        <f>'Entrada datos'!T97</f>
        <v>0</v>
      </c>
      <c r="O187">
        <f>'Entrada datos'!U97</f>
        <v>0</v>
      </c>
      <c r="P187" s="17">
        <f t="shared" si="35"/>
        <v>0</v>
      </c>
      <c r="Q187">
        <f>'Entrada datos'!V97</f>
        <v>0</v>
      </c>
      <c r="R187">
        <f>'Entrada datos'!W97</f>
        <v>0</v>
      </c>
      <c r="S187">
        <f>'Entrada datos'!X97</f>
        <v>0</v>
      </c>
      <c r="T187">
        <f>'Entrada datos'!Y97</f>
        <v>0</v>
      </c>
      <c r="U187">
        <f>'Entrada datos'!Z97</f>
        <v>0</v>
      </c>
      <c r="V187">
        <f>'Entrada datos'!AA97</f>
        <v>0</v>
      </c>
      <c r="W187" s="17">
        <f t="shared" si="36"/>
        <v>0</v>
      </c>
      <c r="X187">
        <f>'Entrada datos'!AB97</f>
        <v>0</v>
      </c>
      <c r="Y187">
        <f>'Entrada datos'!AC97</f>
        <v>0</v>
      </c>
      <c r="Z187">
        <f>'Entrada datos'!AD97</f>
        <v>0</v>
      </c>
      <c r="AA187">
        <f>'Entrada datos'!AE97</f>
        <v>0</v>
      </c>
      <c r="AB187">
        <f>'Entrada datos'!AF97</f>
        <v>0</v>
      </c>
      <c r="AC187">
        <f>'Entrada datos'!AG97</f>
        <v>0</v>
      </c>
      <c r="AD187" s="17">
        <f t="shared" si="37"/>
        <v>0</v>
      </c>
      <c r="AE187">
        <f>'Entrada datos'!AH97</f>
        <v>0</v>
      </c>
      <c r="AF187">
        <f>'Entrada datos'!AI97</f>
        <v>0</v>
      </c>
      <c r="AG187">
        <f>'Entrada datos'!AJ97</f>
        <v>0</v>
      </c>
      <c r="AH187">
        <f>'Entrada datos'!AK97</f>
        <v>0</v>
      </c>
      <c r="AI187">
        <f>'Entrada datos'!AL97</f>
        <v>0</v>
      </c>
      <c r="AJ187">
        <f>'Entrada datos'!AM97</f>
        <v>0</v>
      </c>
      <c r="AK187" s="17">
        <f t="shared" si="38"/>
        <v>0</v>
      </c>
      <c r="AL187">
        <f>'Entrada datos'!AN97</f>
        <v>0</v>
      </c>
      <c r="AM187">
        <f>'Entrada datos'!AO97</f>
        <v>0</v>
      </c>
      <c r="AN187">
        <f>'Entrada datos'!AP97</f>
        <v>0</v>
      </c>
      <c r="AO187">
        <f>'Entrada datos'!AQ97</f>
        <v>0</v>
      </c>
      <c r="AP187">
        <f>'Entrada datos'!AR97</f>
        <v>0</v>
      </c>
      <c r="AQ187">
        <f>'Entrada datos'!AS97</f>
        <v>0</v>
      </c>
      <c r="AR187" s="17">
        <f t="shared" si="39"/>
        <v>0</v>
      </c>
      <c r="AS187" s="23">
        <f t="shared" si="40"/>
        <v>0</v>
      </c>
      <c r="AT187">
        <f t="shared" si="41"/>
        <v>1900</v>
      </c>
      <c r="AU187" s="40" t="str">
        <f t="shared" si="42"/>
        <v>enero</v>
      </c>
      <c r="AV187">
        <f t="shared" si="43"/>
        <v>0</v>
      </c>
      <c r="AW187">
        <f t="shared" si="44"/>
        <v>0</v>
      </c>
      <c r="AX187" s="24">
        <f t="shared" si="45"/>
        <v>0</v>
      </c>
      <c r="AY187" s="24">
        <f t="shared" si="46"/>
        <v>0</v>
      </c>
      <c r="AZ187" s="24">
        <f t="shared" si="47"/>
        <v>0</v>
      </c>
      <c r="BA187">
        <f t="shared" si="48"/>
        <v>0</v>
      </c>
      <c r="BB187">
        <f t="shared" si="49"/>
        <v>0</v>
      </c>
      <c r="BC187" s="24">
        <f t="shared" si="50"/>
        <v>0</v>
      </c>
      <c r="BD187">
        <f t="shared" si="51"/>
        <v>0</v>
      </c>
    </row>
    <row r="188" spans="1:56" x14ac:dyDescent="0.3">
      <c r="A188">
        <f>'Entrada datos'!A98</f>
        <v>0</v>
      </c>
      <c r="B188">
        <f>'Entrada datos'!B98</f>
        <v>0</v>
      </c>
      <c r="C188">
        <f>'Entrada datos'!C98</f>
        <v>0</v>
      </c>
      <c r="D188">
        <f>'Entrada datos'!D98</f>
        <v>0</v>
      </c>
      <c r="E188" s="18">
        <f>'Entrada datos'!G98</f>
        <v>0</v>
      </c>
      <c r="F188" s="18">
        <f>'Entrada datos'!H98</f>
        <v>0</v>
      </c>
      <c r="G188">
        <f>'Entrada datos'!J98</f>
        <v>0</v>
      </c>
      <c r="H188">
        <f>'Entrada datos'!L98</f>
        <v>0</v>
      </c>
      <c r="I188">
        <f>'Entrada datos'!O98</f>
        <v>0</v>
      </c>
      <c r="J188">
        <f>'Entrada datos'!P98</f>
        <v>0</v>
      </c>
      <c r="K188">
        <f>'Entrada datos'!Q98</f>
        <v>0</v>
      </c>
      <c r="L188">
        <f>'Entrada datos'!R98</f>
        <v>0</v>
      </c>
      <c r="M188">
        <f>'Entrada datos'!S98</f>
        <v>0</v>
      </c>
      <c r="N188">
        <f>'Entrada datos'!T98</f>
        <v>0</v>
      </c>
      <c r="O188">
        <f>'Entrada datos'!U98</f>
        <v>0</v>
      </c>
      <c r="P188" s="17">
        <f t="shared" si="35"/>
        <v>0</v>
      </c>
      <c r="Q188">
        <f>'Entrada datos'!V98</f>
        <v>0</v>
      </c>
      <c r="R188">
        <f>'Entrada datos'!W98</f>
        <v>0</v>
      </c>
      <c r="S188">
        <f>'Entrada datos'!X98</f>
        <v>0</v>
      </c>
      <c r="T188">
        <f>'Entrada datos'!Y98</f>
        <v>0</v>
      </c>
      <c r="U188">
        <f>'Entrada datos'!Z98</f>
        <v>0</v>
      </c>
      <c r="V188">
        <f>'Entrada datos'!AA98</f>
        <v>0</v>
      </c>
      <c r="W188" s="17">
        <f t="shared" si="36"/>
        <v>0</v>
      </c>
      <c r="X188">
        <f>'Entrada datos'!AB98</f>
        <v>0</v>
      </c>
      <c r="Y188">
        <f>'Entrada datos'!AC98</f>
        <v>0</v>
      </c>
      <c r="Z188">
        <f>'Entrada datos'!AD98</f>
        <v>0</v>
      </c>
      <c r="AA188">
        <f>'Entrada datos'!AE98</f>
        <v>0</v>
      </c>
      <c r="AB188">
        <f>'Entrada datos'!AF98</f>
        <v>0</v>
      </c>
      <c r="AC188">
        <f>'Entrada datos'!AG98</f>
        <v>0</v>
      </c>
      <c r="AD188" s="17">
        <f t="shared" si="37"/>
        <v>0</v>
      </c>
      <c r="AE188">
        <f>'Entrada datos'!AH98</f>
        <v>0</v>
      </c>
      <c r="AF188">
        <f>'Entrada datos'!AI98</f>
        <v>0</v>
      </c>
      <c r="AG188">
        <f>'Entrada datos'!AJ98</f>
        <v>0</v>
      </c>
      <c r="AH188">
        <f>'Entrada datos'!AK98</f>
        <v>0</v>
      </c>
      <c r="AI188">
        <f>'Entrada datos'!AL98</f>
        <v>0</v>
      </c>
      <c r="AJ188">
        <f>'Entrada datos'!AM98</f>
        <v>0</v>
      </c>
      <c r="AK188" s="17">
        <f t="shared" si="38"/>
        <v>0</v>
      </c>
      <c r="AL188">
        <f>'Entrada datos'!AN98</f>
        <v>0</v>
      </c>
      <c r="AM188">
        <f>'Entrada datos'!AO98</f>
        <v>0</v>
      </c>
      <c r="AN188">
        <f>'Entrada datos'!AP98</f>
        <v>0</v>
      </c>
      <c r="AO188">
        <f>'Entrada datos'!AQ98</f>
        <v>0</v>
      </c>
      <c r="AP188">
        <f>'Entrada datos'!AR98</f>
        <v>0</v>
      </c>
      <c r="AQ188">
        <f>'Entrada datos'!AS98</f>
        <v>0</v>
      </c>
      <c r="AR188" s="17">
        <f t="shared" si="39"/>
        <v>0</v>
      </c>
      <c r="AS188" s="23">
        <f t="shared" si="40"/>
        <v>0</v>
      </c>
      <c r="AT188">
        <f t="shared" si="41"/>
        <v>1900</v>
      </c>
      <c r="AU188" s="40" t="str">
        <f t="shared" si="42"/>
        <v>enero</v>
      </c>
      <c r="AV188">
        <f t="shared" si="43"/>
        <v>0</v>
      </c>
      <c r="AW188">
        <f t="shared" si="44"/>
        <v>0</v>
      </c>
      <c r="AX188" s="24">
        <f t="shared" si="45"/>
        <v>0</v>
      </c>
      <c r="AY188" s="24">
        <f t="shared" si="46"/>
        <v>0</v>
      </c>
      <c r="AZ188" s="24">
        <f t="shared" si="47"/>
        <v>0</v>
      </c>
      <c r="BA188">
        <f t="shared" si="48"/>
        <v>0</v>
      </c>
      <c r="BB188">
        <f t="shared" si="49"/>
        <v>0</v>
      </c>
      <c r="BC188" s="24">
        <f t="shared" si="50"/>
        <v>0</v>
      </c>
      <c r="BD188">
        <f t="shared" si="51"/>
        <v>0</v>
      </c>
    </row>
    <row r="189" spans="1:56" x14ac:dyDescent="0.3">
      <c r="A189">
        <f>'Entrada datos'!A99</f>
        <v>0</v>
      </c>
      <c r="B189">
        <f>'Entrada datos'!B99</f>
        <v>0</v>
      </c>
      <c r="C189">
        <f>'Entrada datos'!C99</f>
        <v>0</v>
      </c>
      <c r="D189">
        <f>'Entrada datos'!D99</f>
        <v>0</v>
      </c>
      <c r="E189" s="18">
        <f>'Entrada datos'!G99</f>
        <v>0</v>
      </c>
      <c r="F189" s="18">
        <f>'Entrada datos'!H99</f>
        <v>0</v>
      </c>
      <c r="G189">
        <f>'Entrada datos'!J99</f>
        <v>0</v>
      </c>
      <c r="H189">
        <f>'Entrada datos'!L99</f>
        <v>0</v>
      </c>
      <c r="I189">
        <f>'Entrada datos'!O99</f>
        <v>0</v>
      </c>
      <c r="J189">
        <f>'Entrada datos'!P99</f>
        <v>0</v>
      </c>
      <c r="K189">
        <f>'Entrada datos'!Q99</f>
        <v>0</v>
      </c>
      <c r="L189">
        <f>'Entrada datos'!R99</f>
        <v>0</v>
      </c>
      <c r="M189">
        <f>'Entrada datos'!S99</f>
        <v>0</v>
      </c>
      <c r="N189">
        <f>'Entrada datos'!T99</f>
        <v>0</v>
      </c>
      <c r="O189">
        <f>'Entrada datos'!U99</f>
        <v>0</v>
      </c>
      <c r="P189" s="17">
        <f t="shared" si="35"/>
        <v>0</v>
      </c>
      <c r="Q189">
        <f>'Entrada datos'!V99</f>
        <v>0</v>
      </c>
      <c r="R189">
        <f>'Entrada datos'!W99</f>
        <v>0</v>
      </c>
      <c r="S189">
        <f>'Entrada datos'!X99</f>
        <v>0</v>
      </c>
      <c r="T189">
        <f>'Entrada datos'!Y99</f>
        <v>0</v>
      </c>
      <c r="U189">
        <f>'Entrada datos'!Z99</f>
        <v>0</v>
      </c>
      <c r="V189">
        <f>'Entrada datos'!AA99</f>
        <v>0</v>
      </c>
      <c r="W189" s="17">
        <f t="shared" si="36"/>
        <v>0</v>
      </c>
      <c r="X189">
        <f>'Entrada datos'!AB99</f>
        <v>0</v>
      </c>
      <c r="Y189">
        <f>'Entrada datos'!AC99</f>
        <v>0</v>
      </c>
      <c r="Z189">
        <f>'Entrada datos'!AD99</f>
        <v>0</v>
      </c>
      <c r="AA189">
        <f>'Entrada datos'!AE99</f>
        <v>0</v>
      </c>
      <c r="AB189">
        <f>'Entrada datos'!AF99</f>
        <v>0</v>
      </c>
      <c r="AC189">
        <f>'Entrada datos'!AG99</f>
        <v>0</v>
      </c>
      <c r="AD189" s="17">
        <f t="shared" si="37"/>
        <v>0</v>
      </c>
      <c r="AE189">
        <f>'Entrada datos'!AH99</f>
        <v>0</v>
      </c>
      <c r="AF189">
        <f>'Entrada datos'!AI99</f>
        <v>0</v>
      </c>
      <c r="AG189">
        <f>'Entrada datos'!AJ99</f>
        <v>0</v>
      </c>
      <c r="AH189">
        <f>'Entrada datos'!AK99</f>
        <v>0</v>
      </c>
      <c r="AI189">
        <f>'Entrada datos'!AL99</f>
        <v>0</v>
      </c>
      <c r="AJ189">
        <f>'Entrada datos'!AM99</f>
        <v>0</v>
      </c>
      <c r="AK189" s="17">
        <f t="shared" si="38"/>
        <v>0</v>
      </c>
      <c r="AL189">
        <f>'Entrada datos'!AN99</f>
        <v>0</v>
      </c>
      <c r="AM189">
        <f>'Entrada datos'!AO99</f>
        <v>0</v>
      </c>
      <c r="AN189">
        <f>'Entrada datos'!AP99</f>
        <v>0</v>
      </c>
      <c r="AO189">
        <f>'Entrada datos'!AQ99</f>
        <v>0</v>
      </c>
      <c r="AP189">
        <f>'Entrada datos'!AR99</f>
        <v>0</v>
      </c>
      <c r="AQ189">
        <f>'Entrada datos'!AS99</f>
        <v>0</v>
      </c>
      <c r="AR189" s="17">
        <f t="shared" si="39"/>
        <v>0</v>
      </c>
      <c r="AS189" s="23">
        <f t="shared" si="40"/>
        <v>0</v>
      </c>
      <c r="AT189">
        <f t="shared" si="41"/>
        <v>1900</v>
      </c>
      <c r="AU189" s="40" t="str">
        <f t="shared" si="42"/>
        <v>enero</v>
      </c>
      <c r="AV189">
        <f t="shared" si="43"/>
        <v>0</v>
      </c>
      <c r="AW189">
        <f t="shared" si="44"/>
        <v>0</v>
      </c>
      <c r="AX189" s="24">
        <f t="shared" si="45"/>
        <v>0</v>
      </c>
      <c r="AY189" s="24">
        <f t="shared" si="46"/>
        <v>0</v>
      </c>
      <c r="AZ189" s="24">
        <f t="shared" si="47"/>
        <v>0</v>
      </c>
      <c r="BA189">
        <f t="shared" si="48"/>
        <v>0</v>
      </c>
      <c r="BB189">
        <f t="shared" si="49"/>
        <v>0</v>
      </c>
      <c r="BC189" s="24">
        <f t="shared" si="50"/>
        <v>0</v>
      </c>
      <c r="BD189">
        <f t="shared" si="51"/>
        <v>0</v>
      </c>
    </row>
    <row r="190" spans="1:56" x14ac:dyDescent="0.3">
      <c r="A190">
        <f>'Entrada datos'!A100</f>
        <v>0</v>
      </c>
      <c r="B190">
        <f>'Entrada datos'!B100</f>
        <v>0</v>
      </c>
      <c r="C190">
        <f>'Entrada datos'!C100</f>
        <v>0</v>
      </c>
      <c r="D190">
        <f>'Entrada datos'!D100</f>
        <v>0</v>
      </c>
      <c r="E190" s="18">
        <f>'Entrada datos'!G100</f>
        <v>0</v>
      </c>
      <c r="F190" s="18">
        <f>'Entrada datos'!H100</f>
        <v>0</v>
      </c>
      <c r="G190">
        <f>'Entrada datos'!J100</f>
        <v>0</v>
      </c>
      <c r="H190">
        <f>'Entrada datos'!L100</f>
        <v>0</v>
      </c>
      <c r="I190">
        <f>'Entrada datos'!O100</f>
        <v>0</v>
      </c>
      <c r="J190">
        <f>'Entrada datos'!P100</f>
        <v>0</v>
      </c>
      <c r="K190">
        <f>'Entrada datos'!Q100</f>
        <v>0</v>
      </c>
      <c r="L190">
        <f>'Entrada datos'!R100</f>
        <v>0</v>
      </c>
      <c r="M190">
        <f>'Entrada datos'!S100</f>
        <v>0</v>
      </c>
      <c r="N190">
        <f>'Entrada datos'!T100</f>
        <v>0</v>
      </c>
      <c r="O190">
        <f>'Entrada datos'!U100</f>
        <v>0</v>
      </c>
      <c r="P190" s="17">
        <f t="shared" si="35"/>
        <v>0</v>
      </c>
      <c r="Q190">
        <f>'Entrada datos'!V100</f>
        <v>0</v>
      </c>
      <c r="R190">
        <f>'Entrada datos'!W100</f>
        <v>0</v>
      </c>
      <c r="S190">
        <f>'Entrada datos'!X100</f>
        <v>0</v>
      </c>
      <c r="T190">
        <f>'Entrada datos'!Y100</f>
        <v>0</v>
      </c>
      <c r="U190">
        <f>'Entrada datos'!Z100</f>
        <v>0</v>
      </c>
      <c r="V190">
        <f>'Entrada datos'!AA100</f>
        <v>0</v>
      </c>
      <c r="W190" s="17">
        <f t="shared" si="36"/>
        <v>0</v>
      </c>
      <c r="X190">
        <f>'Entrada datos'!AB100</f>
        <v>0</v>
      </c>
      <c r="Y190">
        <f>'Entrada datos'!AC100</f>
        <v>0</v>
      </c>
      <c r="Z190">
        <f>'Entrada datos'!AD100</f>
        <v>0</v>
      </c>
      <c r="AA190">
        <f>'Entrada datos'!AE100</f>
        <v>0</v>
      </c>
      <c r="AB190">
        <f>'Entrada datos'!AF100</f>
        <v>0</v>
      </c>
      <c r="AC190">
        <f>'Entrada datos'!AG100</f>
        <v>0</v>
      </c>
      <c r="AD190" s="17">
        <f t="shared" si="37"/>
        <v>0</v>
      </c>
      <c r="AE190">
        <f>'Entrada datos'!AH100</f>
        <v>0</v>
      </c>
      <c r="AF190">
        <f>'Entrada datos'!AI100</f>
        <v>0</v>
      </c>
      <c r="AG190">
        <f>'Entrada datos'!AJ100</f>
        <v>0</v>
      </c>
      <c r="AH190">
        <f>'Entrada datos'!AK100</f>
        <v>0</v>
      </c>
      <c r="AI190">
        <f>'Entrada datos'!AL100</f>
        <v>0</v>
      </c>
      <c r="AJ190">
        <f>'Entrada datos'!AM100</f>
        <v>0</v>
      </c>
      <c r="AK190" s="17">
        <f t="shared" si="38"/>
        <v>0</v>
      </c>
      <c r="AL190">
        <f>'Entrada datos'!AN100</f>
        <v>0</v>
      </c>
      <c r="AM190">
        <f>'Entrada datos'!AO100</f>
        <v>0</v>
      </c>
      <c r="AN190">
        <f>'Entrada datos'!AP100</f>
        <v>0</v>
      </c>
      <c r="AO190">
        <f>'Entrada datos'!AQ100</f>
        <v>0</v>
      </c>
      <c r="AP190">
        <f>'Entrada datos'!AR100</f>
        <v>0</v>
      </c>
      <c r="AQ190">
        <f>'Entrada datos'!AS100</f>
        <v>0</v>
      </c>
      <c r="AR190" s="17">
        <f t="shared" si="39"/>
        <v>0</v>
      </c>
      <c r="AS190" s="23">
        <f t="shared" si="40"/>
        <v>0</v>
      </c>
      <c r="AT190">
        <f t="shared" si="41"/>
        <v>1900</v>
      </c>
      <c r="AU190" s="40" t="str">
        <f t="shared" si="42"/>
        <v>enero</v>
      </c>
      <c r="AV190">
        <f t="shared" si="43"/>
        <v>0</v>
      </c>
      <c r="AW190">
        <f t="shared" si="44"/>
        <v>0</v>
      </c>
      <c r="AX190" s="24">
        <f t="shared" si="45"/>
        <v>0</v>
      </c>
      <c r="AY190" s="24">
        <f t="shared" si="46"/>
        <v>0</v>
      </c>
      <c r="AZ190" s="24">
        <f t="shared" si="47"/>
        <v>0</v>
      </c>
      <c r="BA190">
        <f t="shared" si="48"/>
        <v>0</v>
      </c>
      <c r="BB190">
        <f t="shared" si="49"/>
        <v>0</v>
      </c>
      <c r="BC190" s="24">
        <f t="shared" si="50"/>
        <v>0</v>
      </c>
      <c r="BD190">
        <f t="shared" si="51"/>
        <v>0</v>
      </c>
    </row>
    <row r="191" spans="1:56" x14ac:dyDescent="0.3">
      <c r="A191">
        <f>'Entrada datos'!A101</f>
        <v>0</v>
      </c>
      <c r="B191">
        <f>'Entrada datos'!B101</f>
        <v>0</v>
      </c>
      <c r="C191">
        <f>'Entrada datos'!C101</f>
        <v>0</v>
      </c>
      <c r="D191">
        <f>'Entrada datos'!D101</f>
        <v>0</v>
      </c>
      <c r="E191" s="18">
        <f>'Entrada datos'!G101</f>
        <v>0</v>
      </c>
      <c r="F191" s="18">
        <f>'Entrada datos'!H101</f>
        <v>0</v>
      </c>
      <c r="G191">
        <f>'Entrada datos'!J101</f>
        <v>0</v>
      </c>
      <c r="H191">
        <f>'Entrada datos'!L101</f>
        <v>0</v>
      </c>
      <c r="I191">
        <f>'Entrada datos'!O101</f>
        <v>0</v>
      </c>
      <c r="J191">
        <f>'Entrada datos'!P101</f>
        <v>0</v>
      </c>
      <c r="K191">
        <f>'Entrada datos'!Q101</f>
        <v>0</v>
      </c>
      <c r="L191">
        <f>'Entrada datos'!R101</f>
        <v>0</v>
      </c>
      <c r="M191">
        <f>'Entrada datos'!S101</f>
        <v>0</v>
      </c>
      <c r="N191">
        <f>'Entrada datos'!T101</f>
        <v>0</v>
      </c>
      <c r="O191">
        <f>'Entrada datos'!U101</f>
        <v>0</v>
      </c>
      <c r="P191" s="17">
        <f t="shared" si="35"/>
        <v>0</v>
      </c>
      <c r="Q191">
        <f>'Entrada datos'!V101</f>
        <v>0</v>
      </c>
      <c r="R191">
        <f>'Entrada datos'!W101</f>
        <v>0</v>
      </c>
      <c r="S191">
        <f>'Entrada datos'!X101</f>
        <v>0</v>
      </c>
      <c r="T191">
        <f>'Entrada datos'!Y101</f>
        <v>0</v>
      </c>
      <c r="U191">
        <f>'Entrada datos'!Z101</f>
        <v>0</v>
      </c>
      <c r="V191">
        <f>'Entrada datos'!AA101</f>
        <v>0</v>
      </c>
      <c r="W191" s="17">
        <f t="shared" si="36"/>
        <v>0</v>
      </c>
      <c r="X191">
        <f>'Entrada datos'!AB101</f>
        <v>0</v>
      </c>
      <c r="Y191">
        <f>'Entrada datos'!AC101</f>
        <v>0</v>
      </c>
      <c r="Z191">
        <f>'Entrada datos'!AD101</f>
        <v>0</v>
      </c>
      <c r="AA191">
        <f>'Entrada datos'!AE101</f>
        <v>0</v>
      </c>
      <c r="AB191">
        <f>'Entrada datos'!AF101</f>
        <v>0</v>
      </c>
      <c r="AC191">
        <f>'Entrada datos'!AG101</f>
        <v>0</v>
      </c>
      <c r="AD191" s="17">
        <f t="shared" si="37"/>
        <v>0</v>
      </c>
      <c r="AE191">
        <f>'Entrada datos'!AH101</f>
        <v>0</v>
      </c>
      <c r="AF191">
        <f>'Entrada datos'!AI101</f>
        <v>0</v>
      </c>
      <c r="AG191">
        <f>'Entrada datos'!AJ101</f>
        <v>0</v>
      </c>
      <c r="AH191">
        <f>'Entrada datos'!AK101</f>
        <v>0</v>
      </c>
      <c r="AI191">
        <f>'Entrada datos'!AL101</f>
        <v>0</v>
      </c>
      <c r="AJ191">
        <f>'Entrada datos'!AM101</f>
        <v>0</v>
      </c>
      <c r="AK191" s="17">
        <f t="shared" si="38"/>
        <v>0</v>
      </c>
      <c r="AL191">
        <f>'Entrada datos'!AN101</f>
        <v>0</v>
      </c>
      <c r="AM191">
        <f>'Entrada datos'!AO101</f>
        <v>0</v>
      </c>
      <c r="AN191">
        <f>'Entrada datos'!AP101</f>
        <v>0</v>
      </c>
      <c r="AO191">
        <f>'Entrada datos'!AQ101</f>
        <v>0</v>
      </c>
      <c r="AP191">
        <f>'Entrada datos'!AR101</f>
        <v>0</v>
      </c>
      <c r="AQ191">
        <f>'Entrada datos'!AS101</f>
        <v>0</v>
      </c>
      <c r="AR191" s="17">
        <f t="shared" si="39"/>
        <v>0</v>
      </c>
      <c r="AS191" s="23">
        <f t="shared" si="40"/>
        <v>0</v>
      </c>
      <c r="AT191">
        <f t="shared" si="41"/>
        <v>1900</v>
      </c>
      <c r="AU191" s="40" t="str">
        <f t="shared" si="42"/>
        <v>enero</v>
      </c>
      <c r="AV191">
        <f t="shared" si="43"/>
        <v>0</v>
      </c>
      <c r="AW191">
        <f t="shared" si="44"/>
        <v>0</v>
      </c>
      <c r="AX191" s="24">
        <f t="shared" si="45"/>
        <v>0</v>
      </c>
      <c r="AY191" s="24">
        <f t="shared" si="46"/>
        <v>0</v>
      </c>
      <c r="AZ191" s="24">
        <f t="shared" si="47"/>
        <v>0</v>
      </c>
      <c r="BA191">
        <f t="shared" si="48"/>
        <v>0</v>
      </c>
      <c r="BB191">
        <f t="shared" si="49"/>
        <v>0</v>
      </c>
      <c r="BC191" s="24">
        <f t="shared" si="50"/>
        <v>0</v>
      </c>
      <c r="BD191">
        <f t="shared" si="51"/>
        <v>0</v>
      </c>
    </row>
    <row r="192" spans="1:56" x14ac:dyDescent="0.3">
      <c r="A192">
        <f>'Entrada datos'!A102</f>
        <v>0</v>
      </c>
      <c r="B192">
        <f>'Entrada datos'!B102</f>
        <v>0</v>
      </c>
      <c r="C192">
        <f>'Entrada datos'!C102</f>
        <v>0</v>
      </c>
      <c r="D192">
        <f>'Entrada datos'!D102</f>
        <v>0</v>
      </c>
      <c r="E192" s="18">
        <f>'Entrada datos'!G102</f>
        <v>0</v>
      </c>
      <c r="F192" s="18">
        <f>'Entrada datos'!H102</f>
        <v>0</v>
      </c>
      <c r="G192">
        <f>'Entrada datos'!J102</f>
        <v>0</v>
      </c>
      <c r="H192">
        <f>'Entrada datos'!L102</f>
        <v>0</v>
      </c>
      <c r="I192">
        <f>'Entrada datos'!O102</f>
        <v>0</v>
      </c>
      <c r="J192">
        <f>'Entrada datos'!P102</f>
        <v>0</v>
      </c>
      <c r="K192">
        <f>'Entrada datos'!Q102</f>
        <v>0</v>
      </c>
      <c r="L192">
        <f>'Entrada datos'!R102</f>
        <v>0</v>
      </c>
      <c r="M192">
        <f>'Entrada datos'!S102</f>
        <v>0</v>
      </c>
      <c r="N192">
        <f>'Entrada datos'!T102</f>
        <v>0</v>
      </c>
      <c r="O192">
        <f>'Entrada datos'!U102</f>
        <v>0</v>
      </c>
      <c r="P192" s="17">
        <f t="shared" si="35"/>
        <v>0</v>
      </c>
      <c r="Q192">
        <f>'Entrada datos'!V102</f>
        <v>0</v>
      </c>
      <c r="R192">
        <f>'Entrada datos'!W102</f>
        <v>0</v>
      </c>
      <c r="S192">
        <f>'Entrada datos'!X102</f>
        <v>0</v>
      </c>
      <c r="T192">
        <f>'Entrada datos'!Y102</f>
        <v>0</v>
      </c>
      <c r="U192">
        <f>'Entrada datos'!Z102</f>
        <v>0</v>
      </c>
      <c r="V192">
        <f>'Entrada datos'!AA102</f>
        <v>0</v>
      </c>
      <c r="W192" s="17">
        <f t="shared" si="36"/>
        <v>0</v>
      </c>
      <c r="X192">
        <f>'Entrada datos'!AB102</f>
        <v>0</v>
      </c>
      <c r="Y192">
        <f>'Entrada datos'!AC102</f>
        <v>0</v>
      </c>
      <c r="Z192">
        <f>'Entrada datos'!AD102</f>
        <v>0</v>
      </c>
      <c r="AA192">
        <f>'Entrada datos'!AE102</f>
        <v>0</v>
      </c>
      <c r="AB192">
        <f>'Entrada datos'!AF102</f>
        <v>0</v>
      </c>
      <c r="AC192">
        <f>'Entrada datos'!AG102</f>
        <v>0</v>
      </c>
      <c r="AD192" s="17">
        <f t="shared" si="37"/>
        <v>0</v>
      </c>
      <c r="AE192">
        <f>'Entrada datos'!AH102</f>
        <v>0</v>
      </c>
      <c r="AF192">
        <f>'Entrada datos'!AI102</f>
        <v>0</v>
      </c>
      <c r="AG192">
        <f>'Entrada datos'!AJ102</f>
        <v>0</v>
      </c>
      <c r="AH192">
        <f>'Entrada datos'!AK102</f>
        <v>0</v>
      </c>
      <c r="AI192">
        <f>'Entrada datos'!AL102</f>
        <v>0</v>
      </c>
      <c r="AJ192">
        <f>'Entrada datos'!AM102</f>
        <v>0</v>
      </c>
      <c r="AK192" s="17">
        <f t="shared" si="38"/>
        <v>0</v>
      </c>
      <c r="AL192">
        <f>'Entrada datos'!AN102</f>
        <v>0</v>
      </c>
      <c r="AM192">
        <f>'Entrada datos'!AO102</f>
        <v>0</v>
      </c>
      <c r="AN192">
        <f>'Entrada datos'!AP102</f>
        <v>0</v>
      </c>
      <c r="AO192">
        <f>'Entrada datos'!AQ102</f>
        <v>0</v>
      </c>
      <c r="AP192">
        <f>'Entrada datos'!AR102</f>
        <v>0</v>
      </c>
      <c r="AQ192">
        <f>'Entrada datos'!AS102</f>
        <v>0</v>
      </c>
      <c r="AR192" s="17">
        <f t="shared" si="39"/>
        <v>0</v>
      </c>
      <c r="AS192" s="23">
        <f t="shared" si="40"/>
        <v>0</v>
      </c>
      <c r="AT192">
        <f t="shared" si="41"/>
        <v>1900</v>
      </c>
      <c r="AU192" s="40" t="str">
        <f t="shared" si="42"/>
        <v>enero</v>
      </c>
      <c r="AV192">
        <f t="shared" si="43"/>
        <v>0</v>
      </c>
      <c r="AW192">
        <f t="shared" si="44"/>
        <v>0</v>
      </c>
      <c r="AX192" s="24">
        <f t="shared" si="45"/>
        <v>0</v>
      </c>
      <c r="AY192" s="24">
        <f t="shared" si="46"/>
        <v>0</v>
      </c>
      <c r="AZ192" s="24">
        <f t="shared" si="47"/>
        <v>0</v>
      </c>
      <c r="BA192">
        <f t="shared" si="48"/>
        <v>0</v>
      </c>
      <c r="BB192">
        <f t="shared" si="49"/>
        <v>0</v>
      </c>
      <c r="BC192" s="24">
        <f t="shared" si="50"/>
        <v>0</v>
      </c>
      <c r="BD192">
        <f t="shared" si="51"/>
        <v>0</v>
      </c>
    </row>
    <row r="193" spans="1:56" x14ac:dyDescent="0.3">
      <c r="A193">
        <f>'Entrada datos'!A103</f>
        <v>0</v>
      </c>
      <c r="B193">
        <f>'Entrada datos'!B103</f>
        <v>0</v>
      </c>
      <c r="C193">
        <f>'Entrada datos'!C103</f>
        <v>0</v>
      </c>
      <c r="D193">
        <f>'Entrada datos'!D103</f>
        <v>0</v>
      </c>
      <c r="E193" s="18">
        <f>'Entrada datos'!G103</f>
        <v>0</v>
      </c>
      <c r="F193" s="18">
        <f>'Entrada datos'!H103</f>
        <v>0</v>
      </c>
      <c r="G193">
        <f>'Entrada datos'!J103</f>
        <v>0</v>
      </c>
      <c r="H193">
        <f>'Entrada datos'!L103</f>
        <v>0</v>
      </c>
      <c r="I193">
        <f>'Entrada datos'!O103</f>
        <v>0</v>
      </c>
      <c r="J193">
        <f>'Entrada datos'!P103</f>
        <v>0</v>
      </c>
      <c r="K193">
        <f>'Entrada datos'!Q103</f>
        <v>0</v>
      </c>
      <c r="L193">
        <f>'Entrada datos'!R103</f>
        <v>0</v>
      </c>
      <c r="M193">
        <f>'Entrada datos'!S103</f>
        <v>0</v>
      </c>
      <c r="N193">
        <f>'Entrada datos'!T103</f>
        <v>0</v>
      </c>
      <c r="O193">
        <f>'Entrada datos'!U103</f>
        <v>0</v>
      </c>
      <c r="P193" s="17">
        <f t="shared" si="35"/>
        <v>0</v>
      </c>
      <c r="Q193">
        <f>'Entrada datos'!V103</f>
        <v>0</v>
      </c>
      <c r="R193">
        <f>'Entrada datos'!W103</f>
        <v>0</v>
      </c>
      <c r="S193">
        <f>'Entrada datos'!X103</f>
        <v>0</v>
      </c>
      <c r="T193">
        <f>'Entrada datos'!Y103</f>
        <v>0</v>
      </c>
      <c r="U193">
        <f>'Entrada datos'!Z103</f>
        <v>0</v>
      </c>
      <c r="V193">
        <f>'Entrada datos'!AA103</f>
        <v>0</v>
      </c>
      <c r="W193" s="17">
        <f t="shared" si="36"/>
        <v>0</v>
      </c>
      <c r="X193">
        <f>'Entrada datos'!AB103</f>
        <v>0</v>
      </c>
      <c r="Y193">
        <f>'Entrada datos'!AC103</f>
        <v>0</v>
      </c>
      <c r="Z193">
        <f>'Entrada datos'!AD103</f>
        <v>0</v>
      </c>
      <c r="AA193">
        <f>'Entrada datos'!AE103</f>
        <v>0</v>
      </c>
      <c r="AB193">
        <f>'Entrada datos'!AF103</f>
        <v>0</v>
      </c>
      <c r="AC193">
        <f>'Entrada datos'!AG103</f>
        <v>0</v>
      </c>
      <c r="AD193" s="17">
        <f t="shared" si="37"/>
        <v>0</v>
      </c>
      <c r="AE193">
        <f>'Entrada datos'!AH103</f>
        <v>0</v>
      </c>
      <c r="AF193">
        <f>'Entrada datos'!AI103</f>
        <v>0</v>
      </c>
      <c r="AG193">
        <f>'Entrada datos'!AJ103</f>
        <v>0</v>
      </c>
      <c r="AH193">
        <f>'Entrada datos'!AK103</f>
        <v>0</v>
      </c>
      <c r="AI193">
        <f>'Entrada datos'!AL103</f>
        <v>0</v>
      </c>
      <c r="AJ193">
        <f>'Entrada datos'!AM103</f>
        <v>0</v>
      </c>
      <c r="AK193" s="17">
        <f t="shared" si="38"/>
        <v>0</v>
      </c>
      <c r="AL193">
        <f>'Entrada datos'!AN103</f>
        <v>0</v>
      </c>
      <c r="AM193">
        <f>'Entrada datos'!AO103</f>
        <v>0</v>
      </c>
      <c r="AN193">
        <f>'Entrada datos'!AP103</f>
        <v>0</v>
      </c>
      <c r="AO193">
        <f>'Entrada datos'!AQ103</f>
        <v>0</v>
      </c>
      <c r="AP193">
        <f>'Entrada datos'!AR103</f>
        <v>0</v>
      </c>
      <c r="AQ193">
        <f>'Entrada datos'!AS103</f>
        <v>0</v>
      </c>
      <c r="AR193" s="17">
        <f t="shared" si="39"/>
        <v>0</v>
      </c>
      <c r="AS193" s="23">
        <f t="shared" si="40"/>
        <v>0</v>
      </c>
      <c r="AT193">
        <f t="shared" si="41"/>
        <v>1900</v>
      </c>
      <c r="AU193" s="40" t="str">
        <f t="shared" si="42"/>
        <v>enero</v>
      </c>
      <c r="AV193">
        <f t="shared" si="43"/>
        <v>0</v>
      </c>
      <c r="AW193">
        <f t="shared" si="44"/>
        <v>0</v>
      </c>
      <c r="AX193" s="24">
        <f t="shared" si="45"/>
        <v>0</v>
      </c>
      <c r="AY193" s="24">
        <f t="shared" si="46"/>
        <v>0</v>
      </c>
      <c r="AZ193" s="24">
        <f t="shared" si="47"/>
        <v>0</v>
      </c>
      <c r="BA193">
        <f t="shared" si="48"/>
        <v>0</v>
      </c>
      <c r="BB193">
        <f t="shared" si="49"/>
        <v>0</v>
      </c>
      <c r="BC193" s="24">
        <f t="shared" si="50"/>
        <v>0</v>
      </c>
      <c r="BD193">
        <f t="shared" si="51"/>
        <v>0</v>
      </c>
    </row>
    <row r="194" spans="1:56" x14ac:dyDescent="0.3">
      <c r="A194">
        <f>'Entrada datos'!A104</f>
        <v>0</v>
      </c>
      <c r="B194">
        <f>'Entrada datos'!B104</f>
        <v>0</v>
      </c>
      <c r="C194">
        <f>'Entrada datos'!C104</f>
        <v>0</v>
      </c>
      <c r="D194">
        <f>'Entrada datos'!D104</f>
        <v>0</v>
      </c>
      <c r="E194" s="18">
        <f>'Entrada datos'!G104</f>
        <v>0</v>
      </c>
      <c r="F194" s="18">
        <f>'Entrada datos'!H104</f>
        <v>0</v>
      </c>
      <c r="G194">
        <f>'Entrada datos'!J104</f>
        <v>0</v>
      </c>
      <c r="H194">
        <f>'Entrada datos'!L104</f>
        <v>0</v>
      </c>
      <c r="I194">
        <f>'Entrada datos'!O104</f>
        <v>0</v>
      </c>
      <c r="J194">
        <f>'Entrada datos'!P104</f>
        <v>0</v>
      </c>
      <c r="K194">
        <f>'Entrada datos'!Q104</f>
        <v>0</v>
      </c>
      <c r="L194">
        <f>'Entrada datos'!R104</f>
        <v>0</v>
      </c>
      <c r="M194">
        <f>'Entrada datos'!S104</f>
        <v>0</v>
      </c>
      <c r="N194">
        <f>'Entrada datos'!T104</f>
        <v>0</v>
      </c>
      <c r="O194">
        <f>'Entrada datos'!U104</f>
        <v>0</v>
      </c>
      <c r="P194" s="17">
        <f t="shared" si="35"/>
        <v>0</v>
      </c>
      <c r="Q194">
        <f>'Entrada datos'!V104</f>
        <v>0</v>
      </c>
      <c r="R194">
        <f>'Entrada datos'!W104</f>
        <v>0</v>
      </c>
      <c r="S194">
        <f>'Entrada datos'!X104</f>
        <v>0</v>
      </c>
      <c r="T194">
        <f>'Entrada datos'!Y104</f>
        <v>0</v>
      </c>
      <c r="U194">
        <f>'Entrada datos'!Z104</f>
        <v>0</v>
      </c>
      <c r="V194">
        <f>'Entrada datos'!AA104</f>
        <v>0</v>
      </c>
      <c r="W194" s="17">
        <f t="shared" si="36"/>
        <v>0</v>
      </c>
      <c r="X194">
        <f>'Entrada datos'!AB104</f>
        <v>0</v>
      </c>
      <c r="Y194">
        <f>'Entrada datos'!AC104</f>
        <v>0</v>
      </c>
      <c r="Z194">
        <f>'Entrada datos'!AD104</f>
        <v>0</v>
      </c>
      <c r="AA194">
        <f>'Entrada datos'!AE104</f>
        <v>0</v>
      </c>
      <c r="AB194">
        <f>'Entrada datos'!AF104</f>
        <v>0</v>
      </c>
      <c r="AC194">
        <f>'Entrada datos'!AG104</f>
        <v>0</v>
      </c>
      <c r="AD194" s="17">
        <f t="shared" si="37"/>
        <v>0</v>
      </c>
      <c r="AE194">
        <f>'Entrada datos'!AH104</f>
        <v>0</v>
      </c>
      <c r="AF194">
        <f>'Entrada datos'!AI104</f>
        <v>0</v>
      </c>
      <c r="AG194">
        <f>'Entrada datos'!AJ104</f>
        <v>0</v>
      </c>
      <c r="AH194">
        <f>'Entrada datos'!AK104</f>
        <v>0</v>
      </c>
      <c r="AI194">
        <f>'Entrada datos'!AL104</f>
        <v>0</v>
      </c>
      <c r="AJ194">
        <f>'Entrada datos'!AM104</f>
        <v>0</v>
      </c>
      <c r="AK194" s="17">
        <f t="shared" si="38"/>
        <v>0</v>
      </c>
      <c r="AL194">
        <f>'Entrada datos'!AN104</f>
        <v>0</v>
      </c>
      <c r="AM194">
        <f>'Entrada datos'!AO104</f>
        <v>0</v>
      </c>
      <c r="AN194">
        <f>'Entrada datos'!AP104</f>
        <v>0</v>
      </c>
      <c r="AO194">
        <f>'Entrada datos'!AQ104</f>
        <v>0</v>
      </c>
      <c r="AP194">
        <f>'Entrada datos'!AR104</f>
        <v>0</v>
      </c>
      <c r="AQ194">
        <f>'Entrada datos'!AS104</f>
        <v>0</v>
      </c>
      <c r="AR194" s="17">
        <f t="shared" si="39"/>
        <v>0</v>
      </c>
      <c r="AS194" s="23">
        <f t="shared" si="40"/>
        <v>0</v>
      </c>
      <c r="AT194">
        <f t="shared" si="41"/>
        <v>1900</v>
      </c>
      <c r="AU194" s="40" t="str">
        <f t="shared" si="42"/>
        <v>enero</v>
      </c>
      <c r="AV194">
        <f t="shared" si="43"/>
        <v>0</v>
      </c>
      <c r="AW194">
        <f t="shared" si="44"/>
        <v>0</v>
      </c>
      <c r="AX194" s="24">
        <f t="shared" si="45"/>
        <v>0</v>
      </c>
      <c r="AY194" s="24">
        <f t="shared" si="46"/>
        <v>0</v>
      </c>
      <c r="AZ194" s="24">
        <f t="shared" si="47"/>
        <v>0</v>
      </c>
      <c r="BA194">
        <f t="shared" si="48"/>
        <v>0</v>
      </c>
      <c r="BB194">
        <f t="shared" si="49"/>
        <v>0</v>
      </c>
      <c r="BC194" s="24">
        <f t="shared" si="50"/>
        <v>0</v>
      </c>
      <c r="BD194">
        <f t="shared" si="51"/>
        <v>0</v>
      </c>
    </row>
    <row r="195" spans="1:56" x14ac:dyDescent="0.3">
      <c r="A195">
        <f>'Entrada datos'!A105</f>
        <v>0</v>
      </c>
      <c r="B195">
        <f>'Entrada datos'!B105</f>
        <v>0</v>
      </c>
      <c r="C195">
        <f>'Entrada datos'!C105</f>
        <v>0</v>
      </c>
      <c r="D195">
        <f>'Entrada datos'!D105</f>
        <v>0</v>
      </c>
      <c r="E195" s="18">
        <f>'Entrada datos'!G105</f>
        <v>0</v>
      </c>
      <c r="F195" s="18">
        <f>'Entrada datos'!H105</f>
        <v>0</v>
      </c>
      <c r="G195">
        <f>'Entrada datos'!J105</f>
        <v>0</v>
      </c>
      <c r="H195">
        <f>'Entrada datos'!L105</f>
        <v>0</v>
      </c>
      <c r="I195">
        <f>'Entrada datos'!O105</f>
        <v>0</v>
      </c>
      <c r="J195">
        <f>'Entrada datos'!P105</f>
        <v>0</v>
      </c>
      <c r="K195">
        <f>'Entrada datos'!Q105</f>
        <v>0</v>
      </c>
      <c r="L195">
        <f>'Entrada datos'!R105</f>
        <v>0</v>
      </c>
      <c r="M195">
        <f>'Entrada datos'!S105</f>
        <v>0</v>
      </c>
      <c r="N195">
        <f>'Entrada datos'!T105</f>
        <v>0</v>
      </c>
      <c r="O195">
        <f>'Entrada datos'!U105</f>
        <v>0</v>
      </c>
      <c r="P195" s="17">
        <f t="shared" ref="P195:P258" si="52">SUM(J195:O195)</f>
        <v>0</v>
      </c>
      <c r="Q195">
        <f>'Entrada datos'!V105</f>
        <v>0</v>
      </c>
      <c r="R195">
        <f>'Entrada datos'!W105</f>
        <v>0</v>
      </c>
      <c r="S195">
        <f>'Entrada datos'!X105</f>
        <v>0</v>
      </c>
      <c r="T195">
        <f>'Entrada datos'!Y105</f>
        <v>0</v>
      </c>
      <c r="U195">
        <f>'Entrada datos'!Z105</f>
        <v>0</v>
      </c>
      <c r="V195">
        <f>'Entrada datos'!AA105</f>
        <v>0</v>
      </c>
      <c r="W195" s="17">
        <f t="shared" ref="W195:W258" si="53">SUM(Q195:V195)</f>
        <v>0</v>
      </c>
      <c r="X195">
        <f>'Entrada datos'!AB105</f>
        <v>0</v>
      </c>
      <c r="Y195">
        <f>'Entrada datos'!AC105</f>
        <v>0</v>
      </c>
      <c r="Z195">
        <f>'Entrada datos'!AD105</f>
        <v>0</v>
      </c>
      <c r="AA195">
        <f>'Entrada datos'!AE105</f>
        <v>0</v>
      </c>
      <c r="AB195">
        <f>'Entrada datos'!AF105</f>
        <v>0</v>
      </c>
      <c r="AC195">
        <f>'Entrada datos'!AG105</f>
        <v>0</v>
      </c>
      <c r="AD195" s="17">
        <f t="shared" ref="AD195:AD258" si="54">SUM(X195:AC195)</f>
        <v>0</v>
      </c>
      <c r="AE195">
        <f>'Entrada datos'!AH105</f>
        <v>0</v>
      </c>
      <c r="AF195">
        <f>'Entrada datos'!AI105</f>
        <v>0</v>
      </c>
      <c r="AG195">
        <f>'Entrada datos'!AJ105</f>
        <v>0</v>
      </c>
      <c r="AH195">
        <f>'Entrada datos'!AK105</f>
        <v>0</v>
      </c>
      <c r="AI195">
        <f>'Entrada datos'!AL105</f>
        <v>0</v>
      </c>
      <c r="AJ195">
        <f>'Entrada datos'!AM105</f>
        <v>0</v>
      </c>
      <c r="AK195" s="17">
        <f t="shared" ref="AK195:AK258" si="55">SUM(AE195:AJ195)</f>
        <v>0</v>
      </c>
      <c r="AL195">
        <f>'Entrada datos'!AN105</f>
        <v>0</v>
      </c>
      <c r="AM195">
        <f>'Entrada datos'!AO105</f>
        <v>0</v>
      </c>
      <c r="AN195">
        <f>'Entrada datos'!AP105</f>
        <v>0</v>
      </c>
      <c r="AO195">
        <f>'Entrada datos'!AQ105</f>
        <v>0</v>
      </c>
      <c r="AP195">
        <f>'Entrada datos'!AR105</f>
        <v>0</v>
      </c>
      <c r="AQ195">
        <f>'Entrada datos'!AS105</f>
        <v>0</v>
      </c>
      <c r="AR195" s="17">
        <f t="shared" ref="AR195:AR258" si="56">MAX(AL195:AQ195)</f>
        <v>0</v>
      </c>
      <c r="AS195" s="23">
        <f t="shared" ref="AS195:AS258" si="57">IF(AR195&gt;900,AR195/1000,AR195)</f>
        <v>0</v>
      </c>
      <c r="AT195">
        <f t="shared" ref="AT195:AT258" si="58">YEAR(E195)</f>
        <v>1900</v>
      </c>
      <c r="AU195" s="40" t="str">
        <f t="shared" ref="AU195:AU258" si="59">TEXT(E195,"mmmm")</f>
        <v>enero</v>
      </c>
      <c r="AV195">
        <f t="shared" ref="AV195:AV258" si="60">SUM(AD195,P195)</f>
        <v>0</v>
      </c>
      <c r="AW195">
        <f t="shared" ref="AW195:AW258" si="61">F195-E195</f>
        <v>0</v>
      </c>
      <c r="AX195" s="24">
        <f t="shared" ref="AX195:AX258" si="62">IFERROR(P195/AW195,0)</f>
        <v>0</v>
      </c>
      <c r="AY195" s="24">
        <f t="shared" ref="AY195:AY258" si="63">IFERROR(AV195/AW195,0)</f>
        <v>0</v>
      </c>
      <c r="AZ195" s="24">
        <f t="shared" ref="AZ195:AZ258" si="64">AY195-AX195</f>
        <v>0</v>
      </c>
      <c r="BA195">
        <f t="shared" ref="BA195:BA258" si="65">P195+AK195</f>
        <v>0</v>
      </c>
      <c r="BB195">
        <f t="shared" ref="BB195:BB258" si="66">IFERROR(BA195/AW195,0)</f>
        <v>0</v>
      </c>
      <c r="BC195" s="24">
        <f t="shared" ref="BC195:BC258" si="67">IFERROR(BB195-AX195,0)</f>
        <v>0</v>
      </c>
      <c r="BD195">
        <f t="shared" ref="BD195:BD258" si="68">P195+AD195+AK195</f>
        <v>0</v>
      </c>
    </row>
    <row r="196" spans="1:56" x14ac:dyDescent="0.3">
      <c r="A196">
        <f>'Entrada datos'!A106</f>
        <v>0</v>
      </c>
      <c r="B196">
        <f>'Entrada datos'!B106</f>
        <v>0</v>
      </c>
      <c r="C196">
        <f>'Entrada datos'!C106</f>
        <v>0</v>
      </c>
      <c r="D196">
        <f>'Entrada datos'!D106</f>
        <v>0</v>
      </c>
      <c r="E196" s="18">
        <f>'Entrada datos'!G106</f>
        <v>0</v>
      </c>
      <c r="F196" s="18">
        <f>'Entrada datos'!H106</f>
        <v>0</v>
      </c>
      <c r="G196">
        <f>'Entrada datos'!J106</f>
        <v>0</v>
      </c>
      <c r="H196">
        <f>'Entrada datos'!L106</f>
        <v>0</v>
      </c>
      <c r="I196">
        <f>'Entrada datos'!O106</f>
        <v>0</v>
      </c>
      <c r="J196">
        <f>'Entrada datos'!P106</f>
        <v>0</v>
      </c>
      <c r="K196">
        <f>'Entrada datos'!Q106</f>
        <v>0</v>
      </c>
      <c r="L196">
        <f>'Entrada datos'!R106</f>
        <v>0</v>
      </c>
      <c r="M196">
        <f>'Entrada datos'!S106</f>
        <v>0</v>
      </c>
      <c r="N196">
        <f>'Entrada datos'!T106</f>
        <v>0</v>
      </c>
      <c r="O196">
        <f>'Entrada datos'!U106</f>
        <v>0</v>
      </c>
      <c r="P196" s="17">
        <f t="shared" si="52"/>
        <v>0</v>
      </c>
      <c r="Q196">
        <f>'Entrada datos'!V106</f>
        <v>0</v>
      </c>
      <c r="R196">
        <f>'Entrada datos'!W106</f>
        <v>0</v>
      </c>
      <c r="S196">
        <f>'Entrada datos'!X106</f>
        <v>0</v>
      </c>
      <c r="T196">
        <f>'Entrada datos'!Y106</f>
        <v>0</v>
      </c>
      <c r="U196">
        <f>'Entrada datos'!Z106</f>
        <v>0</v>
      </c>
      <c r="V196">
        <f>'Entrada datos'!AA106</f>
        <v>0</v>
      </c>
      <c r="W196" s="17">
        <f t="shared" si="53"/>
        <v>0</v>
      </c>
      <c r="X196">
        <f>'Entrada datos'!AB106</f>
        <v>0</v>
      </c>
      <c r="Y196">
        <f>'Entrada datos'!AC106</f>
        <v>0</v>
      </c>
      <c r="Z196">
        <f>'Entrada datos'!AD106</f>
        <v>0</v>
      </c>
      <c r="AA196">
        <f>'Entrada datos'!AE106</f>
        <v>0</v>
      </c>
      <c r="AB196">
        <f>'Entrada datos'!AF106</f>
        <v>0</v>
      </c>
      <c r="AC196">
        <f>'Entrada datos'!AG106</f>
        <v>0</v>
      </c>
      <c r="AD196" s="17">
        <f t="shared" si="54"/>
        <v>0</v>
      </c>
      <c r="AE196">
        <f>'Entrada datos'!AH106</f>
        <v>0</v>
      </c>
      <c r="AF196">
        <f>'Entrada datos'!AI106</f>
        <v>0</v>
      </c>
      <c r="AG196">
        <f>'Entrada datos'!AJ106</f>
        <v>0</v>
      </c>
      <c r="AH196">
        <f>'Entrada datos'!AK106</f>
        <v>0</v>
      </c>
      <c r="AI196">
        <f>'Entrada datos'!AL106</f>
        <v>0</v>
      </c>
      <c r="AJ196">
        <f>'Entrada datos'!AM106</f>
        <v>0</v>
      </c>
      <c r="AK196" s="17">
        <f t="shared" si="55"/>
        <v>0</v>
      </c>
      <c r="AL196">
        <f>'Entrada datos'!AN106</f>
        <v>0</v>
      </c>
      <c r="AM196">
        <f>'Entrada datos'!AO106</f>
        <v>0</v>
      </c>
      <c r="AN196">
        <f>'Entrada datos'!AP106</f>
        <v>0</v>
      </c>
      <c r="AO196">
        <f>'Entrada datos'!AQ106</f>
        <v>0</v>
      </c>
      <c r="AP196">
        <f>'Entrada datos'!AR106</f>
        <v>0</v>
      </c>
      <c r="AQ196">
        <f>'Entrada datos'!AS106</f>
        <v>0</v>
      </c>
      <c r="AR196" s="17">
        <f t="shared" si="56"/>
        <v>0</v>
      </c>
      <c r="AS196" s="23">
        <f t="shared" si="57"/>
        <v>0</v>
      </c>
      <c r="AT196">
        <f t="shared" si="58"/>
        <v>1900</v>
      </c>
      <c r="AU196" s="40" t="str">
        <f t="shared" si="59"/>
        <v>enero</v>
      </c>
      <c r="AV196">
        <f t="shared" si="60"/>
        <v>0</v>
      </c>
      <c r="AW196">
        <f t="shared" si="61"/>
        <v>0</v>
      </c>
      <c r="AX196" s="24">
        <f t="shared" si="62"/>
        <v>0</v>
      </c>
      <c r="AY196" s="24">
        <f t="shared" si="63"/>
        <v>0</v>
      </c>
      <c r="AZ196" s="24">
        <f t="shared" si="64"/>
        <v>0</v>
      </c>
      <c r="BA196">
        <f t="shared" si="65"/>
        <v>0</v>
      </c>
      <c r="BB196">
        <f t="shared" si="66"/>
        <v>0</v>
      </c>
      <c r="BC196" s="24">
        <f t="shared" si="67"/>
        <v>0</v>
      </c>
      <c r="BD196">
        <f t="shared" si="68"/>
        <v>0</v>
      </c>
    </row>
    <row r="197" spans="1:56" x14ac:dyDescent="0.3">
      <c r="A197">
        <f>'Entrada datos'!A107</f>
        <v>0</v>
      </c>
      <c r="B197">
        <f>'Entrada datos'!B107</f>
        <v>0</v>
      </c>
      <c r="C197">
        <f>'Entrada datos'!C107</f>
        <v>0</v>
      </c>
      <c r="D197">
        <f>'Entrada datos'!D107</f>
        <v>0</v>
      </c>
      <c r="E197" s="18">
        <f>'Entrada datos'!G107</f>
        <v>0</v>
      </c>
      <c r="F197" s="18">
        <f>'Entrada datos'!H107</f>
        <v>0</v>
      </c>
      <c r="G197">
        <f>'Entrada datos'!J107</f>
        <v>0</v>
      </c>
      <c r="H197">
        <f>'Entrada datos'!L107</f>
        <v>0</v>
      </c>
      <c r="I197">
        <f>'Entrada datos'!O107</f>
        <v>0</v>
      </c>
      <c r="J197">
        <f>'Entrada datos'!P107</f>
        <v>0</v>
      </c>
      <c r="K197">
        <f>'Entrada datos'!Q107</f>
        <v>0</v>
      </c>
      <c r="L197">
        <f>'Entrada datos'!R107</f>
        <v>0</v>
      </c>
      <c r="M197">
        <f>'Entrada datos'!S107</f>
        <v>0</v>
      </c>
      <c r="N197">
        <f>'Entrada datos'!T107</f>
        <v>0</v>
      </c>
      <c r="O197">
        <f>'Entrada datos'!U107</f>
        <v>0</v>
      </c>
      <c r="P197" s="17">
        <f t="shared" si="52"/>
        <v>0</v>
      </c>
      <c r="Q197">
        <f>'Entrada datos'!V107</f>
        <v>0</v>
      </c>
      <c r="R197">
        <f>'Entrada datos'!W107</f>
        <v>0</v>
      </c>
      <c r="S197">
        <f>'Entrada datos'!X107</f>
        <v>0</v>
      </c>
      <c r="T197">
        <f>'Entrada datos'!Y107</f>
        <v>0</v>
      </c>
      <c r="U197">
        <f>'Entrada datos'!Z107</f>
        <v>0</v>
      </c>
      <c r="V197">
        <f>'Entrada datos'!AA107</f>
        <v>0</v>
      </c>
      <c r="W197" s="17">
        <f t="shared" si="53"/>
        <v>0</v>
      </c>
      <c r="X197">
        <f>'Entrada datos'!AB107</f>
        <v>0</v>
      </c>
      <c r="Y197">
        <f>'Entrada datos'!AC107</f>
        <v>0</v>
      </c>
      <c r="Z197">
        <f>'Entrada datos'!AD107</f>
        <v>0</v>
      </c>
      <c r="AA197">
        <f>'Entrada datos'!AE107</f>
        <v>0</v>
      </c>
      <c r="AB197">
        <f>'Entrada datos'!AF107</f>
        <v>0</v>
      </c>
      <c r="AC197">
        <f>'Entrada datos'!AG107</f>
        <v>0</v>
      </c>
      <c r="AD197" s="17">
        <f t="shared" si="54"/>
        <v>0</v>
      </c>
      <c r="AE197">
        <f>'Entrada datos'!AH107</f>
        <v>0</v>
      </c>
      <c r="AF197">
        <f>'Entrada datos'!AI107</f>
        <v>0</v>
      </c>
      <c r="AG197">
        <f>'Entrada datos'!AJ107</f>
        <v>0</v>
      </c>
      <c r="AH197">
        <f>'Entrada datos'!AK107</f>
        <v>0</v>
      </c>
      <c r="AI197">
        <f>'Entrada datos'!AL107</f>
        <v>0</v>
      </c>
      <c r="AJ197">
        <f>'Entrada datos'!AM107</f>
        <v>0</v>
      </c>
      <c r="AK197" s="17">
        <f t="shared" si="55"/>
        <v>0</v>
      </c>
      <c r="AL197">
        <f>'Entrada datos'!AN107</f>
        <v>0</v>
      </c>
      <c r="AM197">
        <f>'Entrada datos'!AO107</f>
        <v>0</v>
      </c>
      <c r="AN197">
        <f>'Entrada datos'!AP107</f>
        <v>0</v>
      </c>
      <c r="AO197">
        <f>'Entrada datos'!AQ107</f>
        <v>0</v>
      </c>
      <c r="AP197">
        <f>'Entrada datos'!AR107</f>
        <v>0</v>
      </c>
      <c r="AQ197">
        <f>'Entrada datos'!AS107</f>
        <v>0</v>
      </c>
      <c r="AR197" s="17">
        <f t="shared" si="56"/>
        <v>0</v>
      </c>
      <c r="AS197" s="23">
        <f t="shared" si="57"/>
        <v>0</v>
      </c>
      <c r="AT197">
        <f t="shared" si="58"/>
        <v>1900</v>
      </c>
      <c r="AU197" s="40" t="str">
        <f t="shared" si="59"/>
        <v>enero</v>
      </c>
      <c r="AV197">
        <f t="shared" si="60"/>
        <v>0</v>
      </c>
      <c r="AW197">
        <f t="shared" si="61"/>
        <v>0</v>
      </c>
      <c r="AX197" s="24">
        <f t="shared" si="62"/>
        <v>0</v>
      </c>
      <c r="AY197" s="24">
        <f t="shared" si="63"/>
        <v>0</v>
      </c>
      <c r="AZ197" s="24">
        <f t="shared" si="64"/>
        <v>0</v>
      </c>
      <c r="BA197">
        <f t="shared" si="65"/>
        <v>0</v>
      </c>
      <c r="BB197">
        <f t="shared" si="66"/>
        <v>0</v>
      </c>
      <c r="BC197" s="24">
        <f t="shared" si="67"/>
        <v>0</v>
      </c>
      <c r="BD197">
        <f t="shared" si="68"/>
        <v>0</v>
      </c>
    </row>
    <row r="198" spans="1:56" x14ac:dyDescent="0.3">
      <c r="A198">
        <f>'Entrada datos'!A108</f>
        <v>0</v>
      </c>
      <c r="B198">
        <f>'Entrada datos'!B108</f>
        <v>0</v>
      </c>
      <c r="C198">
        <f>'Entrada datos'!C108</f>
        <v>0</v>
      </c>
      <c r="D198">
        <f>'Entrada datos'!D108</f>
        <v>0</v>
      </c>
      <c r="E198" s="18">
        <f>'Entrada datos'!G108</f>
        <v>0</v>
      </c>
      <c r="F198" s="18">
        <f>'Entrada datos'!H108</f>
        <v>0</v>
      </c>
      <c r="G198">
        <f>'Entrada datos'!J108</f>
        <v>0</v>
      </c>
      <c r="H198">
        <f>'Entrada datos'!L108</f>
        <v>0</v>
      </c>
      <c r="I198">
        <f>'Entrada datos'!O108</f>
        <v>0</v>
      </c>
      <c r="J198">
        <f>'Entrada datos'!P108</f>
        <v>0</v>
      </c>
      <c r="K198">
        <f>'Entrada datos'!Q108</f>
        <v>0</v>
      </c>
      <c r="L198">
        <f>'Entrada datos'!R108</f>
        <v>0</v>
      </c>
      <c r="M198">
        <f>'Entrada datos'!S108</f>
        <v>0</v>
      </c>
      <c r="N198">
        <f>'Entrada datos'!T108</f>
        <v>0</v>
      </c>
      <c r="O198">
        <f>'Entrada datos'!U108</f>
        <v>0</v>
      </c>
      <c r="P198" s="17">
        <f t="shared" si="52"/>
        <v>0</v>
      </c>
      <c r="Q198">
        <f>'Entrada datos'!V108</f>
        <v>0</v>
      </c>
      <c r="R198">
        <f>'Entrada datos'!W108</f>
        <v>0</v>
      </c>
      <c r="S198">
        <f>'Entrada datos'!X108</f>
        <v>0</v>
      </c>
      <c r="T198">
        <f>'Entrada datos'!Y108</f>
        <v>0</v>
      </c>
      <c r="U198">
        <f>'Entrada datos'!Z108</f>
        <v>0</v>
      </c>
      <c r="V198">
        <f>'Entrada datos'!AA108</f>
        <v>0</v>
      </c>
      <c r="W198" s="17">
        <f t="shared" si="53"/>
        <v>0</v>
      </c>
      <c r="X198">
        <f>'Entrada datos'!AB108</f>
        <v>0</v>
      </c>
      <c r="Y198">
        <f>'Entrada datos'!AC108</f>
        <v>0</v>
      </c>
      <c r="Z198">
        <f>'Entrada datos'!AD108</f>
        <v>0</v>
      </c>
      <c r="AA198">
        <f>'Entrada datos'!AE108</f>
        <v>0</v>
      </c>
      <c r="AB198">
        <f>'Entrada datos'!AF108</f>
        <v>0</v>
      </c>
      <c r="AC198">
        <f>'Entrada datos'!AG108</f>
        <v>0</v>
      </c>
      <c r="AD198" s="17">
        <f t="shared" si="54"/>
        <v>0</v>
      </c>
      <c r="AE198">
        <f>'Entrada datos'!AH108</f>
        <v>0</v>
      </c>
      <c r="AF198">
        <f>'Entrada datos'!AI108</f>
        <v>0</v>
      </c>
      <c r="AG198">
        <f>'Entrada datos'!AJ108</f>
        <v>0</v>
      </c>
      <c r="AH198">
        <f>'Entrada datos'!AK108</f>
        <v>0</v>
      </c>
      <c r="AI198">
        <f>'Entrada datos'!AL108</f>
        <v>0</v>
      </c>
      <c r="AJ198">
        <f>'Entrada datos'!AM108</f>
        <v>0</v>
      </c>
      <c r="AK198" s="17">
        <f t="shared" si="55"/>
        <v>0</v>
      </c>
      <c r="AL198">
        <f>'Entrada datos'!AN108</f>
        <v>0</v>
      </c>
      <c r="AM198">
        <f>'Entrada datos'!AO108</f>
        <v>0</v>
      </c>
      <c r="AN198">
        <f>'Entrada datos'!AP108</f>
        <v>0</v>
      </c>
      <c r="AO198">
        <f>'Entrada datos'!AQ108</f>
        <v>0</v>
      </c>
      <c r="AP198">
        <f>'Entrada datos'!AR108</f>
        <v>0</v>
      </c>
      <c r="AQ198">
        <f>'Entrada datos'!AS108</f>
        <v>0</v>
      </c>
      <c r="AR198" s="17">
        <f t="shared" si="56"/>
        <v>0</v>
      </c>
      <c r="AS198" s="23">
        <f t="shared" si="57"/>
        <v>0</v>
      </c>
      <c r="AT198">
        <f t="shared" si="58"/>
        <v>1900</v>
      </c>
      <c r="AU198" s="40" t="str">
        <f t="shared" si="59"/>
        <v>enero</v>
      </c>
      <c r="AV198">
        <f t="shared" si="60"/>
        <v>0</v>
      </c>
      <c r="AW198">
        <f t="shared" si="61"/>
        <v>0</v>
      </c>
      <c r="AX198" s="24">
        <f t="shared" si="62"/>
        <v>0</v>
      </c>
      <c r="AY198" s="24">
        <f t="shared" si="63"/>
        <v>0</v>
      </c>
      <c r="AZ198" s="24">
        <f t="shared" si="64"/>
        <v>0</v>
      </c>
      <c r="BA198">
        <f t="shared" si="65"/>
        <v>0</v>
      </c>
      <c r="BB198">
        <f t="shared" si="66"/>
        <v>0</v>
      </c>
      <c r="BC198" s="24">
        <f t="shared" si="67"/>
        <v>0</v>
      </c>
      <c r="BD198">
        <f t="shared" si="68"/>
        <v>0</v>
      </c>
    </row>
    <row r="199" spans="1:56" x14ac:dyDescent="0.3">
      <c r="A199">
        <f>'Entrada datos'!A109</f>
        <v>0</v>
      </c>
      <c r="B199">
        <f>'Entrada datos'!B109</f>
        <v>0</v>
      </c>
      <c r="C199">
        <f>'Entrada datos'!C109</f>
        <v>0</v>
      </c>
      <c r="D199">
        <f>'Entrada datos'!D109</f>
        <v>0</v>
      </c>
      <c r="E199" s="18">
        <f>'Entrada datos'!G109</f>
        <v>0</v>
      </c>
      <c r="F199" s="18">
        <f>'Entrada datos'!H109</f>
        <v>0</v>
      </c>
      <c r="G199">
        <f>'Entrada datos'!J109</f>
        <v>0</v>
      </c>
      <c r="H199">
        <f>'Entrada datos'!L109</f>
        <v>0</v>
      </c>
      <c r="I199">
        <f>'Entrada datos'!O109</f>
        <v>0</v>
      </c>
      <c r="J199">
        <f>'Entrada datos'!P109</f>
        <v>0</v>
      </c>
      <c r="K199">
        <f>'Entrada datos'!Q109</f>
        <v>0</v>
      </c>
      <c r="L199">
        <f>'Entrada datos'!R109</f>
        <v>0</v>
      </c>
      <c r="M199">
        <f>'Entrada datos'!S109</f>
        <v>0</v>
      </c>
      <c r="N199">
        <f>'Entrada datos'!T109</f>
        <v>0</v>
      </c>
      <c r="O199">
        <f>'Entrada datos'!U109</f>
        <v>0</v>
      </c>
      <c r="P199" s="17">
        <f t="shared" si="52"/>
        <v>0</v>
      </c>
      <c r="Q199">
        <f>'Entrada datos'!V109</f>
        <v>0</v>
      </c>
      <c r="R199">
        <f>'Entrada datos'!W109</f>
        <v>0</v>
      </c>
      <c r="S199">
        <f>'Entrada datos'!X109</f>
        <v>0</v>
      </c>
      <c r="T199">
        <f>'Entrada datos'!Y109</f>
        <v>0</v>
      </c>
      <c r="U199">
        <f>'Entrada datos'!Z109</f>
        <v>0</v>
      </c>
      <c r="V199">
        <f>'Entrada datos'!AA109</f>
        <v>0</v>
      </c>
      <c r="W199" s="17">
        <f t="shared" si="53"/>
        <v>0</v>
      </c>
      <c r="X199">
        <f>'Entrada datos'!AB109</f>
        <v>0</v>
      </c>
      <c r="Y199">
        <f>'Entrada datos'!AC109</f>
        <v>0</v>
      </c>
      <c r="Z199">
        <f>'Entrada datos'!AD109</f>
        <v>0</v>
      </c>
      <c r="AA199">
        <f>'Entrada datos'!AE109</f>
        <v>0</v>
      </c>
      <c r="AB199">
        <f>'Entrada datos'!AF109</f>
        <v>0</v>
      </c>
      <c r="AC199">
        <f>'Entrada datos'!AG109</f>
        <v>0</v>
      </c>
      <c r="AD199" s="17">
        <f t="shared" si="54"/>
        <v>0</v>
      </c>
      <c r="AE199">
        <f>'Entrada datos'!AH109</f>
        <v>0</v>
      </c>
      <c r="AF199">
        <f>'Entrada datos'!AI109</f>
        <v>0</v>
      </c>
      <c r="AG199">
        <f>'Entrada datos'!AJ109</f>
        <v>0</v>
      </c>
      <c r="AH199">
        <f>'Entrada datos'!AK109</f>
        <v>0</v>
      </c>
      <c r="AI199">
        <f>'Entrada datos'!AL109</f>
        <v>0</v>
      </c>
      <c r="AJ199">
        <f>'Entrada datos'!AM109</f>
        <v>0</v>
      </c>
      <c r="AK199" s="17">
        <f t="shared" si="55"/>
        <v>0</v>
      </c>
      <c r="AL199">
        <f>'Entrada datos'!AN109</f>
        <v>0</v>
      </c>
      <c r="AM199">
        <f>'Entrada datos'!AO109</f>
        <v>0</v>
      </c>
      <c r="AN199">
        <f>'Entrada datos'!AP109</f>
        <v>0</v>
      </c>
      <c r="AO199">
        <f>'Entrada datos'!AQ109</f>
        <v>0</v>
      </c>
      <c r="AP199">
        <f>'Entrada datos'!AR109</f>
        <v>0</v>
      </c>
      <c r="AQ199">
        <f>'Entrada datos'!AS109</f>
        <v>0</v>
      </c>
      <c r="AR199" s="17">
        <f t="shared" si="56"/>
        <v>0</v>
      </c>
      <c r="AS199" s="23">
        <f t="shared" si="57"/>
        <v>0</v>
      </c>
      <c r="AT199">
        <f t="shared" si="58"/>
        <v>1900</v>
      </c>
      <c r="AU199" s="40" t="str">
        <f t="shared" si="59"/>
        <v>enero</v>
      </c>
      <c r="AV199">
        <f t="shared" si="60"/>
        <v>0</v>
      </c>
      <c r="AW199">
        <f t="shared" si="61"/>
        <v>0</v>
      </c>
      <c r="AX199" s="24">
        <f t="shared" si="62"/>
        <v>0</v>
      </c>
      <c r="AY199" s="24">
        <f t="shared" si="63"/>
        <v>0</v>
      </c>
      <c r="AZ199" s="24">
        <f t="shared" si="64"/>
        <v>0</v>
      </c>
      <c r="BA199">
        <f t="shared" si="65"/>
        <v>0</v>
      </c>
      <c r="BB199">
        <f t="shared" si="66"/>
        <v>0</v>
      </c>
      <c r="BC199" s="24">
        <f t="shared" si="67"/>
        <v>0</v>
      </c>
      <c r="BD199">
        <f t="shared" si="68"/>
        <v>0</v>
      </c>
    </row>
    <row r="200" spans="1:56" x14ac:dyDescent="0.3">
      <c r="A200">
        <f>'Entrada datos'!A110</f>
        <v>0</v>
      </c>
      <c r="B200">
        <f>'Entrada datos'!B110</f>
        <v>0</v>
      </c>
      <c r="C200">
        <f>'Entrada datos'!C110</f>
        <v>0</v>
      </c>
      <c r="D200">
        <f>'Entrada datos'!D110</f>
        <v>0</v>
      </c>
      <c r="E200" s="18">
        <f>'Entrada datos'!G110</f>
        <v>0</v>
      </c>
      <c r="F200" s="18">
        <f>'Entrada datos'!H110</f>
        <v>0</v>
      </c>
      <c r="G200">
        <f>'Entrada datos'!J110</f>
        <v>0</v>
      </c>
      <c r="H200">
        <f>'Entrada datos'!L110</f>
        <v>0</v>
      </c>
      <c r="I200">
        <f>'Entrada datos'!O110</f>
        <v>0</v>
      </c>
      <c r="J200">
        <f>'Entrada datos'!P110</f>
        <v>0</v>
      </c>
      <c r="K200">
        <f>'Entrada datos'!Q110</f>
        <v>0</v>
      </c>
      <c r="L200">
        <f>'Entrada datos'!R110</f>
        <v>0</v>
      </c>
      <c r="M200">
        <f>'Entrada datos'!S110</f>
        <v>0</v>
      </c>
      <c r="N200">
        <f>'Entrada datos'!T110</f>
        <v>0</v>
      </c>
      <c r="O200">
        <f>'Entrada datos'!U110</f>
        <v>0</v>
      </c>
      <c r="P200" s="17">
        <f t="shared" si="52"/>
        <v>0</v>
      </c>
      <c r="Q200">
        <f>'Entrada datos'!V110</f>
        <v>0</v>
      </c>
      <c r="R200">
        <f>'Entrada datos'!W110</f>
        <v>0</v>
      </c>
      <c r="S200">
        <f>'Entrada datos'!X110</f>
        <v>0</v>
      </c>
      <c r="T200">
        <f>'Entrada datos'!Y110</f>
        <v>0</v>
      </c>
      <c r="U200">
        <f>'Entrada datos'!Z110</f>
        <v>0</v>
      </c>
      <c r="V200">
        <f>'Entrada datos'!AA110</f>
        <v>0</v>
      </c>
      <c r="W200" s="17">
        <f t="shared" si="53"/>
        <v>0</v>
      </c>
      <c r="X200">
        <f>'Entrada datos'!AB110</f>
        <v>0</v>
      </c>
      <c r="Y200">
        <f>'Entrada datos'!AC110</f>
        <v>0</v>
      </c>
      <c r="Z200">
        <f>'Entrada datos'!AD110</f>
        <v>0</v>
      </c>
      <c r="AA200">
        <f>'Entrada datos'!AE110</f>
        <v>0</v>
      </c>
      <c r="AB200">
        <f>'Entrada datos'!AF110</f>
        <v>0</v>
      </c>
      <c r="AC200">
        <f>'Entrada datos'!AG110</f>
        <v>0</v>
      </c>
      <c r="AD200" s="17">
        <f t="shared" si="54"/>
        <v>0</v>
      </c>
      <c r="AE200">
        <f>'Entrada datos'!AH110</f>
        <v>0</v>
      </c>
      <c r="AF200">
        <f>'Entrada datos'!AI110</f>
        <v>0</v>
      </c>
      <c r="AG200">
        <f>'Entrada datos'!AJ110</f>
        <v>0</v>
      </c>
      <c r="AH200">
        <f>'Entrada datos'!AK110</f>
        <v>0</v>
      </c>
      <c r="AI200">
        <f>'Entrada datos'!AL110</f>
        <v>0</v>
      </c>
      <c r="AJ200">
        <f>'Entrada datos'!AM110</f>
        <v>0</v>
      </c>
      <c r="AK200" s="17">
        <f t="shared" si="55"/>
        <v>0</v>
      </c>
      <c r="AL200">
        <f>'Entrada datos'!AN110</f>
        <v>0</v>
      </c>
      <c r="AM200">
        <f>'Entrada datos'!AO110</f>
        <v>0</v>
      </c>
      <c r="AN200">
        <f>'Entrada datos'!AP110</f>
        <v>0</v>
      </c>
      <c r="AO200">
        <f>'Entrada datos'!AQ110</f>
        <v>0</v>
      </c>
      <c r="AP200">
        <f>'Entrada datos'!AR110</f>
        <v>0</v>
      </c>
      <c r="AQ200">
        <f>'Entrada datos'!AS110</f>
        <v>0</v>
      </c>
      <c r="AR200" s="17">
        <f t="shared" si="56"/>
        <v>0</v>
      </c>
      <c r="AS200" s="23">
        <f t="shared" si="57"/>
        <v>0</v>
      </c>
      <c r="AT200">
        <f t="shared" si="58"/>
        <v>1900</v>
      </c>
      <c r="AU200" s="40" t="str">
        <f t="shared" si="59"/>
        <v>enero</v>
      </c>
      <c r="AV200">
        <f t="shared" si="60"/>
        <v>0</v>
      </c>
      <c r="AW200">
        <f t="shared" si="61"/>
        <v>0</v>
      </c>
      <c r="AX200" s="24">
        <f t="shared" si="62"/>
        <v>0</v>
      </c>
      <c r="AY200" s="24">
        <f t="shared" si="63"/>
        <v>0</v>
      </c>
      <c r="AZ200" s="24">
        <f t="shared" si="64"/>
        <v>0</v>
      </c>
      <c r="BA200">
        <f t="shared" si="65"/>
        <v>0</v>
      </c>
      <c r="BB200">
        <f t="shared" si="66"/>
        <v>0</v>
      </c>
      <c r="BC200" s="24">
        <f t="shared" si="67"/>
        <v>0</v>
      </c>
      <c r="BD200">
        <f t="shared" si="68"/>
        <v>0</v>
      </c>
    </row>
    <row r="201" spans="1:56" x14ac:dyDescent="0.3">
      <c r="A201">
        <f>'Entrada datos'!A111</f>
        <v>0</v>
      </c>
      <c r="B201">
        <f>'Entrada datos'!B111</f>
        <v>0</v>
      </c>
      <c r="C201">
        <f>'Entrada datos'!C111</f>
        <v>0</v>
      </c>
      <c r="D201">
        <f>'Entrada datos'!D111</f>
        <v>0</v>
      </c>
      <c r="E201" s="18">
        <f>'Entrada datos'!G111</f>
        <v>0</v>
      </c>
      <c r="F201" s="18">
        <f>'Entrada datos'!H111</f>
        <v>0</v>
      </c>
      <c r="G201">
        <f>'Entrada datos'!J111</f>
        <v>0</v>
      </c>
      <c r="H201">
        <f>'Entrada datos'!L111</f>
        <v>0</v>
      </c>
      <c r="I201">
        <f>'Entrada datos'!O111</f>
        <v>0</v>
      </c>
      <c r="J201">
        <f>'Entrada datos'!P111</f>
        <v>0</v>
      </c>
      <c r="K201">
        <f>'Entrada datos'!Q111</f>
        <v>0</v>
      </c>
      <c r="L201">
        <f>'Entrada datos'!R111</f>
        <v>0</v>
      </c>
      <c r="M201">
        <f>'Entrada datos'!S111</f>
        <v>0</v>
      </c>
      <c r="N201">
        <f>'Entrada datos'!T111</f>
        <v>0</v>
      </c>
      <c r="O201">
        <f>'Entrada datos'!U111</f>
        <v>0</v>
      </c>
      <c r="P201" s="17">
        <f t="shared" si="52"/>
        <v>0</v>
      </c>
      <c r="Q201">
        <f>'Entrada datos'!V111</f>
        <v>0</v>
      </c>
      <c r="R201">
        <f>'Entrada datos'!W111</f>
        <v>0</v>
      </c>
      <c r="S201">
        <f>'Entrada datos'!X111</f>
        <v>0</v>
      </c>
      <c r="T201">
        <f>'Entrada datos'!Y111</f>
        <v>0</v>
      </c>
      <c r="U201">
        <f>'Entrada datos'!Z111</f>
        <v>0</v>
      </c>
      <c r="V201">
        <f>'Entrada datos'!AA111</f>
        <v>0</v>
      </c>
      <c r="W201" s="17">
        <f t="shared" si="53"/>
        <v>0</v>
      </c>
      <c r="X201">
        <f>'Entrada datos'!AB111</f>
        <v>0</v>
      </c>
      <c r="Y201">
        <f>'Entrada datos'!AC111</f>
        <v>0</v>
      </c>
      <c r="Z201">
        <f>'Entrada datos'!AD111</f>
        <v>0</v>
      </c>
      <c r="AA201">
        <f>'Entrada datos'!AE111</f>
        <v>0</v>
      </c>
      <c r="AB201">
        <f>'Entrada datos'!AF111</f>
        <v>0</v>
      </c>
      <c r="AC201">
        <f>'Entrada datos'!AG111</f>
        <v>0</v>
      </c>
      <c r="AD201" s="17">
        <f t="shared" si="54"/>
        <v>0</v>
      </c>
      <c r="AE201">
        <f>'Entrada datos'!AH111</f>
        <v>0</v>
      </c>
      <c r="AF201">
        <f>'Entrada datos'!AI111</f>
        <v>0</v>
      </c>
      <c r="AG201">
        <f>'Entrada datos'!AJ111</f>
        <v>0</v>
      </c>
      <c r="AH201">
        <f>'Entrada datos'!AK111</f>
        <v>0</v>
      </c>
      <c r="AI201">
        <f>'Entrada datos'!AL111</f>
        <v>0</v>
      </c>
      <c r="AJ201">
        <f>'Entrada datos'!AM111</f>
        <v>0</v>
      </c>
      <c r="AK201" s="17">
        <f t="shared" si="55"/>
        <v>0</v>
      </c>
      <c r="AL201">
        <f>'Entrada datos'!AN111</f>
        <v>0</v>
      </c>
      <c r="AM201">
        <f>'Entrada datos'!AO111</f>
        <v>0</v>
      </c>
      <c r="AN201">
        <f>'Entrada datos'!AP111</f>
        <v>0</v>
      </c>
      <c r="AO201">
        <f>'Entrada datos'!AQ111</f>
        <v>0</v>
      </c>
      <c r="AP201">
        <f>'Entrada datos'!AR111</f>
        <v>0</v>
      </c>
      <c r="AQ201">
        <f>'Entrada datos'!AS111</f>
        <v>0</v>
      </c>
      <c r="AR201" s="17">
        <f t="shared" si="56"/>
        <v>0</v>
      </c>
      <c r="AS201" s="23">
        <f t="shared" si="57"/>
        <v>0</v>
      </c>
      <c r="AT201">
        <f t="shared" si="58"/>
        <v>1900</v>
      </c>
      <c r="AU201" s="40" t="str">
        <f t="shared" si="59"/>
        <v>enero</v>
      </c>
      <c r="AV201">
        <f t="shared" si="60"/>
        <v>0</v>
      </c>
      <c r="AW201">
        <f t="shared" si="61"/>
        <v>0</v>
      </c>
      <c r="AX201" s="24">
        <f t="shared" si="62"/>
        <v>0</v>
      </c>
      <c r="AY201" s="24">
        <f t="shared" si="63"/>
        <v>0</v>
      </c>
      <c r="AZ201" s="24">
        <f t="shared" si="64"/>
        <v>0</v>
      </c>
      <c r="BA201">
        <f t="shared" si="65"/>
        <v>0</v>
      </c>
      <c r="BB201">
        <f t="shared" si="66"/>
        <v>0</v>
      </c>
      <c r="BC201" s="24">
        <f t="shared" si="67"/>
        <v>0</v>
      </c>
      <c r="BD201">
        <f t="shared" si="68"/>
        <v>0</v>
      </c>
    </row>
    <row r="202" spans="1:56" x14ac:dyDescent="0.3">
      <c r="A202">
        <f>'Entrada datos'!A112</f>
        <v>0</v>
      </c>
      <c r="B202">
        <f>'Entrada datos'!B112</f>
        <v>0</v>
      </c>
      <c r="C202">
        <f>'Entrada datos'!C112</f>
        <v>0</v>
      </c>
      <c r="D202">
        <f>'Entrada datos'!D112</f>
        <v>0</v>
      </c>
      <c r="E202" s="18">
        <f>'Entrada datos'!G112</f>
        <v>0</v>
      </c>
      <c r="F202" s="18">
        <f>'Entrada datos'!H112</f>
        <v>0</v>
      </c>
      <c r="G202">
        <f>'Entrada datos'!J112</f>
        <v>0</v>
      </c>
      <c r="H202">
        <f>'Entrada datos'!L112</f>
        <v>0</v>
      </c>
      <c r="I202">
        <f>'Entrada datos'!O112</f>
        <v>0</v>
      </c>
      <c r="J202">
        <f>'Entrada datos'!P112</f>
        <v>0</v>
      </c>
      <c r="K202">
        <f>'Entrada datos'!Q112</f>
        <v>0</v>
      </c>
      <c r="L202">
        <f>'Entrada datos'!R112</f>
        <v>0</v>
      </c>
      <c r="M202">
        <f>'Entrada datos'!S112</f>
        <v>0</v>
      </c>
      <c r="N202">
        <f>'Entrada datos'!T112</f>
        <v>0</v>
      </c>
      <c r="O202">
        <f>'Entrada datos'!U112</f>
        <v>0</v>
      </c>
      <c r="P202" s="17">
        <f t="shared" si="52"/>
        <v>0</v>
      </c>
      <c r="Q202">
        <f>'Entrada datos'!V112</f>
        <v>0</v>
      </c>
      <c r="R202">
        <f>'Entrada datos'!W112</f>
        <v>0</v>
      </c>
      <c r="S202">
        <f>'Entrada datos'!X112</f>
        <v>0</v>
      </c>
      <c r="T202">
        <f>'Entrada datos'!Y112</f>
        <v>0</v>
      </c>
      <c r="U202">
        <f>'Entrada datos'!Z112</f>
        <v>0</v>
      </c>
      <c r="V202">
        <f>'Entrada datos'!AA112</f>
        <v>0</v>
      </c>
      <c r="W202" s="17">
        <f t="shared" si="53"/>
        <v>0</v>
      </c>
      <c r="X202">
        <f>'Entrada datos'!AB112</f>
        <v>0</v>
      </c>
      <c r="Y202">
        <f>'Entrada datos'!AC112</f>
        <v>0</v>
      </c>
      <c r="Z202">
        <f>'Entrada datos'!AD112</f>
        <v>0</v>
      </c>
      <c r="AA202">
        <f>'Entrada datos'!AE112</f>
        <v>0</v>
      </c>
      <c r="AB202">
        <f>'Entrada datos'!AF112</f>
        <v>0</v>
      </c>
      <c r="AC202">
        <f>'Entrada datos'!AG112</f>
        <v>0</v>
      </c>
      <c r="AD202" s="17">
        <f t="shared" si="54"/>
        <v>0</v>
      </c>
      <c r="AE202">
        <f>'Entrada datos'!AH112</f>
        <v>0</v>
      </c>
      <c r="AF202">
        <f>'Entrada datos'!AI112</f>
        <v>0</v>
      </c>
      <c r="AG202">
        <f>'Entrada datos'!AJ112</f>
        <v>0</v>
      </c>
      <c r="AH202">
        <f>'Entrada datos'!AK112</f>
        <v>0</v>
      </c>
      <c r="AI202">
        <f>'Entrada datos'!AL112</f>
        <v>0</v>
      </c>
      <c r="AJ202">
        <f>'Entrada datos'!AM112</f>
        <v>0</v>
      </c>
      <c r="AK202" s="17">
        <f t="shared" si="55"/>
        <v>0</v>
      </c>
      <c r="AL202">
        <f>'Entrada datos'!AN112</f>
        <v>0</v>
      </c>
      <c r="AM202">
        <f>'Entrada datos'!AO112</f>
        <v>0</v>
      </c>
      <c r="AN202">
        <f>'Entrada datos'!AP112</f>
        <v>0</v>
      </c>
      <c r="AO202">
        <f>'Entrada datos'!AQ112</f>
        <v>0</v>
      </c>
      <c r="AP202">
        <f>'Entrada datos'!AR112</f>
        <v>0</v>
      </c>
      <c r="AQ202">
        <f>'Entrada datos'!AS112</f>
        <v>0</v>
      </c>
      <c r="AR202" s="17">
        <f t="shared" si="56"/>
        <v>0</v>
      </c>
      <c r="AS202" s="23">
        <f t="shared" si="57"/>
        <v>0</v>
      </c>
      <c r="AT202">
        <f t="shared" si="58"/>
        <v>1900</v>
      </c>
      <c r="AU202" s="40" t="str">
        <f t="shared" si="59"/>
        <v>enero</v>
      </c>
      <c r="AV202">
        <f t="shared" si="60"/>
        <v>0</v>
      </c>
      <c r="AW202">
        <f t="shared" si="61"/>
        <v>0</v>
      </c>
      <c r="AX202" s="24">
        <f t="shared" si="62"/>
        <v>0</v>
      </c>
      <c r="AY202" s="24">
        <f t="shared" si="63"/>
        <v>0</v>
      </c>
      <c r="AZ202" s="24">
        <f t="shared" si="64"/>
        <v>0</v>
      </c>
      <c r="BA202">
        <f t="shared" si="65"/>
        <v>0</v>
      </c>
      <c r="BB202">
        <f t="shared" si="66"/>
        <v>0</v>
      </c>
      <c r="BC202" s="24">
        <f t="shared" si="67"/>
        <v>0</v>
      </c>
      <c r="BD202">
        <f t="shared" si="68"/>
        <v>0</v>
      </c>
    </row>
    <row r="203" spans="1:56" x14ac:dyDescent="0.3">
      <c r="A203">
        <f>'Entrada datos'!A113</f>
        <v>0</v>
      </c>
      <c r="B203">
        <f>'Entrada datos'!B113</f>
        <v>0</v>
      </c>
      <c r="C203">
        <f>'Entrada datos'!C113</f>
        <v>0</v>
      </c>
      <c r="D203">
        <f>'Entrada datos'!D113</f>
        <v>0</v>
      </c>
      <c r="E203" s="18">
        <f>'Entrada datos'!G113</f>
        <v>0</v>
      </c>
      <c r="F203" s="18">
        <f>'Entrada datos'!H113</f>
        <v>0</v>
      </c>
      <c r="G203">
        <f>'Entrada datos'!J113</f>
        <v>0</v>
      </c>
      <c r="H203">
        <f>'Entrada datos'!L113</f>
        <v>0</v>
      </c>
      <c r="I203">
        <f>'Entrada datos'!O113</f>
        <v>0</v>
      </c>
      <c r="J203">
        <f>'Entrada datos'!P113</f>
        <v>0</v>
      </c>
      <c r="K203">
        <f>'Entrada datos'!Q113</f>
        <v>0</v>
      </c>
      <c r="L203">
        <f>'Entrada datos'!R113</f>
        <v>0</v>
      </c>
      <c r="M203">
        <f>'Entrada datos'!S113</f>
        <v>0</v>
      </c>
      <c r="N203">
        <f>'Entrada datos'!T113</f>
        <v>0</v>
      </c>
      <c r="O203">
        <f>'Entrada datos'!U113</f>
        <v>0</v>
      </c>
      <c r="P203" s="17">
        <f t="shared" si="52"/>
        <v>0</v>
      </c>
      <c r="Q203">
        <f>'Entrada datos'!V113</f>
        <v>0</v>
      </c>
      <c r="R203">
        <f>'Entrada datos'!W113</f>
        <v>0</v>
      </c>
      <c r="S203">
        <f>'Entrada datos'!X113</f>
        <v>0</v>
      </c>
      <c r="T203">
        <f>'Entrada datos'!Y113</f>
        <v>0</v>
      </c>
      <c r="U203">
        <f>'Entrada datos'!Z113</f>
        <v>0</v>
      </c>
      <c r="V203">
        <f>'Entrada datos'!AA113</f>
        <v>0</v>
      </c>
      <c r="W203" s="17">
        <f t="shared" si="53"/>
        <v>0</v>
      </c>
      <c r="X203">
        <f>'Entrada datos'!AB113</f>
        <v>0</v>
      </c>
      <c r="Y203">
        <f>'Entrada datos'!AC113</f>
        <v>0</v>
      </c>
      <c r="Z203">
        <f>'Entrada datos'!AD113</f>
        <v>0</v>
      </c>
      <c r="AA203">
        <f>'Entrada datos'!AE113</f>
        <v>0</v>
      </c>
      <c r="AB203">
        <f>'Entrada datos'!AF113</f>
        <v>0</v>
      </c>
      <c r="AC203">
        <f>'Entrada datos'!AG113</f>
        <v>0</v>
      </c>
      <c r="AD203" s="17">
        <f t="shared" si="54"/>
        <v>0</v>
      </c>
      <c r="AE203">
        <f>'Entrada datos'!AH113</f>
        <v>0</v>
      </c>
      <c r="AF203">
        <f>'Entrada datos'!AI113</f>
        <v>0</v>
      </c>
      <c r="AG203">
        <f>'Entrada datos'!AJ113</f>
        <v>0</v>
      </c>
      <c r="AH203">
        <f>'Entrada datos'!AK113</f>
        <v>0</v>
      </c>
      <c r="AI203">
        <f>'Entrada datos'!AL113</f>
        <v>0</v>
      </c>
      <c r="AJ203">
        <f>'Entrada datos'!AM113</f>
        <v>0</v>
      </c>
      <c r="AK203" s="17">
        <f t="shared" si="55"/>
        <v>0</v>
      </c>
      <c r="AL203">
        <f>'Entrada datos'!AN113</f>
        <v>0</v>
      </c>
      <c r="AM203">
        <f>'Entrada datos'!AO113</f>
        <v>0</v>
      </c>
      <c r="AN203">
        <f>'Entrada datos'!AP113</f>
        <v>0</v>
      </c>
      <c r="AO203">
        <f>'Entrada datos'!AQ113</f>
        <v>0</v>
      </c>
      <c r="AP203">
        <f>'Entrada datos'!AR113</f>
        <v>0</v>
      </c>
      <c r="AQ203">
        <f>'Entrada datos'!AS113</f>
        <v>0</v>
      </c>
      <c r="AR203" s="17">
        <f t="shared" si="56"/>
        <v>0</v>
      </c>
      <c r="AS203" s="23">
        <f t="shared" si="57"/>
        <v>0</v>
      </c>
      <c r="AT203">
        <f t="shared" si="58"/>
        <v>1900</v>
      </c>
      <c r="AU203" s="40" t="str">
        <f t="shared" si="59"/>
        <v>enero</v>
      </c>
      <c r="AV203">
        <f t="shared" si="60"/>
        <v>0</v>
      </c>
      <c r="AW203">
        <f t="shared" si="61"/>
        <v>0</v>
      </c>
      <c r="AX203" s="24">
        <f t="shared" si="62"/>
        <v>0</v>
      </c>
      <c r="AY203" s="24">
        <f t="shared" si="63"/>
        <v>0</v>
      </c>
      <c r="AZ203" s="24">
        <f t="shared" si="64"/>
        <v>0</v>
      </c>
      <c r="BA203">
        <f t="shared" si="65"/>
        <v>0</v>
      </c>
      <c r="BB203">
        <f t="shared" si="66"/>
        <v>0</v>
      </c>
      <c r="BC203" s="24">
        <f t="shared" si="67"/>
        <v>0</v>
      </c>
      <c r="BD203">
        <f t="shared" si="68"/>
        <v>0</v>
      </c>
    </row>
    <row r="204" spans="1:56" x14ac:dyDescent="0.3">
      <c r="A204">
        <f>'Entrada datos'!A114</f>
        <v>0</v>
      </c>
      <c r="B204">
        <f>'Entrada datos'!B114</f>
        <v>0</v>
      </c>
      <c r="C204">
        <f>'Entrada datos'!C114</f>
        <v>0</v>
      </c>
      <c r="D204">
        <f>'Entrada datos'!D114</f>
        <v>0</v>
      </c>
      <c r="E204" s="18">
        <f>'Entrada datos'!G114</f>
        <v>0</v>
      </c>
      <c r="F204" s="18">
        <f>'Entrada datos'!H114</f>
        <v>0</v>
      </c>
      <c r="G204">
        <f>'Entrada datos'!J114</f>
        <v>0</v>
      </c>
      <c r="H204">
        <f>'Entrada datos'!L114</f>
        <v>0</v>
      </c>
      <c r="I204">
        <f>'Entrada datos'!O114</f>
        <v>0</v>
      </c>
      <c r="J204">
        <f>'Entrada datos'!P114</f>
        <v>0</v>
      </c>
      <c r="K204">
        <f>'Entrada datos'!Q114</f>
        <v>0</v>
      </c>
      <c r="L204">
        <f>'Entrada datos'!R114</f>
        <v>0</v>
      </c>
      <c r="M204">
        <f>'Entrada datos'!S114</f>
        <v>0</v>
      </c>
      <c r="N204">
        <f>'Entrada datos'!T114</f>
        <v>0</v>
      </c>
      <c r="O204">
        <f>'Entrada datos'!U114</f>
        <v>0</v>
      </c>
      <c r="P204" s="17">
        <f t="shared" si="52"/>
        <v>0</v>
      </c>
      <c r="Q204">
        <f>'Entrada datos'!V114</f>
        <v>0</v>
      </c>
      <c r="R204">
        <f>'Entrada datos'!W114</f>
        <v>0</v>
      </c>
      <c r="S204">
        <f>'Entrada datos'!X114</f>
        <v>0</v>
      </c>
      <c r="T204">
        <f>'Entrada datos'!Y114</f>
        <v>0</v>
      </c>
      <c r="U204">
        <f>'Entrada datos'!Z114</f>
        <v>0</v>
      </c>
      <c r="V204">
        <f>'Entrada datos'!AA114</f>
        <v>0</v>
      </c>
      <c r="W204" s="17">
        <f t="shared" si="53"/>
        <v>0</v>
      </c>
      <c r="X204">
        <f>'Entrada datos'!AB114</f>
        <v>0</v>
      </c>
      <c r="Y204">
        <f>'Entrada datos'!AC114</f>
        <v>0</v>
      </c>
      <c r="Z204">
        <f>'Entrada datos'!AD114</f>
        <v>0</v>
      </c>
      <c r="AA204">
        <f>'Entrada datos'!AE114</f>
        <v>0</v>
      </c>
      <c r="AB204">
        <f>'Entrada datos'!AF114</f>
        <v>0</v>
      </c>
      <c r="AC204">
        <f>'Entrada datos'!AG114</f>
        <v>0</v>
      </c>
      <c r="AD204" s="17">
        <f t="shared" si="54"/>
        <v>0</v>
      </c>
      <c r="AE204">
        <f>'Entrada datos'!AH114</f>
        <v>0</v>
      </c>
      <c r="AF204">
        <f>'Entrada datos'!AI114</f>
        <v>0</v>
      </c>
      <c r="AG204">
        <f>'Entrada datos'!AJ114</f>
        <v>0</v>
      </c>
      <c r="AH204">
        <f>'Entrada datos'!AK114</f>
        <v>0</v>
      </c>
      <c r="AI204">
        <f>'Entrada datos'!AL114</f>
        <v>0</v>
      </c>
      <c r="AJ204">
        <f>'Entrada datos'!AM114</f>
        <v>0</v>
      </c>
      <c r="AK204" s="17">
        <f t="shared" si="55"/>
        <v>0</v>
      </c>
      <c r="AL204">
        <f>'Entrada datos'!AN114</f>
        <v>0</v>
      </c>
      <c r="AM204">
        <f>'Entrada datos'!AO114</f>
        <v>0</v>
      </c>
      <c r="AN204">
        <f>'Entrada datos'!AP114</f>
        <v>0</v>
      </c>
      <c r="AO204">
        <f>'Entrada datos'!AQ114</f>
        <v>0</v>
      </c>
      <c r="AP204">
        <f>'Entrada datos'!AR114</f>
        <v>0</v>
      </c>
      <c r="AQ204">
        <f>'Entrada datos'!AS114</f>
        <v>0</v>
      </c>
      <c r="AR204" s="17">
        <f t="shared" si="56"/>
        <v>0</v>
      </c>
      <c r="AS204" s="23">
        <f t="shared" si="57"/>
        <v>0</v>
      </c>
      <c r="AT204">
        <f t="shared" si="58"/>
        <v>1900</v>
      </c>
      <c r="AU204" s="40" t="str">
        <f t="shared" si="59"/>
        <v>enero</v>
      </c>
      <c r="AV204">
        <f t="shared" si="60"/>
        <v>0</v>
      </c>
      <c r="AW204">
        <f t="shared" si="61"/>
        <v>0</v>
      </c>
      <c r="AX204" s="24">
        <f t="shared" si="62"/>
        <v>0</v>
      </c>
      <c r="AY204" s="24">
        <f t="shared" si="63"/>
        <v>0</v>
      </c>
      <c r="AZ204" s="24">
        <f t="shared" si="64"/>
        <v>0</v>
      </c>
      <c r="BA204">
        <f t="shared" si="65"/>
        <v>0</v>
      </c>
      <c r="BB204">
        <f t="shared" si="66"/>
        <v>0</v>
      </c>
      <c r="BC204" s="24">
        <f t="shared" si="67"/>
        <v>0</v>
      </c>
      <c r="BD204">
        <f t="shared" si="68"/>
        <v>0</v>
      </c>
    </row>
    <row r="205" spans="1:56" x14ac:dyDescent="0.3">
      <c r="A205">
        <f>'Entrada datos'!A115</f>
        <v>0</v>
      </c>
      <c r="B205">
        <f>'Entrada datos'!B115</f>
        <v>0</v>
      </c>
      <c r="C205">
        <f>'Entrada datos'!C115</f>
        <v>0</v>
      </c>
      <c r="D205">
        <f>'Entrada datos'!D115</f>
        <v>0</v>
      </c>
      <c r="E205" s="18">
        <f>'Entrada datos'!G115</f>
        <v>0</v>
      </c>
      <c r="F205" s="18">
        <f>'Entrada datos'!H115</f>
        <v>0</v>
      </c>
      <c r="G205">
        <f>'Entrada datos'!J115</f>
        <v>0</v>
      </c>
      <c r="H205">
        <f>'Entrada datos'!L115</f>
        <v>0</v>
      </c>
      <c r="I205">
        <f>'Entrada datos'!O115</f>
        <v>0</v>
      </c>
      <c r="J205">
        <f>'Entrada datos'!P115</f>
        <v>0</v>
      </c>
      <c r="K205">
        <f>'Entrada datos'!Q115</f>
        <v>0</v>
      </c>
      <c r="L205">
        <f>'Entrada datos'!R115</f>
        <v>0</v>
      </c>
      <c r="M205">
        <f>'Entrada datos'!S115</f>
        <v>0</v>
      </c>
      <c r="N205">
        <f>'Entrada datos'!T115</f>
        <v>0</v>
      </c>
      <c r="O205">
        <f>'Entrada datos'!U115</f>
        <v>0</v>
      </c>
      <c r="P205" s="17">
        <f t="shared" si="52"/>
        <v>0</v>
      </c>
      <c r="Q205">
        <f>'Entrada datos'!V115</f>
        <v>0</v>
      </c>
      <c r="R205">
        <f>'Entrada datos'!W115</f>
        <v>0</v>
      </c>
      <c r="S205">
        <f>'Entrada datos'!X115</f>
        <v>0</v>
      </c>
      <c r="T205">
        <f>'Entrada datos'!Y115</f>
        <v>0</v>
      </c>
      <c r="U205">
        <f>'Entrada datos'!Z115</f>
        <v>0</v>
      </c>
      <c r="V205">
        <f>'Entrada datos'!AA115</f>
        <v>0</v>
      </c>
      <c r="W205" s="17">
        <f t="shared" si="53"/>
        <v>0</v>
      </c>
      <c r="X205">
        <f>'Entrada datos'!AB115</f>
        <v>0</v>
      </c>
      <c r="Y205">
        <f>'Entrada datos'!AC115</f>
        <v>0</v>
      </c>
      <c r="Z205">
        <f>'Entrada datos'!AD115</f>
        <v>0</v>
      </c>
      <c r="AA205">
        <f>'Entrada datos'!AE115</f>
        <v>0</v>
      </c>
      <c r="AB205">
        <f>'Entrada datos'!AF115</f>
        <v>0</v>
      </c>
      <c r="AC205">
        <f>'Entrada datos'!AG115</f>
        <v>0</v>
      </c>
      <c r="AD205" s="17">
        <f t="shared" si="54"/>
        <v>0</v>
      </c>
      <c r="AE205">
        <f>'Entrada datos'!AH115</f>
        <v>0</v>
      </c>
      <c r="AF205">
        <f>'Entrada datos'!AI115</f>
        <v>0</v>
      </c>
      <c r="AG205">
        <f>'Entrada datos'!AJ115</f>
        <v>0</v>
      </c>
      <c r="AH205">
        <f>'Entrada datos'!AK115</f>
        <v>0</v>
      </c>
      <c r="AI205">
        <f>'Entrada datos'!AL115</f>
        <v>0</v>
      </c>
      <c r="AJ205">
        <f>'Entrada datos'!AM115</f>
        <v>0</v>
      </c>
      <c r="AK205" s="17">
        <f t="shared" si="55"/>
        <v>0</v>
      </c>
      <c r="AL205">
        <f>'Entrada datos'!AN115</f>
        <v>0</v>
      </c>
      <c r="AM205">
        <f>'Entrada datos'!AO115</f>
        <v>0</v>
      </c>
      <c r="AN205">
        <f>'Entrada datos'!AP115</f>
        <v>0</v>
      </c>
      <c r="AO205">
        <f>'Entrada datos'!AQ115</f>
        <v>0</v>
      </c>
      <c r="AP205">
        <f>'Entrada datos'!AR115</f>
        <v>0</v>
      </c>
      <c r="AQ205">
        <f>'Entrada datos'!AS115</f>
        <v>0</v>
      </c>
      <c r="AR205" s="17">
        <f t="shared" si="56"/>
        <v>0</v>
      </c>
      <c r="AS205" s="23">
        <f t="shared" si="57"/>
        <v>0</v>
      </c>
      <c r="AT205">
        <f t="shared" si="58"/>
        <v>1900</v>
      </c>
      <c r="AU205" s="40" t="str">
        <f t="shared" si="59"/>
        <v>enero</v>
      </c>
      <c r="AV205">
        <f t="shared" si="60"/>
        <v>0</v>
      </c>
      <c r="AW205">
        <f t="shared" si="61"/>
        <v>0</v>
      </c>
      <c r="AX205" s="24">
        <f t="shared" si="62"/>
        <v>0</v>
      </c>
      <c r="AY205" s="24">
        <f t="shared" si="63"/>
        <v>0</v>
      </c>
      <c r="AZ205" s="24">
        <f t="shared" si="64"/>
        <v>0</v>
      </c>
      <c r="BA205">
        <f t="shared" si="65"/>
        <v>0</v>
      </c>
      <c r="BB205">
        <f t="shared" si="66"/>
        <v>0</v>
      </c>
      <c r="BC205" s="24">
        <f t="shared" si="67"/>
        <v>0</v>
      </c>
      <c r="BD205">
        <f t="shared" si="68"/>
        <v>0</v>
      </c>
    </row>
    <row r="206" spans="1:56" x14ac:dyDescent="0.3">
      <c r="A206">
        <f>'Entrada datos'!A116</f>
        <v>0</v>
      </c>
      <c r="B206">
        <f>'Entrada datos'!B116</f>
        <v>0</v>
      </c>
      <c r="C206">
        <f>'Entrada datos'!C116</f>
        <v>0</v>
      </c>
      <c r="D206">
        <f>'Entrada datos'!D116</f>
        <v>0</v>
      </c>
      <c r="E206" s="18">
        <f>'Entrada datos'!G116</f>
        <v>0</v>
      </c>
      <c r="F206" s="18">
        <f>'Entrada datos'!H116</f>
        <v>0</v>
      </c>
      <c r="G206">
        <f>'Entrada datos'!J116</f>
        <v>0</v>
      </c>
      <c r="H206">
        <f>'Entrada datos'!L116</f>
        <v>0</v>
      </c>
      <c r="I206">
        <f>'Entrada datos'!O116</f>
        <v>0</v>
      </c>
      <c r="J206">
        <f>'Entrada datos'!P116</f>
        <v>0</v>
      </c>
      <c r="K206">
        <f>'Entrada datos'!Q116</f>
        <v>0</v>
      </c>
      <c r="L206">
        <f>'Entrada datos'!R116</f>
        <v>0</v>
      </c>
      <c r="M206">
        <f>'Entrada datos'!S116</f>
        <v>0</v>
      </c>
      <c r="N206">
        <f>'Entrada datos'!T116</f>
        <v>0</v>
      </c>
      <c r="O206">
        <f>'Entrada datos'!U116</f>
        <v>0</v>
      </c>
      <c r="P206" s="17">
        <f t="shared" si="52"/>
        <v>0</v>
      </c>
      <c r="Q206">
        <f>'Entrada datos'!V116</f>
        <v>0</v>
      </c>
      <c r="R206">
        <f>'Entrada datos'!W116</f>
        <v>0</v>
      </c>
      <c r="S206">
        <f>'Entrada datos'!X116</f>
        <v>0</v>
      </c>
      <c r="T206">
        <f>'Entrada datos'!Y116</f>
        <v>0</v>
      </c>
      <c r="U206">
        <f>'Entrada datos'!Z116</f>
        <v>0</v>
      </c>
      <c r="V206">
        <f>'Entrada datos'!AA116</f>
        <v>0</v>
      </c>
      <c r="W206" s="17">
        <f t="shared" si="53"/>
        <v>0</v>
      </c>
      <c r="X206">
        <f>'Entrada datos'!AB116</f>
        <v>0</v>
      </c>
      <c r="Y206">
        <f>'Entrada datos'!AC116</f>
        <v>0</v>
      </c>
      <c r="Z206">
        <f>'Entrada datos'!AD116</f>
        <v>0</v>
      </c>
      <c r="AA206">
        <f>'Entrada datos'!AE116</f>
        <v>0</v>
      </c>
      <c r="AB206">
        <f>'Entrada datos'!AF116</f>
        <v>0</v>
      </c>
      <c r="AC206">
        <f>'Entrada datos'!AG116</f>
        <v>0</v>
      </c>
      <c r="AD206" s="17">
        <f t="shared" si="54"/>
        <v>0</v>
      </c>
      <c r="AE206">
        <f>'Entrada datos'!AH116</f>
        <v>0</v>
      </c>
      <c r="AF206">
        <f>'Entrada datos'!AI116</f>
        <v>0</v>
      </c>
      <c r="AG206">
        <f>'Entrada datos'!AJ116</f>
        <v>0</v>
      </c>
      <c r="AH206">
        <f>'Entrada datos'!AK116</f>
        <v>0</v>
      </c>
      <c r="AI206">
        <f>'Entrada datos'!AL116</f>
        <v>0</v>
      </c>
      <c r="AJ206">
        <f>'Entrada datos'!AM116</f>
        <v>0</v>
      </c>
      <c r="AK206" s="17">
        <f t="shared" si="55"/>
        <v>0</v>
      </c>
      <c r="AL206">
        <f>'Entrada datos'!AN116</f>
        <v>0</v>
      </c>
      <c r="AM206">
        <f>'Entrada datos'!AO116</f>
        <v>0</v>
      </c>
      <c r="AN206">
        <f>'Entrada datos'!AP116</f>
        <v>0</v>
      </c>
      <c r="AO206">
        <f>'Entrada datos'!AQ116</f>
        <v>0</v>
      </c>
      <c r="AP206">
        <f>'Entrada datos'!AR116</f>
        <v>0</v>
      </c>
      <c r="AQ206">
        <f>'Entrada datos'!AS116</f>
        <v>0</v>
      </c>
      <c r="AR206" s="17">
        <f t="shared" si="56"/>
        <v>0</v>
      </c>
      <c r="AS206" s="23">
        <f t="shared" si="57"/>
        <v>0</v>
      </c>
      <c r="AT206">
        <f t="shared" si="58"/>
        <v>1900</v>
      </c>
      <c r="AU206" s="40" t="str">
        <f t="shared" si="59"/>
        <v>enero</v>
      </c>
      <c r="AV206">
        <f t="shared" si="60"/>
        <v>0</v>
      </c>
      <c r="AW206">
        <f t="shared" si="61"/>
        <v>0</v>
      </c>
      <c r="AX206" s="24">
        <f t="shared" si="62"/>
        <v>0</v>
      </c>
      <c r="AY206" s="24">
        <f t="shared" si="63"/>
        <v>0</v>
      </c>
      <c r="AZ206" s="24">
        <f t="shared" si="64"/>
        <v>0</v>
      </c>
      <c r="BA206">
        <f t="shared" si="65"/>
        <v>0</v>
      </c>
      <c r="BB206">
        <f t="shared" si="66"/>
        <v>0</v>
      </c>
      <c r="BC206" s="24">
        <f t="shared" si="67"/>
        <v>0</v>
      </c>
      <c r="BD206">
        <f t="shared" si="68"/>
        <v>0</v>
      </c>
    </row>
    <row r="207" spans="1:56" x14ac:dyDescent="0.3">
      <c r="A207">
        <f>'Entrada datos'!A117</f>
        <v>0</v>
      </c>
      <c r="B207">
        <f>'Entrada datos'!B117</f>
        <v>0</v>
      </c>
      <c r="C207">
        <f>'Entrada datos'!C117</f>
        <v>0</v>
      </c>
      <c r="D207">
        <f>'Entrada datos'!D117</f>
        <v>0</v>
      </c>
      <c r="E207" s="18">
        <f>'Entrada datos'!G117</f>
        <v>0</v>
      </c>
      <c r="F207" s="18">
        <f>'Entrada datos'!H117</f>
        <v>0</v>
      </c>
      <c r="G207">
        <f>'Entrada datos'!J117</f>
        <v>0</v>
      </c>
      <c r="H207">
        <f>'Entrada datos'!L117</f>
        <v>0</v>
      </c>
      <c r="I207">
        <f>'Entrada datos'!O117</f>
        <v>0</v>
      </c>
      <c r="J207">
        <f>'Entrada datos'!P117</f>
        <v>0</v>
      </c>
      <c r="K207">
        <f>'Entrada datos'!Q117</f>
        <v>0</v>
      </c>
      <c r="L207">
        <f>'Entrada datos'!R117</f>
        <v>0</v>
      </c>
      <c r="M207">
        <f>'Entrada datos'!S117</f>
        <v>0</v>
      </c>
      <c r="N207">
        <f>'Entrada datos'!T117</f>
        <v>0</v>
      </c>
      <c r="O207">
        <f>'Entrada datos'!U117</f>
        <v>0</v>
      </c>
      <c r="P207" s="17">
        <f t="shared" si="52"/>
        <v>0</v>
      </c>
      <c r="Q207">
        <f>'Entrada datos'!V117</f>
        <v>0</v>
      </c>
      <c r="R207">
        <f>'Entrada datos'!W117</f>
        <v>0</v>
      </c>
      <c r="S207">
        <f>'Entrada datos'!X117</f>
        <v>0</v>
      </c>
      <c r="T207">
        <f>'Entrada datos'!Y117</f>
        <v>0</v>
      </c>
      <c r="U207">
        <f>'Entrada datos'!Z117</f>
        <v>0</v>
      </c>
      <c r="V207">
        <f>'Entrada datos'!AA117</f>
        <v>0</v>
      </c>
      <c r="W207" s="17">
        <f t="shared" si="53"/>
        <v>0</v>
      </c>
      <c r="X207">
        <f>'Entrada datos'!AB117</f>
        <v>0</v>
      </c>
      <c r="Y207">
        <f>'Entrada datos'!AC117</f>
        <v>0</v>
      </c>
      <c r="Z207">
        <f>'Entrada datos'!AD117</f>
        <v>0</v>
      </c>
      <c r="AA207">
        <f>'Entrada datos'!AE117</f>
        <v>0</v>
      </c>
      <c r="AB207">
        <f>'Entrada datos'!AF117</f>
        <v>0</v>
      </c>
      <c r="AC207">
        <f>'Entrada datos'!AG117</f>
        <v>0</v>
      </c>
      <c r="AD207" s="17">
        <f t="shared" si="54"/>
        <v>0</v>
      </c>
      <c r="AE207">
        <f>'Entrada datos'!AH117</f>
        <v>0</v>
      </c>
      <c r="AF207">
        <f>'Entrada datos'!AI117</f>
        <v>0</v>
      </c>
      <c r="AG207">
        <f>'Entrada datos'!AJ117</f>
        <v>0</v>
      </c>
      <c r="AH207">
        <f>'Entrada datos'!AK117</f>
        <v>0</v>
      </c>
      <c r="AI207">
        <f>'Entrada datos'!AL117</f>
        <v>0</v>
      </c>
      <c r="AJ207">
        <f>'Entrada datos'!AM117</f>
        <v>0</v>
      </c>
      <c r="AK207" s="17">
        <f t="shared" si="55"/>
        <v>0</v>
      </c>
      <c r="AL207">
        <f>'Entrada datos'!AN117</f>
        <v>0</v>
      </c>
      <c r="AM207">
        <f>'Entrada datos'!AO117</f>
        <v>0</v>
      </c>
      <c r="AN207">
        <f>'Entrada datos'!AP117</f>
        <v>0</v>
      </c>
      <c r="AO207">
        <f>'Entrada datos'!AQ117</f>
        <v>0</v>
      </c>
      <c r="AP207">
        <f>'Entrada datos'!AR117</f>
        <v>0</v>
      </c>
      <c r="AQ207">
        <f>'Entrada datos'!AS117</f>
        <v>0</v>
      </c>
      <c r="AR207" s="17">
        <f t="shared" si="56"/>
        <v>0</v>
      </c>
      <c r="AS207" s="23">
        <f t="shared" si="57"/>
        <v>0</v>
      </c>
      <c r="AT207">
        <f t="shared" si="58"/>
        <v>1900</v>
      </c>
      <c r="AU207" s="40" t="str">
        <f t="shared" si="59"/>
        <v>enero</v>
      </c>
      <c r="AV207">
        <f t="shared" si="60"/>
        <v>0</v>
      </c>
      <c r="AW207">
        <f t="shared" si="61"/>
        <v>0</v>
      </c>
      <c r="AX207" s="24">
        <f t="shared" si="62"/>
        <v>0</v>
      </c>
      <c r="AY207" s="24">
        <f t="shared" si="63"/>
        <v>0</v>
      </c>
      <c r="AZ207" s="24">
        <f t="shared" si="64"/>
        <v>0</v>
      </c>
      <c r="BA207">
        <f t="shared" si="65"/>
        <v>0</v>
      </c>
      <c r="BB207">
        <f t="shared" si="66"/>
        <v>0</v>
      </c>
      <c r="BC207" s="24">
        <f t="shared" si="67"/>
        <v>0</v>
      </c>
      <c r="BD207">
        <f t="shared" si="68"/>
        <v>0</v>
      </c>
    </row>
    <row r="208" spans="1:56" x14ac:dyDescent="0.3">
      <c r="A208">
        <f>'Entrada datos'!A118</f>
        <v>0</v>
      </c>
      <c r="B208">
        <f>'Entrada datos'!B118</f>
        <v>0</v>
      </c>
      <c r="C208">
        <f>'Entrada datos'!C118</f>
        <v>0</v>
      </c>
      <c r="D208">
        <f>'Entrada datos'!D118</f>
        <v>0</v>
      </c>
      <c r="E208" s="18">
        <f>'Entrada datos'!G118</f>
        <v>0</v>
      </c>
      <c r="F208" s="18">
        <f>'Entrada datos'!H118</f>
        <v>0</v>
      </c>
      <c r="G208">
        <f>'Entrada datos'!J118</f>
        <v>0</v>
      </c>
      <c r="H208">
        <f>'Entrada datos'!L118</f>
        <v>0</v>
      </c>
      <c r="I208">
        <f>'Entrada datos'!O118</f>
        <v>0</v>
      </c>
      <c r="J208">
        <f>'Entrada datos'!P118</f>
        <v>0</v>
      </c>
      <c r="K208">
        <f>'Entrada datos'!Q118</f>
        <v>0</v>
      </c>
      <c r="L208">
        <f>'Entrada datos'!R118</f>
        <v>0</v>
      </c>
      <c r="M208">
        <f>'Entrada datos'!S118</f>
        <v>0</v>
      </c>
      <c r="N208">
        <f>'Entrada datos'!T118</f>
        <v>0</v>
      </c>
      <c r="O208">
        <f>'Entrada datos'!U118</f>
        <v>0</v>
      </c>
      <c r="P208" s="17">
        <f t="shared" si="52"/>
        <v>0</v>
      </c>
      <c r="Q208">
        <f>'Entrada datos'!V118</f>
        <v>0</v>
      </c>
      <c r="R208">
        <f>'Entrada datos'!W118</f>
        <v>0</v>
      </c>
      <c r="S208">
        <f>'Entrada datos'!X118</f>
        <v>0</v>
      </c>
      <c r="T208">
        <f>'Entrada datos'!Y118</f>
        <v>0</v>
      </c>
      <c r="U208">
        <f>'Entrada datos'!Z118</f>
        <v>0</v>
      </c>
      <c r="V208">
        <f>'Entrada datos'!AA118</f>
        <v>0</v>
      </c>
      <c r="W208" s="17">
        <f t="shared" si="53"/>
        <v>0</v>
      </c>
      <c r="X208">
        <f>'Entrada datos'!AB118</f>
        <v>0</v>
      </c>
      <c r="Y208">
        <f>'Entrada datos'!AC118</f>
        <v>0</v>
      </c>
      <c r="Z208">
        <f>'Entrada datos'!AD118</f>
        <v>0</v>
      </c>
      <c r="AA208">
        <f>'Entrada datos'!AE118</f>
        <v>0</v>
      </c>
      <c r="AB208">
        <f>'Entrada datos'!AF118</f>
        <v>0</v>
      </c>
      <c r="AC208">
        <f>'Entrada datos'!AG118</f>
        <v>0</v>
      </c>
      <c r="AD208" s="17">
        <f t="shared" si="54"/>
        <v>0</v>
      </c>
      <c r="AE208">
        <f>'Entrada datos'!AH118</f>
        <v>0</v>
      </c>
      <c r="AF208">
        <f>'Entrada datos'!AI118</f>
        <v>0</v>
      </c>
      <c r="AG208">
        <f>'Entrada datos'!AJ118</f>
        <v>0</v>
      </c>
      <c r="AH208">
        <f>'Entrada datos'!AK118</f>
        <v>0</v>
      </c>
      <c r="AI208">
        <f>'Entrada datos'!AL118</f>
        <v>0</v>
      </c>
      <c r="AJ208">
        <f>'Entrada datos'!AM118</f>
        <v>0</v>
      </c>
      <c r="AK208" s="17">
        <f t="shared" si="55"/>
        <v>0</v>
      </c>
      <c r="AL208">
        <f>'Entrada datos'!AN118</f>
        <v>0</v>
      </c>
      <c r="AM208">
        <f>'Entrada datos'!AO118</f>
        <v>0</v>
      </c>
      <c r="AN208">
        <f>'Entrada datos'!AP118</f>
        <v>0</v>
      </c>
      <c r="AO208">
        <f>'Entrada datos'!AQ118</f>
        <v>0</v>
      </c>
      <c r="AP208">
        <f>'Entrada datos'!AR118</f>
        <v>0</v>
      </c>
      <c r="AQ208">
        <f>'Entrada datos'!AS118</f>
        <v>0</v>
      </c>
      <c r="AR208" s="17">
        <f t="shared" si="56"/>
        <v>0</v>
      </c>
      <c r="AS208" s="23">
        <f t="shared" si="57"/>
        <v>0</v>
      </c>
      <c r="AT208">
        <f t="shared" si="58"/>
        <v>1900</v>
      </c>
      <c r="AU208" s="40" t="str">
        <f t="shared" si="59"/>
        <v>enero</v>
      </c>
      <c r="AV208">
        <f t="shared" si="60"/>
        <v>0</v>
      </c>
      <c r="AW208">
        <f t="shared" si="61"/>
        <v>0</v>
      </c>
      <c r="AX208" s="24">
        <f t="shared" si="62"/>
        <v>0</v>
      </c>
      <c r="AY208" s="24">
        <f t="shared" si="63"/>
        <v>0</v>
      </c>
      <c r="AZ208" s="24">
        <f t="shared" si="64"/>
        <v>0</v>
      </c>
      <c r="BA208">
        <f t="shared" si="65"/>
        <v>0</v>
      </c>
      <c r="BB208">
        <f t="shared" si="66"/>
        <v>0</v>
      </c>
      <c r="BC208" s="24">
        <f t="shared" si="67"/>
        <v>0</v>
      </c>
      <c r="BD208">
        <f t="shared" si="68"/>
        <v>0</v>
      </c>
    </row>
    <row r="209" spans="1:56" x14ac:dyDescent="0.3">
      <c r="A209">
        <f>'Entrada datos'!A119</f>
        <v>0</v>
      </c>
      <c r="B209">
        <f>'Entrada datos'!B119</f>
        <v>0</v>
      </c>
      <c r="C209">
        <f>'Entrada datos'!C119</f>
        <v>0</v>
      </c>
      <c r="D209">
        <f>'Entrada datos'!D119</f>
        <v>0</v>
      </c>
      <c r="E209" s="18">
        <f>'Entrada datos'!G119</f>
        <v>0</v>
      </c>
      <c r="F209" s="18">
        <f>'Entrada datos'!H119</f>
        <v>0</v>
      </c>
      <c r="G209">
        <f>'Entrada datos'!J119</f>
        <v>0</v>
      </c>
      <c r="H209">
        <f>'Entrada datos'!L119</f>
        <v>0</v>
      </c>
      <c r="I209">
        <f>'Entrada datos'!O119</f>
        <v>0</v>
      </c>
      <c r="J209">
        <f>'Entrada datos'!P119</f>
        <v>0</v>
      </c>
      <c r="K209">
        <f>'Entrada datos'!Q119</f>
        <v>0</v>
      </c>
      <c r="L209">
        <f>'Entrada datos'!R119</f>
        <v>0</v>
      </c>
      <c r="M209">
        <f>'Entrada datos'!S119</f>
        <v>0</v>
      </c>
      <c r="N209">
        <f>'Entrada datos'!T119</f>
        <v>0</v>
      </c>
      <c r="O209">
        <f>'Entrada datos'!U119</f>
        <v>0</v>
      </c>
      <c r="P209" s="17">
        <f t="shared" si="52"/>
        <v>0</v>
      </c>
      <c r="Q209">
        <f>'Entrada datos'!V119</f>
        <v>0</v>
      </c>
      <c r="R209">
        <f>'Entrada datos'!W119</f>
        <v>0</v>
      </c>
      <c r="S209">
        <f>'Entrada datos'!X119</f>
        <v>0</v>
      </c>
      <c r="T209">
        <f>'Entrada datos'!Y119</f>
        <v>0</v>
      </c>
      <c r="U209">
        <f>'Entrada datos'!Z119</f>
        <v>0</v>
      </c>
      <c r="V209">
        <f>'Entrada datos'!AA119</f>
        <v>0</v>
      </c>
      <c r="W209" s="17">
        <f t="shared" si="53"/>
        <v>0</v>
      </c>
      <c r="X209">
        <f>'Entrada datos'!AB119</f>
        <v>0</v>
      </c>
      <c r="Y209">
        <f>'Entrada datos'!AC119</f>
        <v>0</v>
      </c>
      <c r="Z209">
        <f>'Entrada datos'!AD119</f>
        <v>0</v>
      </c>
      <c r="AA209">
        <f>'Entrada datos'!AE119</f>
        <v>0</v>
      </c>
      <c r="AB209">
        <f>'Entrada datos'!AF119</f>
        <v>0</v>
      </c>
      <c r="AC209">
        <f>'Entrada datos'!AG119</f>
        <v>0</v>
      </c>
      <c r="AD209" s="17">
        <f t="shared" si="54"/>
        <v>0</v>
      </c>
      <c r="AE209">
        <f>'Entrada datos'!AH119</f>
        <v>0</v>
      </c>
      <c r="AF209">
        <f>'Entrada datos'!AI119</f>
        <v>0</v>
      </c>
      <c r="AG209">
        <f>'Entrada datos'!AJ119</f>
        <v>0</v>
      </c>
      <c r="AH209">
        <f>'Entrada datos'!AK119</f>
        <v>0</v>
      </c>
      <c r="AI209">
        <f>'Entrada datos'!AL119</f>
        <v>0</v>
      </c>
      <c r="AJ209">
        <f>'Entrada datos'!AM119</f>
        <v>0</v>
      </c>
      <c r="AK209" s="17">
        <f t="shared" si="55"/>
        <v>0</v>
      </c>
      <c r="AL209">
        <f>'Entrada datos'!AN119</f>
        <v>0</v>
      </c>
      <c r="AM209">
        <f>'Entrada datos'!AO119</f>
        <v>0</v>
      </c>
      <c r="AN209">
        <f>'Entrada datos'!AP119</f>
        <v>0</v>
      </c>
      <c r="AO209">
        <f>'Entrada datos'!AQ119</f>
        <v>0</v>
      </c>
      <c r="AP209">
        <f>'Entrada datos'!AR119</f>
        <v>0</v>
      </c>
      <c r="AQ209">
        <f>'Entrada datos'!AS119</f>
        <v>0</v>
      </c>
      <c r="AR209" s="17">
        <f t="shared" si="56"/>
        <v>0</v>
      </c>
      <c r="AS209" s="23">
        <f t="shared" si="57"/>
        <v>0</v>
      </c>
      <c r="AT209">
        <f t="shared" si="58"/>
        <v>1900</v>
      </c>
      <c r="AU209" s="40" t="str">
        <f t="shared" si="59"/>
        <v>enero</v>
      </c>
      <c r="AV209">
        <f t="shared" si="60"/>
        <v>0</v>
      </c>
      <c r="AW209">
        <f t="shared" si="61"/>
        <v>0</v>
      </c>
      <c r="AX209" s="24">
        <f t="shared" si="62"/>
        <v>0</v>
      </c>
      <c r="AY209" s="24">
        <f t="shared" si="63"/>
        <v>0</v>
      </c>
      <c r="AZ209" s="24">
        <f t="shared" si="64"/>
        <v>0</v>
      </c>
      <c r="BA209">
        <f t="shared" si="65"/>
        <v>0</v>
      </c>
      <c r="BB209">
        <f t="shared" si="66"/>
        <v>0</v>
      </c>
      <c r="BC209" s="24">
        <f t="shared" si="67"/>
        <v>0</v>
      </c>
      <c r="BD209">
        <f t="shared" si="68"/>
        <v>0</v>
      </c>
    </row>
    <row r="210" spans="1:56" x14ac:dyDescent="0.3">
      <c r="A210">
        <f>'Entrada datos'!A120</f>
        <v>0</v>
      </c>
      <c r="B210">
        <f>'Entrada datos'!B120</f>
        <v>0</v>
      </c>
      <c r="C210">
        <f>'Entrada datos'!C120</f>
        <v>0</v>
      </c>
      <c r="D210">
        <f>'Entrada datos'!D120</f>
        <v>0</v>
      </c>
      <c r="E210" s="18">
        <f>'Entrada datos'!G120</f>
        <v>0</v>
      </c>
      <c r="F210" s="18">
        <f>'Entrada datos'!H120</f>
        <v>0</v>
      </c>
      <c r="G210">
        <f>'Entrada datos'!J120</f>
        <v>0</v>
      </c>
      <c r="H210">
        <f>'Entrada datos'!L120</f>
        <v>0</v>
      </c>
      <c r="I210">
        <f>'Entrada datos'!O120</f>
        <v>0</v>
      </c>
      <c r="J210">
        <f>'Entrada datos'!P120</f>
        <v>0</v>
      </c>
      <c r="K210">
        <f>'Entrada datos'!Q120</f>
        <v>0</v>
      </c>
      <c r="L210">
        <f>'Entrada datos'!R120</f>
        <v>0</v>
      </c>
      <c r="M210">
        <f>'Entrada datos'!S120</f>
        <v>0</v>
      </c>
      <c r="N210">
        <f>'Entrada datos'!T120</f>
        <v>0</v>
      </c>
      <c r="O210">
        <f>'Entrada datos'!U120</f>
        <v>0</v>
      </c>
      <c r="P210" s="17">
        <f t="shared" si="52"/>
        <v>0</v>
      </c>
      <c r="Q210">
        <f>'Entrada datos'!V120</f>
        <v>0</v>
      </c>
      <c r="R210">
        <f>'Entrada datos'!W120</f>
        <v>0</v>
      </c>
      <c r="S210">
        <f>'Entrada datos'!X120</f>
        <v>0</v>
      </c>
      <c r="T210">
        <f>'Entrada datos'!Y120</f>
        <v>0</v>
      </c>
      <c r="U210">
        <f>'Entrada datos'!Z120</f>
        <v>0</v>
      </c>
      <c r="V210">
        <f>'Entrada datos'!AA120</f>
        <v>0</v>
      </c>
      <c r="W210" s="17">
        <f t="shared" si="53"/>
        <v>0</v>
      </c>
      <c r="X210">
        <f>'Entrada datos'!AB120</f>
        <v>0</v>
      </c>
      <c r="Y210">
        <f>'Entrada datos'!AC120</f>
        <v>0</v>
      </c>
      <c r="Z210">
        <f>'Entrada datos'!AD120</f>
        <v>0</v>
      </c>
      <c r="AA210">
        <f>'Entrada datos'!AE120</f>
        <v>0</v>
      </c>
      <c r="AB210">
        <f>'Entrada datos'!AF120</f>
        <v>0</v>
      </c>
      <c r="AC210">
        <f>'Entrada datos'!AG120</f>
        <v>0</v>
      </c>
      <c r="AD210" s="17">
        <f t="shared" si="54"/>
        <v>0</v>
      </c>
      <c r="AE210">
        <f>'Entrada datos'!AH120</f>
        <v>0</v>
      </c>
      <c r="AF210">
        <f>'Entrada datos'!AI120</f>
        <v>0</v>
      </c>
      <c r="AG210">
        <f>'Entrada datos'!AJ120</f>
        <v>0</v>
      </c>
      <c r="AH210">
        <f>'Entrada datos'!AK120</f>
        <v>0</v>
      </c>
      <c r="AI210">
        <f>'Entrada datos'!AL120</f>
        <v>0</v>
      </c>
      <c r="AJ210">
        <f>'Entrada datos'!AM120</f>
        <v>0</v>
      </c>
      <c r="AK210" s="17">
        <f t="shared" si="55"/>
        <v>0</v>
      </c>
      <c r="AL210">
        <f>'Entrada datos'!AN120</f>
        <v>0</v>
      </c>
      <c r="AM210">
        <f>'Entrada datos'!AO120</f>
        <v>0</v>
      </c>
      <c r="AN210">
        <f>'Entrada datos'!AP120</f>
        <v>0</v>
      </c>
      <c r="AO210">
        <f>'Entrada datos'!AQ120</f>
        <v>0</v>
      </c>
      <c r="AP210">
        <f>'Entrada datos'!AR120</f>
        <v>0</v>
      </c>
      <c r="AQ210">
        <f>'Entrada datos'!AS120</f>
        <v>0</v>
      </c>
      <c r="AR210" s="17">
        <f t="shared" si="56"/>
        <v>0</v>
      </c>
      <c r="AS210" s="23">
        <f t="shared" si="57"/>
        <v>0</v>
      </c>
      <c r="AT210">
        <f t="shared" si="58"/>
        <v>1900</v>
      </c>
      <c r="AU210" s="40" t="str">
        <f t="shared" si="59"/>
        <v>enero</v>
      </c>
      <c r="AV210">
        <f t="shared" si="60"/>
        <v>0</v>
      </c>
      <c r="AW210">
        <f t="shared" si="61"/>
        <v>0</v>
      </c>
      <c r="AX210" s="24">
        <f t="shared" si="62"/>
        <v>0</v>
      </c>
      <c r="AY210" s="24">
        <f t="shared" si="63"/>
        <v>0</v>
      </c>
      <c r="AZ210" s="24">
        <f t="shared" si="64"/>
        <v>0</v>
      </c>
      <c r="BA210">
        <f t="shared" si="65"/>
        <v>0</v>
      </c>
      <c r="BB210">
        <f t="shared" si="66"/>
        <v>0</v>
      </c>
      <c r="BC210" s="24">
        <f t="shared" si="67"/>
        <v>0</v>
      </c>
      <c r="BD210">
        <f t="shared" si="68"/>
        <v>0</v>
      </c>
    </row>
    <row r="211" spans="1:56" x14ac:dyDescent="0.3">
      <c r="A211">
        <f>'Entrada datos'!A121</f>
        <v>0</v>
      </c>
      <c r="B211">
        <f>'Entrada datos'!B121</f>
        <v>0</v>
      </c>
      <c r="C211">
        <f>'Entrada datos'!C121</f>
        <v>0</v>
      </c>
      <c r="D211">
        <f>'Entrada datos'!D121</f>
        <v>0</v>
      </c>
      <c r="E211" s="18">
        <f>'Entrada datos'!G121</f>
        <v>0</v>
      </c>
      <c r="F211" s="18">
        <f>'Entrada datos'!H121</f>
        <v>0</v>
      </c>
      <c r="G211">
        <f>'Entrada datos'!J121</f>
        <v>0</v>
      </c>
      <c r="H211">
        <f>'Entrada datos'!L121</f>
        <v>0</v>
      </c>
      <c r="I211">
        <f>'Entrada datos'!O121</f>
        <v>0</v>
      </c>
      <c r="J211">
        <f>'Entrada datos'!P121</f>
        <v>0</v>
      </c>
      <c r="K211">
        <f>'Entrada datos'!Q121</f>
        <v>0</v>
      </c>
      <c r="L211">
        <f>'Entrada datos'!R121</f>
        <v>0</v>
      </c>
      <c r="M211">
        <f>'Entrada datos'!S121</f>
        <v>0</v>
      </c>
      <c r="N211">
        <f>'Entrada datos'!T121</f>
        <v>0</v>
      </c>
      <c r="O211">
        <f>'Entrada datos'!U121</f>
        <v>0</v>
      </c>
      <c r="P211" s="17">
        <f t="shared" si="52"/>
        <v>0</v>
      </c>
      <c r="Q211">
        <f>'Entrada datos'!V121</f>
        <v>0</v>
      </c>
      <c r="R211">
        <f>'Entrada datos'!W121</f>
        <v>0</v>
      </c>
      <c r="S211">
        <f>'Entrada datos'!X121</f>
        <v>0</v>
      </c>
      <c r="T211">
        <f>'Entrada datos'!Y121</f>
        <v>0</v>
      </c>
      <c r="U211">
        <f>'Entrada datos'!Z121</f>
        <v>0</v>
      </c>
      <c r="V211">
        <f>'Entrada datos'!AA121</f>
        <v>0</v>
      </c>
      <c r="W211" s="17">
        <f t="shared" si="53"/>
        <v>0</v>
      </c>
      <c r="X211">
        <f>'Entrada datos'!AB121</f>
        <v>0</v>
      </c>
      <c r="Y211">
        <f>'Entrada datos'!AC121</f>
        <v>0</v>
      </c>
      <c r="Z211">
        <f>'Entrada datos'!AD121</f>
        <v>0</v>
      </c>
      <c r="AA211">
        <f>'Entrada datos'!AE121</f>
        <v>0</v>
      </c>
      <c r="AB211">
        <f>'Entrada datos'!AF121</f>
        <v>0</v>
      </c>
      <c r="AC211">
        <f>'Entrada datos'!AG121</f>
        <v>0</v>
      </c>
      <c r="AD211" s="17">
        <f t="shared" si="54"/>
        <v>0</v>
      </c>
      <c r="AE211">
        <f>'Entrada datos'!AH121</f>
        <v>0</v>
      </c>
      <c r="AF211">
        <f>'Entrada datos'!AI121</f>
        <v>0</v>
      </c>
      <c r="AG211">
        <f>'Entrada datos'!AJ121</f>
        <v>0</v>
      </c>
      <c r="AH211">
        <f>'Entrada datos'!AK121</f>
        <v>0</v>
      </c>
      <c r="AI211">
        <f>'Entrada datos'!AL121</f>
        <v>0</v>
      </c>
      <c r="AJ211">
        <f>'Entrada datos'!AM121</f>
        <v>0</v>
      </c>
      <c r="AK211" s="17">
        <f t="shared" si="55"/>
        <v>0</v>
      </c>
      <c r="AL211">
        <f>'Entrada datos'!AN121</f>
        <v>0</v>
      </c>
      <c r="AM211">
        <f>'Entrada datos'!AO121</f>
        <v>0</v>
      </c>
      <c r="AN211">
        <f>'Entrada datos'!AP121</f>
        <v>0</v>
      </c>
      <c r="AO211">
        <f>'Entrada datos'!AQ121</f>
        <v>0</v>
      </c>
      <c r="AP211">
        <f>'Entrada datos'!AR121</f>
        <v>0</v>
      </c>
      <c r="AQ211">
        <f>'Entrada datos'!AS121</f>
        <v>0</v>
      </c>
      <c r="AR211" s="17">
        <f t="shared" si="56"/>
        <v>0</v>
      </c>
      <c r="AS211" s="23">
        <f t="shared" si="57"/>
        <v>0</v>
      </c>
      <c r="AT211">
        <f t="shared" si="58"/>
        <v>1900</v>
      </c>
      <c r="AU211" s="40" t="str">
        <f t="shared" si="59"/>
        <v>enero</v>
      </c>
      <c r="AV211">
        <f t="shared" si="60"/>
        <v>0</v>
      </c>
      <c r="AW211">
        <f t="shared" si="61"/>
        <v>0</v>
      </c>
      <c r="AX211" s="24">
        <f t="shared" si="62"/>
        <v>0</v>
      </c>
      <c r="AY211" s="24">
        <f t="shared" si="63"/>
        <v>0</v>
      </c>
      <c r="AZ211" s="24">
        <f t="shared" si="64"/>
        <v>0</v>
      </c>
      <c r="BA211">
        <f t="shared" si="65"/>
        <v>0</v>
      </c>
      <c r="BB211">
        <f t="shared" si="66"/>
        <v>0</v>
      </c>
      <c r="BC211" s="24">
        <f t="shared" si="67"/>
        <v>0</v>
      </c>
      <c r="BD211">
        <f t="shared" si="68"/>
        <v>0</v>
      </c>
    </row>
    <row r="212" spans="1:56" x14ac:dyDescent="0.3">
      <c r="A212">
        <f>'Entrada datos'!A122</f>
        <v>0</v>
      </c>
      <c r="B212">
        <f>'Entrada datos'!B122</f>
        <v>0</v>
      </c>
      <c r="C212">
        <f>'Entrada datos'!C122</f>
        <v>0</v>
      </c>
      <c r="D212">
        <f>'Entrada datos'!D122</f>
        <v>0</v>
      </c>
      <c r="E212" s="18">
        <f>'Entrada datos'!G122</f>
        <v>0</v>
      </c>
      <c r="F212" s="18">
        <f>'Entrada datos'!H122</f>
        <v>0</v>
      </c>
      <c r="G212">
        <f>'Entrada datos'!J122</f>
        <v>0</v>
      </c>
      <c r="H212">
        <f>'Entrada datos'!L122</f>
        <v>0</v>
      </c>
      <c r="I212">
        <f>'Entrada datos'!O122</f>
        <v>0</v>
      </c>
      <c r="J212">
        <f>'Entrada datos'!P122</f>
        <v>0</v>
      </c>
      <c r="K212">
        <f>'Entrada datos'!Q122</f>
        <v>0</v>
      </c>
      <c r="L212">
        <f>'Entrada datos'!R122</f>
        <v>0</v>
      </c>
      <c r="M212">
        <f>'Entrada datos'!S122</f>
        <v>0</v>
      </c>
      <c r="N212">
        <f>'Entrada datos'!T122</f>
        <v>0</v>
      </c>
      <c r="O212">
        <f>'Entrada datos'!U122</f>
        <v>0</v>
      </c>
      <c r="P212" s="17">
        <f t="shared" si="52"/>
        <v>0</v>
      </c>
      <c r="Q212">
        <f>'Entrada datos'!V122</f>
        <v>0</v>
      </c>
      <c r="R212">
        <f>'Entrada datos'!W122</f>
        <v>0</v>
      </c>
      <c r="S212">
        <f>'Entrada datos'!X122</f>
        <v>0</v>
      </c>
      <c r="T212">
        <f>'Entrada datos'!Y122</f>
        <v>0</v>
      </c>
      <c r="U212">
        <f>'Entrada datos'!Z122</f>
        <v>0</v>
      </c>
      <c r="V212">
        <f>'Entrada datos'!AA122</f>
        <v>0</v>
      </c>
      <c r="W212" s="17">
        <f t="shared" si="53"/>
        <v>0</v>
      </c>
      <c r="X212">
        <f>'Entrada datos'!AB122</f>
        <v>0</v>
      </c>
      <c r="Y212">
        <f>'Entrada datos'!AC122</f>
        <v>0</v>
      </c>
      <c r="Z212">
        <f>'Entrada datos'!AD122</f>
        <v>0</v>
      </c>
      <c r="AA212">
        <f>'Entrada datos'!AE122</f>
        <v>0</v>
      </c>
      <c r="AB212">
        <f>'Entrada datos'!AF122</f>
        <v>0</v>
      </c>
      <c r="AC212">
        <f>'Entrada datos'!AG122</f>
        <v>0</v>
      </c>
      <c r="AD212" s="17">
        <f t="shared" si="54"/>
        <v>0</v>
      </c>
      <c r="AE212">
        <f>'Entrada datos'!AH122</f>
        <v>0</v>
      </c>
      <c r="AF212">
        <f>'Entrada datos'!AI122</f>
        <v>0</v>
      </c>
      <c r="AG212">
        <f>'Entrada datos'!AJ122</f>
        <v>0</v>
      </c>
      <c r="AH212">
        <f>'Entrada datos'!AK122</f>
        <v>0</v>
      </c>
      <c r="AI212">
        <f>'Entrada datos'!AL122</f>
        <v>0</v>
      </c>
      <c r="AJ212">
        <f>'Entrada datos'!AM122</f>
        <v>0</v>
      </c>
      <c r="AK212" s="17">
        <f t="shared" si="55"/>
        <v>0</v>
      </c>
      <c r="AL212">
        <f>'Entrada datos'!AN122</f>
        <v>0</v>
      </c>
      <c r="AM212">
        <f>'Entrada datos'!AO122</f>
        <v>0</v>
      </c>
      <c r="AN212">
        <f>'Entrada datos'!AP122</f>
        <v>0</v>
      </c>
      <c r="AO212">
        <f>'Entrada datos'!AQ122</f>
        <v>0</v>
      </c>
      <c r="AP212">
        <f>'Entrada datos'!AR122</f>
        <v>0</v>
      </c>
      <c r="AQ212">
        <f>'Entrada datos'!AS122</f>
        <v>0</v>
      </c>
      <c r="AR212" s="17">
        <f t="shared" si="56"/>
        <v>0</v>
      </c>
      <c r="AS212" s="23">
        <f t="shared" si="57"/>
        <v>0</v>
      </c>
      <c r="AT212">
        <f t="shared" si="58"/>
        <v>1900</v>
      </c>
      <c r="AU212" s="40" t="str">
        <f t="shared" si="59"/>
        <v>enero</v>
      </c>
      <c r="AV212">
        <f t="shared" si="60"/>
        <v>0</v>
      </c>
      <c r="AW212">
        <f t="shared" si="61"/>
        <v>0</v>
      </c>
      <c r="AX212" s="24">
        <f t="shared" si="62"/>
        <v>0</v>
      </c>
      <c r="AY212" s="24">
        <f t="shared" si="63"/>
        <v>0</v>
      </c>
      <c r="AZ212" s="24">
        <f t="shared" si="64"/>
        <v>0</v>
      </c>
      <c r="BA212">
        <f t="shared" si="65"/>
        <v>0</v>
      </c>
      <c r="BB212">
        <f t="shared" si="66"/>
        <v>0</v>
      </c>
      <c r="BC212" s="24">
        <f t="shared" si="67"/>
        <v>0</v>
      </c>
      <c r="BD212">
        <f t="shared" si="68"/>
        <v>0</v>
      </c>
    </row>
    <row r="213" spans="1:56" x14ac:dyDescent="0.3">
      <c r="A213">
        <f>'Entrada datos'!A123</f>
        <v>0</v>
      </c>
      <c r="B213">
        <f>'Entrada datos'!B123</f>
        <v>0</v>
      </c>
      <c r="C213">
        <f>'Entrada datos'!C123</f>
        <v>0</v>
      </c>
      <c r="D213">
        <f>'Entrada datos'!D123</f>
        <v>0</v>
      </c>
      <c r="E213" s="18">
        <f>'Entrada datos'!G123</f>
        <v>0</v>
      </c>
      <c r="F213" s="18">
        <f>'Entrada datos'!H123</f>
        <v>0</v>
      </c>
      <c r="G213">
        <f>'Entrada datos'!J123</f>
        <v>0</v>
      </c>
      <c r="H213">
        <f>'Entrada datos'!L123</f>
        <v>0</v>
      </c>
      <c r="I213">
        <f>'Entrada datos'!O123</f>
        <v>0</v>
      </c>
      <c r="J213">
        <f>'Entrada datos'!P123</f>
        <v>0</v>
      </c>
      <c r="K213">
        <f>'Entrada datos'!Q123</f>
        <v>0</v>
      </c>
      <c r="L213">
        <f>'Entrada datos'!R123</f>
        <v>0</v>
      </c>
      <c r="M213">
        <f>'Entrada datos'!S123</f>
        <v>0</v>
      </c>
      <c r="N213">
        <f>'Entrada datos'!T123</f>
        <v>0</v>
      </c>
      <c r="O213">
        <f>'Entrada datos'!U123</f>
        <v>0</v>
      </c>
      <c r="P213" s="17">
        <f t="shared" si="52"/>
        <v>0</v>
      </c>
      <c r="Q213">
        <f>'Entrada datos'!V123</f>
        <v>0</v>
      </c>
      <c r="R213">
        <f>'Entrada datos'!W123</f>
        <v>0</v>
      </c>
      <c r="S213">
        <f>'Entrada datos'!X123</f>
        <v>0</v>
      </c>
      <c r="T213">
        <f>'Entrada datos'!Y123</f>
        <v>0</v>
      </c>
      <c r="U213">
        <f>'Entrada datos'!Z123</f>
        <v>0</v>
      </c>
      <c r="V213">
        <f>'Entrada datos'!AA123</f>
        <v>0</v>
      </c>
      <c r="W213" s="17">
        <f t="shared" si="53"/>
        <v>0</v>
      </c>
      <c r="X213">
        <f>'Entrada datos'!AB123</f>
        <v>0</v>
      </c>
      <c r="Y213">
        <f>'Entrada datos'!AC123</f>
        <v>0</v>
      </c>
      <c r="Z213">
        <f>'Entrada datos'!AD123</f>
        <v>0</v>
      </c>
      <c r="AA213">
        <f>'Entrada datos'!AE123</f>
        <v>0</v>
      </c>
      <c r="AB213">
        <f>'Entrada datos'!AF123</f>
        <v>0</v>
      </c>
      <c r="AC213">
        <f>'Entrada datos'!AG123</f>
        <v>0</v>
      </c>
      <c r="AD213" s="17">
        <f t="shared" si="54"/>
        <v>0</v>
      </c>
      <c r="AE213">
        <f>'Entrada datos'!AH123</f>
        <v>0</v>
      </c>
      <c r="AF213">
        <f>'Entrada datos'!AI123</f>
        <v>0</v>
      </c>
      <c r="AG213">
        <f>'Entrada datos'!AJ123</f>
        <v>0</v>
      </c>
      <c r="AH213">
        <f>'Entrada datos'!AK123</f>
        <v>0</v>
      </c>
      <c r="AI213">
        <f>'Entrada datos'!AL123</f>
        <v>0</v>
      </c>
      <c r="AJ213">
        <f>'Entrada datos'!AM123</f>
        <v>0</v>
      </c>
      <c r="AK213" s="17">
        <f t="shared" si="55"/>
        <v>0</v>
      </c>
      <c r="AL213">
        <f>'Entrada datos'!AN123</f>
        <v>0</v>
      </c>
      <c r="AM213">
        <f>'Entrada datos'!AO123</f>
        <v>0</v>
      </c>
      <c r="AN213">
        <f>'Entrada datos'!AP123</f>
        <v>0</v>
      </c>
      <c r="AO213">
        <f>'Entrada datos'!AQ123</f>
        <v>0</v>
      </c>
      <c r="AP213">
        <f>'Entrada datos'!AR123</f>
        <v>0</v>
      </c>
      <c r="AQ213">
        <f>'Entrada datos'!AS123</f>
        <v>0</v>
      </c>
      <c r="AR213" s="17">
        <f t="shared" si="56"/>
        <v>0</v>
      </c>
      <c r="AS213" s="23">
        <f t="shared" si="57"/>
        <v>0</v>
      </c>
      <c r="AT213">
        <f t="shared" si="58"/>
        <v>1900</v>
      </c>
      <c r="AU213" s="40" t="str">
        <f t="shared" si="59"/>
        <v>enero</v>
      </c>
      <c r="AV213">
        <f t="shared" si="60"/>
        <v>0</v>
      </c>
      <c r="AW213">
        <f t="shared" si="61"/>
        <v>0</v>
      </c>
      <c r="AX213" s="24">
        <f t="shared" si="62"/>
        <v>0</v>
      </c>
      <c r="AY213" s="24">
        <f t="shared" si="63"/>
        <v>0</v>
      </c>
      <c r="AZ213" s="24">
        <f t="shared" si="64"/>
        <v>0</v>
      </c>
      <c r="BA213">
        <f t="shared" si="65"/>
        <v>0</v>
      </c>
      <c r="BB213">
        <f t="shared" si="66"/>
        <v>0</v>
      </c>
      <c r="BC213" s="24">
        <f t="shared" si="67"/>
        <v>0</v>
      </c>
      <c r="BD213">
        <f t="shared" si="68"/>
        <v>0</v>
      </c>
    </row>
    <row r="214" spans="1:56" x14ac:dyDescent="0.3">
      <c r="A214">
        <f>'Entrada datos'!A124</f>
        <v>0</v>
      </c>
      <c r="B214">
        <f>'Entrada datos'!B124</f>
        <v>0</v>
      </c>
      <c r="C214">
        <f>'Entrada datos'!C124</f>
        <v>0</v>
      </c>
      <c r="D214">
        <f>'Entrada datos'!D124</f>
        <v>0</v>
      </c>
      <c r="E214" s="18">
        <f>'Entrada datos'!G124</f>
        <v>0</v>
      </c>
      <c r="F214" s="18">
        <f>'Entrada datos'!H124</f>
        <v>0</v>
      </c>
      <c r="G214">
        <f>'Entrada datos'!J124</f>
        <v>0</v>
      </c>
      <c r="H214">
        <f>'Entrada datos'!L124</f>
        <v>0</v>
      </c>
      <c r="I214">
        <f>'Entrada datos'!O124</f>
        <v>0</v>
      </c>
      <c r="J214">
        <f>'Entrada datos'!P124</f>
        <v>0</v>
      </c>
      <c r="K214">
        <f>'Entrada datos'!Q124</f>
        <v>0</v>
      </c>
      <c r="L214">
        <f>'Entrada datos'!R124</f>
        <v>0</v>
      </c>
      <c r="M214">
        <f>'Entrada datos'!S124</f>
        <v>0</v>
      </c>
      <c r="N214">
        <f>'Entrada datos'!T124</f>
        <v>0</v>
      </c>
      <c r="O214">
        <f>'Entrada datos'!U124</f>
        <v>0</v>
      </c>
      <c r="P214" s="17">
        <f t="shared" si="52"/>
        <v>0</v>
      </c>
      <c r="Q214">
        <f>'Entrada datos'!V124</f>
        <v>0</v>
      </c>
      <c r="R214">
        <f>'Entrada datos'!W124</f>
        <v>0</v>
      </c>
      <c r="S214">
        <f>'Entrada datos'!X124</f>
        <v>0</v>
      </c>
      <c r="T214">
        <f>'Entrada datos'!Y124</f>
        <v>0</v>
      </c>
      <c r="U214">
        <f>'Entrada datos'!Z124</f>
        <v>0</v>
      </c>
      <c r="V214">
        <f>'Entrada datos'!AA124</f>
        <v>0</v>
      </c>
      <c r="W214" s="17">
        <f t="shared" si="53"/>
        <v>0</v>
      </c>
      <c r="X214">
        <f>'Entrada datos'!AB124</f>
        <v>0</v>
      </c>
      <c r="Y214">
        <f>'Entrada datos'!AC124</f>
        <v>0</v>
      </c>
      <c r="Z214">
        <f>'Entrada datos'!AD124</f>
        <v>0</v>
      </c>
      <c r="AA214">
        <f>'Entrada datos'!AE124</f>
        <v>0</v>
      </c>
      <c r="AB214">
        <f>'Entrada datos'!AF124</f>
        <v>0</v>
      </c>
      <c r="AC214">
        <f>'Entrada datos'!AG124</f>
        <v>0</v>
      </c>
      <c r="AD214" s="17">
        <f t="shared" si="54"/>
        <v>0</v>
      </c>
      <c r="AE214">
        <f>'Entrada datos'!AH124</f>
        <v>0</v>
      </c>
      <c r="AF214">
        <f>'Entrada datos'!AI124</f>
        <v>0</v>
      </c>
      <c r="AG214">
        <f>'Entrada datos'!AJ124</f>
        <v>0</v>
      </c>
      <c r="AH214">
        <f>'Entrada datos'!AK124</f>
        <v>0</v>
      </c>
      <c r="AI214">
        <f>'Entrada datos'!AL124</f>
        <v>0</v>
      </c>
      <c r="AJ214">
        <f>'Entrada datos'!AM124</f>
        <v>0</v>
      </c>
      <c r="AK214" s="17">
        <f t="shared" si="55"/>
        <v>0</v>
      </c>
      <c r="AL214">
        <f>'Entrada datos'!AN124</f>
        <v>0</v>
      </c>
      <c r="AM214">
        <f>'Entrada datos'!AO124</f>
        <v>0</v>
      </c>
      <c r="AN214">
        <f>'Entrada datos'!AP124</f>
        <v>0</v>
      </c>
      <c r="AO214">
        <f>'Entrada datos'!AQ124</f>
        <v>0</v>
      </c>
      <c r="AP214">
        <f>'Entrada datos'!AR124</f>
        <v>0</v>
      </c>
      <c r="AQ214">
        <f>'Entrada datos'!AS124</f>
        <v>0</v>
      </c>
      <c r="AR214" s="17">
        <f t="shared" si="56"/>
        <v>0</v>
      </c>
      <c r="AS214" s="23">
        <f t="shared" si="57"/>
        <v>0</v>
      </c>
      <c r="AT214">
        <f t="shared" si="58"/>
        <v>1900</v>
      </c>
      <c r="AU214" s="40" t="str">
        <f t="shared" si="59"/>
        <v>enero</v>
      </c>
      <c r="AV214">
        <f t="shared" si="60"/>
        <v>0</v>
      </c>
      <c r="AW214">
        <f t="shared" si="61"/>
        <v>0</v>
      </c>
      <c r="AX214" s="24">
        <f t="shared" si="62"/>
        <v>0</v>
      </c>
      <c r="AY214" s="24">
        <f t="shared" si="63"/>
        <v>0</v>
      </c>
      <c r="AZ214" s="24">
        <f t="shared" si="64"/>
        <v>0</v>
      </c>
      <c r="BA214">
        <f t="shared" si="65"/>
        <v>0</v>
      </c>
      <c r="BB214">
        <f t="shared" si="66"/>
        <v>0</v>
      </c>
      <c r="BC214" s="24">
        <f t="shared" si="67"/>
        <v>0</v>
      </c>
      <c r="BD214">
        <f t="shared" si="68"/>
        <v>0</v>
      </c>
    </row>
    <row r="215" spans="1:56" x14ac:dyDescent="0.3">
      <c r="A215">
        <f>'Entrada datos'!A125</f>
        <v>0</v>
      </c>
      <c r="B215">
        <f>'Entrada datos'!B125</f>
        <v>0</v>
      </c>
      <c r="C215">
        <f>'Entrada datos'!C125</f>
        <v>0</v>
      </c>
      <c r="D215">
        <f>'Entrada datos'!D125</f>
        <v>0</v>
      </c>
      <c r="E215" s="18">
        <f>'Entrada datos'!G125</f>
        <v>0</v>
      </c>
      <c r="F215" s="18">
        <f>'Entrada datos'!H125</f>
        <v>0</v>
      </c>
      <c r="G215">
        <f>'Entrada datos'!J125</f>
        <v>0</v>
      </c>
      <c r="H215">
        <f>'Entrada datos'!L125</f>
        <v>0</v>
      </c>
      <c r="I215">
        <f>'Entrada datos'!O125</f>
        <v>0</v>
      </c>
      <c r="J215">
        <f>'Entrada datos'!P125</f>
        <v>0</v>
      </c>
      <c r="K215">
        <f>'Entrada datos'!Q125</f>
        <v>0</v>
      </c>
      <c r="L215">
        <f>'Entrada datos'!R125</f>
        <v>0</v>
      </c>
      <c r="M215">
        <f>'Entrada datos'!S125</f>
        <v>0</v>
      </c>
      <c r="N215">
        <f>'Entrada datos'!T125</f>
        <v>0</v>
      </c>
      <c r="O215">
        <f>'Entrada datos'!U125</f>
        <v>0</v>
      </c>
      <c r="P215" s="17">
        <f t="shared" si="52"/>
        <v>0</v>
      </c>
      <c r="Q215">
        <f>'Entrada datos'!V125</f>
        <v>0</v>
      </c>
      <c r="R215">
        <f>'Entrada datos'!W125</f>
        <v>0</v>
      </c>
      <c r="S215">
        <f>'Entrada datos'!X125</f>
        <v>0</v>
      </c>
      <c r="T215">
        <f>'Entrada datos'!Y125</f>
        <v>0</v>
      </c>
      <c r="U215">
        <f>'Entrada datos'!Z125</f>
        <v>0</v>
      </c>
      <c r="V215">
        <f>'Entrada datos'!AA125</f>
        <v>0</v>
      </c>
      <c r="W215" s="17">
        <f t="shared" si="53"/>
        <v>0</v>
      </c>
      <c r="X215">
        <f>'Entrada datos'!AB125</f>
        <v>0</v>
      </c>
      <c r="Y215">
        <f>'Entrada datos'!AC125</f>
        <v>0</v>
      </c>
      <c r="Z215">
        <f>'Entrada datos'!AD125</f>
        <v>0</v>
      </c>
      <c r="AA215">
        <f>'Entrada datos'!AE125</f>
        <v>0</v>
      </c>
      <c r="AB215">
        <f>'Entrada datos'!AF125</f>
        <v>0</v>
      </c>
      <c r="AC215">
        <f>'Entrada datos'!AG125</f>
        <v>0</v>
      </c>
      <c r="AD215" s="17">
        <f t="shared" si="54"/>
        <v>0</v>
      </c>
      <c r="AE215">
        <f>'Entrada datos'!AH125</f>
        <v>0</v>
      </c>
      <c r="AF215">
        <f>'Entrada datos'!AI125</f>
        <v>0</v>
      </c>
      <c r="AG215">
        <f>'Entrada datos'!AJ125</f>
        <v>0</v>
      </c>
      <c r="AH215">
        <f>'Entrada datos'!AK125</f>
        <v>0</v>
      </c>
      <c r="AI215">
        <f>'Entrada datos'!AL125</f>
        <v>0</v>
      </c>
      <c r="AJ215">
        <f>'Entrada datos'!AM125</f>
        <v>0</v>
      </c>
      <c r="AK215" s="17">
        <f t="shared" si="55"/>
        <v>0</v>
      </c>
      <c r="AL215">
        <f>'Entrada datos'!AN125</f>
        <v>0</v>
      </c>
      <c r="AM215">
        <f>'Entrada datos'!AO125</f>
        <v>0</v>
      </c>
      <c r="AN215">
        <f>'Entrada datos'!AP125</f>
        <v>0</v>
      </c>
      <c r="AO215">
        <f>'Entrada datos'!AQ125</f>
        <v>0</v>
      </c>
      <c r="AP215">
        <f>'Entrada datos'!AR125</f>
        <v>0</v>
      </c>
      <c r="AQ215">
        <f>'Entrada datos'!AS125</f>
        <v>0</v>
      </c>
      <c r="AR215" s="17">
        <f t="shared" si="56"/>
        <v>0</v>
      </c>
      <c r="AS215" s="23">
        <f t="shared" si="57"/>
        <v>0</v>
      </c>
      <c r="AT215">
        <f t="shared" si="58"/>
        <v>1900</v>
      </c>
      <c r="AU215" s="40" t="str">
        <f t="shared" si="59"/>
        <v>enero</v>
      </c>
      <c r="AV215">
        <f t="shared" si="60"/>
        <v>0</v>
      </c>
      <c r="AW215">
        <f t="shared" si="61"/>
        <v>0</v>
      </c>
      <c r="AX215" s="24">
        <f t="shared" si="62"/>
        <v>0</v>
      </c>
      <c r="AY215" s="24">
        <f t="shared" si="63"/>
        <v>0</v>
      </c>
      <c r="AZ215" s="24">
        <f t="shared" si="64"/>
        <v>0</v>
      </c>
      <c r="BA215">
        <f t="shared" si="65"/>
        <v>0</v>
      </c>
      <c r="BB215">
        <f t="shared" si="66"/>
        <v>0</v>
      </c>
      <c r="BC215" s="24">
        <f t="shared" si="67"/>
        <v>0</v>
      </c>
      <c r="BD215">
        <f t="shared" si="68"/>
        <v>0</v>
      </c>
    </row>
    <row r="216" spans="1:56" x14ac:dyDescent="0.3">
      <c r="A216">
        <f>'Entrada datos'!A126</f>
        <v>0</v>
      </c>
      <c r="B216">
        <f>'Entrada datos'!B126</f>
        <v>0</v>
      </c>
      <c r="C216">
        <f>'Entrada datos'!C126</f>
        <v>0</v>
      </c>
      <c r="D216">
        <f>'Entrada datos'!D126</f>
        <v>0</v>
      </c>
      <c r="E216" s="18">
        <f>'Entrada datos'!G126</f>
        <v>0</v>
      </c>
      <c r="F216" s="18">
        <f>'Entrada datos'!H126</f>
        <v>0</v>
      </c>
      <c r="G216">
        <f>'Entrada datos'!J126</f>
        <v>0</v>
      </c>
      <c r="H216">
        <f>'Entrada datos'!L126</f>
        <v>0</v>
      </c>
      <c r="I216">
        <f>'Entrada datos'!O126</f>
        <v>0</v>
      </c>
      <c r="J216">
        <f>'Entrada datos'!P126</f>
        <v>0</v>
      </c>
      <c r="K216">
        <f>'Entrada datos'!Q126</f>
        <v>0</v>
      </c>
      <c r="L216">
        <f>'Entrada datos'!R126</f>
        <v>0</v>
      </c>
      <c r="M216">
        <f>'Entrada datos'!S126</f>
        <v>0</v>
      </c>
      <c r="N216">
        <f>'Entrada datos'!T126</f>
        <v>0</v>
      </c>
      <c r="O216">
        <f>'Entrada datos'!U126</f>
        <v>0</v>
      </c>
      <c r="P216" s="17">
        <f t="shared" si="52"/>
        <v>0</v>
      </c>
      <c r="Q216">
        <f>'Entrada datos'!V126</f>
        <v>0</v>
      </c>
      <c r="R216">
        <f>'Entrada datos'!W126</f>
        <v>0</v>
      </c>
      <c r="S216">
        <f>'Entrada datos'!X126</f>
        <v>0</v>
      </c>
      <c r="T216">
        <f>'Entrada datos'!Y126</f>
        <v>0</v>
      </c>
      <c r="U216">
        <f>'Entrada datos'!Z126</f>
        <v>0</v>
      </c>
      <c r="V216">
        <f>'Entrada datos'!AA126</f>
        <v>0</v>
      </c>
      <c r="W216" s="17">
        <f t="shared" si="53"/>
        <v>0</v>
      </c>
      <c r="X216">
        <f>'Entrada datos'!AB126</f>
        <v>0</v>
      </c>
      <c r="Y216">
        <f>'Entrada datos'!AC126</f>
        <v>0</v>
      </c>
      <c r="Z216">
        <f>'Entrada datos'!AD126</f>
        <v>0</v>
      </c>
      <c r="AA216">
        <f>'Entrada datos'!AE126</f>
        <v>0</v>
      </c>
      <c r="AB216">
        <f>'Entrada datos'!AF126</f>
        <v>0</v>
      </c>
      <c r="AC216">
        <f>'Entrada datos'!AG126</f>
        <v>0</v>
      </c>
      <c r="AD216" s="17">
        <f t="shared" si="54"/>
        <v>0</v>
      </c>
      <c r="AE216">
        <f>'Entrada datos'!AH126</f>
        <v>0</v>
      </c>
      <c r="AF216">
        <f>'Entrada datos'!AI126</f>
        <v>0</v>
      </c>
      <c r="AG216">
        <f>'Entrada datos'!AJ126</f>
        <v>0</v>
      </c>
      <c r="AH216">
        <f>'Entrada datos'!AK126</f>
        <v>0</v>
      </c>
      <c r="AI216">
        <f>'Entrada datos'!AL126</f>
        <v>0</v>
      </c>
      <c r="AJ216">
        <f>'Entrada datos'!AM126</f>
        <v>0</v>
      </c>
      <c r="AK216" s="17">
        <f t="shared" si="55"/>
        <v>0</v>
      </c>
      <c r="AL216">
        <f>'Entrada datos'!AN126</f>
        <v>0</v>
      </c>
      <c r="AM216">
        <f>'Entrada datos'!AO126</f>
        <v>0</v>
      </c>
      <c r="AN216">
        <f>'Entrada datos'!AP126</f>
        <v>0</v>
      </c>
      <c r="AO216">
        <f>'Entrada datos'!AQ126</f>
        <v>0</v>
      </c>
      <c r="AP216">
        <f>'Entrada datos'!AR126</f>
        <v>0</v>
      </c>
      <c r="AQ216">
        <f>'Entrada datos'!AS126</f>
        <v>0</v>
      </c>
      <c r="AR216" s="17">
        <f t="shared" si="56"/>
        <v>0</v>
      </c>
      <c r="AS216" s="23">
        <f t="shared" si="57"/>
        <v>0</v>
      </c>
      <c r="AT216">
        <f t="shared" si="58"/>
        <v>1900</v>
      </c>
      <c r="AU216" s="40" t="str">
        <f t="shared" si="59"/>
        <v>enero</v>
      </c>
      <c r="AV216">
        <f t="shared" si="60"/>
        <v>0</v>
      </c>
      <c r="AW216">
        <f t="shared" si="61"/>
        <v>0</v>
      </c>
      <c r="AX216" s="24">
        <f t="shared" si="62"/>
        <v>0</v>
      </c>
      <c r="AY216" s="24">
        <f t="shared" si="63"/>
        <v>0</v>
      </c>
      <c r="AZ216" s="24">
        <f t="shared" si="64"/>
        <v>0</v>
      </c>
      <c r="BA216">
        <f t="shared" si="65"/>
        <v>0</v>
      </c>
      <c r="BB216">
        <f t="shared" si="66"/>
        <v>0</v>
      </c>
      <c r="BC216" s="24">
        <f t="shared" si="67"/>
        <v>0</v>
      </c>
      <c r="BD216">
        <f t="shared" si="68"/>
        <v>0</v>
      </c>
    </row>
    <row r="217" spans="1:56" x14ac:dyDescent="0.3">
      <c r="A217">
        <f>'Entrada datos'!A127</f>
        <v>0</v>
      </c>
      <c r="B217">
        <f>'Entrada datos'!B127</f>
        <v>0</v>
      </c>
      <c r="C217">
        <f>'Entrada datos'!C127</f>
        <v>0</v>
      </c>
      <c r="D217">
        <f>'Entrada datos'!D127</f>
        <v>0</v>
      </c>
      <c r="E217" s="18">
        <f>'Entrada datos'!G127</f>
        <v>0</v>
      </c>
      <c r="F217" s="18">
        <f>'Entrada datos'!H127</f>
        <v>0</v>
      </c>
      <c r="G217">
        <f>'Entrada datos'!J127</f>
        <v>0</v>
      </c>
      <c r="H217">
        <f>'Entrada datos'!L127</f>
        <v>0</v>
      </c>
      <c r="I217">
        <f>'Entrada datos'!O127</f>
        <v>0</v>
      </c>
      <c r="J217">
        <f>'Entrada datos'!P127</f>
        <v>0</v>
      </c>
      <c r="K217">
        <f>'Entrada datos'!Q127</f>
        <v>0</v>
      </c>
      <c r="L217">
        <f>'Entrada datos'!R127</f>
        <v>0</v>
      </c>
      <c r="M217">
        <f>'Entrada datos'!S127</f>
        <v>0</v>
      </c>
      <c r="N217">
        <f>'Entrada datos'!T127</f>
        <v>0</v>
      </c>
      <c r="O217">
        <f>'Entrada datos'!U127</f>
        <v>0</v>
      </c>
      <c r="P217" s="17">
        <f t="shared" si="52"/>
        <v>0</v>
      </c>
      <c r="Q217">
        <f>'Entrada datos'!V127</f>
        <v>0</v>
      </c>
      <c r="R217">
        <f>'Entrada datos'!W127</f>
        <v>0</v>
      </c>
      <c r="S217">
        <f>'Entrada datos'!X127</f>
        <v>0</v>
      </c>
      <c r="T217">
        <f>'Entrada datos'!Y127</f>
        <v>0</v>
      </c>
      <c r="U217">
        <f>'Entrada datos'!Z127</f>
        <v>0</v>
      </c>
      <c r="V217">
        <f>'Entrada datos'!AA127</f>
        <v>0</v>
      </c>
      <c r="W217" s="17">
        <f t="shared" si="53"/>
        <v>0</v>
      </c>
      <c r="X217">
        <f>'Entrada datos'!AB127</f>
        <v>0</v>
      </c>
      <c r="Y217">
        <f>'Entrada datos'!AC127</f>
        <v>0</v>
      </c>
      <c r="Z217">
        <f>'Entrada datos'!AD127</f>
        <v>0</v>
      </c>
      <c r="AA217">
        <f>'Entrada datos'!AE127</f>
        <v>0</v>
      </c>
      <c r="AB217">
        <f>'Entrada datos'!AF127</f>
        <v>0</v>
      </c>
      <c r="AC217">
        <f>'Entrada datos'!AG127</f>
        <v>0</v>
      </c>
      <c r="AD217" s="17">
        <f t="shared" si="54"/>
        <v>0</v>
      </c>
      <c r="AE217">
        <f>'Entrada datos'!AH127</f>
        <v>0</v>
      </c>
      <c r="AF217">
        <f>'Entrada datos'!AI127</f>
        <v>0</v>
      </c>
      <c r="AG217">
        <f>'Entrada datos'!AJ127</f>
        <v>0</v>
      </c>
      <c r="AH217">
        <f>'Entrada datos'!AK127</f>
        <v>0</v>
      </c>
      <c r="AI217">
        <f>'Entrada datos'!AL127</f>
        <v>0</v>
      </c>
      <c r="AJ217">
        <f>'Entrada datos'!AM127</f>
        <v>0</v>
      </c>
      <c r="AK217" s="17">
        <f t="shared" si="55"/>
        <v>0</v>
      </c>
      <c r="AL217">
        <f>'Entrada datos'!AN127</f>
        <v>0</v>
      </c>
      <c r="AM217">
        <f>'Entrada datos'!AO127</f>
        <v>0</v>
      </c>
      <c r="AN217">
        <f>'Entrada datos'!AP127</f>
        <v>0</v>
      </c>
      <c r="AO217">
        <f>'Entrada datos'!AQ127</f>
        <v>0</v>
      </c>
      <c r="AP217">
        <f>'Entrada datos'!AR127</f>
        <v>0</v>
      </c>
      <c r="AQ217">
        <f>'Entrada datos'!AS127</f>
        <v>0</v>
      </c>
      <c r="AR217" s="17">
        <f t="shared" si="56"/>
        <v>0</v>
      </c>
      <c r="AS217" s="23">
        <f t="shared" si="57"/>
        <v>0</v>
      </c>
      <c r="AT217">
        <f t="shared" si="58"/>
        <v>1900</v>
      </c>
      <c r="AU217" s="40" t="str">
        <f t="shared" si="59"/>
        <v>enero</v>
      </c>
      <c r="AV217">
        <f t="shared" si="60"/>
        <v>0</v>
      </c>
      <c r="AW217">
        <f t="shared" si="61"/>
        <v>0</v>
      </c>
      <c r="AX217" s="24">
        <f t="shared" si="62"/>
        <v>0</v>
      </c>
      <c r="AY217" s="24">
        <f t="shared" si="63"/>
        <v>0</v>
      </c>
      <c r="AZ217" s="24">
        <f t="shared" si="64"/>
        <v>0</v>
      </c>
      <c r="BA217">
        <f t="shared" si="65"/>
        <v>0</v>
      </c>
      <c r="BB217">
        <f t="shared" si="66"/>
        <v>0</v>
      </c>
      <c r="BC217" s="24">
        <f t="shared" si="67"/>
        <v>0</v>
      </c>
      <c r="BD217">
        <f t="shared" si="68"/>
        <v>0</v>
      </c>
    </row>
    <row r="218" spans="1:56" x14ac:dyDescent="0.3">
      <c r="A218">
        <f>'Entrada datos'!A128</f>
        <v>0</v>
      </c>
      <c r="B218">
        <f>'Entrada datos'!B128</f>
        <v>0</v>
      </c>
      <c r="C218">
        <f>'Entrada datos'!C128</f>
        <v>0</v>
      </c>
      <c r="D218">
        <f>'Entrada datos'!D128</f>
        <v>0</v>
      </c>
      <c r="E218" s="18">
        <f>'Entrada datos'!G128</f>
        <v>0</v>
      </c>
      <c r="F218" s="18">
        <f>'Entrada datos'!H128</f>
        <v>0</v>
      </c>
      <c r="G218">
        <f>'Entrada datos'!J128</f>
        <v>0</v>
      </c>
      <c r="H218">
        <f>'Entrada datos'!L128</f>
        <v>0</v>
      </c>
      <c r="I218">
        <f>'Entrada datos'!O128</f>
        <v>0</v>
      </c>
      <c r="J218">
        <f>'Entrada datos'!P128</f>
        <v>0</v>
      </c>
      <c r="K218">
        <f>'Entrada datos'!Q128</f>
        <v>0</v>
      </c>
      <c r="L218">
        <f>'Entrada datos'!R128</f>
        <v>0</v>
      </c>
      <c r="M218">
        <f>'Entrada datos'!S128</f>
        <v>0</v>
      </c>
      <c r="N218">
        <f>'Entrada datos'!T128</f>
        <v>0</v>
      </c>
      <c r="O218">
        <f>'Entrada datos'!U128</f>
        <v>0</v>
      </c>
      <c r="P218" s="17">
        <f t="shared" si="52"/>
        <v>0</v>
      </c>
      <c r="Q218">
        <f>'Entrada datos'!V128</f>
        <v>0</v>
      </c>
      <c r="R218">
        <f>'Entrada datos'!W128</f>
        <v>0</v>
      </c>
      <c r="S218">
        <f>'Entrada datos'!X128</f>
        <v>0</v>
      </c>
      <c r="T218">
        <f>'Entrada datos'!Y128</f>
        <v>0</v>
      </c>
      <c r="U218">
        <f>'Entrada datos'!Z128</f>
        <v>0</v>
      </c>
      <c r="V218">
        <f>'Entrada datos'!AA128</f>
        <v>0</v>
      </c>
      <c r="W218" s="17">
        <f t="shared" si="53"/>
        <v>0</v>
      </c>
      <c r="X218">
        <f>'Entrada datos'!AB128</f>
        <v>0</v>
      </c>
      <c r="Y218">
        <f>'Entrada datos'!AC128</f>
        <v>0</v>
      </c>
      <c r="Z218">
        <f>'Entrada datos'!AD128</f>
        <v>0</v>
      </c>
      <c r="AA218">
        <f>'Entrada datos'!AE128</f>
        <v>0</v>
      </c>
      <c r="AB218">
        <f>'Entrada datos'!AF128</f>
        <v>0</v>
      </c>
      <c r="AC218">
        <f>'Entrada datos'!AG128</f>
        <v>0</v>
      </c>
      <c r="AD218" s="17">
        <f t="shared" si="54"/>
        <v>0</v>
      </c>
      <c r="AE218">
        <f>'Entrada datos'!AH128</f>
        <v>0</v>
      </c>
      <c r="AF218">
        <f>'Entrada datos'!AI128</f>
        <v>0</v>
      </c>
      <c r="AG218">
        <f>'Entrada datos'!AJ128</f>
        <v>0</v>
      </c>
      <c r="AH218">
        <f>'Entrada datos'!AK128</f>
        <v>0</v>
      </c>
      <c r="AI218">
        <f>'Entrada datos'!AL128</f>
        <v>0</v>
      </c>
      <c r="AJ218">
        <f>'Entrada datos'!AM128</f>
        <v>0</v>
      </c>
      <c r="AK218" s="17">
        <f t="shared" si="55"/>
        <v>0</v>
      </c>
      <c r="AL218">
        <f>'Entrada datos'!AN128</f>
        <v>0</v>
      </c>
      <c r="AM218">
        <f>'Entrada datos'!AO128</f>
        <v>0</v>
      </c>
      <c r="AN218">
        <f>'Entrada datos'!AP128</f>
        <v>0</v>
      </c>
      <c r="AO218">
        <f>'Entrada datos'!AQ128</f>
        <v>0</v>
      </c>
      <c r="AP218">
        <f>'Entrada datos'!AR128</f>
        <v>0</v>
      </c>
      <c r="AQ218">
        <f>'Entrada datos'!AS128</f>
        <v>0</v>
      </c>
      <c r="AR218" s="17">
        <f t="shared" si="56"/>
        <v>0</v>
      </c>
      <c r="AS218" s="23">
        <f t="shared" si="57"/>
        <v>0</v>
      </c>
      <c r="AT218">
        <f t="shared" si="58"/>
        <v>1900</v>
      </c>
      <c r="AU218" s="40" t="str">
        <f t="shared" si="59"/>
        <v>enero</v>
      </c>
      <c r="AV218">
        <f t="shared" si="60"/>
        <v>0</v>
      </c>
      <c r="AW218">
        <f t="shared" si="61"/>
        <v>0</v>
      </c>
      <c r="AX218" s="24">
        <f t="shared" si="62"/>
        <v>0</v>
      </c>
      <c r="AY218" s="24">
        <f t="shared" si="63"/>
        <v>0</v>
      </c>
      <c r="AZ218" s="24">
        <f t="shared" si="64"/>
        <v>0</v>
      </c>
      <c r="BA218">
        <f t="shared" si="65"/>
        <v>0</v>
      </c>
      <c r="BB218">
        <f t="shared" si="66"/>
        <v>0</v>
      </c>
      <c r="BC218" s="24">
        <f t="shared" si="67"/>
        <v>0</v>
      </c>
      <c r="BD218">
        <f t="shared" si="68"/>
        <v>0</v>
      </c>
    </row>
    <row r="219" spans="1:56" x14ac:dyDescent="0.3">
      <c r="A219">
        <f>'Entrada datos'!A129</f>
        <v>0</v>
      </c>
      <c r="B219">
        <f>'Entrada datos'!B129</f>
        <v>0</v>
      </c>
      <c r="C219">
        <f>'Entrada datos'!C129</f>
        <v>0</v>
      </c>
      <c r="D219">
        <f>'Entrada datos'!D129</f>
        <v>0</v>
      </c>
      <c r="E219" s="18">
        <f>'Entrada datos'!G129</f>
        <v>0</v>
      </c>
      <c r="F219" s="18">
        <f>'Entrada datos'!H129</f>
        <v>0</v>
      </c>
      <c r="G219">
        <f>'Entrada datos'!J129</f>
        <v>0</v>
      </c>
      <c r="H219">
        <f>'Entrada datos'!L129</f>
        <v>0</v>
      </c>
      <c r="I219">
        <f>'Entrada datos'!O129</f>
        <v>0</v>
      </c>
      <c r="J219">
        <f>'Entrada datos'!P129</f>
        <v>0</v>
      </c>
      <c r="K219">
        <f>'Entrada datos'!Q129</f>
        <v>0</v>
      </c>
      <c r="L219">
        <f>'Entrada datos'!R129</f>
        <v>0</v>
      </c>
      <c r="M219">
        <f>'Entrada datos'!S129</f>
        <v>0</v>
      </c>
      <c r="N219">
        <f>'Entrada datos'!T129</f>
        <v>0</v>
      </c>
      <c r="O219">
        <f>'Entrada datos'!U129</f>
        <v>0</v>
      </c>
      <c r="P219" s="17">
        <f t="shared" si="52"/>
        <v>0</v>
      </c>
      <c r="Q219">
        <f>'Entrada datos'!V129</f>
        <v>0</v>
      </c>
      <c r="R219">
        <f>'Entrada datos'!W129</f>
        <v>0</v>
      </c>
      <c r="S219">
        <f>'Entrada datos'!X129</f>
        <v>0</v>
      </c>
      <c r="T219">
        <f>'Entrada datos'!Y129</f>
        <v>0</v>
      </c>
      <c r="U219">
        <f>'Entrada datos'!Z129</f>
        <v>0</v>
      </c>
      <c r="V219">
        <f>'Entrada datos'!AA129</f>
        <v>0</v>
      </c>
      <c r="W219" s="17">
        <f t="shared" si="53"/>
        <v>0</v>
      </c>
      <c r="X219">
        <f>'Entrada datos'!AB129</f>
        <v>0</v>
      </c>
      <c r="Y219">
        <f>'Entrada datos'!AC129</f>
        <v>0</v>
      </c>
      <c r="Z219">
        <f>'Entrada datos'!AD129</f>
        <v>0</v>
      </c>
      <c r="AA219">
        <f>'Entrada datos'!AE129</f>
        <v>0</v>
      </c>
      <c r="AB219">
        <f>'Entrada datos'!AF129</f>
        <v>0</v>
      </c>
      <c r="AC219">
        <f>'Entrada datos'!AG129</f>
        <v>0</v>
      </c>
      <c r="AD219" s="17">
        <f t="shared" si="54"/>
        <v>0</v>
      </c>
      <c r="AE219">
        <f>'Entrada datos'!AH129</f>
        <v>0</v>
      </c>
      <c r="AF219">
        <f>'Entrada datos'!AI129</f>
        <v>0</v>
      </c>
      <c r="AG219">
        <f>'Entrada datos'!AJ129</f>
        <v>0</v>
      </c>
      <c r="AH219">
        <f>'Entrada datos'!AK129</f>
        <v>0</v>
      </c>
      <c r="AI219">
        <f>'Entrada datos'!AL129</f>
        <v>0</v>
      </c>
      <c r="AJ219">
        <f>'Entrada datos'!AM129</f>
        <v>0</v>
      </c>
      <c r="AK219" s="17">
        <f t="shared" si="55"/>
        <v>0</v>
      </c>
      <c r="AL219">
        <f>'Entrada datos'!AN129</f>
        <v>0</v>
      </c>
      <c r="AM219">
        <f>'Entrada datos'!AO129</f>
        <v>0</v>
      </c>
      <c r="AN219">
        <f>'Entrada datos'!AP129</f>
        <v>0</v>
      </c>
      <c r="AO219">
        <f>'Entrada datos'!AQ129</f>
        <v>0</v>
      </c>
      <c r="AP219">
        <f>'Entrada datos'!AR129</f>
        <v>0</v>
      </c>
      <c r="AQ219">
        <f>'Entrada datos'!AS129</f>
        <v>0</v>
      </c>
      <c r="AR219" s="17">
        <f t="shared" si="56"/>
        <v>0</v>
      </c>
      <c r="AS219" s="23">
        <f t="shared" si="57"/>
        <v>0</v>
      </c>
      <c r="AT219">
        <f t="shared" si="58"/>
        <v>1900</v>
      </c>
      <c r="AU219" s="40" t="str">
        <f t="shared" si="59"/>
        <v>enero</v>
      </c>
      <c r="AV219">
        <f t="shared" si="60"/>
        <v>0</v>
      </c>
      <c r="AW219">
        <f t="shared" si="61"/>
        <v>0</v>
      </c>
      <c r="AX219" s="24">
        <f t="shared" si="62"/>
        <v>0</v>
      </c>
      <c r="AY219" s="24">
        <f t="shared" si="63"/>
        <v>0</v>
      </c>
      <c r="AZ219" s="24">
        <f t="shared" si="64"/>
        <v>0</v>
      </c>
      <c r="BA219">
        <f t="shared" si="65"/>
        <v>0</v>
      </c>
      <c r="BB219">
        <f t="shared" si="66"/>
        <v>0</v>
      </c>
      <c r="BC219" s="24">
        <f t="shared" si="67"/>
        <v>0</v>
      </c>
      <c r="BD219">
        <f t="shared" si="68"/>
        <v>0</v>
      </c>
    </row>
    <row r="220" spans="1:56" x14ac:dyDescent="0.3">
      <c r="A220">
        <f>'Entrada datos'!A130</f>
        <v>0</v>
      </c>
      <c r="B220">
        <f>'Entrada datos'!B130</f>
        <v>0</v>
      </c>
      <c r="C220">
        <f>'Entrada datos'!C130</f>
        <v>0</v>
      </c>
      <c r="D220">
        <f>'Entrada datos'!D130</f>
        <v>0</v>
      </c>
      <c r="E220" s="18">
        <f>'Entrada datos'!G130</f>
        <v>0</v>
      </c>
      <c r="F220" s="18">
        <f>'Entrada datos'!H130</f>
        <v>0</v>
      </c>
      <c r="G220">
        <f>'Entrada datos'!J130</f>
        <v>0</v>
      </c>
      <c r="H220">
        <f>'Entrada datos'!L130</f>
        <v>0</v>
      </c>
      <c r="I220">
        <f>'Entrada datos'!O130</f>
        <v>0</v>
      </c>
      <c r="J220">
        <f>'Entrada datos'!P130</f>
        <v>0</v>
      </c>
      <c r="K220">
        <f>'Entrada datos'!Q130</f>
        <v>0</v>
      </c>
      <c r="L220">
        <f>'Entrada datos'!R130</f>
        <v>0</v>
      </c>
      <c r="M220">
        <f>'Entrada datos'!S130</f>
        <v>0</v>
      </c>
      <c r="N220">
        <f>'Entrada datos'!T130</f>
        <v>0</v>
      </c>
      <c r="O220">
        <f>'Entrada datos'!U130</f>
        <v>0</v>
      </c>
      <c r="P220" s="17">
        <f t="shared" si="52"/>
        <v>0</v>
      </c>
      <c r="Q220">
        <f>'Entrada datos'!V130</f>
        <v>0</v>
      </c>
      <c r="R220">
        <f>'Entrada datos'!W130</f>
        <v>0</v>
      </c>
      <c r="S220">
        <f>'Entrada datos'!X130</f>
        <v>0</v>
      </c>
      <c r="T220">
        <f>'Entrada datos'!Y130</f>
        <v>0</v>
      </c>
      <c r="U220">
        <f>'Entrada datos'!Z130</f>
        <v>0</v>
      </c>
      <c r="V220">
        <f>'Entrada datos'!AA130</f>
        <v>0</v>
      </c>
      <c r="W220" s="17">
        <f t="shared" si="53"/>
        <v>0</v>
      </c>
      <c r="X220">
        <f>'Entrada datos'!AB130</f>
        <v>0</v>
      </c>
      <c r="Y220">
        <f>'Entrada datos'!AC130</f>
        <v>0</v>
      </c>
      <c r="Z220">
        <f>'Entrada datos'!AD130</f>
        <v>0</v>
      </c>
      <c r="AA220">
        <f>'Entrada datos'!AE130</f>
        <v>0</v>
      </c>
      <c r="AB220">
        <f>'Entrada datos'!AF130</f>
        <v>0</v>
      </c>
      <c r="AC220">
        <f>'Entrada datos'!AG130</f>
        <v>0</v>
      </c>
      <c r="AD220" s="17">
        <f t="shared" si="54"/>
        <v>0</v>
      </c>
      <c r="AE220">
        <f>'Entrada datos'!AH130</f>
        <v>0</v>
      </c>
      <c r="AF220">
        <f>'Entrada datos'!AI130</f>
        <v>0</v>
      </c>
      <c r="AG220">
        <f>'Entrada datos'!AJ130</f>
        <v>0</v>
      </c>
      <c r="AH220">
        <f>'Entrada datos'!AK130</f>
        <v>0</v>
      </c>
      <c r="AI220">
        <f>'Entrada datos'!AL130</f>
        <v>0</v>
      </c>
      <c r="AJ220">
        <f>'Entrada datos'!AM130</f>
        <v>0</v>
      </c>
      <c r="AK220" s="17">
        <f t="shared" si="55"/>
        <v>0</v>
      </c>
      <c r="AL220">
        <f>'Entrada datos'!AN130</f>
        <v>0</v>
      </c>
      <c r="AM220">
        <f>'Entrada datos'!AO130</f>
        <v>0</v>
      </c>
      <c r="AN220">
        <f>'Entrada datos'!AP130</f>
        <v>0</v>
      </c>
      <c r="AO220">
        <f>'Entrada datos'!AQ130</f>
        <v>0</v>
      </c>
      <c r="AP220">
        <f>'Entrada datos'!AR130</f>
        <v>0</v>
      </c>
      <c r="AQ220">
        <f>'Entrada datos'!AS130</f>
        <v>0</v>
      </c>
      <c r="AR220" s="17">
        <f t="shared" si="56"/>
        <v>0</v>
      </c>
      <c r="AS220" s="23">
        <f t="shared" si="57"/>
        <v>0</v>
      </c>
      <c r="AT220">
        <f t="shared" si="58"/>
        <v>1900</v>
      </c>
      <c r="AU220" s="40" t="str">
        <f t="shared" si="59"/>
        <v>enero</v>
      </c>
      <c r="AV220">
        <f t="shared" si="60"/>
        <v>0</v>
      </c>
      <c r="AW220">
        <f t="shared" si="61"/>
        <v>0</v>
      </c>
      <c r="AX220" s="24">
        <f t="shared" si="62"/>
        <v>0</v>
      </c>
      <c r="AY220" s="24">
        <f t="shared" si="63"/>
        <v>0</v>
      </c>
      <c r="AZ220" s="24">
        <f t="shared" si="64"/>
        <v>0</v>
      </c>
      <c r="BA220">
        <f t="shared" si="65"/>
        <v>0</v>
      </c>
      <c r="BB220">
        <f t="shared" si="66"/>
        <v>0</v>
      </c>
      <c r="BC220" s="24">
        <f t="shared" si="67"/>
        <v>0</v>
      </c>
      <c r="BD220">
        <f t="shared" si="68"/>
        <v>0</v>
      </c>
    </row>
    <row r="221" spans="1:56" x14ac:dyDescent="0.3">
      <c r="A221">
        <f>'Entrada datos'!A131</f>
        <v>0</v>
      </c>
      <c r="B221">
        <f>'Entrada datos'!B131</f>
        <v>0</v>
      </c>
      <c r="C221">
        <f>'Entrada datos'!C131</f>
        <v>0</v>
      </c>
      <c r="D221">
        <f>'Entrada datos'!D131</f>
        <v>0</v>
      </c>
      <c r="E221" s="18">
        <f>'Entrada datos'!G131</f>
        <v>0</v>
      </c>
      <c r="F221" s="18">
        <f>'Entrada datos'!H131</f>
        <v>0</v>
      </c>
      <c r="G221">
        <f>'Entrada datos'!J131</f>
        <v>0</v>
      </c>
      <c r="H221">
        <f>'Entrada datos'!L131</f>
        <v>0</v>
      </c>
      <c r="I221">
        <f>'Entrada datos'!O131</f>
        <v>0</v>
      </c>
      <c r="J221">
        <f>'Entrada datos'!P131</f>
        <v>0</v>
      </c>
      <c r="K221">
        <f>'Entrada datos'!Q131</f>
        <v>0</v>
      </c>
      <c r="L221">
        <f>'Entrada datos'!R131</f>
        <v>0</v>
      </c>
      <c r="M221">
        <f>'Entrada datos'!S131</f>
        <v>0</v>
      </c>
      <c r="N221">
        <f>'Entrada datos'!T131</f>
        <v>0</v>
      </c>
      <c r="O221">
        <f>'Entrada datos'!U131</f>
        <v>0</v>
      </c>
      <c r="P221" s="17">
        <f t="shared" si="52"/>
        <v>0</v>
      </c>
      <c r="Q221">
        <f>'Entrada datos'!V131</f>
        <v>0</v>
      </c>
      <c r="R221">
        <f>'Entrada datos'!W131</f>
        <v>0</v>
      </c>
      <c r="S221">
        <f>'Entrada datos'!X131</f>
        <v>0</v>
      </c>
      <c r="T221">
        <f>'Entrada datos'!Y131</f>
        <v>0</v>
      </c>
      <c r="U221">
        <f>'Entrada datos'!Z131</f>
        <v>0</v>
      </c>
      <c r="V221">
        <f>'Entrada datos'!AA131</f>
        <v>0</v>
      </c>
      <c r="W221" s="17">
        <f t="shared" si="53"/>
        <v>0</v>
      </c>
      <c r="X221">
        <f>'Entrada datos'!AB131</f>
        <v>0</v>
      </c>
      <c r="Y221">
        <f>'Entrada datos'!AC131</f>
        <v>0</v>
      </c>
      <c r="Z221">
        <f>'Entrada datos'!AD131</f>
        <v>0</v>
      </c>
      <c r="AA221">
        <f>'Entrada datos'!AE131</f>
        <v>0</v>
      </c>
      <c r="AB221">
        <f>'Entrada datos'!AF131</f>
        <v>0</v>
      </c>
      <c r="AC221">
        <f>'Entrada datos'!AG131</f>
        <v>0</v>
      </c>
      <c r="AD221" s="17">
        <f t="shared" si="54"/>
        <v>0</v>
      </c>
      <c r="AE221">
        <f>'Entrada datos'!AH131</f>
        <v>0</v>
      </c>
      <c r="AF221">
        <f>'Entrada datos'!AI131</f>
        <v>0</v>
      </c>
      <c r="AG221">
        <f>'Entrada datos'!AJ131</f>
        <v>0</v>
      </c>
      <c r="AH221">
        <f>'Entrada datos'!AK131</f>
        <v>0</v>
      </c>
      <c r="AI221">
        <f>'Entrada datos'!AL131</f>
        <v>0</v>
      </c>
      <c r="AJ221">
        <f>'Entrada datos'!AM131</f>
        <v>0</v>
      </c>
      <c r="AK221" s="17">
        <f t="shared" si="55"/>
        <v>0</v>
      </c>
      <c r="AL221">
        <f>'Entrada datos'!AN131</f>
        <v>0</v>
      </c>
      <c r="AM221">
        <f>'Entrada datos'!AO131</f>
        <v>0</v>
      </c>
      <c r="AN221">
        <f>'Entrada datos'!AP131</f>
        <v>0</v>
      </c>
      <c r="AO221">
        <f>'Entrada datos'!AQ131</f>
        <v>0</v>
      </c>
      <c r="AP221">
        <f>'Entrada datos'!AR131</f>
        <v>0</v>
      </c>
      <c r="AQ221">
        <f>'Entrada datos'!AS131</f>
        <v>0</v>
      </c>
      <c r="AR221" s="17">
        <f t="shared" si="56"/>
        <v>0</v>
      </c>
      <c r="AS221" s="23">
        <f t="shared" si="57"/>
        <v>0</v>
      </c>
      <c r="AT221">
        <f t="shared" si="58"/>
        <v>1900</v>
      </c>
      <c r="AU221" s="40" t="str">
        <f t="shared" si="59"/>
        <v>enero</v>
      </c>
      <c r="AV221">
        <f t="shared" si="60"/>
        <v>0</v>
      </c>
      <c r="AW221">
        <f t="shared" si="61"/>
        <v>0</v>
      </c>
      <c r="AX221" s="24">
        <f t="shared" si="62"/>
        <v>0</v>
      </c>
      <c r="AY221" s="24">
        <f t="shared" si="63"/>
        <v>0</v>
      </c>
      <c r="AZ221" s="24">
        <f t="shared" si="64"/>
        <v>0</v>
      </c>
      <c r="BA221">
        <f t="shared" si="65"/>
        <v>0</v>
      </c>
      <c r="BB221">
        <f t="shared" si="66"/>
        <v>0</v>
      </c>
      <c r="BC221" s="24">
        <f t="shared" si="67"/>
        <v>0</v>
      </c>
      <c r="BD221">
        <f t="shared" si="68"/>
        <v>0</v>
      </c>
    </row>
    <row r="222" spans="1:56" x14ac:dyDescent="0.3">
      <c r="A222">
        <f>'Entrada datos'!A132</f>
        <v>0</v>
      </c>
      <c r="B222">
        <f>'Entrada datos'!B132</f>
        <v>0</v>
      </c>
      <c r="C222">
        <f>'Entrada datos'!C132</f>
        <v>0</v>
      </c>
      <c r="D222">
        <f>'Entrada datos'!D132</f>
        <v>0</v>
      </c>
      <c r="E222" s="18">
        <f>'Entrada datos'!G132</f>
        <v>0</v>
      </c>
      <c r="F222" s="18">
        <f>'Entrada datos'!H132</f>
        <v>0</v>
      </c>
      <c r="G222">
        <f>'Entrada datos'!J132</f>
        <v>0</v>
      </c>
      <c r="H222">
        <f>'Entrada datos'!L132</f>
        <v>0</v>
      </c>
      <c r="I222">
        <f>'Entrada datos'!O132</f>
        <v>0</v>
      </c>
      <c r="J222">
        <f>'Entrada datos'!P132</f>
        <v>0</v>
      </c>
      <c r="K222">
        <f>'Entrada datos'!Q132</f>
        <v>0</v>
      </c>
      <c r="L222">
        <f>'Entrada datos'!R132</f>
        <v>0</v>
      </c>
      <c r="M222">
        <f>'Entrada datos'!S132</f>
        <v>0</v>
      </c>
      <c r="N222">
        <f>'Entrada datos'!T132</f>
        <v>0</v>
      </c>
      <c r="O222">
        <f>'Entrada datos'!U132</f>
        <v>0</v>
      </c>
      <c r="P222" s="17">
        <f t="shared" si="52"/>
        <v>0</v>
      </c>
      <c r="Q222">
        <f>'Entrada datos'!V132</f>
        <v>0</v>
      </c>
      <c r="R222">
        <f>'Entrada datos'!W132</f>
        <v>0</v>
      </c>
      <c r="S222">
        <f>'Entrada datos'!X132</f>
        <v>0</v>
      </c>
      <c r="T222">
        <f>'Entrada datos'!Y132</f>
        <v>0</v>
      </c>
      <c r="U222">
        <f>'Entrada datos'!Z132</f>
        <v>0</v>
      </c>
      <c r="V222">
        <f>'Entrada datos'!AA132</f>
        <v>0</v>
      </c>
      <c r="W222" s="17">
        <f t="shared" si="53"/>
        <v>0</v>
      </c>
      <c r="X222">
        <f>'Entrada datos'!AB132</f>
        <v>0</v>
      </c>
      <c r="Y222">
        <f>'Entrada datos'!AC132</f>
        <v>0</v>
      </c>
      <c r="Z222">
        <f>'Entrada datos'!AD132</f>
        <v>0</v>
      </c>
      <c r="AA222">
        <f>'Entrada datos'!AE132</f>
        <v>0</v>
      </c>
      <c r="AB222">
        <f>'Entrada datos'!AF132</f>
        <v>0</v>
      </c>
      <c r="AC222">
        <f>'Entrada datos'!AG132</f>
        <v>0</v>
      </c>
      <c r="AD222" s="17">
        <f t="shared" si="54"/>
        <v>0</v>
      </c>
      <c r="AE222">
        <f>'Entrada datos'!AH132</f>
        <v>0</v>
      </c>
      <c r="AF222">
        <f>'Entrada datos'!AI132</f>
        <v>0</v>
      </c>
      <c r="AG222">
        <f>'Entrada datos'!AJ132</f>
        <v>0</v>
      </c>
      <c r="AH222">
        <f>'Entrada datos'!AK132</f>
        <v>0</v>
      </c>
      <c r="AI222">
        <f>'Entrada datos'!AL132</f>
        <v>0</v>
      </c>
      <c r="AJ222">
        <f>'Entrada datos'!AM132</f>
        <v>0</v>
      </c>
      <c r="AK222" s="17">
        <f t="shared" si="55"/>
        <v>0</v>
      </c>
      <c r="AL222">
        <f>'Entrada datos'!AN132</f>
        <v>0</v>
      </c>
      <c r="AM222">
        <f>'Entrada datos'!AO132</f>
        <v>0</v>
      </c>
      <c r="AN222">
        <f>'Entrada datos'!AP132</f>
        <v>0</v>
      </c>
      <c r="AO222">
        <f>'Entrada datos'!AQ132</f>
        <v>0</v>
      </c>
      <c r="AP222">
        <f>'Entrada datos'!AR132</f>
        <v>0</v>
      </c>
      <c r="AQ222">
        <f>'Entrada datos'!AS132</f>
        <v>0</v>
      </c>
      <c r="AR222" s="17">
        <f t="shared" si="56"/>
        <v>0</v>
      </c>
      <c r="AS222" s="23">
        <f t="shared" si="57"/>
        <v>0</v>
      </c>
      <c r="AT222">
        <f t="shared" si="58"/>
        <v>1900</v>
      </c>
      <c r="AU222" s="40" t="str">
        <f t="shared" si="59"/>
        <v>enero</v>
      </c>
      <c r="AV222">
        <f t="shared" si="60"/>
        <v>0</v>
      </c>
      <c r="AW222">
        <f t="shared" si="61"/>
        <v>0</v>
      </c>
      <c r="AX222" s="24">
        <f t="shared" si="62"/>
        <v>0</v>
      </c>
      <c r="AY222" s="24">
        <f t="shared" si="63"/>
        <v>0</v>
      </c>
      <c r="AZ222" s="24">
        <f t="shared" si="64"/>
        <v>0</v>
      </c>
      <c r="BA222">
        <f t="shared" si="65"/>
        <v>0</v>
      </c>
      <c r="BB222">
        <f t="shared" si="66"/>
        <v>0</v>
      </c>
      <c r="BC222" s="24">
        <f t="shared" si="67"/>
        <v>0</v>
      </c>
      <c r="BD222">
        <f t="shared" si="68"/>
        <v>0</v>
      </c>
    </row>
    <row r="223" spans="1:56" x14ac:dyDescent="0.3">
      <c r="A223">
        <f>'Entrada datos'!A133</f>
        <v>0</v>
      </c>
      <c r="B223">
        <f>'Entrada datos'!B133</f>
        <v>0</v>
      </c>
      <c r="C223">
        <f>'Entrada datos'!C133</f>
        <v>0</v>
      </c>
      <c r="D223">
        <f>'Entrada datos'!D133</f>
        <v>0</v>
      </c>
      <c r="E223" s="18">
        <f>'Entrada datos'!G133</f>
        <v>0</v>
      </c>
      <c r="F223" s="18">
        <f>'Entrada datos'!H133</f>
        <v>0</v>
      </c>
      <c r="G223">
        <f>'Entrada datos'!J133</f>
        <v>0</v>
      </c>
      <c r="H223">
        <f>'Entrada datos'!L133</f>
        <v>0</v>
      </c>
      <c r="I223">
        <f>'Entrada datos'!O133</f>
        <v>0</v>
      </c>
      <c r="J223">
        <f>'Entrada datos'!P133</f>
        <v>0</v>
      </c>
      <c r="K223">
        <f>'Entrada datos'!Q133</f>
        <v>0</v>
      </c>
      <c r="L223">
        <f>'Entrada datos'!R133</f>
        <v>0</v>
      </c>
      <c r="M223">
        <f>'Entrada datos'!S133</f>
        <v>0</v>
      </c>
      <c r="N223">
        <f>'Entrada datos'!T133</f>
        <v>0</v>
      </c>
      <c r="O223">
        <f>'Entrada datos'!U133</f>
        <v>0</v>
      </c>
      <c r="P223" s="17">
        <f t="shared" si="52"/>
        <v>0</v>
      </c>
      <c r="Q223">
        <f>'Entrada datos'!V133</f>
        <v>0</v>
      </c>
      <c r="R223">
        <f>'Entrada datos'!W133</f>
        <v>0</v>
      </c>
      <c r="S223">
        <f>'Entrada datos'!X133</f>
        <v>0</v>
      </c>
      <c r="T223">
        <f>'Entrada datos'!Y133</f>
        <v>0</v>
      </c>
      <c r="U223">
        <f>'Entrada datos'!Z133</f>
        <v>0</v>
      </c>
      <c r="V223">
        <f>'Entrada datos'!AA133</f>
        <v>0</v>
      </c>
      <c r="W223" s="17">
        <f t="shared" si="53"/>
        <v>0</v>
      </c>
      <c r="X223">
        <f>'Entrada datos'!AB133</f>
        <v>0</v>
      </c>
      <c r="Y223">
        <f>'Entrada datos'!AC133</f>
        <v>0</v>
      </c>
      <c r="Z223">
        <f>'Entrada datos'!AD133</f>
        <v>0</v>
      </c>
      <c r="AA223">
        <f>'Entrada datos'!AE133</f>
        <v>0</v>
      </c>
      <c r="AB223">
        <f>'Entrada datos'!AF133</f>
        <v>0</v>
      </c>
      <c r="AC223">
        <f>'Entrada datos'!AG133</f>
        <v>0</v>
      </c>
      <c r="AD223" s="17">
        <f t="shared" si="54"/>
        <v>0</v>
      </c>
      <c r="AE223">
        <f>'Entrada datos'!AH133</f>
        <v>0</v>
      </c>
      <c r="AF223">
        <f>'Entrada datos'!AI133</f>
        <v>0</v>
      </c>
      <c r="AG223">
        <f>'Entrada datos'!AJ133</f>
        <v>0</v>
      </c>
      <c r="AH223">
        <f>'Entrada datos'!AK133</f>
        <v>0</v>
      </c>
      <c r="AI223">
        <f>'Entrada datos'!AL133</f>
        <v>0</v>
      </c>
      <c r="AJ223">
        <f>'Entrada datos'!AM133</f>
        <v>0</v>
      </c>
      <c r="AK223" s="17">
        <f t="shared" si="55"/>
        <v>0</v>
      </c>
      <c r="AL223">
        <f>'Entrada datos'!AN133</f>
        <v>0</v>
      </c>
      <c r="AM223">
        <f>'Entrada datos'!AO133</f>
        <v>0</v>
      </c>
      <c r="AN223">
        <f>'Entrada datos'!AP133</f>
        <v>0</v>
      </c>
      <c r="AO223">
        <f>'Entrada datos'!AQ133</f>
        <v>0</v>
      </c>
      <c r="AP223">
        <f>'Entrada datos'!AR133</f>
        <v>0</v>
      </c>
      <c r="AQ223">
        <f>'Entrada datos'!AS133</f>
        <v>0</v>
      </c>
      <c r="AR223" s="17">
        <f t="shared" si="56"/>
        <v>0</v>
      </c>
      <c r="AS223" s="23">
        <f t="shared" si="57"/>
        <v>0</v>
      </c>
      <c r="AT223">
        <f t="shared" si="58"/>
        <v>1900</v>
      </c>
      <c r="AU223" s="40" t="str">
        <f t="shared" si="59"/>
        <v>enero</v>
      </c>
      <c r="AV223">
        <f t="shared" si="60"/>
        <v>0</v>
      </c>
      <c r="AW223">
        <f t="shared" si="61"/>
        <v>0</v>
      </c>
      <c r="AX223" s="24">
        <f t="shared" si="62"/>
        <v>0</v>
      </c>
      <c r="AY223" s="24">
        <f t="shared" si="63"/>
        <v>0</v>
      </c>
      <c r="AZ223" s="24">
        <f t="shared" si="64"/>
        <v>0</v>
      </c>
      <c r="BA223">
        <f t="shared" si="65"/>
        <v>0</v>
      </c>
      <c r="BB223">
        <f t="shared" si="66"/>
        <v>0</v>
      </c>
      <c r="BC223" s="24">
        <f t="shared" si="67"/>
        <v>0</v>
      </c>
      <c r="BD223">
        <f t="shared" si="68"/>
        <v>0</v>
      </c>
    </row>
    <row r="224" spans="1:56" x14ac:dyDescent="0.3">
      <c r="A224">
        <f>'Entrada datos'!A134</f>
        <v>0</v>
      </c>
      <c r="B224">
        <f>'Entrada datos'!B134</f>
        <v>0</v>
      </c>
      <c r="C224">
        <f>'Entrada datos'!C134</f>
        <v>0</v>
      </c>
      <c r="D224">
        <f>'Entrada datos'!D134</f>
        <v>0</v>
      </c>
      <c r="E224" s="18">
        <f>'Entrada datos'!G134</f>
        <v>0</v>
      </c>
      <c r="F224" s="18">
        <f>'Entrada datos'!H134</f>
        <v>0</v>
      </c>
      <c r="G224">
        <f>'Entrada datos'!J134</f>
        <v>0</v>
      </c>
      <c r="H224">
        <f>'Entrada datos'!L134</f>
        <v>0</v>
      </c>
      <c r="I224">
        <f>'Entrada datos'!O134</f>
        <v>0</v>
      </c>
      <c r="J224">
        <f>'Entrada datos'!P134</f>
        <v>0</v>
      </c>
      <c r="K224">
        <f>'Entrada datos'!Q134</f>
        <v>0</v>
      </c>
      <c r="L224">
        <f>'Entrada datos'!R134</f>
        <v>0</v>
      </c>
      <c r="M224">
        <f>'Entrada datos'!S134</f>
        <v>0</v>
      </c>
      <c r="N224">
        <f>'Entrada datos'!T134</f>
        <v>0</v>
      </c>
      <c r="O224">
        <f>'Entrada datos'!U134</f>
        <v>0</v>
      </c>
      <c r="P224" s="17">
        <f t="shared" si="52"/>
        <v>0</v>
      </c>
      <c r="Q224">
        <f>'Entrada datos'!V134</f>
        <v>0</v>
      </c>
      <c r="R224">
        <f>'Entrada datos'!W134</f>
        <v>0</v>
      </c>
      <c r="S224">
        <f>'Entrada datos'!X134</f>
        <v>0</v>
      </c>
      <c r="T224">
        <f>'Entrada datos'!Y134</f>
        <v>0</v>
      </c>
      <c r="U224">
        <f>'Entrada datos'!Z134</f>
        <v>0</v>
      </c>
      <c r="V224">
        <f>'Entrada datos'!AA134</f>
        <v>0</v>
      </c>
      <c r="W224" s="17">
        <f t="shared" si="53"/>
        <v>0</v>
      </c>
      <c r="X224">
        <f>'Entrada datos'!AB134</f>
        <v>0</v>
      </c>
      <c r="Y224">
        <f>'Entrada datos'!AC134</f>
        <v>0</v>
      </c>
      <c r="Z224">
        <f>'Entrada datos'!AD134</f>
        <v>0</v>
      </c>
      <c r="AA224">
        <f>'Entrada datos'!AE134</f>
        <v>0</v>
      </c>
      <c r="AB224">
        <f>'Entrada datos'!AF134</f>
        <v>0</v>
      </c>
      <c r="AC224">
        <f>'Entrada datos'!AG134</f>
        <v>0</v>
      </c>
      <c r="AD224" s="17">
        <f t="shared" si="54"/>
        <v>0</v>
      </c>
      <c r="AE224">
        <f>'Entrada datos'!AH134</f>
        <v>0</v>
      </c>
      <c r="AF224">
        <f>'Entrada datos'!AI134</f>
        <v>0</v>
      </c>
      <c r="AG224">
        <f>'Entrada datos'!AJ134</f>
        <v>0</v>
      </c>
      <c r="AH224">
        <f>'Entrada datos'!AK134</f>
        <v>0</v>
      </c>
      <c r="AI224">
        <f>'Entrada datos'!AL134</f>
        <v>0</v>
      </c>
      <c r="AJ224">
        <f>'Entrada datos'!AM134</f>
        <v>0</v>
      </c>
      <c r="AK224" s="17">
        <f t="shared" si="55"/>
        <v>0</v>
      </c>
      <c r="AL224">
        <f>'Entrada datos'!AN134</f>
        <v>0</v>
      </c>
      <c r="AM224">
        <f>'Entrada datos'!AO134</f>
        <v>0</v>
      </c>
      <c r="AN224">
        <f>'Entrada datos'!AP134</f>
        <v>0</v>
      </c>
      <c r="AO224">
        <f>'Entrada datos'!AQ134</f>
        <v>0</v>
      </c>
      <c r="AP224">
        <f>'Entrada datos'!AR134</f>
        <v>0</v>
      </c>
      <c r="AQ224">
        <f>'Entrada datos'!AS134</f>
        <v>0</v>
      </c>
      <c r="AR224" s="17">
        <f t="shared" si="56"/>
        <v>0</v>
      </c>
      <c r="AS224" s="23">
        <f t="shared" si="57"/>
        <v>0</v>
      </c>
      <c r="AT224">
        <f t="shared" si="58"/>
        <v>1900</v>
      </c>
      <c r="AU224" s="40" t="str">
        <f t="shared" si="59"/>
        <v>enero</v>
      </c>
      <c r="AV224">
        <f t="shared" si="60"/>
        <v>0</v>
      </c>
      <c r="AW224">
        <f t="shared" si="61"/>
        <v>0</v>
      </c>
      <c r="AX224" s="24">
        <f t="shared" si="62"/>
        <v>0</v>
      </c>
      <c r="AY224" s="24">
        <f t="shared" si="63"/>
        <v>0</v>
      </c>
      <c r="AZ224" s="24">
        <f t="shared" si="64"/>
        <v>0</v>
      </c>
      <c r="BA224">
        <f t="shared" si="65"/>
        <v>0</v>
      </c>
      <c r="BB224">
        <f t="shared" si="66"/>
        <v>0</v>
      </c>
      <c r="BC224" s="24">
        <f t="shared" si="67"/>
        <v>0</v>
      </c>
      <c r="BD224">
        <f t="shared" si="68"/>
        <v>0</v>
      </c>
    </row>
    <row r="225" spans="1:56" x14ac:dyDescent="0.3">
      <c r="A225">
        <f>'Entrada datos'!A135</f>
        <v>0</v>
      </c>
      <c r="B225">
        <f>'Entrada datos'!B135</f>
        <v>0</v>
      </c>
      <c r="C225">
        <f>'Entrada datos'!C135</f>
        <v>0</v>
      </c>
      <c r="D225">
        <f>'Entrada datos'!D135</f>
        <v>0</v>
      </c>
      <c r="E225" s="18">
        <f>'Entrada datos'!G135</f>
        <v>0</v>
      </c>
      <c r="F225" s="18">
        <f>'Entrada datos'!H135</f>
        <v>0</v>
      </c>
      <c r="G225">
        <f>'Entrada datos'!J135</f>
        <v>0</v>
      </c>
      <c r="H225">
        <f>'Entrada datos'!L135</f>
        <v>0</v>
      </c>
      <c r="I225">
        <f>'Entrada datos'!O135</f>
        <v>0</v>
      </c>
      <c r="J225">
        <f>'Entrada datos'!P135</f>
        <v>0</v>
      </c>
      <c r="K225">
        <f>'Entrada datos'!Q135</f>
        <v>0</v>
      </c>
      <c r="L225">
        <f>'Entrada datos'!R135</f>
        <v>0</v>
      </c>
      <c r="M225">
        <f>'Entrada datos'!S135</f>
        <v>0</v>
      </c>
      <c r="N225">
        <f>'Entrada datos'!T135</f>
        <v>0</v>
      </c>
      <c r="O225">
        <f>'Entrada datos'!U135</f>
        <v>0</v>
      </c>
      <c r="P225" s="17">
        <f t="shared" si="52"/>
        <v>0</v>
      </c>
      <c r="Q225">
        <f>'Entrada datos'!V135</f>
        <v>0</v>
      </c>
      <c r="R225">
        <f>'Entrada datos'!W135</f>
        <v>0</v>
      </c>
      <c r="S225">
        <f>'Entrada datos'!X135</f>
        <v>0</v>
      </c>
      <c r="T225">
        <f>'Entrada datos'!Y135</f>
        <v>0</v>
      </c>
      <c r="U225">
        <f>'Entrada datos'!Z135</f>
        <v>0</v>
      </c>
      <c r="V225">
        <f>'Entrada datos'!AA135</f>
        <v>0</v>
      </c>
      <c r="W225" s="17">
        <f t="shared" si="53"/>
        <v>0</v>
      </c>
      <c r="X225">
        <f>'Entrada datos'!AB135</f>
        <v>0</v>
      </c>
      <c r="Y225">
        <f>'Entrada datos'!AC135</f>
        <v>0</v>
      </c>
      <c r="Z225">
        <f>'Entrada datos'!AD135</f>
        <v>0</v>
      </c>
      <c r="AA225">
        <f>'Entrada datos'!AE135</f>
        <v>0</v>
      </c>
      <c r="AB225">
        <f>'Entrada datos'!AF135</f>
        <v>0</v>
      </c>
      <c r="AC225">
        <f>'Entrada datos'!AG135</f>
        <v>0</v>
      </c>
      <c r="AD225" s="17">
        <f t="shared" si="54"/>
        <v>0</v>
      </c>
      <c r="AE225">
        <f>'Entrada datos'!AH135</f>
        <v>0</v>
      </c>
      <c r="AF225">
        <f>'Entrada datos'!AI135</f>
        <v>0</v>
      </c>
      <c r="AG225">
        <f>'Entrada datos'!AJ135</f>
        <v>0</v>
      </c>
      <c r="AH225">
        <f>'Entrada datos'!AK135</f>
        <v>0</v>
      </c>
      <c r="AI225">
        <f>'Entrada datos'!AL135</f>
        <v>0</v>
      </c>
      <c r="AJ225">
        <f>'Entrada datos'!AM135</f>
        <v>0</v>
      </c>
      <c r="AK225" s="17">
        <f t="shared" si="55"/>
        <v>0</v>
      </c>
      <c r="AL225">
        <f>'Entrada datos'!AN135</f>
        <v>0</v>
      </c>
      <c r="AM225">
        <f>'Entrada datos'!AO135</f>
        <v>0</v>
      </c>
      <c r="AN225">
        <f>'Entrada datos'!AP135</f>
        <v>0</v>
      </c>
      <c r="AO225">
        <f>'Entrada datos'!AQ135</f>
        <v>0</v>
      </c>
      <c r="AP225">
        <f>'Entrada datos'!AR135</f>
        <v>0</v>
      </c>
      <c r="AQ225">
        <f>'Entrada datos'!AS135</f>
        <v>0</v>
      </c>
      <c r="AR225" s="17">
        <f t="shared" si="56"/>
        <v>0</v>
      </c>
      <c r="AS225" s="23">
        <f t="shared" si="57"/>
        <v>0</v>
      </c>
      <c r="AT225">
        <f t="shared" si="58"/>
        <v>1900</v>
      </c>
      <c r="AU225" s="40" t="str">
        <f t="shared" si="59"/>
        <v>enero</v>
      </c>
      <c r="AV225">
        <f t="shared" si="60"/>
        <v>0</v>
      </c>
      <c r="AW225">
        <f t="shared" si="61"/>
        <v>0</v>
      </c>
      <c r="AX225" s="24">
        <f t="shared" si="62"/>
        <v>0</v>
      </c>
      <c r="AY225" s="24">
        <f t="shared" si="63"/>
        <v>0</v>
      </c>
      <c r="AZ225" s="24">
        <f t="shared" si="64"/>
        <v>0</v>
      </c>
      <c r="BA225">
        <f t="shared" si="65"/>
        <v>0</v>
      </c>
      <c r="BB225">
        <f t="shared" si="66"/>
        <v>0</v>
      </c>
      <c r="BC225" s="24">
        <f t="shared" si="67"/>
        <v>0</v>
      </c>
      <c r="BD225">
        <f t="shared" si="68"/>
        <v>0</v>
      </c>
    </row>
    <row r="226" spans="1:56" x14ac:dyDescent="0.3">
      <c r="A226">
        <f>'Entrada datos'!A136</f>
        <v>0</v>
      </c>
      <c r="B226">
        <f>'Entrada datos'!B136</f>
        <v>0</v>
      </c>
      <c r="C226">
        <f>'Entrada datos'!C136</f>
        <v>0</v>
      </c>
      <c r="D226">
        <f>'Entrada datos'!D136</f>
        <v>0</v>
      </c>
      <c r="E226" s="18">
        <f>'Entrada datos'!G136</f>
        <v>0</v>
      </c>
      <c r="F226" s="18">
        <f>'Entrada datos'!H136</f>
        <v>0</v>
      </c>
      <c r="G226">
        <f>'Entrada datos'!J136</f>
        <v>0</v>
      </c>
      <c r="H226">
        <f>'Entrada datos'!L136</f>
        <v>0</v>
      </c>
      <c r="I226">
        <f>'Entrada datos'!O136</f>
        <v>0</v>
      </c>
      <c r="J226">
        <f>'Entrada datos'!P136</f>
        <v>0</v>
      </c>
      <c r="K226">
        <f>'Entrada datos'!Q136</f>
        <v>0</v>
      </c>
      <c r="L226">
        <f>'Entrada datos'!R136</f>
        <v>0</v>
      </c>
      <c r="M226">
        <f>'Entrada datos'!S136</f>
        <v>0</v>
      </c>
      <c r="N226">
        <f>'Entrada datos'!T136</f>
        <v>0</v>
      </c>
      <c r="O226">
        <f>'Entrada datos'!U136</f>
        <v>0</v>
      </c>
      <c r="P226" s="17">
        <f t="shared" si="52"/>
        <v>0</v>
      </c>
      <c r="Q226">
        <f>'Entrada datos'!V136</f>
        <v>0</v>
      </c>
      <c r="R226">
        <f>'Entrada datos'!W136</f>
        <v>0</v>
      </c>
      <c r="S226">
        <f>'Entrada datos'!X136</f>
        <v>0</v>
      </c>
      <c r="T226">
        <f>'Entrada datos'!Y136</f>
        <v>0</v>
      </c>
      <c r="U226">
        <f>'Entrada datos'!Z136</f>
        <v>0</v>
      </c>
      <c r="V226">
        <f>'Entrada datos'!AA136</f>
        <v>0</v>
      </c>
      <c r="W226" s="17">
        <f t="shared" si="53"/>
        <v>0</v>
      </c>
      <c r="X226">
        <f>'Entrada datos'!AB136</f>
        <v>0</v>
      </c>
      <c r="Y226">
        <f>'Entrada datos'!AC136</f>
        <v>0</v>
      </c>
      <c r="Z226">
        <f>'Entrada datos'!AD136</f>
        <v>0</v>
      </c>
      <c r="AA226">
        <f>'Entrada datos'!AE136</f>
        <v>0</v>
      </c>
      <c r="AB226">
        <f>'Entrada datos'!AF136</f>
        <v>0</v>
      </c>
      <c r="AC226">
        <f>'Entrada datos'!AG136</f>
        <v>0</v>
      </c>
      <c r="AD226" s="17">
        <f t="shared" si="54"/>
        <v>0</v>
      </c>
      <c r="AE226">
        <f>'Entrada datos'!AH136</f>
        <v>0</v>
      </c>
      <c r="AF226">
        <f>'Entrada datos'!AI136</f>
        <v>0</v>
      </c>
      <c r="AG226">
        <f>'Entrada datos'!AJ136</f>
        <v>0</v>
      </c>
      <c r="AH226">
        <f>'Entrada datos'!AK136</f>
        <v>0</v>
      </c>
      <c r="AI226">
        <f>'Entrada datos'!AL136</f>
        <v>0</v>
      </c>
      <c r="AJ226">
        <f>'Entrada datos'!AM136</f>
        <v>0</v>
      </c>
      <c r="AK226" s="17">
        <f t="shared" si="55"/>
        <v>0</v>
      </c>
      <c r="AL226">
        <f>'Entrada datos'!AN136</f>
        <v>0</v>
      </c>
      <c r="AM226">
        <f>'Entrada datos'!AO136</f>
        <v>0</v>
      </c>
      <c r="AN226">
        <f>'Entrada datos'!AP136</f>
        <v>0</v>
      </c>
      <c r="AO226">
        <f>'Entrada datos'!AQ136</f>
        <v>0</v>
      </c>
      <c r="AP226">
        <f>'Entrada datos'!AR136</f>
        <v>0</v>
      </c>
      <c r="AQ226">
        <f>'Entrada datos'!AS136</f>
        <v>0</v>
      </c>
      <c r="AR226" s="17">
        <f t="shared" si="56"/>
        <v>0</v>
      </c>
      <c r="AS226" s="23">
        <f t="shared" si="57"/>
        <v>0</v>
      </c>
      <c r="AT226">
        <f t="shared" si="58"/>
        <v>1900</v>
      </c>
      <c r="AU226" s="40" t="str">
        <f t="shared" si="59"/>
        <v>enero</v>
      </c>
      <c r="AV226">
        <f t="shared" si="60"/>
        <v>0</v>
      </c>
      <c r="AW226">
        <f t="shared" si="61"/>
        <v>0</v>
      </c>
      <c r="AX226" s="24">
        <f t="shared" si="62"/>
        <v>0</v>
      </c>
      <c r="AY226" s="24">
        <f t="shared" si="63"/>
        <v>0</v>
      </c>
      <c r="AZ226" s="24">
        <f t="shared" si="64"/>
        <v>0</v>
      </c>
      <c r="BA226">
        <f t="shared" si="65"/>
        <v>0</v>
      </c>
      <c r="BB226">
        <f t="shared" si="66"/>
        <v>0</v>
      </c>
      <c r="BC226" s="24">
        <f t="shared" si="67"/>
        <v>0</v>
      </c>
      <c r="BD226">
        <f t="shared" si="68"/>
        <v>0</v>
      </c>
    </row>
    <row r="227" spans="1:56" x14ac:dyDescent="0.3">
      <c r="A227">
        <f>'Entrada datos'!A137</f>
        <v>0</v>
      </c>
      <c r="B227">
        <f>'Entrada datos'!B137</f>
        <v>0</v>
      </c>
      <c r="C227">
        <f>'Entrada datos'!C137</f>
        <v>0</v>
      </c>
      <c r="D227">
        <f>'Entrada datos'!D137</f>
        <v>0</v>
      </c>
      <c r="E227" s="18">
        <f>'Entrada datos'!G137</f>
        <v>0</v>
      </c>
      <c r="F227" s="18">
        <f>'Entrada datos'!H137</f>
        <v>0</v>
      </c>
      <c r="G227">
        <f>'Entrada datos'!J137</f>
        <v>0</v>
      </c>
      <c r="H227">
        <f>'Entrada datos'!L137</f>
        <v>0</v>
      </c>
      <c r="I227">
        <f>'Entrada datos'!O137</f>
        <v>0</v>
      </c>
      <c r="J227">
        <f>'Entrada datos'!P137</f>
        <v>0</v>
      </c>
      <c r="K227">
        <f>'Entrada datos'!Q137</f>
        <v>0</v>
      </c>
      <c r="L227">
        <f>'Entrada datos'!R137</f>
        <v>0</v>
      </c>
      <c r="M227">
        <f>'Entrada datos'!S137</f>
        <v>0</v>
      </c>
      <c r="N227">
        <f>'Entrada datos'!T137</f>
        <v>0</v>
      </c>
      <c r="O227">
        <f>'Entrada datos'!U137</f>
        <v>0</v>
      </c>
      <c r="P227" s="17">
        <f t="shared" si="52"/>
        <v>0</v>
      </c>
      <c r="Q227">
        <f>'Entrada datos'!V137</f>
        <v>0</v>
      </c>
      <c r="R227">
        <f>'Entrada datos'!W137</f>
        <v>0</v>
      </c>
      <c r="S227">
        <f>'Entrada datos'!X137</f>
        <v>0</v>
      </c>
      <c r="T227">
        <f>'Entrada datos'!Y137</f>
        <v>0</v>
      </c>
      <c r="U227">
        <f>'Entrada datos'!Z137</f>
        <v>0</v>
      </c>
      <c r="V227">
        <f>'Entrada datos'!AA137</f>
        <v>0</v>
      </c>
      <c r="W227" s="17">
        <f t="shared" si="53"/>
        <v>0</v>
      </c>
      <c r="X227">
        <f>'Entrada datos'!AB137</f>
        <v>0</v>
      </c>
      <c r="Y227">
        <f>'Entrada datos'!AC137</f>
        <v>0</v>
      </c>
      <c r="Z227">
        <f>'Entrada datos'!AD137</f>
        <v>0</v>
      </c>
      <c r="AA227">
        <f>'Entrada datos'!AE137</f>
        <v>0</v>
      </c>
      <c r="AB227">
        <f>'Entrada datos'!AF137</f>
        <v>0</v>
      </c>
      <c r="AC227">
        <f>'Entrada datos'!AG137</f>
        <v>0</v>
      </c>
      <c r="AD227" s="17">
        <f t="shared" si="54"/>
        <v>0</v>
      </c>
      <c r="AE227">
        <f>'Entrada datos'!AH137</f>
        <v>0</v>
      </c>
      <c r="AF227">
        <f>'Entrada datos'!AI137</f>
        <v>0</v>
      </c>
      <c r="AG227">
        <f>'Entrada datos'!AJ137</f>
        <v>0</v>
      </c>
      <c r="AH227">
        <f>'Entrada datos'!AK137</f>
        <v>0</v>
      </c>
      <c r="AI227">
        <f>'Entrada datos'!AL137</f>
        <v>0</v>
      </c>
      <c r="AJ227">
        <f>'Entrada datos'!AM137</f>
        <v>0</v>
      </c>
      <c r="AK227" s="17">
        <f t="shared" si="55"/>
        <v>0</v>
      </c>
      <c r="AL227">
        <f>'Entrada datos'!AN137</f>
        <v>0</v>
      </c>
      <c r="AM227">
        <f>'Entrada datos'!AO137</f>
        <v>0</v>
      </c>
      <c r="AN227">
        <f>'Entrada datos'!AP137</f>
        <v>0</v>
      </c>
      <c r="AO227">
        <f>'Entrada datos'!AQ137</f>
        <v>0</v>
      </c>
      <c r="AP227">
        <f>'Entrada datos'!AR137</f>
        <v>0</v>
      </c>
      <c r="AQ227">
        <f>'Entrada datos'!AS137</f>
        <v>0</v>
      </c>
      <c r="AR227" s="17">
        <f t="shared" si="56"/>
        <v>0</v>
      </c>
      <c r="AS227" s="23">
        <f t="shared" si="57"/>
        <v>0</v>
      </c>
      <c r="AT227">
        <f t="shared" si="58"/>
        <v>1900</v>
      </c>
      <c r="AU227" s="40" t="str">
        <f t="shared" si="59"/>
        <v>enero</v>
      </c>
      <c r="AV227">
        <f t="shared" si="60"/>
        <v>0</v>
      </c>
      <c r="AW227">
        <f t="shared" si="61"/>
        <v>0</v>
      </c>
      <c r="AX227" s="24">
        <f t="shared" si="62"/>
        <v>0</v>
      </c>
      <c r="AY227" s="24">
        <f t="shared" si="63"/>
        <v>0</v>
      </c>
      <c r="AZ227" s="24">
        <f t="shared" si="64"/>
        <v>0</v>
      </c>
      <c r="BA227">
        <f t="shared" si="65"/>
        <v>0</v>
      </c>
      <c r="BB227">
        <f t="shared" si="66"/>
        <v>0</v>
      </c>
      <c r="BC227" s="24">
        <f t="shared" si="67"/>
        <v>0</v>
      </c>
      <c r="BD227">
        <f t="shared" si="68"/>
        <v>0</v>
      </c>
    </row>
    <row r="228" spans="1:56" x14ac:dyDescent="0.3">
      <c r="A228">
        <f>'Entrada datos'!A138</f>
        <v>0</v>
      </c>
      <c r="B228">
        <f>'Entrada datos'!B138</f>
        <v>0</v>
      </c>
      <c r="C228">
        <f>'Entrada datos'!C138</f>
        <v>0</v>
      </c>
      <c r="D228">
        <f>'Entrada datos'!D138</f>
        <v>0</v>
      </c>
      <c r="E228" s="18">
        <f>'Entrada datos'!G138</f>
        <v>0</v>
      </c>
      <c r="F228" s="18">
        <f>'Entrada datos'!H138</f>
        <v>0</v>
      </c>
      <c r="G228">
        <f>'Entrada datos'!J138</f>
        <v>0</v>
      </c>
      <c r="H228">
        <f>'Entrada datos'!L138</f>
        <v>0</v>
      </c>
      <c r="I228">
        <f>'Entrada datos'!O138</f>
        <v>0</v>
      </c>
      <c r="J228">
        <f>'Entrada datos'!P138</f>
        <v>0</v>
      </c>
      <c r="K228">
        <f>'Entrada datos'!Q138</f>
        <v>0</v>
      </c>
      <c r="L228">
        <f>'Entrada datos'!R138</f>
        <v>0</v>
      </c>
      <c r="M228">
        <f>'Entrada datos'!S138</f>
        <v>0</v>
      </c>
      <c r="N228">
        <f>'Entrada datos'!T138</f>
        <v>0</v>
      </c>
      <c r="O228">
        <f>'Entrada datos'!U138</f>
        <v>0</v>
      </c>
      <c r="P228" s="17">
        <f t="shared" si="52"/>
        <v>0</v>
      </c>
      <c r="Q228">
        <f>'Entrada datos'!V138</f>
        <v>0</v>
      </c>
      <c r="R228">
        <f>'Entrada datos'!W138</f>
        <v>0</v>
      </c>
      <c r="S228">
        <f>'Entrada datos'!X138</f>
        <v>0</v>
      </c>
      <c r="T228">
        <f>'Entrada datos'!Y138</f>
        <v>0</v>
      </c>
      <c r="U228">
        <f>'Entrada datos'!Z138</f>
        <v>0</v>
      </c>
      <c r="V228">
        <f>'Entrada datos'!AA138</f>
        <v>0</v>
      </c>
      <c r="W228" s="17">
        <f t="shared" si="53"/>
        <v>0</v>
      </c>
      <c r="X228">
        <f>'Entrada datos'!AB138</f>
        <v>0</v>
      </c>
      <c r="Y228">
        <f>'Entrada datos'!AC138</f>
        <v>0</v>
      </c>
      <c r="Z228">
        <f>'Entrada datos'!AD138</f>
        <v>0</v>
      </c>
      <c r="AA228">
        <f>'Entrada datos'!AE138</f>
        <v>0</v>
      </c>
      <c r="AB228">
        <f>'Entrada datos'!AF138</f>
        <v>0</v>
      </c>
      <c r="AC228">
        <f>'Entrada datos'!AG138</f>
        <v>0</v>
      </c>
      <c r="AD228" s="17">
        <f t="shared" si="54"/>
        <v>0</v>
      </c>
      <c r="AE228">
        <f>'Entrada datos'!AH138</f>
        <v>0</v>
      </c>
      <c r="AF228">
        <f>'Entrada datos'!AI138</f>
        <v>0</v>
      </c>
      <c r="AG228">
        <f>'Entrada datos'!AJ138</f>
        <v>0</v>
      </c>
      <c r="AH228">
        <f>'Entrada datos'!AK138</f>
        <v>0</v>
      </c>
      <c r="AI228">
        <f>'Entrada datos'!AL138</f>
        <v>0</v>
      </c>
      <c r="AJ228">
        <f>'Entrada datos'!AM138</f>
        <v>0</v>
      </c>
      <c r="AK228" s="17">
        <f t="shared" si="55"/>
        <v>0</v>
      </c>
      <c r="AL228">
        <f>'Entrada datos'!AN138</f>
        <v>0</v>
      </c>
      <c r="AM228">
        <f>'Entrada datos'!AO138</f>
        <v>0</v>
      </c>
      <c r="AN228">
        <f>'Entrada datos'!AP138</f>
        <v>0</v>
      </c>
      <c r="AO228">
        <f>'Entrada datos'!AQ138</f>
        <v>0</v>
      </c>
      <c r="AP228">
        <f>'Entrada datos'!AR138</f>
        <v>0</v>
      </c>
      <c r="AQ228">
        <f>'Entrada datos'!AS138</f>
        <v>0</v>
      </c>
      <c r="AR228" s="17">
        <f t="shared" si="56"/>
        <v>0</v>
      </c>
      <c r="AS228" s="23">
        <f t="shared" si="57"/>
        <v>0</v>
      </c>
      <c r="AT228">
        <f t="shared" si="58"/>
        <v>1900</v>
      </c>
      <c r="AU228" s="40" t="str">
        <f t="shared" si="59"/>
        <v>enero</v>
      </c>
      <c r="AV228">
        <f t="shared" si="60"/>
        <v>0</v>
      </c>
      <c r="AW228">
        <f t="shared" si="61"/>
        <v>0</v>
      </c>
      <c r="AX228" s="24">
        <f t="shared" si="62"/>
        <v>0</v>
      </c>
      <c r="AY228" s="24">
        <f t="shared" si="63"/>
        <v>0</v>
      </c>
      <c r="AZ228" s="24">
        <f t="shared" si="64"/>
        <v>0</v>
      </c>
      <c r="BA228">
        <f t="shared" si="65"/>
        <v>0</v>
      </c>
      <c r="BB228">
        <f t="shared" si="66"/>
        <v>0</v>
      </c>
      <c r="BC228" s="24">
        <f t="shared" si="67"/>
        <v>0</v>
      </c>
      <c r="BD228">
        <f t="shared" si="68"/>
        <v>0</v>
      </c>
    </row>
    <row r="229" spans="1:56" x14ac:dyDescent="0.3">
      <c r="A229">
        <f>'Entrada datos'!A139</f>
        <v>0</v>
      </c>
      <c r="B229">
        <f>'Entrada datos'!B139</f>
        <v>0</v>
      </c>
      <c r="C229">
        <f>'Entrada datos'!C139</f>
        <v>0</v>
      </c>
      <c r="D229">
        <f>'Entrada datos'!D139</f>
        <v>0</v>
      </c>
      <c r="E229" s="18">
        <f>'Entrada datos'!G139</f>
        <v>0</v>
      </c>
      <c r="F229" s="18">
        <f>'Entrada datos'!H139</f>
        <v>0</v>
      </c>
      <c r="G229">
        <f>'Entrada datos'!J139</f>
        <v>0</v>
      </c>
      <c r="H229">
        <f>'Entrada datos'!L139</f>
        <v>0</v>
      </c>
      <c r="I229">
        <f>'Entrada datos'!O139</f>
        <v>0</v>
      </c>
      <c r="J229">
        <f>'Entrada datos'!P139</f>
        <v>0</v>
      </c>
      <c r="K229">
        <f>'Entrada datos'!Q139</f>
        <v>0</v>
      </c>
      <c r="L229">
        <f>'Entrada datos'!R139</f>
        <v>0</v>
      </c>
      <c r="M229">
        <f>'Entrada datos'!S139</f>
        <v>0</v>
      </c>
      <c r="N229">
        <f>'Entrada datos'!T139</f>
        <v>0</v>
      </c>
      <c r="O229">
        <f>'Entrada datos'!U139</f>
        <v>0</v>
      </c>
      <c r="P229" s="17">
        <f t="shared" si="52"/>
        <v>0</v>
      </c>
      <c r="Q229">
        <f>'Entrada datos'!V139</f>
        <v>0</v>
      </c>
      <c r="R229">
        <f>'Entrada datos'!W139</f>
        <v>0</v>
      </c>
      <c r="S229">
        <f>'Entrada datos'!X139</f>
        <v>0</v>
      </c>
      <c r="T229">
        <f>'Entrada datos'!Y139</f>
        <v>0</v>
      </c>
      <c r="U229">
        <f>'Entrada datos'!Z139</f>
        <v>0</v>
      </c>
      <c r="V229">
        <f>'Entrada datos'!AA139</f>
        <v>0</v>
      </c>
      <c r="W229" s="17">
        <f t="shared" si="53"/>
        <v>0</v>
      </c>
      <c r="X229">
        <f>'Entrada datos'!AB139</f>
        <v>0</v>
      </c>
      <c r="Y229">
        <f>'Entrada datos'!AC139</f>
        <v>0</v>
      </c>
      <c r="Z229">
        <f>'Entrada datos'!AD139</f>
        <v>0</v>
      </c>
      <c r="AA229">
        <f>'Entrada datos'!AE139</f>
        <v>0</v>
      </c>
      <c r="AB229">
        <f>'Entrada datos'!AF139</f>
        <v>0</v>
      </c>
      <c r="AC229">
        <f>'Entrada datos'!AG139</f>
        <v>0</v>
      </c>
      <c r="AD229" s="17">
        <f t="shared" si="54"/>
        <v>0</v>
      </c>
      <c r="AE229">
        <f>'Entrada datos'!AH139</f>
        <v>0</v>
      </c>
      <c r="AF229">
        <f>'Entrada datos'!AI139</f>
        <v>0</v>
      </c>
      <c r="AG229">
        <f>'Entrada datos'!AJ139</f>
        <v>0</v>
      </c>
      <c r="AH229">
        <f>'Entrada datos'!AK139</f>
        <v>0</v>
      </c>
      <c r="AI229">
        <f>'Entrada datos'!AL139</f>
        <v>0</v>
      </c>
      <c r="AJ229">
        <f>'Entrada datos'!AM139</f>
        <v>0</v>
      </c>
      <c r="AK229" s="17">
        <f t="shared" si="55"/>
        <v>0</v>
      </c>
      <c r="AL229">
        <f>'Entrada datos'!AN139</f>
        <v>0</v>
      </c>
      <c r="AM229">
        <f>'Entrada datos'!AO139</f>
        <v>0</v>
      </c>
      <c r="AN229">
        <f>'Entrada datos'!AP139</f>
        <v>0</v>
      </c>
      <c r="AO229">
        <f>'Entrada datos'!AQ139</f>
        <v>0</v>
      </c>
      <c r="AP229">
        <f>'Entrada datos'!AR139</f>
        <v>0</v>
      </c>
      <c r="AQ229">
        <f>'Entrada datos'!AS139</f>
        <v>0</v>
      </c>
      <c r="AR229" s="17">
        <f t="shared" si="56"/>
        <v>0</v>
      </c>
      <c r="AS229" s="23">
        <f t="shared" si="57"/>
        <v>0</v>
      </c>
      <c r="AT229">
        <f t="shared" si="58"/>
        <v>1900</v>
      </c>
      <c r="AU229" s="40" t="str">
        <f t="shared" si="59"/>
        <v>enero</v>
      </c>
      <c r="AV229">
        <f t="shared" si="60"/>
        <v>0</v>
      </c>
      <c r="AW229">
        <f t="shared" si="61"/>
        <v>0</v>
      </c>
      <c r="AX229" s="24">
        <f t="shared" si="62"/>
        <v>0</v>
      </c>
      <c r="AY229" s="24">
        <f t="shared" si="63"/>
        <v>0</v>
      </c>
      <c r="AZ229" s="24">
        <f t="shared" si="64"/>
        <v>0</v>
      </c>
      <c r="BA229">
        <f t="shared" si="65"/>
        <v>0</v>
      </c>
      <c r="BB229">
        <f t="shared" si="66"/>
        <v>0</v>
      </c>
      <c r="BC229" s="24">
        <f t="shared" si="67"/>
        <v>0</v>
      </c>
      <c r="BD229">
        <f t="shared" si="68"/>
        <v>0</v>
      </c>
    </row>
    <row r="230" spans="1:56" x14ac:dyDescent="0.3">
      <c r="A230">
        <f>'Entrada datos'!A140</f>
        <v>0</v>
      </c>
      <c r="B230">
        <f>'Entrada datos'!B140</f>
        <v>0</v>
      </c>
      <c r="C230">
        <f>'Entrada datos'!C140</f>
        <v>0</v>
      </c>
      <c r="D230">
        <f>'Entrada datos'!D140</f>
        <v>0</v>
      </c>
      <c r="E230" s="18">
        <f>'Entrada datos'!G140</f>
        <v>0</v>
      </c>
      <c r="F230" s="18">
        <f>'Entrada datos'!H140</f>
        <v>0</v>
      </c>
      <c r="G230">
        <f>'Entrada datos'!J140</f>
        <v>0</v>
      </c>
      <c r="H230">
        <f>'Entrada datos'!L140</f>
        <v>0</v>
      </c>
      <c r="I230">
        <f>'Entrada datos'!O140</f>
        <v>0</v>
      </c>
      <c r="J230">
        <f>'Entrada datos'!P140</f>
        <v>0</v>
      </c>
      <c r="K230">
        <f>'Entrada datos'!Q140</f>
        <v>0</v>
      </c>
      <c r="L230">
        <f>'Entrada datos'!R140</f>
        <v>0</v>
      </c>
      <c r="M230">
        <f>'Entrada datos'!S140</f>
        <v>0</v>
      </c>
      <c r="N230">
        <f>'Entrada datos'!T140</f>
        <v>0</v>
      </c>
      <c r="O230">
        <f>'Entrada datos'!U140</f>
        <v>0</v>
      </c>
      <c r="P230" s="17">
        <f t="shared" si="52"/>
        <v>0</v>
      </c>
      <c r="Q230">
        <f>'Entrada datos'!V140</f>
        <v>0</v>
      </c>
      <c r="R230">
        <f>'Entrada datos'!W140</f>
        <v>0</v>
      </c>
      <c r="S230">
        <f>'Entrada datos'!X140</f>
        <v>0</v>
      </c>
      <c r="T230">
        <f>'Entrada datos'!Y140</f>
        <v>0</v>
      </c>
      <c r="U230">
        <f>'Entrada datos'!Z140</f>
        <v>0</v>
      </c>
      <c r="V230">
        <f>'Entrada datos'!AA140</f>
        <v>0</v>
      </c>
      <c r="W230" s="17">
        <f t="shared" si="53"/>
        <v>0</v>
      </c>
      <c r="X230">
        <f>'Entrada datos'!AB140</f>
        <v>0</v>
      </c>
      <c r="Y230">
        <f>'Entrada datos'!AC140</f>
        <v>0</v>
      </c>
      <c r="Z230">
        <f>'Entrada datos'!AD140</f>
        <v>0</v>
      </c>
      <c r="AA230">
        <f>'Entrada datos'!AE140</f>
        <v>0</v>
      </c>
      <c r="AB230">
        <f>'Entrada datos'!AF140</f>
        <v>0</v>
      </c>
      <c r="AC230">
        <f>'Entrada datos'!AG140</f>
        <v>0</v>
      </c>
      <c r="AD230" s="17">
        <f t="shared" si="54"/>
        <v>0</v>
      </c>
      <c r="AE230">
        <f>'Entrada datos'!AH140</f>
        <v>0</v>
      </c>
      <c r="AF230">
        <f>'Entrada datos'!AI140</f>
        <v>0</v>
      </c>
      <c r="AG230">
        <f>'Entrada datos'!AJ140</f>
        <v>0</v>
      </c>
      <c r="AH230">
        <f>'Entrada datos'!AK140</f>
        <v>0</v>
      </c>
      <c r="AI230">
        <f>'Entrada datos'!AL140</f>
        <v>0</v>
      </c>
      <c r="AJ230">
        <f>'Entrada datos'!AM140</f>
        <v>0</v>
      </c>
      <c r="AK230" s="17">
        <f t="shared" si="55"/>
        <v>0</v>
      </c>
      <c r="AL230">
        <f>'Entrada datos'!AN140</f>
        <v>0</v>
      </c>
      <c r="AM230">
        <f>'Entrada datos'!AO140</f>
        <v>0</v>
      </c>
      <c r="AN230">
        <f>'Entrada datos'!AP140</f>
        <v>0</v>
      </c>
      <c r="AO230">
        <f>'Entrada datos'!AQ140</f>
        <v>0</v>
      </c>
      <c r="AP230">
        <f>'Entrada datos'!AR140</f>
        <v>0</v>
      </c>
      <c r="AQ230">
        <f>'Entrada datos'!AS140</f>
        <v>0</v>
      </c>
      <c r="AR230" s="17">
        <f t="shared" si="56"/>
        <v>0</v>
      </c>
      <c r="AS230" s="23">
        <f t="shared" si="57"/>
        <v>0</v>
      </c>
      <c r="AT230">
        <f t="shared" si="58"/>
        <v>1900</v>
      </c>
      <c r="AU230" s="40" t="str">
        <f t="shared" si="59"/>
        <v>enero</v>
      </c>
      <c r="AV230">
        <f t="shared" si="60"/>
        <v>0</v>
      </c>
      <c r="AW230">
        <f t="shared" si="61"/>
        <v>0</v>
      </c>
      <c r="AX230" s="24">
        <f t="shared" si="62"/>
        <v>0</v>
      </c>
      <c r="AY230" s="24">
        <f t="shared" si="63"/>
        <v>0</v>
      </c>
      <c r="AZ230" s="24">
        <f t="shared" si="64"/>
        <v>0</v>
      </c>
      <c r="BA230">
        <f t="shared" si="65"/>
        <v>0</v>
      </c>
      <c r="BB230">
        <f t="shared" si="66"/>
        <v>0</v>
      </c>
      <c r="BC230" s="24">
        <f t="shared" si="67"/>
        <v>0</v>
      </c>
      <c r="BD230">
        <f t="shared" si="68"/>
        <v>0</v>
      </c>
    </row>
    <row r="231" spans="1:56" x14ac:dyDescent="0.3">
      <c r="A231">
        <f>'Entrada datos'!A141</f>
        <v>0</v>
      </c>
      <c r="B231">
        <f>'Entrada datos'!B141</f>
        <v>0</v>
      </c>
      <c r="C231">
        <f>'Entrada datos'!C141</f>
        <v>0</v>
      </c>
      <c r="D231">
        <f>'Entrada datos'!D141</f>
        <v>0</v>
      </c>
      <c r="E231" s="18">
        <f>'Entrada datos'!G141</f>
        <v>0</v>
      </c>
      <c r="F231" s="18">
        <f>'Entrada datos'!H141</f>
        <v>0</v>
      </c>
      <c r="G231">
        <f>'Entrada datos'!J141</f>
        <v>0</v>
      </c>
      <c r="H231">
        <f>'Entrada datos'!L141</f>
        <v>0</v>
      </c>
      <c r="I231">
        <f>'Entrada datos'!O141</f>
        <v>0</v>
      </c>
      <c r="J231">
        <f>'Entrada datos'!P141</f>
        <v>0</v>
      </c>
      <c r="K231">
        <f>'Entrada datos'!Q141</f>
        <v>0</v>
      </c>
      <c r="L231">
        <f>'Entrada datos'!R141</f>
        <v>0</v>
      </c>
      <c r="M231">
        <f>'Entrada datos'!S141</f>
        <v>0</v>
      </c>
      <c r="N231">
        <f>'Entrada datos'!T141</f>
        <v>0</v>
      </c>
      <c r="O231">
        <f>'Entrada datos'!U141</f>
        <v>0</v>
      </c>
      <c r="P231" s="17">
        <f t="shared" si="52"/>
        <v>0</v>
      </c>
      <c r="Q231">
        <f>'Entrada datos'!V141</f>
        <v>0</v>
      </c>
      <c r="R231">
        <f>'Entrada datos'!W141</f>
        <v>0</v>
      </c>
      <c r="S231">
        <f>'Entrada datos'!X141</f>
        <v>0</v>
      </c>
      <c r="T231">
        <f>'Entrada datos'!Y141</f>
        <v>0</v>
      </c>
      <c r="U231">
        <f>'Entrada datos'!Z141</f>
        <v>0</v>
      </c>
      <c r="V231">
        <f>'Entrada datos'!AA141</f>
        <v>0</v>
      </c>
      <c r="W231" s="17">
        <f t="shared" si="53"/>
        <v>0</v>
      </c>
      <c r="X231">
        <f>'Entrada datos'!AB141</f>
        <v>0</v>
      </c>
      <c r="Y231">
        <f>'Entrada datos'!AC141</f>
        <v>0</v>
      </c>
      <c r="Z231">
        <f>'Entrada datos'!AD141</f>
        <v>0</v>
      </c>
      <c r="AA231">
        <f>'Entrada datos'!AE141</f>
        <v>0</v>
      </c>
      <c r="AB231">
        <f>'Entrada datos'!AF141</f>
        <v>0</v>
      </c>
      <c r="AC231">
        <f>'Entrada datos'!AG141</f>
        <v>0</v>
      </c>
      <c r="AD231" s="17">
        <f t="shared" si="54"/>
        <v>0</v>
      </c>
      <c r="AE231">
        <f>'Entrada datos'!AH141</f>
        <v>0</v>
      </c>
      <c r="AF231">
        <f>'Entrada datos'!AI141</f>
        <v>0</v>
      </c>
      <c r="AG231">
        <f>'Entrada datos'!AJ141</f>
        <v>0</v>
      </c>
      <c r="AH231">
        <f>'Entrada datos'!AK141</f>
        <v>0</v>
      </c>
      <c r="AI231">
        <f>'Entrada datos'!AL141</f>
        <v>0</v>
      </c>
      <c r="AJ231">
        <f>'Entrada datos'!AM141</f>
        <v>0</v>
      </c>
      <c r="AK231" s="17">
        <f t="shared" si="55"/>
        <v>0</v>
      </c>
      <c r="AL231">
        <f>'Entrada datos'!AN141</f>
        <v>0</v>
      </c>
      <c r="AM231">
        <f>'Entrada datos'!AO141</f>
        <v>0</v>
      </c>
      <c r="AN231">
        <f>'Entrada datos'!AP141</f>
        <v>0</v>
      </c>
      <c r="AO231">
        <f>'Entrada datos'!AQ141</f>
        <v>0</v>
      </c>
      <c r="AP231">
        <f>'Entrada datos'!AR141</f>
        <v>0</v>
      </c>
      <c r="AQ231">
        <f>'Entrada datos'!AS141</f>
        <v>0</v>
      </c>
      <c r="AR231" s="17">
        <f t="shared" si="56"/>
        <v>0</v>
      </c>
      <c r="AS231" s="23">
        <f t="shared" si="57"/>
        <v>0</v>
      </c>
      <c r="AT231">
        <f t="shared" si="58"/>
        <v>1900</v>
      </c>
      <c r="AU231" s="40" t="str">
        <f t="shared" si="59"/>
        <v>enero</v>
      </c>
      <c r="AV231">
        <f t="shared" si="60"/>
        <v>0</v>
      </c>
      <c r="AW231">
        <f t="shared" si="61"/>
        <v>0</v>
      </c>
      <c r="AX231" s="24">
        <f t="shared" si="62"/>
        <v>0</v>
      </c>
      <c r="AY231" s="24">
        <f t="shared" si="63"/>
        <v>0</v>
      </c>
      <c r="AZ231" s="24">
        <f t="shared" si="64"/>
        <v>0</v>
      </c>
      <c r="BA231">
        <f t="shared" si="65"/>
        <v>0</v>
      </c>
      <c r="BB231">
        <f t="shared" si="66"/>
        <v>0</v>
      </c>
      <c r="BC231" s="24">
        <f t="shared" si="67"/>
        <v>0</v>
      </c>
      <c r="BD231">
        <f t="shared" si="68"/>
        <v>0</v>
      </c>
    </row>
    <row r="232" spans="1:56" x14ac:dyDescent="0.3">
      <c r="A232">
        <f>'Entrada datos'!A142</f>
        <v>0</v>
      </c>
      <c r="B232">
        <f>'Entrada datos'!B142</f>
        <v>0</v>
      </c>
      <c r="C232">
        <f>'Entrada datos'!C142</f>
        <v>0</v>
      </c>
      <c r="D232">
        <f>'Entrada datos'!D142</f>
        <v>0</v>
      </c>
      <c r="E232" s="18">
        <f>'Entrada datos'!G142</f>
        <v>0</v>
      </c>
      <c r="F232" s="18">
        <f>'Entrada datos'!H142</f>
        <v>0</v>
      </c>
      <c r="G232">
        <f>'Entrada datos'!J142</f>
        <v>0</v>
      </c>
      <c r="H232">
        <f>'Entrada datos'!L142</f>
        <v>0</v>
      </c>
      <c r="I232">
        <f>'Entrada datos'!O142</f>
        <v>0</v>
      </c>
      <c r="J232">
        <f>'Entrada datos'!P142</f>
        <v>0</v>
      </c>
      <c r="K232">
        <f>'Entrada datos'!Q142</f>
        <v>0</v>
      </c>
      <c r="L232">
        <f>'Entrada datos'!R142</f>
        <v>0</v>
      </c>
      <c r="M232">
        <f>'Entrada datos'!S142</f>
        <v>0</v>
      </c>
      <c r="N232">
        <f>'Entrada datos'!T142</f>
        <v>0</v>
      </c>
      <c r="O232">
        <f>'Entrada datos'!U142</f>
        <v>0</v>
      </c>
      <c r="P232" s="17">
        <f t="shared" si="52"/>
        <v>0</v>
      </c>
      <c r="Q232">
        <f>'Entrada datos'!V142</f>
        <v>0</v>
      </c>
      <c r="R232">
        <f>'Entrada datos'!W142</f>
        <v>0</v>
      </c>
      <c r="S232">
        <f>'Entrada datos'!X142</f>
        <v>0</v>
      </c>
      <c r="T232">
        <f>'Entrada datos'!Y142</f>
        <v>0</v>
      </c>
      <c r="U232">
        <f>'Entrada datos'!Z142</f>
        <v>0</v>
      </c>
      <c r="V232">
        <f>'Entrada datos'!AA142</f>
        <v>0</v>
      </c>
      <c r="W232" s="17">
        <f t="shared" si="53"/>
        <v>0</v>
      </c>
      <c r="X232">
        <f>'Entrada datos'!AB142</f>
        <v>0</v>
      </c>
      <c r="Y232">
        <f>'Entrada datos'!AC142</f>
        <v>0</v>
      </c>
      <c r="Z232">
        <f>'Entrada datos'!AD142</f>
        <v>0</v>
      </c>
      <c r="AA232">
        <f>'Entrada datos'!AE142</f>
        <v>0</v>
      </c>
      <c r="AB232">
        <f>'Entrada datos'!AF142</f>
        <v>0</v>
      </c>
      <c r="AC232">
        <f>'Entrada datos'!AG142</f>
        <v>0</v>
      </c>
      <c r="AD232" s="17">
        <f t="shared" si="54"/>
        <v>0</v>
      </c>
      <c r="AE232">
        <f>'Entrada datos'!AH142</f>
        <v>0</v>
      </c>
      <c r="AF232">
        <f>'Entrada datos'!AI142</f>
        <v>0</v>
      </c>
      <c r="AG232">
        <f>'Entrada datos'!AJ142</f>
        <v>0</v>
      </c>
      <c r="AH232">
        <f>'Entrada datos'!AK142</f>
        <v>0</v>
      </c>
      <c r="AI232">
        <f>'Entrada datos'!AL142</f>
        <v>0</v>
      </c>
      <c r="AJ232">
        <f>'Entrada datos'!AM142</f>
        <v>0</v>
      </c>
      <c r="AK232" s="17">
        <f t="shared" si="55"/>
        <v>0</v>
      </c>
      <c r="AL232">
        <f>'Entrada datos'!AN142</f>
        <v>0</v>
      </c>
      <c r="AM232">
        <f>'Entrada datos'!AO142</f>
        <v>0</v>
      </c>
      <c r="AN232">
        <f>'Entrada datos'!AP142</f>
        <v>0</v>
      </c>
      <c r="AO232">
        <f>'Entrada datos'!AQ142</f>
        <v>0</v>
      </c>
      <c r="AP232">
        <f>'Entrada datos'!AR142</f>
        <v>0</v>
      </c>
      <c r="AQ232">
        <f>'Entrada datos'!AS142</f>
        <v>0</v>
      </c>
      <c r="AR232" s="17">
        <f t="shared" si="56"/>
        <v>0</v>
      </c>
      <c r="AS232" s="23">
        <f t="shared" si="57"/>
        <v>0</v>
      </c>
      <c r="AT232">
        <f t="shared" si="58"/>
        <v>1900</v>
      </c>
      <c r="AU232" s="40" t="str">
        <f t="shared" si="59"/>
        <v>enero</v>
      </c>
      <c r="AV232">
        <f t="shared" si="60"/>
        <v>0</v>
      </c>
      <c r="AW232">
        <f t="shared" si="61"/>
        <v>0</v>
      </c>
      <c r="AX232" s="24">
        <f t="shared" si="62"/>
        <v>0</v>
      </c>
      <c r="AY232" s="24">
        <f t="shared" si="63"/>
        <v>0</v>
      </c>
      <c r="AZ232" s="24">
        <f t="shared" si="64"/>
        <v>0</v>
      </c>
      <c r="BA232">
        <f t="shared" si="65"/>
        <v>0</v>
      </c>
      <c r="BB232">
        <f t="shared" si="66"/>
        <v>0</v>
      </c>
      <c r="BC232" s="24">
        <f t="shared" si="67"/>
        <v>0</v>
      </c>
      <c r="BD232">
        <f t="shared" si="68"/>
        <v>0</v>
      </c>
    </row>
    <row r="233" spans="1:56" x14ac:dyDescent="0.3">
      <c r="A233">
        <f>'Entrada datos'!A143</f>
        <v>0</v>
      </c>
      <c r="B233">
        <f>'Entrada datos'!B143</f>
        <v>0</v>
      </c>
      <c r="C233">
        <f>'Entrada datos'!C143</f>
        <v>0</v>
      </c>
      <c r="D233">
        <f>'Entrada datos'!D143</f>
        <v>0</v>
      </c>
      <c r="E233" s="18">
        <f>'Entrada datos'!G143</f>
        <v>0</v>
      </c>
      <c r="F233" s="18">
        <f>'Entrada datos'!H143</f>
        <v>0</v>
      </c>
      <c r="G233">
        <f>'Entrada datos'!J143</f>
        <v>0</v>
      </c>
      <c r="H233">
        <f>'Entrada datos'!L143</f>
        <v>0</v>
      </c>
      <c r="I233">
        <f>'Entrada datos'!O143</f>
        <v>0</v>
      </c>
      <c r="J233">
        <f>'Entrada datos'!P143</f>
        <v>0</v>
      </c>
      <c r="K233">
        <f>'Entrada datos'!Q143</f>
        <v>0</v>
      </c>
      <c r="L233">
        <f>'Entrada datos'!R143</f>
        <v>0</v>
      </c>
      <c r="M233">
        <f>'Entrada datos'!S143</f>
        <v>0</v>
      </c>
      <c r="N233">
        <f>'Entrada datos'!T143</f>
        <v>0</v>
      </c>
      <c r="O233">
        <f>'Entrada datos'!U143</f>
        <v>0</v>
      </c>
      <c r="P233" s="17">
        <f t="shared" si="52"/>
        <v>0</v>
      </c>
      <c r="Q233">
        <f>'Entrada datos'!V143</f>
        <v>0</v>
      </c>
      <c r="R233">
        <f>'Entrada datos'!W143</f>
        <v>0</v>
      </c>
      <c r="S233">
        <f>'Entrada datos'!X143</f>
        <v>0</v>
      </c>
      <c r="T233">
        <f>'Entrada datos'!Y143</f>
        <v>0</v>
      </c>
      <c r="U233">
        <f>'Entrada datos'!Z143</f>
        <v>0</v>
      </c>
      <c r="V233">
        <f>'Entrada datos'!AA143</f>
        <v>0</v>
      </c>
      <c r="W233" s="17">
        <f t="shared" si="53"/>
        <v>0</v>
      </c>
      <c r="X233">
        <f>'Entrada datos'!AB143</f>
        <v>0</v>
      </c>
      <c r="Y233">
        <f>'Entrada datos'!AC143</f>
        <v>0</v>
      </c>
      <c r="Z233">
        <f>'Entrada datos'!AD143</f>
        <v>0</v>
      </c>
      <c r="AA233">
        <f>'Entrada datos'!AE143</f>
        <v>0</v>
      </c>
      <c r="AB233">
        <f>'Entrada datos'!AF143</f>
        <v>0</v>
      </c>
      <c r="AC233">
        <f>'Entrada datos'!AG143</f>
        <v>0</v>
      </c>
      <c r="AD233" s="17">
        <f t="shared" si="54"/>
        <v>0</v>
      </c>
      <c r="AE233">
        <f>'Entrada datos'!AH143</f>
        <v>0</v>
      </c>
      <c r="AF233">
        <f>'Entrada datos'!AI143</f>
        <v>0</v>
      </c>
      <c r="AG233">
        <f>'Entrada datos'!AJ143</f>
        <v>0</v>
      </c>
      <c r="AH233">
        <f>'Entrada datos'!AK143</f>
        <v>0</v>
      </c>
      <c r="AI233">
        <f>'Entrada datos'!AL143</f>
        <v>0</v>
      </c>
      <c r="AJ233">
        <f>'Entrada datos'!AM143</f>
        <v>0</v>
      </c>
      <c r="AK233" s="17">
        <f t="shared" si="55"/>
        <v>0</v>
      </c>
      <c r="AL233">
        <f>'Entrada datos'!AN143</f>
        <v>0</v>
      </c>
      <c r="AM233">
        <f>'Entrada datos'!AO143</f>
        <v>0</v>
      </c>
      <c r="AN233">
        <f>'Entrada datos'!AP143</f>
        <v>0</v>
      </c>
      <c r="AO233">
        <f>'Entrada datos'!AQ143</f>
        <v>0</v>
      </c>
      <c r="AP233">
        <f>'Entrada datos'!AR143</f>
        <v>0</v>
      </c>
      <c r="AQ233">
        <f>'Entrada datos'!AS143</f>
        <v>0</v>
      </c>
      <c r="AR233" s="17">
        <f t="shared" si="56"/>
        <v>0</v>
      </c>
      <c r="AS233" s="23">
        <f t="shared" si="57"/>
        <v>0</v>
      </c>
      <c r="AT233">
        <f t="shared" si="58"/>
        <v>1900</v>
      </c>
      <c r="AU233" s="40" t="str">
        <f t="shared" si="59"/>
        <v>enero</v>
      </c>
      <c r="AV233">
        <f t="shared" si="60"/>
        <v>0</v>
      </c>
      <c r="AW233">
        <f t="shared" si="61"/>
        <v>0</v>
      </c>
      <c r="AX233" s="24">
        <f t="shared" si="62"/>
        <v>0</v>
      </c>
      <c r="AY233" s="24">
        <f t="shared" si="63"/>
        <v>0</v>
      </c>
      <c r="AZ233" s="24">
        <f t="shared" si="64"/>
        <v>0</v>
      </c>
      <c r="BA233">
        <f t="shared" si="65"/>
        <v>0</v>
      </c>
      <c r="BB233">
        <f t="shared" si="66"/>
        <v>0</v>
      </c>
      <c r="BC233" s="24">
        <f t="shared" si="67"/>
        <v>0</v>
      </c>
      <c r="BD233">
        <f t="shared" si="68"/>
        <v>0</v>
      </c>
    </row>
    <row r="234" spans="1:56" x14ac:dyDescent="0.3">
      <c r="A234">
        <f>'Entrada datos'!A144</f>
        <v>0</v>
      </c>
      <c r="B234">
        <f>'Entrada datos'!B144</f>
        <v>0</v>
      </c>
      <c r="C234">
        <f>'Entrada datos'!C144</f>
        <v>0</v>
      </c>
      <c r="D234">
        <f>'Entrada datos'!D144</f>
        <v>0</v>
      </c>
      <c r="E234" s="18">
        <f>'Entrada datos'!G144</f>
        <v>0</v>
      </c>
      <c r="F234" s="18">
        <f>'Entrada datos'!H144</f>
        <v>0</v>
      </c>
      <c r="G234">
        <f>'Entrada datos'!J144</f>
        <v>0</v>
      </c>
      <c r="H234">
        <f>'Entrada datos'!L144</f>
        <v>0</v>
      </c>
      <c r="I234">
        <f>'Entrada datos'!O144</f>
        <v>0</v>
      </c>
      <c r="J234">
        <f>'Entrada datos'!P144</f>
        <v>0</v>
      </c>
      <c r="K234">
        <f>'Entrada datos'!Q144</f>
        <v>0</v>
      </c>
      <c r="L234">
        <f>'Entrada datos'!R144</f>
        <v>0</v>
      </c>
      <c r="M234">
        <f>'Entrada datos'!S144</f>
        <v>0</v>
      </c>
      <c r="N234">
        <f>'Entrada datos'!T144</f>
        <v>0</v>
      </c>
      <c r="O234">
        <f>'Entrada datos'!U144</f>
        <v>0</v>
      </c>
      <c r="P234" s="17">
        <f t="shared" si="52"/>
        <v>0</v>
      </c>
      <c r="Q234">
        <f>'Entrada datos'!V144</f>
        <v>0</v>
      </c>
      <c r="R234">
        <f>'Entrada datos'!W144</f>
        <v>0</v>
      </c>
      <c r="S234">
        <f>'Entrada datos'!X144</f>
        <v>0</v>
      </c>
      <c r="T234">
        <f>'Entrada datos'!Y144</f>
        <v>0</v>
      </c>
      <c r="U234">
        <f>'Entrada datos'!Z144</f>
        <v>0</v>
      </c>
      <c r="V234">
        <f>'Entrada datos'!AA144</f>
        <v>0</v>
      </c>
      <c r="W234" s="17">
        <f t="shared" si="53"/>
        <v>0</v>
      </c>
      <c r="X234">
        <f>'Entrada datos'!AB144</f>
        <v>0</v>
      </c>
      <c r="Y234">
        <f>'Entrada datos'!AC144</f>
        <v>0</v>
      </c>
      <c r="Z234">
        <f>'Entrada datos'!AD144</f>
        <v>0</v>
      </c>
      <c r="AA234">
        <f>'Entrada datos'!AE144</f>
        <v>0</v>
      </c>
      <c r="AB234">
        <f>'Entrada datos'!AF144</f>
        <v>0</v>
      </c>
      <c r="AC234">
        <f>'Entrada datos'!AG144</f>
        <v>0</v>
      </c>
      <c r="AD234" s="17">
        <f t="shared" si="54"/>
        <v>0</v>
      </c>
      <c r="AE234">
        <f>'Entrada datos'!AH144</f>
        <v>0</v>
      </c>
      <c r="AF234">
        <f>'Entrada datos'!AI144</f>
        <v>0</v>
      </c>
      <c r="AG234">
        <f>'Entrada datos'!AJ144</f>
        <v>0</v>
      </c>
      <c r="AH234">
        <f>'Entrada datos'!AK144</f>
        <v>0</v>
      </c>
      <c r="AI234">
        <f>'Entrada datos'!AL144</f>
        <v>0</v>
      </c>
      <c r="AJ234">
        <f>'Entrada datos'!AM144</f>
        <v>0</v>
      </c>
      <c r="AK234" s="17">
        <f t="shared" si="55"/>
        <v>0</v>
      </c>
      <c r="AL234">
        <f>'Entrada datos'!AN144</f>
        <v>0</v>
      </c>
      <c r="AM234">
        <f>'Entrada datos'!AO144</f>
        <v>0</v>
      </c>
      <c r="AN234">
        <f>'Entrada datos'!AP144</f>
        <v>0</v>
      </c>
      <c r="AO234">
        <f>'Entrada datos'!AQ144</f>
        <v>0</v>
      </c>
      <c r="AP234">
        <f>'Entrada datos'!AR144</f>
        <v>0</v>
      </c>
      <c r="AQ234">
        <f>'Entrada datos'!AS144</f>
        <v>0</v>
      </c>
      <c r="AR234" s="17">
        <f t="shared" si="56"/>
        <v>0</v>
      </c>
      <c r="AS234" s="23">
        <f t="shared" si="57"/>
        <v>0</v>
      </c>
      <c r="AT234">
        <f t="shared" si="58"/>
        <v>1900</v>
      </c>
      <c r="AU234" s="40" t="str">
        <f t="shared" si="59"/>
        <v>enero</v>
      </c>
      <c r="AV234">
        <f t="shared" si="60"/>
        <v>0</v>
      </c>
      <c r="AW234">
        <f t="shared" si="61"/>
        <v>0</v>
      </c>
      <c r="AX234" s="24">
        <f t="shared" si="62"/>
        <v>0</v>
      </c>
      <c r="AY234" s="24">
        <f t="shared" si="63"/>
        <v>0</v>
      </c>
      <c r="AZ234" s="24">
        <f t="shared" si="64"/>
        <v>0</v>
      </c>
      <c r="BA234">
        <f t="shared" si="65"/>
        <v>0</v>
      </c>
      <c r="BB234">
        <f t="shared" si="66"/>
        <v>0</v>
      </c>
      <c r="BC234" s="24">
        <f t="shared" si="67"/>
        <v>0</v>
      </c>
      <c r="BD234">
        <f t="shared" si="68"/>
        <v>0</v>
      </c>
    </row>
    <row r="235" spans="1:56" x14ac:dyDescent="0.3">
      <c r="A235">
        <f>'Entrada datos'!A145</f>
        <v>0</v>
      </c>
      <c r="B235">
        <f>'Entrada datos'!B145</f>
        <v>0</v>
      </c>
      <c r="C235">
        <f>'Entrada datos'!C145</f>
        <v>0</v>
      </c>
      <c r="D235">
        <f>'Entrada datos'!D145</f>
        <v>0</v>
      </c>
      <c r="E235" s="18">
        <f>'Entrada datos'!G145</f>
        <v>0</v>
      </c>
      <c r="F235" s="18">
        <f>'Entrada datos'!H145</f>
        <v>0</v>
      </c>
      <c r="G235">
        <f>'Entrada datos'!J145</f>
        <v>0</v>
      </c>
      <c r="H235">
        <f>'Entrada datos'!L145</f>
        <v>0</v>
      </c>
      <c r="I235">
        <f>'Entrada datos'!O145</f>
        <v>0</v>
      </c>
      <c r="J235">
        <f>'Entrada datos'!P145</f>
        <v>0</v>
      </c>
      <c r="K235">
        <f>'Entrada datos'!Q145</f>
        <v>0</v>
      </c>
      <c r="L235">
        <f>'Entrada datos'!R145</f>
        <v>0</v>
      </c>
      <c r="M235">
        <f>'Entrada datos'!S145</f>
        <v>0</v>
      </c>
      <c r="N235">
        <f>'Entrada datos'!T145</f>
        <v>0</v>
      </c>
      <c r="O235">
        <f>'Entrada datos'!U145</f>
        <v>0</v>
      </c>
      <c r="P235" s="17">
        <f t="shared" si="52"/>
        <v>0</v>
      </c>
      <c r="Q235">
        <f>'Entrada datos'!V145</f>
        <v>0</v>
      </c>
      <c r="R235">
        <f>'Entrada datos'!W145</f>
        <v>0</v>
      </c>
      <c r="S235">
        <f>'Entrada datos'!X145</f>
        <v>0</v>
      </c>
      <c r="T235">
        <f>'Entrada datos'!Y145</f>
        <v>0</v>
      </c>
      <c r="U235">
        <f>'Entrada datos'!Z145</f>
        <v>0</v>
      </c>
      <c r="V235">
        <f>'Entrada datos'!AA145</f>
        <v>0</v>
      </c>
      <c r="W235" s="17">
        <f t="shared" si="53"/>
        <v>0</v>
      </c>
      <c r="X235">
        <f>'Entrada datos'!AB145</f>
        <v>0</v>
      </c>
      <c r="Y235">
        <f>'Entrada datos'!AC145</f>
        <v>0</v>
      </c>
      <c r="Z235">
        <f>'Entrada datos'!AD145</f>
        <v>0</v>
      </c>
      <c r="AA235">
        <f>'Entrada datos'!AE145</f>
        <v>0</v>
      </c>
      <c r="AB235">
        <f>'Entrada datos'!AF145</f>
        <v>0</v>
      </c>
      <c r="AC235">
        <f>'Entrada datos'!AG145</f>
        <v>0</v>
      </c>
      <c r="AD235" s="17">
        <f t="shared" si="54"/>
        <v>0</v>
      </c>
      <c r="AE235">
        <f>'Entrada datos'!AH145</f>
        <v>0</v>
      </c>
      <c r="AF235">
        <f>'Entrada datos'!AI145</f>
        <v>0</v>
      </c>
      <c r="AG235">
        <f>'Entrada datos'!AJ145</f>
        <v>0</v>
      </c>
      <c r="AH235">
        <f>'Entrada datos'!AK145</f>
        <v>0</v>
      </c>
      <c r="AI235">
        <f>'Entrada datos'!AL145</f>
        <v>0</v>
      </c>
      <c r="AJ235">
        <f>'Entrada datos'!AM145</f>
        <v>0</v>
      </c>
      <c r="AK235" s="17">
        <f t="shared" si="55"/>
        <v>0</v>
      </c>
      <c r="AL235">
        <f>'Entrada datos'!AN145</f>
        <v>0</v>
      </c>
      <c r="AM235">
        <f>'Entrada datos'!AO145</f>
        <v>0</v>
      </c>
      <c r="AN235">
        <f>'Entrada datos'!AP145</f>
        <v>0</v>
      </c>
      <c r="AO235">
        <f>'Entrada datos'!AQ145</f>
        <v>0</v>
      </c>
      <c r="AP235">
        <f>'Entrada datos'!AR145</f>
        <v>0</v>
      </c>
      <c r="AQ235">
        <f>'Entrada datos'!AS145</f>
        <v>0</v>
      </c>
      <c r="AR235" s="17">
        <f t="shared" si="56"/>
        <v>0</v>
      </c>
      <c r="AS235" s="23">
        <f t="shared" si="57"/>
        <v>0</v>
      </c>
      <c r="AT235">
        <f t="shared" si="58"/>
        <v>1900</v>
      </c>
      <c r="AU235" s="40" t="str">
        <f t="shared" si="59"/>
        <v>enero</v>
      </c>
      <c r="AV235">
        <f t="shared" si="60"/>
        <v>0</v>
      </c>
      <c r="AW235">
        <f t="shared" si="61"/>
        <v>0</v>
      </c>
      <c r="AX235" s="24">
        <f t="shared" si="62"/>
        <v>0</v>
      </c>
      <c r="AY235" s="24">
        <f t="shared" si="63"/>
        <v>0</v>
      </c>
      <c r="AZ235" s="24">
        <f t="shared" si="64"/>
        <v>0</v>
      </c>
      <c r="BA235">
        <f t="shared" si="65"/>
        <v>0</v>
      </c>
      <c r="BB235">
        <f t="shared" si="66"/>
        <v>0</v>
      </c>
      <c r="BC235" s="24">
        <f t="shared" si="67"/>
        <v>0</v>
      </c>
      <c r="BD235">
        <f t="shared" si="68"/>
        <v>0</v>
      </c>
    </row>
    <row r="236" spans="1:56" x14ac:dyDescent="0.3">
      <c r="A236">
        <f>'Entrada datos'!A146</f>
        <v>0</v>
      </c>
      <c r="B236">
        <f>'Entrada datos'!B146</f>
        <v>0</v>
      </c>
      <c r="C236">
        <f>'Entrada datos'!C146</f>
        <v>0</v>
      </c>
      <c r="D236">
        <f>'Entrada datos'!D146</f>
        <v>0</v>
      </c>
      <c r="E236" s="18">
        <f>'Entrada datos'!G146</f>
        <v>0</v>
      </c>
      <c r="F236" s="18">
        <f>'Entrada datos'!H146</f>
        <v>0</v>
      </c>
      <c r="G236">
        <f>'Entrada datos'!J146</f>
        <v>0</v>
      </c>
      <c r="H236">
        <f>'Entrada datos'!L146</f>
        <v>0</v>
      </c>
      <c r="I236">
        <f>'Entrada datos'!O146</f>
        <v>0</v>
      </c>
      <c r="J236">
        <f>'Entrada datos'!P146</f>
        <v>0</v>
      </c>
      <c r="K236">
        <f>'Entrada datos'!Q146</f>
        <v>0</v>
      </c>
      <c r="L236">
        <f>'Entrada datos'!R146</f>
        <v>0</v>
      </c>
      <c r="M236">
        <f>'Entrada datos'!S146</f>
        <v>0</v>
      </c>
      <c r="N236">
        <f>'Entrada datos'!T146</f>
        <v>0</v>
      </c>
      <c r="O236">
        <f>'Entrada datos'!U146</f>
        <v>0</v>
      </c>
      <c r="P236" s="17">
        <f t="shared" si="52"/>
        <v>0</v>
      </c>
      <c r="Q236">
        <f>'Entrada datos'!V146</f>
        <v>0</v>
      </c>
      <c r="R236">
        <f>'Entrada datos'!W146</f>
        <v>0</v>
      </c>
      <c r="S236">
        <f>'Entrada datos'!X146</f>
        <v>0</v>
      </c>
      <c r="T236">
        <f>'Entrada datos'!Y146</f>
        <v>0</v>
      </c>
      <c r="U236">
        <f>'Entrada datos'!Z146</f>
        <v>0</v>
      </c>
      <c r="V236">
        <f>'Entrada datos'!AA146</f>
        <v>0</v>
      </c>
      <c r="W236" s="17">
        <f t="shared" si="53"/>
        <v>0</v>
      </c>
      <c r="X236">
        <f>'Entrada datos'!AB146</f>
        <v>0</v>
      </c>
      <c r="Y236">
        <f>'Entrada datos'!AC146</f>
        <v>0</v>
      </c>
      <c r="Z236">
        <f>'Entrada datos'!AD146</f>
        <v>0</v>
      </c>
      <c r="AA236">
        <f>'Entrada datos'!AE146</f>
        <v>0</v>
      </c>
      <c r="AB236">
        <f>'Entrada datos'!AF146</f>
        <v>0</v>
      </c>
      <c r="AC236">
        <f>'Entrada datos'!AG146</f>
        <v>0</v>
      </c>
      <c r="AD236" s="17">
        <f t="shared" si="54"/>
        <v>0</v>
      </c>
      <c r="AE236">
        <f>'Entrada datos'!AH146</f>
        <v>0</v>
      </c>
      <c r="AF236">
        <f>'Entrada datos'!AI146</f>
        <v>0</v>
      </c>
      <c r="AG236">
        <f>'Entrada datos'!AJ146</f>
        <v>0</v>
      </c>
      <c r="AH236">
        <f>'Entrada datos'!AK146</f>
        <v>0</v>
      </c>
      <c r="AI236">
        <f>'Entrada datos'!AL146</f>
        <v>0</v>
      </c>
      <c r="AJ236">
        <f>'Entrada datos'!AM146</f>
        <v>0</v>
      </c>
      <c r="AK236" s="17">
        <f t="shared" si="55"/>
        <v>0</v>
      </c>
      <c r="AL236">
        <f>'Entrada datos'!AN146</f>
        <v>0</v>
      </c>
      <c r="AM236">
        <f>'Entrada datos'!AO146</f>
        <v>0</v>
      </c>
      <c r="AN236">
        <f>'Entrada datos'!AP146</f>
        <v>0</v>
      </c>
      <c r="AO236">
        <f>'Entrada datos'!AQ146</f>
        <v>0</v>
      </c>
      <c r="AP236">
        <f>'Entrada datos'!AR146</f>
        <v>0</v>
      </c>
      <c r="AQ236">
        <f>'Entrada datos'!AS146</f>
        <v>0</v>
      </c>
      <c r="AR236" s="17">
        <f t="shared" si="56"/>
        <v>0</v>
      </c>
      <c r="AS236" s="23">
        <f t="shared" si="57"/>
        <v>0</v>
      </c>
      <c r="AT236">
        <f t="shared" si="58"/>
        <v>1900</v>
      </c>
      <c r="AU236" s="40" t="str">
        <f t="shared" si="59"/>
        <v>enero</v>
      </c>
      <c r="AV236">
        <f t="shared" si="60"/>
        <v>0</v>
      </c>
      <c r="AW236">
        <f t="shared" si="61"/>
        <v>0</v>
      </c>
      <c r="AX236" s="24">
        <f t="shared" si="62"/>
        <v>0</v>
      </c>
      <c r="AY236" s="24">
        <f t="shared" si="63"/>
        <v>0</v>
      </c>
      <c r="AZ236" s="24">
        <f t="shared" si="64"/>
        <v>0</v>
      </c>
      <c r="BA236">
        <f t="shared" si="65"/>
        <v>0</v>
      </c>
      <c r="BB236">
        <f t="shared" si="66"/>
        <v>0</v>
      </c>
      <c r="BC236" s="24">
        <f t="shared" si="67"/>
        <v>0</v>
      </c>
      <c r="BD236">
        <f t="shared" si="68"/>
        <v>0</v>
      </c>
    </row>
    <row r="237" spans="1:56" x14ac:dyDescent="0.3">
      <c r="A237">
        <f>'Entrada datos'!A147</f>
        <v>0</v>
      </c>
      <c r="B237">
        <f>'Entrada datos'!B147</f>
        <v>0</v>
      </c>
      <c r="C237">
        <f>'Entrada datos'!C147</f>
        <v>0</v>
      </c>
      <c r="D237">
        <f>'Entrada datos'!D147</f>
        <v>0</v>
      </c>
      <c r="E237" s="18">
        <f>'Entrada datos'!G147</f>
        <v>0</v>
      </c>
      <c r="F237" s="18">
        <f>'Entrada datos'!H147</f>
        <v>0</v>
      </c>
      <c r="G237">
        <f>'Entrada datos'!J147</f>
        <v>0</v>
      </c>
      <c r="H237">
        <f>'Entrada datos'!L147</f>
        <v>0</v>
      </c>
      <c r="I237">
        <f>'Entrada datos'!O147</f>
        <v>0</v>
      </c>
      <c r="J237">
        <f>'Entrada datos'!P147</f>
        <v>0</v>
      </c>
      <c r="K237">
        <f>'Entrada datos'!Q147</f>
        <v>0</v>
      </c>
      <c r="L237">
        <f>'Entrada datos'!R147</f>
        <v>0</v>
      </c>
      <c r="M237">
        <f>'Entrada datos'!S147</f>
        <v>0</v>
      </c>
      <c r="N237">
        <f>'Entrada datos'!T147</f>
        <v>0</v>
      </c>
      <c r="O237">
        <f>'Entrada datos'!U147</f>
        <v>0</v>
      </c>
      <c r="P237" s="17">
        <f t="shared" si="52"/>
        <v>0</v>
      </c>
      <c r="Q237">
        <f>'Entrada datos'!V147</f>
        <v>0</v>
      </c>
      <c r="R237">
        <f>'Entrada datos'!W147</f>
        <v>0</v>
      </c>
      <c r="S237">
        <f>'Entrada datos'!X147</f>
        <v>0</v>
      </c>
      <c r="T237">
        <f>'Entrada datos'!Y147</f>
        <v>0</v>
      </c>
      <c r="U237">
        <f>'Entrada datos'!Z147</f>
        <v>0</v>
      </c>
      <c r="V237">
        <f>'Entrada datos'!AA147</f>
        <v>0</v>
      </c>
      <c r="W237" s="17">
        <f t="shared" si="53"/>
        <v>0</v>
      </c>
      <c r="X237">
        <f>'Entrada datos'!AB147</f>
        <v>0</v>
      </c>
      <c r="Y237">
        <f>'Entrada datos'!AC147</f>
        <v>0</v>
      </c>
      <c r="Z237">
        <f>'Entrada datos'!AD147</f>
        <v>0</v>
      </c>
      <c r="AA237">
        <f>'Entrada datos'!AE147</f>
        <v>0</v>
      </c>
      <c r="AB237">
        <f>'Entrada datos'!AF147</f>
        <v>0</v>
      </c>
      <c r="AC237">
        <f>'Entrada datos'!AG147</f>
        <v>0</v>
      </c>
      <c r="AD237" s="17">
        <f t="shared" si="54"/>
        <v>0</v>
      </c>
      <c r="AE237">
        <f>'Entrada datos'!AH147</f>
        <v>0</v>
      </c>
      <c r="AF237">
        <f>'Entrada datos'!AI147</f>
        <v>0</v>
      </c>
      <c r="AG237">
        <f>'Entrada datos'!AJ147</f>
        <v>0</v>
      </c>
      <c r="AH237">
        <f>'Entrada datos'!AK147</f>
        <v>0</v>
      </c>
      <c r="AI237">
        <f>'Entrada datos'!AL147</f>
        <v>0</v>
      </c>
      <c r="AJ237">
        <f>'Entrada datos'!AM147</f>
        <v>0</v>
      </c>
      <c r="AK237" s="17">
        <f t="shared" si="55"/>
        <v>0</v>
      </c>
      <c r="AL237">
        <f>'Entrada datos'!AN147</f>
        <v>0</v>
      </c>
      <c r="AM237">
        <f>'Entrada datos'!AO147</f>
        <v>0</v>
      </c>
      <c r="AN237">
        <f>'Entrada datos'!AP147</f>
        <v>0</v>
      </c>
      <c r="AO237">
        <f>'Entrada datos'!AQ147</f>
        <v>0</v>
      </c>
      <c r="AP237">
        <f>'Entrada datos'!AR147</f>
        <v>0</v>
      </c>
      <c r="AQ237">
        <f>'Entrada datos'!AS147</f>
        <v>0</v>
      </c>
      <c r="AR237" s="17">
        <f t="shared" si="56"/>
        <v>0</v>
      </c>
      <c r="AS237" s="23">
        <f t="shared" si="57"/>
        <v>0</v>
      </c>
      <c r="AT237">
        <f t="shared" si="58"/>
        <v>1900</v>
      </c>
      <c r="AU237" s="40" t="str">
        <f t="shared" si="59"/>
        <v>enero</v>
      </c>
      <c r="AV237">
        <f t="shared" si="60"/>
        <v>0</v>
      </c>
      <c r="AW237">
        <f t="shared" si="61"/>
        <v>0</v>
      </c>
      <c r="AX237" s="24">
        <f t="shared" si="62"/>
        <v>0</v>
      </c>
      <c r="AY237" s="24">
        <f t="shared" si="63"/>
        <v>0</v>
      </c>
      <c r="AZ237" s="24">
        <f t="shared" si="64"/>
        <v>0</v>
      </c>
      <c r="BA237">
        <f t="shared" si="65"/>
        <v>0</v>
      </c>
      <c r="BB237">
        <f t="shared" si="66"/>
        <v>0</v>
      </c>
      <c r="BC237" s="24">
        <f t="shared" si="67"/>
        <v>0</v>
      </c>
      <c r="BD237">
        <f t="shared" si="68"/>
        <v>0</v>
      </c>
    </row>
    <row r="238" spans="1:56" x14ac:dyDescent="0.3">
      <c r="A238">
        <f>'Entrada datos'!A148</f>
        <v>0</v>
      </c>
      <c r="B238">
        <f>'Entrada datos'!B148</f>
        <v>0</v>
      </c>
      <c r="C238">
        <f>'Entrada datos'!C148</f>
        <v>0</v>
      </c>
      <c r="D238">
        <f>'Entrada datos'!D148</f>
        <v>0</v>
      </c>
      <c r="E238" s="18">
        <f>'Entrada datos'!G148</f>
        <v>0</v>
      </c>
      <c r="F238" s="18">
        <f>'Entrada datos'!H148</f>
        <v>0</v>
      </c>
      <c r="G238">
        <f>'Entrada datos'!J148</f>
        <v>0</v>
      </c>
      <c r="H238">
        <f>'Entrada datos'!L148</f>
        <v>0</v>
      </c>
      <c r="I238">
        <f>'Entrada datos'!O148</f>
        <v>0</v>
      </c>
      <c r="J238">
        <f>'Entrada datos'!P148</f>
        <v>0</v>
      </c>
      <c r="K238">
        <f>'Entrada datos'!Q148</f>
        <v>0</v>
      </c>
      <c r="L238">
        <f>'Entrada datos'!R148</f>
        <v>0</v>
      </c>
      <c r="M238">
        <f>'Entrada datos'!S148</f>
        <v>0</v>
      </c>
      <c r="N238">
        <f>'Entrada datos'!T148</f>
        <v>0</v>
      </c>
      <c r="O238">
        <f>'Entrada datos'!U148</f>
        <v>0</v>
      </c>
      <c r="P238" s="17">
        <f t="shared" si="52"/>
        <v>0</v>
      </c>
      <c r="Q238">
        <f>'Entrada datos'!V148</f>
        <v>0</v>
      </c>
      <c r="R238">
        <f>'Entrada datos'!W148</f>
        <v>0</v>
      </c>
      <c r="S238">
        <f>'Entrada datos'!X148</f>
        <v>0</v>
      </c>
      <c r="T238">
        <f>'Entrada datos'!Y148</f>
        <v>0</v>
      </c>
      <c r="U238">
        <f>'Entrada datos'!Z148</f>
        <v>0</v>
      </c>
      <c r="V238">
        <f>'Entrada datos'!AA148</f>
        <v>0</v>
      </c>
      <c r="W238" s="17">
        <f t="shared" si="53"/>
        <v>0</v>
      </c>
      <c r="X238">
        <f>'Entrada datos'!AB148</f>
        <v>0</v>
      </c>
      <c r="Y238">
        <f>'Entrada datos'!AC148</f>
        <v>0</v>
      </c>
      <c r="Z238">
        <f>'Entrada datos'!AD148</f>
        <v>0</v>
      </c>
      <c r="AA238">
        <f>'Entrada datos'!AE148</f>
        <v>0</v>
      </c>
      <c r="AB238">
        <f>'Entrada datos'!AF148</f>
        <v>0</v>
      </c>
      <c r="AC238">
        <f>'Entrada datos'!AG148</f>
        <v>0</v>
      </c>
      <c r="AD238" s="17">
        <f t="shared" si="54"/>
        <v>0</v>
      </c>
      <c r="AE238">
        <f>'Entrada datos'!AH148</f>
        <v>0</v>
      </c>
      <c r="AF238">
        <f>'Entrada datos'!AI148</f>
        <v>0</v>
      </c>
      <c r="AG238">
        <f>'Entrada datos'!AJ148</f>
        <v>0</v>
      </c>
      <c r="AH238">
        <f>'Entrada datos'!AK148</f>
        <v>0</v>
      </c>
      <c r="AI238">
        <f>'Entrada datos'!AL148</f>
        <v>0</v>
      </c>
      <c r="AJ238">
        <f>'Entrada datos'!AM148</f>
        <v>0</v>
      </c>
      <c r="AK238" s="17">
        <f t="shared" si="55"/>
        <v>0</v>
      </c>
      <c r="AL238">
        <f>'Entrada datos'!AN148</f>
        <v>0</v>
      </c>
      <c r="AM238">
        <f>'Entrada datos'!AO148</f>
        <v>0</v>
      </c>
      <c r="AN238">
        <f>'Entrada datos'!AP148</f>
        <v>0</v>
      </c>
      <c r="AO238">
        <f>'Entrada datos'!AQ148</f>
        <v>0</v>
      </c>
      <c r="AP238">
        <f>'Entrada datos'!AR148</f>
        <v>0</v>
      </c>
      <c r="AQ238">
        <f>'Entrada datos'!AS148</f>
        <v>0</v>
      </c>
      <c r="AR238" s="17">
        <f t="shared" si="56"/>
        <v>0</v>
      </c>
      <c r="AS238" s="23">
        <f t="shared" si="57"/>
        <v>0</v>
      </c>
      <c r="AT238">
        <f t="shared" si="58"/>
        <v>1900</v>
      </c>
      <c r="AU238" s="40" t="str">
        <f t="shared" si="59"/>
        <v>enero</v>
      </c>
      <c r="AV238">
        <f t="shared" si="60"/>
        <v>0</v>
      </c>
      <c r="AW238">
        <f t="shared" si="61"/>
        <v>0</v>
      </c>
      <c r="AX238" s="24">
        <f t="shared" si="62"/>
        <v>0</v>
      </c>
      <c r="AY238" s="24">
        <f t="shared" si="63"/>
        <v>0</v>
      </c>
      <c r="AZ238" s="24">
        <f t="shared" si="64"/>
        <v>0</v>
      </c>
      <c r="BA238">
        <f t="shared" si="65"/>
        <v>0</v>
      </c>
      <c r="BB238">
        <f t="shared" si="66"/>
        <v>0</v>
      </c>
      <c r="BC238" s="24">
        <f t="shared" si="67"/>
        <v>0</v>
      </c>
      <c r="BD238">
        <f t="shared" si="68"/>
        <v>0</v>
      </c>
    </row>
    <row r="239" spans="1:56" x14ac:dyDescent="0.3">
      <c r="A239">
        <f>'Entrada datos'!A149</f>
        <v>0</v>
      </c>
      <c r="B239">
        <f>'Entrada datos'!B149</f>
        <v>0</v>
      </c>
      <c r="C239">
        <f>'Entrada datos'!C149</f>
        <v>0</v>
      </c>
      <c r="D239">
        <f>'Entrada datos'!D149</f>
        <v>0</v>
      </c>
      <c r="E239" s="18">
        <f>'Entrada datos'!G149</f>
        <v>0</v>
      </c>
      <c r="F239" s="18">
        <f>'Entrada datos'!H149</f>
        <v>0</v>
      </c>
      <c r="G239">
        <f>'Entrada datos'!J149</f>
        <v>0</v>
      </c>
      <c r="H239">
        <f>'Entrada datos'!L149</f>
        <v>0</v>
      </c>
      <c r="I239">
        <f>'Entrada datos'!O149</f>
        <v>0</v>
      </c>
      <c r="J239">
        <f>'Entrada datos'!P149</f>
        <v>0</v>
      </c>
      <c r="K239">
        <f>'Entrada datos'!Q149</f>
        <v>0</v>
      </c>
      <c r="L239">
        <f>'Entrada datos'!R149</f>
        <v>0</v>
      </c>
      <c r="M239">
        <f>'Entrada datos'!S149</f>
        <v>0</v>
      </c>
      <c r="N239">
        <f>'Entrada datos'!T149</f>
        <v>0</v>
      </c>
      <c r="O239">
        <f>'Entrada datos'!U149</f>
        <v>0</v>
      </c>
      <c r="P239" s="17">
        <f t="shared" si="52"/>
        <v>0</v>
      </c>
      <c r="Q239">
        <f>'Entrada datos'!V149</f>
        <v>0</v>
      </c>
      <c r="R239">
        <f>'Entrada datos'!W149</f>
        <v>0</v>
      </c>
      <c r="S239">
        <f>'Entrada datos'!X149</f>
        <v>0</v>
      </c>
      <c r="T239">
        <f>'Entrada datos'!Y149</f>
        <v>0</v>
      </c>
      <c r="U239">
        <f>'Entrada datos'!Z149</f>
        <v>0</v>
      </c>
      <c r="V239">
        <f>'Entrada datos'!AA149</f>
        <v>0</v>
      </c>
      <c r="W239" s="17">
        <f t="shared" si="53"/>
        <v>0</v>
      </c>
      <c r="X239">
        <f>'Entrada datos'!AB149</f>
        <v>0</v>
      </c>
      <c r="Y239">
        <f>'Entrada datos'!AC149</f>
        <v>0</v>
      </c>
      <c r="Z239">
        <f>'Entrada datos'!AD149</f>
        <v>0</v>
      </c>
      <c r="AA239">
        <f>'Entrada datos'!AE149</f>
        <v>0</v>
      </c>
      <c r="AB239">
        <f>'Entrada datos'!AF149</f>
        <v>0</v>
      </c>
      <c r="AC239">
        <f>'Entrada datos'!AG149</f>
        <v>0</v>
      </c>
      <c r="AD239" s="17">
        <f t="shared" si="54"/>
        <v>0</v>
      </c>
      <c r="AE239">
        <f>'Entrada datos'!AH149</f>
        <v>0</v>
      </c>
      <c r="AF239">
        <f>'Entrada datos'!AI149</f>
        <v>0</v>
      </c>
      <c r="AG239">
        <f>'Entrada datos'!AJ149</f>
        <v>0</v>
      </c>
      <c r="AH239">
        <f>'Entrada datos'!AK149</f>
        <v>0</v>
      </c>
      <c r="AI239">
        <f>'Entrada datos'!AL149</f>
        <v>0</v>
      </c>
      <c r="AJ239">
        <f>'Entrada datos'!AM149</f>
        <v>0</v>
      </c>
      <c r="AK239" s="17">
        <f t="shared" si="55"/>
        <v>0</v>
      </c>
      <c r="AL239">
        <f>'Entrada datos'!AN149</f>
        <v>0</v>
      </c>
      <c r="AM239">
        <f>'Entrada datos'!AO149</f>
        <v>0</v>
      </c>
      <c r="AN239">
        <f>'Entrada datos'!AP149</f>
        <v>0</v>
      </c>
      <c r="AO239">
        <f>'Entrada datos'!AQ149</f>
        <v>0</v>
      </c>
      <c r="AP239">
        <f>'Entrada datos'!AR149</f>
        <v>0</v>
      </c>
      <c r="AQ239">
        <f>'Entrada datos'!AS149</f>
        <v>0</v>
      </c>
      <c r="AR239" s="17">
        <f t="shared" si="56"/>
        <v>0</v>
      </c>
      <c r="AS239" s="23">
        <f t="shared" si="57"/>
        <v>0</v>
      </c>
      <c r="AT239">
        <f t="shared" si="58"/>
        <v>1900</v>
      </c>
      <c r="AU239" s="40" t="str">
        <f t="shared" si="59"/>
        <v>enero</v>
      </c>
      <c r="AV239">
        <f t="shared" si="60"/>
        <v>0</v>
      </c>
      <c r="AW239">
        <f t="shared" si="61"/>
        <v>0</v>
      </c>
      <c r="AX239" s="24">
        <f t="shared" si="62"/>
        <v>0</v>
      </c>
      <c r="AY239" s="24">
        <f t="shared" si="63"/>
        <v>0</v>
      </c>
      <c r="AZ239" s="24">
        <f t="shared" si="64"/>
        <v>0</v>
      </c>
      <c r="BA239">
        <f t="shared" si="65"/>
        <v>0</v>
      </c>
      <c r="BB239">
        <f t="shared" si="66"/>
        <v>0</v>
      </c>
      <c r="BC239" s="24">
        <f t="shared" si="67"/>
        <v>0</v>
      </c>
      <c r="BD239">
        <f t="shared" si="68"/>
        <v>0</v>
      </c>
    </row>
    <row r="240" spans="1:56" x14ac:dyDescent="0.3">
      <c r="A240">
        <f>'Entrada datos'!A150</f>
        <v>0</v>
      </c>
      <c r="B240">
        <f>'Entrada datos'!B150</f>
        <v>0</v>
      </c>
      <c r="C240">
        <f>'Entrada datos'!C150</f>
        <v>0</v>
      </c>
      <c r="D240">
        <f>'Entrada datos'!D150</f>
        <v>0</v>
      </c>
      <c r="E240" s="18">
        <f>'Entrada datos'!G150</f>
        <v>0</v>
      </c>
      <c r="F240" s="18">
        <f>'Entrada datos'!H150</f>
        <v>0</v>
      </c>
      <c r="G240">
        <f>'Entrada datos'!J150</f>
        <v>0</v>
      </c>
      <c r="H240">
        <f>'Entrada datos'!L150</f>
        <v>0</v>
      </c>
      <c r="I240">
        <f>'Entrada datos'!O150</f>
        <v>0</v>
      </c>
      <c r="J240">
        <f>'Entrada datos'!P150</f>
        <v>0</v>
      </c>
      <c r="K240">
        <f>'Entrada datos'!Q150</f>
        <v>0</v>
      </c>
      <c r="L240">
        <f>'Entrada datos'!R150</f>
        <v>0</v>
      </c>
      <c r="M240">
        <f>'Entrada datos'!S150</f>
        <v>0</v>
      </c>
      <c r="N240">
        <f>'Entrada datos'!T150</f>
        <v>0</v>
      </c>
      <c r="O240">
        <f>'Entrada datos'!U150</f>
        <v>0</v>
      </c>
      <c r="P240" s="17">
        <f t="shared" si="52"/>
        <v>0</v>
      </c>
      <c r="Q240">
        <f>'Entrada datos'!V150</f>
        <v>0</v>
      </c>
      <c r="R240">
        <f>'Entrada datos'!W150</f>
        <v>0</v>
      </c>
      <c r="S240">
        <f>'Entrada datos'!X150</f>
        <v>0</v>
      </c>
      <c r="T240">
        <f>'Entrada datos'!Y150</f>
        <v>0</v>
      </c>
      <c r="U240">
        <f>'Entrada datos'!Z150</f>
        <v>0</v>
      </c>
      <c r="V240">
        <f>'Entrada datos'!AA150</f>
        <v>0</v>
      </c>
      <c r="W240" s="17">
        <f t="shared" si="53"/>
        <v>0</v>
      </c>
      <c r="X240">
        <f>'Entrada datos'!AB150</f>
        <v>0</v>
      </c>
      <c r="Y240">
        <f>'Entrada datos'!AC150</f>
        <v>0</v>
      </c>
      <c r="Z240">
        <f>'Entrada datos'!AD150</f>
        <v>0</v>
      </c>
      <c r="AA240">
        <f>'Entrada datos'!AE150</f>
        <v>0</v>
      </c>
      <c r="AB240">
        <f>'Entrada datos'!AF150</f>
        <v>0</v>
      </c>
      <c r="AC240">
        <f>'Entrada datos'!AG150</f>
        <v>0</v>
      </c>
      <c r="AD240" s="17">
        <f t="shared" si="54"/>
        <v>0</v>
      </c>
      <c r="AE240">
        <f>'Entrada datos'!AH150</f>
        <v>0</v>
      </c>
      <c r="AF240">
        <f>'Entrada datos'!AI150</f>
        <v>0</v>
      </c>
      <c r="AG240">
        <f>'Entrada datos'!AJ150</f>
        <v>0</v>
      </c>
      <c r="AH240">
        <f>'Entrada datos'!AK150</f>
        <v>0</v>
      </c>
      <c r="AI240">
        <f>'Entrada datos'!AL150</f>
        <v>0</v>
      </c>
      <c r="AJ240">
        <f>'Entrada datos'!AM150</f>
        <v>0</v>
      </c>
      <c r="AK240" s="17">
        <f t="shared" si="55"/>
        <v>0</v>
      </c>
      <c r="AL240">
        <f>'Entrada datos'!AN150</f>
        <v>0</v>
      </c>
      <c r="AM240">
        <f>'Entrada datos'!AO150</f>
        <v>0</v>
      </c>
      <c r="AN240">
        <f>'Entrada datos'!AP150</f>
        <v>0</v>
      </c>
      <c r="AO240">
        <f>'Entrada datos'!AQ150</f>
        <v>0</v>
      </c>
      <c r="AP240">
        <f>'Entrada datos'!AR150</f>
        <v>0</v>
      </c>
      <c r="AQ240">
        <f>'Entrada datos'!AS150</f>
        <v>0</v>
      </c>
      <c r="AR240" s="17">
        <f t="shared" si="56"/>
        <v>0</v>
      </c>
      <c r="AS240" s="23">
        <f t="shared" si="57"/>
        <v>0</v>
      </c>
      <c r="AT240">
        <f t="shared" si="58"/>
        <v>1900</v>
      </c>
      <c r="AU240" s="40" t="str">
        <f t="shared" si="59"/>
        <v>enero</v>
      </c>
      <c r="AV240">
        <f t="shared" si="60"/>
        <v>0</v>
      </c>
      <c r="AW240">
        <f t="shared" si="61"/>
        <v>0</v>
      </c>
      <c r="AX240" s="24">
        <f t="shared" si="62"/>
        <v>0</v>
      </c>
      <c r="AY240" s="24">
        <f t="shared" si="63"/>
        <v>0</v>
      </c>
      <c r="AZ240" s="24">
        <f t="shared" si="64"/>
        <v>0</v>
      </c>
      <c r="BA240">
        <f t="shared" si="65"/>
        <v>0</v>
      </c>
      <c r="BB240">
        <f t="shared" si="66"/>
        <v>0</v>
      </c>
      <c r="BC240" s="24">
        <f t="shared" si="67"/>
        <v>0</v>
      </c>
      <c r="BD240">
        <f t="shared" si="68"/>
        <v>0</v>
      </c>
    </row>
    <row r="241" spans="1:56" x14ac:dyDescent="0.3">
      <c r="A241">
        <f>'Entrada datos'!A151</f>
        <v>0</v>
      </c>
      <c r="B241">
        <f>'Entrada datos'!B151</f>
        <v>0</v>
      </c>
      <c r="C241">
        <f>'Entrada datos'!C151</f>
        <v>0</v>
      </c>
      <c r="D241">
        <f>'Entrada datos'!D151</f>
        <v>0</v>
      </c>
      <c r="E241" s="18">
        <f>'Entrada datos'!G151</f>
        <v>0</v>
      </c>
      <c r="F241" s="18">
        <f>'Entrada datos'!H151</f>
        <v>0</v>
      </c>
      <c r="G241">
        <f>'Entrada datos'!J151</f>
        <v>0</v>
      </c>
      <c r="H241">
        <f>'Entrada datos'!L151</f>
        <v>0</v>
      </c>
      <c r="I241">
        <f>'Entrada datos'!O151</f>
        <v>0</v>
      </c>
      <c r="J241">
        <f>'Entrada datos'!P151</f>
        <v>0</v>
      </c>
      <c r="K241">
        <f>'Entrada datos'!Q151</f>
        <v>0</v>
      </c>
      <c r="L241">
        <f>'Entrada datos'!R151</f>
        <v>0</v>
      </c>
      <c r="M241">
        <f>'Entrada datos'!S151</f>
        <v>0</v>
      </c>
      <c r="N241">
        <f>'Entrada datos'!T151</f>
        <v>0</v>
      </c>
      <c r="O241">
        <f>'Entrada datos'!U151</f>
        <v>0</v>
      </c>
      <c r="P241" s="17">
        <f t="shared" si="52"/>
        <v>0</v>
      </c>
      <c r="Q241">
        <f>'Entrada datos'!V151</f>
        <v>0</v>
      </c>
      <c r="R241">
        <f>'Entrada datos'!W151</f>
        <v>0</v>
      </c>
      <c r="S241">
        <f>'Entrada datos'!X151</f>
        <v>0</v>
      </c>
      <c r="T241">
        <f>'Entrada datos'!Y151</f>
        <v>0</v>
      </c>
      <c r="U241">
        <f>'Entrada datos'!Z151</f>
        <v>0</v>
      </c>
      <c r="V241">
        <f>'Entrada datos'!AA151</f>
        <v>0</v>
      </c>
      <c r="W241" s="17">
        <f t="shared" si="53"/>
        <v>0</v>
      </c>
      <c r="X241">
        <f>'Entrada datos'!AB151</f>
        <v>0</v>
      </c>
      <c r="Y241">
        <f>'Entrada datos'!AC151</f>
        <v>0</v>
      </c>
      <c r="Z241">
        <f>'Entrada datos'!AD151</f>
        <v>0</v>
      </c>
      <c r="AA241">
        <f>'Entrada datos'!AE151</f>
        <v>0</v>
      </c>
      <c r="AB241">
        <f>'Entrada datos'!AF151</f>
        <v>0</v>
      </c>
      <c r="AC241">
        <f>'Entrada datos'!AG151</f>
        <v>0</v>
      </c>
      <c r="AD241" s="17">
        <f t="shared" si="54"/>
        <v>0</v>
      </c>
      <c r="AE241">
        <f>'Entrada datos'!AH151</f>
        <v>0</v>
      </c>
      <c r="AF241">
        <f>'Entrada datos'!AI151</f>
        <v>0</v>
      </c>
      <c r="AG241">
        <f>'Entrada datos'!AJ151</f>
        <v>0</v>
      </c>
      <c r="AH241">
        <f>'Entrada datos'!AK151</f>
        <v>0</v>
      </c>
      <c r="AI241">
        <f>'Entrada datos'!AL151</f>
        <v>0</v>
      </c>
      <c r="AJ241">
        <f>'Entrada datos'!AM151</f>
        <v>0</v>
      </c>
      <c r="AK241" s="17">
        <f t="shared" si="55"/>
        <v>0</v>
      </c>
      <c r="AL241">
        <f>'Entrada datos'!AN151</f>
        <v>0</v>
      </c>
      <c r="AM241">
        <f>'Entrada datos'!AO151</f>
        <v>0</v>
      </c>
      <c r="AN241">
        <f>'Entrada datos'!AP151</f>
        <v>0</v>
      </c>
      <c r="AO241">
        <f>'Entrada datos'!AQ151</f>
        <v>0</v>
      </c>
      <c r="AP241">
        <f>'Entrada datos'!AR151</f>
        <v>0</v>
      </c>
      <c r="AQ241">
        <f>'Entrada datos'!AS151</f>
        <v>0</v>
      </c>
      <c r="AR241" s="17">
        <f t="shared" si="56"/>
        <v>0</v>
      </c>
      <c r="AS241" s="23">
        <f t="shared" si="57"/>
        <v>0</v>
      </c>
      <c r="AT241">
        <f t="shared" si="58"/>
        <v>1900</v>
      </c>
      <c r="AU241" s="40" t="str">
        <f t="shared" si="59"/>
        <v>enero</v>
      </c>
      <c r="AV241">
        <f t="shared" si="60"/>
        <v>0</v>
      </c>
      <c r="AW241">
        <f t="shared" si="61"/>
        <v>0</v>
      </c>
      <c r="AX241" s="24">
        <f t="shared" si="62"/>
        <v>0</v>
      </c>
      <c r="AY241" s="24">
        <f t="shared" si="63"/>
        <v>0</v>
      </c>
      <c r="AZ241" s="24">
        <f t="shared" si="64"/>
        <v>0</v>
      </c>
      <c r="BA241">
        <f t="shared" si="65"/>
        <v>0</v>
      </c>
      <c r="BB241">
        <f t="shared" si="66"/>
        <v>0</v>
      </c>
      <c r="BC241" s="24">
        <f t="shared" si="67"/>
        <v>0</v>
      </c>
      <c r="BD241">
        <f t="shared" si="68"/>
        <v>0</v>
      </c>
    </row>
    <row r="242" spans="1:56" x14ac:dyDescent="0.3">
      <c r="A242">
        <f>'Entrada datos'!A152</f>
        <v>0</v>
      </c>
      <c r="B242">
        <f>'Entrada datos'!B152</f>
        <v>0</v>
      </c>
      <c r="C242">
        <f>'Entrada datos'!C152</f>
        <v>0</v>
      </c>
      <c r="D242">
        <f>'Entrada datos'!D152</f>
        <v>0</v>
      </c>
      <c r="E242" s="18">
        <f>'Entrada datos'!G152</f>
        <v>0</v>
      </c>
      <c r="F242" s="18">
        <f>'Entrada datos'!H152</f>
        <v>0</v>
      </c>
      <c r="G242">
        <f>'Entrada datos'!J152</f>
        <v>0</v>
      </c>
      <c r="H242">
        <f>'Entrada datos'!L152</f>
        <v>0</v>
      </c>
      <c r="I242">
        <f>'Entrada datos'!O152</f>
        <v>0</v>
      </c>
      <c r="J242">
        <f>'Entrada datos'!P152</f>
        <v>0</v>
      </c>
      <c r="K242">
        <f>'Entrada datos'!Q152</f>
        <v>0</v>
      </c>
      <c r="L242">
        <f>'Entrada datos'!R152</f>
        <v>0</v>
      </c>
      <c r="M242">
        <f>'Entrada datos'!S152</f>
        <v>0</v>
      </c>
      <c r="N242">
        <f>'Entrada datos'!T152</f>
        <v>0</v>
      </c>
      <c r="O242">
        <f>'Entrada datos'!U152</f>
        <v>0</v>
      </c>
      <c r="P242" s="17">
        <f t="shared" si="52"/>
        <v>0</v>
      </c>
      <c r="Q242">
        <f>'Entrada datos'!V152</f>
        <v>0</v>
      </c>
      <c r="R242">
        <f>'Entrada datos'!W152</f>
        <v>0</v>
      </c>
      <c r="S242">
        <f>'Entrada datos'!X152</f>
        <v>0</v>
      </c>
      <c r="T242">
        <f>'Entrada datos'!Y152</f>
        <v>0</v>
      </c>
      <c r="U242">
        <f>'Entrada datos'!Z152</f>
        <v>0</v>
      </c>
      <c r="V242">
        <f>'Entrada datos'!AA152</f>
        <v>0</v>
      </c>
      <c r="W242" s="17">
        <f t="shared" si="53"/>
        <v>0</v>
      </c>
      <c r="X242">
        <f>'Entrada datos'!AB152</f>
        <v>0</v>
      </c>
      <c r="Y242">
        <f>'Entrada datos'!AC152</f>
        <v>0</v>
      </c>
      <c r="Z242">
        <f>'Entrada datos'!AD152</f>
        <v>0</v>
      </c>
      <c r="AA242">
        <f>'Entrada datos'!AE152</f>
        <v>0</v>
      </c>
      <c r="AB242">
        <f>'Entrada datos'!AF152</f>
        <v>0</v>
      </c>
      <c r="AC242">
        <f>'Entrada datos'!AG152</f>
        <v>0</v>
      </c>
      <c r="AD242" s="17">
        <f t="shared" si="54"/>
        <v>0</v>
      </c>
      <c r="AE242">
        <f>'Entrada datos'!AH152</f>
        <v>0</v>
      </c>
      <c r="AF242">
        <f>'Entrada datos'!AI152</f>
        <v>0</v>
      </c>
      <c r="AG242">
        <f>'Entrada datos'!AJ152</f>
        <v>0</v>
      </c>
      <c r="AH242">
        <f>'Entrada datos'!AK152</f>
        <v>0</v>
      </c>
      <c r="AI242">
        <f>'Entrada datos'!AL152</f>
        <v>0</v>
      </c>
      <c r="AJ242">
        <f>'Entrada datos'!AM152</f>
        <v>0</v>
      </c>
      <c r="AK242" s="17">
        <f t="shared" si="55"/>
        <v>0</v>
      </c>
      <c r="AL242">
        <f>'Entrada datos'!AN152</f>
        <v>0</v>
      </c>
      <c r="AM242">
        <f>'Entrada datos'!AO152</f>
        <v>0</v>
      </c>
      <c r="AN242">
        <f>'Entrada datos'!AP152</f>
        <v>0</v>
      </c>
      <c r="AO242">
        <f>'Entrada datos'!AQ152</f>
        <v>0</v>
      </c>
      <c r="AP242">
        <f>'Entrada datos'!AR152</f>
        <v>0</v>
      </c>
      <c r="AQ242">
        <f>'Entrada datos'!AS152</f>
        <v>0</v>
      </c>
      <c r="AR242" s="17">
        <f t="shared" si="56"/>
        <v>0</v>
      </c>
      <c r="AS242" s="23">
        <f t="shared" si="57"/>
        <v>0</v>
      </c>
      <c r="AT242">
        <f t="shared" si="58"/>
        <v>1900</v>
      </c>
      <c r="AU242" s="40" t="str">
        <f t="shared" si="59"/>
        <v>enero</v>
      </c>
      <c r="AV242">
        <f t="shared" si="60"/>
        <v>0</v>
      </c>
      <c r="AW242">
        <f t="shared" si="61"/>
        <v>0</v>
      </c>
      <c r="AX242" s="24">
        <f t="shared" si="62"/>
        <v>0</v>
      </c>
      <c r="AY242" s="24">
        <f t="shared" si="63"/>
        <v>0</v>
      </c>
      <c r="AZ242" s="24">
        <f t="shared" si="64"/>
        <v>0</v>
      </c>
      <c r="BA242">
        <f t="shared" si="65"/>
        <v>0</v>
      </c>
      <c r="BB242">
        <f t="shared" si="66"/>
        <v>0</v>
      </c>
      <c r="BC242" s="24">
        <f t="shared" si="67"/>
        <v>0</v>
      </c>
      <c r="BD242">
        <f t="shared" si="68"/>
        <v>0</v>
      </c>
    </row>
    <row r="243" spans="1:56" x14ac:dyDescent="0.3">
      <c r="A243">
        <f>'Entrada datos'!A153</f>
        <v>0</v>
      </c>
      <c r="B243">
        <f>'Entrada datos'!B153</f>
        <v>0</v>
      </c>
      <c r="C243">
        <f>'Entrada datos'!C153</f>
        <v>0</v>
      </c>
      <c r="D243">
        <f>'Entrada datos'!D153</f>
        <v>0</v>
      </c>
      <c r="E243" s="18">
        <f>'Entrada datos'!G153</f>
        <v>0</v>
      </c>
      <c r="F243" s="18">
        <f>'Entrada datos'!H153</f>
        <v>0</v>
      </c>
      <c r="G243">
        <f>'Entrada datos'!J153</f>
        <v>0</v>
      </c>
      <c r="H243">
        <f>'Entrada datos'!L153</f>
        <v>0</v>
      </c>
      <c r="I243">
        <f>'Entrada datos'!O153</f>
        <v>0</v>
      </c>
      <c r="J243">
        <f>'Entrada datos'!P153</f>
        <v>0</v>
      </c>
      <c r="K243">
        <f>'Entrada datos'!Q153</f>
        <v>0</v>
      </c>
      <c r="L243">
        <f>'Entrada datos'!R153</f>
        <v>0</v>
      </c>
      <c r="M243">
        <f>'Entrada datos'!S153</f>
        <v>0</v>
      </c>
      <c r="N243">
        <f>'Entrada datos'!T153</f>
        <v>0</v>
      </c>
      <c r="O243">
        <f>'Entrada datos'!U153</f>
        <v>0</v>
      </c>
      <c r="P243" s="17">
        <f t="shared" si="52"/>
        <v>0</v>
      </c>
      <c r="Q243">
        <f>'Entrada datos'!V153</f>
        <v>0</v>
      </c>
      <c r="R243">
        <f>'Entrada datos'!W153</f>
        <v>0</v>
      </c>
      <c r="S243">
        <f>'Entrada datos'!X153</f>
        <v>0</v>
      </c>
      <c r="T243">
        <f>'Entrada datos'!Y153</f>
        <v>0</v>
      </c>
      <c r="U243">
        <f>'Entrada datos'!Z153</f>
        <v>0</v>
      </c>
      <c r="V243">
        <f>'Entrada datos'!AA153</f>
        <v>0</v>
      </c>
      <c r="W243" s="17">
        <f t="shared" si="53"/>
        <v>0</v>
      </c>
      <c r="X243">
        <f>'Entrada datos'!AB153</f>
        <v>0</v>
      </c>
      <c r="Y243">
        <f>'Entrada datos'!AC153</f>
        <v>0</v>
      </c>
      <c r="Z243">
        <f>'Entrada datos'!AD153</f>
        <v>0</v>
      </c>
      <c r="AA243">
        <f>'Entrada datos'!AE153</f>
        <v>0</v>
      </c>
      <c r="AB243">
        <f>'Entrada datos'!AF153</f>
        <v>0</v>
      </c>
      <c r="AC243">
        <f>'Entrada datos'!AG153</f>
        <v>0</v>
      </c>
      <c r="AD243" s="17">
        <f t="shared" si="54"/>
        <v>0</v>
      </c>
      <c r="AE243">
        <f>'Entrada datos'!AH153</f>
        <v>0</v>
      </c>
      <c r="AF243">
        <f>'Entrada datos'!AI153</f>
        <v>0</v>
      </c>
      <c r="AG243">
        <f>'Entrada datos'!AJ153</f>
        <v>0</v>
      </c>
      <c r="AH243">
        <f>'Entrada datos'!AK153</f>
        <v>0</v>
      </c>
      <c r="AI243">
        <f>'Entrada datos'!AL153</f>
        <v>0</v>
      </c>
      <c r="AJ243">
        <f>'Entrada datos'!AM153</f>
        <v>0</v>
      </c>
      <c r="AK243" s="17">
        <f t="shared" si="55"/>
        <v>0</v>
      </c>
      <c r="AL243">
        <f>'Entrada datos'!AN153</f>
        <v>0</v>
      </c>
      <c r="AM243">
        <f>'Entrada datos'!AO153</f>
        <v>0</v>
      </c>
      <c r="AN243">
        <f>'Entrada datos'!AP153</f>
        <v>0</v>
      </c>
      <c r="AO243">
        <f>'Entrada datos'!AQ153</f>
        <v>0</v>
      </c>
      <c r="AP243">
        <f>'Entrada datos'!AR153</f>
        <v>0</v>
      </c>
      <c r="AQ243">
        <f>'Entrada datos'!AS153</f>
        <v>0</v>
      </c>
      <c r="AR243" s="17">
        <f t="shared" si="56"/>
        <v>0</v>
      </c>
      <c r="AS243" s="23">
        <f t="shared" si="57"/>
        <v>0</v>
      </c>
      <c r="AT243">
        <f t="shared" si="58"/>
        <v>1900</v>
      </c>
      <c r="AU243" s="40" t="str">
        <f t="shared" si="59"/>
        <v>enero</v>
      </c>
      <c r="AV243">
        <f t="shared" si="60"/>
        <v>0</v>
      </c>
      <c r="AW243">
        <f t="shared" si="61"/>
        <v>0</v>
      </c>
      <c r="AX243" s="24">
        <f t="shared" si="62"/>
        <v>0</v>
      </c>
      <c r="AY243" s="24">
        <f t="shared" si="63"/>
        <v>0</v>
      </c>
      <c r="AZ243" s="24">
        <f t="shared" si="64"/>
        <v>0</v>
      </c>
      <c r="BA243">
        <f t="shared" si="65"/>
        <v>0</v>
      </c>
      <c r="BB243">
        <f t="shared" si="66"/>
        <v>0</v>
      </c>
      <c r="BC243" s="24">
        <f t="shared" si="67"/>
        <v>0</v>
      </c>
      <c r="BD243">
        <f t="shared" si="68"/>
        <v>0</v>
      </c>
    </row>
    <row r="244" spans="1:56" x14ac:dyDescent="0.3">
      <c r="A244">
        <f>'Entrada datos'!A154</f>
        <v>0</v>
      </c>
      <c r="B244">
        <f>'Entrada datos'!B154</f>
        <v>0</v>
      </c>
      <c r="C244">
        <f>'Entrada datos'!C154</f>
        <v>0</v>
      </c>
      <c r="D244">
        <f>'Entrada datos'!D154</f>
        <v>0</v>
      </c>
      <c r="E244" s="18">
        <f>'Entrada datos'!G154</f>
        <v>0</v>
      </c>
      <c r="F244" s="18">
        <f>'Entrada datos'!H154</f>
        <v>0</v>
      </c>
      <c r="G244">
        <f>'Entrada datos'!J154</f>
        <v>0</v>
      </c>
      <c r="H244">
        <f>'Entrada datos'!L154</f>
        <v>0</v>
      </c>
      <c r="I244">
        <f>'Entrada datos'!O154</f>
        <v>0</v>
      </c>
      <c r="J244">
        <f>'Entrada datos'!P154</f>
        <v>0</v>
      </c>
      <c r="K244">
        <f>'Entrada datos'!Q154</f>
        <v>0</v>
      </c>
      <c r="L244">
        <f>'Entrada datos'!R154</f>
        <v>0</v>
      </c>
      <c r="M244">
        <f>'Entrada datos'!S154</f>
        <v>0</v>
      </c>
      <c r="N244">
        <f>'Entrada datos'!T154</f>
        <v>0</v>
      </c>
      <c r="O244">
        <f>'Entrada datos'!U154</f>
        <v>0</v>
      </c>
      <c r="P244" s="17">
        <f t="shared" si="52"/>
        <v>0</v>
      </c>
      <c r="Q244">
        <f>'Entrada datos'!V154</f>
        <v>0</v>
      </c>
      <c r="R244">
        <f>'Entrada datos'!W154</f>
        <v>0</v>
      </c>
      <c r="S244">
        <f>'Entrada datos'!X154</f>
        <v>0</v>
      </c>
      <c r="T244">
        <f>'Entrada datos'!Y154</f>
        <v>0</v>
      </c>
      <c r="U244">
        <f>'Entrada datos'!Z154</f>
        <v>0</v>
      </c>
      <c r="V244">
        <f>'Entrada datos'!AA154</f>
        <v>0</v>
      </c>
      <c r="W244" s="17">
        <f t="shared" si="53"/>
        <v>0</v>
      </c>
      <c r="X244">
        <f>'Entrada datos'!AB154</f>
        <v>0</v>
      </c>
      <c r="Y244">
        <f>'Entrada datos'!AC154</f>
        <v>0</v>
      </c>
      <c r="Z244">
        <f>'Entrada datos'!AD154</f>
        <v>0</v>
      </c>
      <c r="AA244">
        <f>'Entrada datos'!AE154</f>
        <v>0</v>
      </c>
      <c r="AB244">
        <f>'Entrada datos'!AF154</f>
        <v>0</v>
      </c>
      <c r="AC244">
        <f>'Entrada datos'!AG154</f>
        <v>0</v>
      </c>
      <c r="AD244" s="17">
        <f t="shared" si="54"/>
        <v>0</v>
      </c>
      <c r="AE244">
        <f>'Entrada datos'!AH154</f>
        <v>0</v>
      </c>
      <c r="AF244">
        <f>'Entrada datos'!AI154</f>
        <v>0</v>
      </c>
      <c r="AG244">
        <f>'Entrada datos'!AJ154</f>
        <v>0</v>
      </c>
      <c r="AH244">
        <f>'Entrada datos'!AK154</f>
        <v>0</v>
      </c>
      <c r="AI244">
        <f>'Entrada datos'!AL154</f>
        <v>0</v>
      </c>
      <c r="AJ244">
        <f>'Entrada datos'!AM154</f>
        <v>0</v>
      </c>
      <c r="AK244" s="17">
        <f t="shared" si="55"/>
        <v>0</v>
      </c>
      <c r="AL244">
        <f>'Entrada datos'!AN154</f>
        <v>0</v>
      </c>
      <c r="AM244">
        <f>'Entrada datos'!AO154</f>
        <v>0</v>
      </c>
      <c r="AN244">
        <f>'Entrada datos'!AP154</f>
        <v>0</v>
      </c>
      <c r="AO244">
        <f>'Entrada datos'!AQ154</f>
        <v>0</v>
      </c>
      <c r="AP244">
        <f>'Entrada datos'!AR154</f>
        <v>0</v>
      </c>
      <c r="AQ244">
        <f>'Entrada datos'!AS154</f>
        <v>0</v>
      </c>
      <c r="AR244" s="17">
        <f t="shared" si="56"/>
        <v>0</v>
      </c>
      <c r="AS244" s="23">
        <f t="shared" si="57"/>
        <v>0</v>
      </c>
      <c r="AT244">
        <f t="shared" si="58"/>
        <v>1900</v>
      </c>
      <c r="AU244" s="40" t="str">
        <f t="shared" si="59"/>
        <v>enero</v>
      </c>
      <c r="AV244">
        <f t="shared" si="60"/>
        <v>0</v>
      </c>
      <c r="AW244">
        <f t="shared" si="61"/>
        <v>0</v>
      </c>
      <c r="AX244" s="24">
        <f t="shared" si="62"/>
        <v>0</v>
      </c>
      <c r="AY244" s="24">
        <f t="shared" si="63"/>
        <v>0</v>
      </c>
      <c r="AZ244" s="24">
        <f t="shared" si="64"/>
        <v>0</v>
      </c>
      <c r="BA244">
        <f t="shared" si="65"/>
        <v>0</v>
      </c>
      <c r="BB244">
        <f t="shared" si="66"/>
        <v>0</v>
      </c>
      <c r="BC244" s="24">
        <f t="shared" si="67"/>
        <v>0</v>
      </c>
      <c r="BD244">
        <f t="shared" si="68"/>
        <v>0</v>
      </c>
    </row>
    <row r="245" spans="1:56" x14ac:dyDescent="0.3">
      <c r="A245">
        <f>'Entrada datos'!A155</f>
        <v>0</v>
      </c>
      <c r="B245">
        <f>'Entrada datos'!B155</f>
        <v>0</v>
      </c>
      <c r="C245">
        <f>'Entrada datos'!C155</f>
        <v>0</v>
      </c>
      <c r="D245">
        <f>'Entrada datos'!D155</f>
        <v>0</v>
      </c>
      <c r="E245" s="18">
        <f>'Entrada datos'!G155</f>
        <v>0</v>
      </c>
      <c r="F245" s="18">
        <f>'Entrada datos'!H155</f>
        <v>0</v>
      </c>
      <c r="G245">
        <f>'Entrada datos'!J155</f>
        <v>0</v>
      </c>
      <c r="H245">
        <f>'Entrada datos'!L155</f>
        <v>0</v>
      </c>
      <c r="I245">
        <f>'Entrada datos'!O155</f>
        <v>0</v>
      </c>
      <c r="J245">
        <f>'Entrada datos'!P155</f>
        <v>0</v>
      </c>
      <c r="K245">
        <f>'Entrada datos'!Q155</f>
        <v>0</v>
      </c>
      <c r="L245">
        <f>'Entrada datos'!R155</f>
        <v>0</v>
      </c>
      <c r="M245">
        <f>'Entrada datos'!S155</f>
        <v>0</v>
      </c>
      <c r="N245">
        <f>'Entrada datos'!T155</f>
        <v>0</v>
      </c>
      <c r="O245">
        <f>'Entrada datos'!U155</f>
        <v>0</v>
      </c>
      <c r="P245" s="17">
        <f t="shared" si="52"/>
        <v>0</v>
      </c>
      <c r="Q245">
        <f>'Entrada datos'!V155</f>
        <v>0</v>
      </c>
      <c r="R245">
        <f>'Entrada datos'!W155</f>
        <v>0</v>
      </c>
      <c r="S245">
        <f>'Entrada datos'!X155</f>
        <v>0</v>
      </c>
      <c r="T245">
        <f>'Entrada datos'!Y155</f>
        <v>0</v>
      </c>
      <c r="U245">
        <f>'Entrada datos'!Z155</f>
        <v>0</v>
      </c>
      <c r="V245">
        <f>'Entrada datos'!AA155</f>
        <v>0</v>
      </c>
      <c r="W245" s="17">
        <f t="shared" si="53"/>
        <v>0</v>
      </c>
      <c r="X245">
        <f>'Entrada datos'!AB155</f>
        <v>0</v>
      </c>
      <c r="Y245">
        <f>'Entrada datos'!AC155</f>
        <v>0</v>
      </c>
      <c r="Z245">
        <f>'Entrada datos'!AD155</f>
        <v>0</v>
      </c>
      <c r="AA245">
        <f>'Entrada datos'!AE155</f>
        <v>0</v>
      </c>
      <c r="AB245">
        <f>'Entrada datos'!AF155</f>
        <v>0</v>
      </c>
      <c r="AC245">
        <f>'Entrada datos'!AG155</f>
        <v>0</v>
      </c>
      <c r="AD245" s="17">
        <f t="shared" si="54"/>
        <v>0</v>
      </c>
      <c r="AE245">
        <f>'Entrada datos'!AH155</f>
        <v>0</v>
      </c>
      <c r="AF245">
        <f>'Entrada datos'!AI155</f>
        <v>0</v>
      </c>
      <c r="AG245">
        <f>'Entrada datos'!AJ155</f>
        <v>0</v>
      </c>
      <c r="AH245">
        <f>'Entrada datos'!AK155</f>
        <v>0</v>
      </c>
      <c r="AI245">
        <f>'Entrada datos'!AL155</f>
        <v>0</v>
      </c>
      <c r="AJ245">
        <f>'Entrada datos'!AM155</f>
        <v>0</v>
      </c>
      <c r="AK245" s="17">
        <f t="shared" si="55"/>
        <v>0</v>
      </c>
      <c r="AL245">
        <f>'Entrada datos'!AN155</f>
        <v>0</v>
      </c>
      <c r="AM245">
        <f>'Entrada datos'!AO155</f>
        <v>0</v>
      </c>
      <c r="AN245">
        <f>'Entrada datos'!AP155</f>
        <v>0</v>
      </c>
      <c r="AO245">
        <f>'Entrada datos'!AQ155</f>
        <v>0</v>
      </c>
      <c r="AP245">
        <f>'Entrada datos'!AR155</f>
        <v>0</v>
      </c>
      <c r="AQ245">
        <f>'Entrada datos'!AS155</f>
        <v>0</v>
      </c>
      <c r="AR245" s="17">
        <f t="shared" si="56"/>
        <v>0</v>
      </c>
      <c r="AS245" s="23">
        <f t="shared" si="57"/>
        <v>0</v>
      </c>
      <c r="AT245">
        <f t="shared" si="58"/>
        <v>1900</v>
      </c>
      <c r="AU245" s="40" t="str">
        <f t="shared" si="59"/>
        <v>enero</v>
      </c>
      <c r="AV245">
        <f t="shared" si="60"/>
        <v>0</v>
      </c>
      <c r="AW245">
        <f t="shared" si="61"/>
        <v>0</v>
      </c>
      <c r="AX245" s="24">
        <f t="shared" si="62"/>
        <v>0</v>
      </c>
      <c r="AY245" s="24">
        <f t="shared" si="63"/>
        <v>0</v>
      </c>
      <c r="AZ245" s="24">
        <f t="shared" si="64"/>
        <v>0</v>
      </c>
      <c r="BA245">
        <f t="shared" si="65"/>
        <v>0</v>
      </c>
      <c r="BB245">
        <f t="shared" si="66"/>
        <v>0</v>
      </c>
      <c r="BC245" s="24">
        <f t="shared" si="67"/>
        <v>0</v>
      </c>
      <c r="BD245">
        <f t="shared" si="68"/>
        <v>0</v>
      </c>
    </row>
    <row r="246" spans="1:56" x14ac:dyDescent="0.3">
      <c r="A246">
        <f>'Entrada datos'!A156</f>
        <v>0</v>
      </c>
      <c r="B246">
        <f>'Entrada datos'!B156</f>
        <v>0</v>
      </c>
      <c r="C246">
        <f>'Entrada datos'!C156</f>
        <v>0</v>
      </c>
      <c r="D246">
        <f>'Entrada datos'!D156</f>
        <v>0</v>
      </c>
      <c r="E246" s="18">
        <f>'Entrada datos'!G156</f>
        <v>0</v>
      </c>
      <c r="F246" s="18">
        <f>'Entrada datos'!H156</f>
        <v>0</v>
      </c>
      <c r="G246">
        <f>'Entrada datos'!J156</f>
        <v>0</v>
      </c>
      <c r="H246">
        <f>'Entrada datos'!L156</f>
        <v>0</v>
      </c>
      <c r="I246">
        <f>'Entrada datos'!O156</f>
        <v>0</v>
      </c>
      <c r="J246">
        <f>'Entrada datos'!P156</f>
        <v>0</v>
      </c>
      <c r="K246">
        <f>'Entrada datos'!Q156</f>
        <v>0</v>
      </c>
      <c r="L246">
        <f>'Entrada datos'!R156</f>
        <v>0</v>
      </c>
      <c r="M246">
        <f>'Entrada datos'!S156</f>
        <v>0</v>
      </c>
      <c r="N246">
        <f>'Entrada datos'!T156</f>
        <v>0</v>
      </c>
      <c r="O246">
        <f>'Entrada datos'!U156</f>
        <v>0</v>
      </c>
      <c r="P246" s="17">
        <f t="shared" si="52"/>
        <v>0</v>
      </c>
      <c r="Q246">
        <f>'Entrada datos'!V156</f>
        <v>0</v>
      </c>
      <c r="R246">
        <f>'Entrada datos'!W156</f>
        <v>0</v>
      </c>
      <c r="S246">
        <f>'Entrada datos'!X156</f>
        <v>0</v>
      </c>
      <c r="T246">
        <f>'Entrada datos'!Y156</f>
        <v>0</v>
      </c>
      <c r="U246">
        <f>'Entrada datos'!Z156</f>
        <v>0</v>
      </c>
      <c r="V246">
        <f>'Entrada datos'!AA156</f>
        <v>0</v>
      </c>
      <c r="W246" s="17">
        <f t="shared" si="53"/>
        <v>0</v>
      </c>
      <c r="X246">
        <f>'Entrada datos'!AB156</f>
        <v>0</v>
      </c>
      <c r="Y246">
        <f>'Entrada datos'!AC156</f>
        <v>0</v>
      </c>
      <c r="Z246">
        <f>'Entrada datos'!AD156</f>
        <v>0</v>
      </c>
      <c r="AA246">
        <f>'Entrada datos'!AE156</f>
        <v>0</v>
      </c>
      <c r="AB246">
        <f>'Entrada datos'!AF156</f>
        <v>0</v>
      </c>
      <c r="AC246">
        <f>'Entrada datos'!AG156</f>
        <v>0</v>
      </c>
      <c r="AD246" s="17">
        <f t="shared" si="54"/>
        <v>0</v>
      </c>
      <c r="AE246">
        <f>'Entrada datos'!AH156</f>
        <v>0</v>
      </c>
      <c r="AF246">
        <f>'Entrada datos'!AI156</f>
        <v>0</v>
      </c>
      <c r="AG246">
        <f>'Entrada datos'!AJ156</f>
        <v>0</v>
      </c>
      <c r="AH246">
        <f>'Entrada datos'!AK156</f>
        <v>0</v>
      </c>
      <c r="AI246">
        <f>'Entrada datos'!AL156</f>
        <v>0</v>
      </c>
      <c r="AJ246">
        <f>'Entrada datos'!AM156</f>
        <v>0</v>
      </c>
      <c r="AK246" s="17">
        <f t="shared" si="55"/>
        <v>0</v>
      </c>
      <c r="AL246">
        <f>'Entrada datos'!AN156</f>
        <v>0</v>
      </c>
      <c r="AM246">
        <f>'Entrada datos'!AO156</f>
        <v>0</v>
      </c>
      <c r="AN246">
        <f>'Entrada datos'!AP156</f>
        <v>0</v>
      </c>
      <c r="AO246">
        <f>'Entrada datos'!AQ156</f>
        <v>0</v>
      </c>
      <c r="AP246">
        <f>'Entrada datos'!AR156</f>
        <v>0</v>
      </c>
      <c r="AQ246">
        <f>'Entrada datos'!AS156</f>
        <v>0</v>
      </c>
      <c r="AR246" s="17">
        <f t="shared" si="56"/>
        <v>0</v>
      </c>
      <c r="AS246" s="23">
        <f t="shared" si="57"/>
        <v>0</v>
      </c>
      <c r="AT246">
        <f t="shared" si="58"/>
        <v>1900</v>
      </c>
      <c r="AU246" s="40" t="str">
        <f t="shared" si="59"/>
        <v>enero</v>
      </c>
      <c r="AV246">
        <f t="shared" si="60"/>
        <v>0</v>
      </c>
      <c r="AW246">
        <f t="shared" si="61"/>
        <v>0</v>
      </c>
      <c r="AX246" s="24">
        <f t="shared" si="62"/>
        <v>0</v>
      </c>
      <c r="AY246" s="24">
        <f t="shared" si="63"/>
        <v>0</v>
      </c>
      <c r="AZ246" s="24">
        <f t="shared" si="64"/>
        <v>0</v>
      </c>
      <c r="BA246">
        <f t="shared" si="65"/>
        <v>0</v>
      </c>
      <c r="BB246">
        <f t="shared" si="66"/>
        <v>0</v>
      </c>
      <c r="BC246" s="24">
        <f t="shared" si="67"/>
        <v>0</v>
      </c>
      <c r="BD246">
        <f t="shared" si="68"/>
        <v>0</v>
      </c>
    </row>
    <row r="247" spans="1:56" x14ac:dyDescent="0.3">
      <c r="A247">
        <f>'Entrada datos'!A157</f>
        <v>0</v>
      </c>
      <c r="B247">
        <f>'Entrada datos'!B157</f>
        <v>0</v>
      </c>
      <c r="C247">
        <f>'Entrada datos'!C157</f>
        <v>0</v>
      </c>
      <c r="D247">
        <f>'Entrada datos'!D157</f>
        <v>0</v>
      </c>
      <c r="E247" s="18">
        <f>'Entrada datos'!G157</f>
        <v>0</v>
      </c>
      <c r="F247" s="18">
        <f>'Entrada datos'!H157</f>
        <v>0</v>
      </c>
      <c r="G247">
        <f>'Entrada datos'!J157</f>
        <v>0</v>
      </c>
      <c r="H247">
        <f>'Entrada datos'!L157</f>
        <v>0</v>
      </c>
      <c r="I247">
        <f>'Entrada datos'!O157</f>
        <v>0</v>
      </c>
      <c r="J247">
        <f>'Entrada datos'!P157</f>
        <v>0</v>
      </c>
      <c r="K247">
        <f>'Entrada datos'!Q157</f>
        <v>0</v>
      </c>
      <c r="L247">
        <f>'Entrada datos'!R157</f>
        <v>0</v>
      </c>
      <c r="M247">
        <f>'Entrada datos'!S157</f>
        <v>0</v>
      </c>
      <c r="N247">
        <f>'Entrada datos'!T157</f>
        <v>0</v>
      </c>
      <c r="O247">
        <f>'Entrada datos'!U157</f>
        <v>0</v>
      </c>
      <c r="P247" s="17">
        <f t="shared" si="52"/>
        <v>0</v>
      </c>
      <c r="Q247">
        <f>'Entrada datos'!V157</f>
        <v>0</v>
      </c>
      <c r="R247">
        <f>'Entrada datos'!W157</f>
        <v>0</v>
      </c>
      <c r="S247">
        <f>'Entrada datos'!X157</f>
        <v>0</v>
      </c>
      <c r="T247">
        <f>'Entrada datos'!Y157</f>
        <v>0</v>
      </c>
      <c r="U247">
        <f>'Entrada datos'!Z157</f>
        <v>0</v>
      </c>
      <c r="V247">
        <f>'Entrada datos'!AA157</f>
        <v>0</v>
      </c>
      <c r="W247" s="17">
        <f t="shared" si="53"/>
        <v>0</v>
      </c>
      <c r="X247">
        <f>'Entrada datos'!AB157</f>
        <v>0</v>
      </c>
      <c r="Y247">
        <f>'Entrada datos'!AC157</f>
        <v>0</v>
      </c>
      <c r="Z247">
        <f>'Entrada datos'!AD157</f>
        <v>0</v>
      </c>
      <c r="AA247">
        <f>'Entrada datos'!AE157</f>
        <v>0</v>
      </c>
      <c r="AB247">
        <f>'Entrada datos'!AF157</f>
        <v>0</v>
      </c>
      <c r="AC247">
        <f>'Entrada datos'!AG157</f>
        <v>0</v>
      </c>
      <c r="AD247" s="17">
        <f t="shared" si="54"/>
        <v>0</v>
      </c>
      <c r="AE247">
        <f>'Entrada datos'!AH157</f>
        <v>0</v>
      </c>
      <c r="AF247">
        <f>'Entrada datos'!AI157</f>
        <v>0</v>
      </c>
      <c r="AG247">
        <f>'Entrada datos'!AJ157</f>
        <v>0</v>
      </c>
      <c r="AH247">
        <f>'Entrada datos'!AK157</f>
        <v>0</v>
      </c>
      <c r="AI247">
        <f>'Entrada datos'!AL157</f>
        <v>0</v>
      </c>
      <c r="AJ247">
        <f>'Entrada datos'!AM157</f>
        <v>0</v>
      </c>
      <c r="AK247" s="17">
        <f t="shared" si="55"/>
        <v>0</v>
      </c>
      <c r="AL247">
        <f>'Entrada datos'!AN157</f>
        <v>0</v>
      </c>
      <c r="AM247">
        <f>'Entrada datos'!AO157</f>
        <v>0</v>
      </c>
      <c r="AN247">
        <f>'Entrada datos'!AP157</f>
        <v>0</v>
      </c>
      <c r="AO247">
        <f>'Entrada datos'!AQ157</f>
        <v>0</v>
      </c>
      <c r="AP247">
        <f>'Entrada datos'!AR157</f>
        <v>0</v>
      </c>
      <c r="AQ247">
        <f>'Entrada datos'!AS157</f>
        <v>0</v>
      </c>
      <c r="AR247" s="17">
        <f t="shared" si="56"/>
        <v>0</v>
      </c>
      <c r="AS247" s="23">
        <f t="shared" si="57"/>
        <v>0</v>
      </c>
      <c r="AT247">
        <f t="shared" si="58"/>
        <v>1900</v>
      </c>
      <c r="AU247" s="40" t="str">
        <f t="shared" si="59"/>
        <v>enero</v>
      </c>
      <c r="AV247">
        <f t="shared" si="60"/>
        <v>0</v>
      </c>
      <c r="AW247">
        <f t="shared" si="61"/>
        <v>0</v>
      </c>
      <c r="AX247" s="24">
        <f t="shared" si="62"/>
        <v>0</v>
      </c>
      <c r="AY247" s="24">
        <f t="shared" si="63"/>
        <v>0</v>
      </c>
      <c r="AZ247" s="24">
        <f t="shared" si="64"/>
        <v>0</v>
      </c>
      <c r="BA247">
        <f t="shared" si="65"/>
        <v>0</v>
      </c>
      <c r="BB247">
        <f t="shared" si="66"/>
        <v>0</v>
      </c>
      <c r="BC247" s="24">
        <f t="shared" si="67"/>
        <v>0</v>
      </c>
      <c r="BD247">
        <f t="shared" si="68"/>
        <v>0</v>
      </c>
    </row>
    <row r="248" spans="1:56" x14ac:dyDescent="0.3">
      <c r="A248">
        <f>'Entrada datos'!A158</f>
        <v>0</v>
      </c>
      <c r="B248">
        <f>'Entrada datos'!B158</f>
        <v>0</v>
      </c>
      <c r="C248">
        <f>'Entrada datos'!C158</f>
        <v>0</v>
      </c>
      <c r="D248">
        <f>'Entrada datos'!D158</f>
        <v>0</v>
      </c>
      <c r="E248" s="18">
        <f>'Entrada datos'!G158</f>
        <v>0</v>
      </c>
      <c r="F248" s="18">
        <f>'Entrada datos'!H158</f>
        <v>0</v>
      </c>
      <c r="G248">
        <f>'Entrada datos'!J158</f>
        <v>0</v>
      </c>
      <c r="H248">
        <f>'Entrada datos'!L158</f>
        <v>0</v>
      </c>
      <c r="I248">
        <f>'Entrada datos'!O158</f>
        <v>0</v>
      </c>
      <c r="J248">
        <f>'Entrada datos'!P158</f>
        <v>0</v>
      </c>
      <c r="K248">
        <f>'Entrada datos'!Q158</f>
        <v>0</v>
      </c>
      <c r="L248">
        <f>'Entrada datos'!R158</f>
        <v>0</v>
      </c>
      <c r="M248">
        <f>'Entrada datos'!S158</f>
        <v>0</v>
      </c>
      <c r="N248">
        <f>'Entrada datos'!T158</f>
        <v>0</v>
      </c>
      <c r="O248">
        <f>'Entrada datos'!U158</f>
        <v>0</v>
      </c>
      <c r="P248" s="17">
        <f t="shared" si="52"/>
        <v>0</v>
      </c>
      <c r="Q248">
        <f>'Entrada datos'!V158</f>
        <v>0</v>
      </c>
      <c r="R248">
        <f>'Entrada datos'!W158</f>
        <v>0</v>
      </c>
      <c r="S248">
        <f>'Entrada datos'!X158</f>
        <v>0</v>
      </c>
      <c r="T248">
        <f>'Entrada datos'!Y158</f>
        <v>0</v>
      </c>
      <c r="U248">
        <f>'Entrada datos'!Z158</f>
        <v>0</v>
      </c>
      <c r="V248">
        <f>'Entrada datos'!AA158</f>
        <v>0</v>
      </c>
      <c r="W248" s="17">
        <f t="shared" si="53"/>
        <v>0</v>
      </c>
      <c r="X248">
        <f>'Entrada datos'!AB158</f>
        <v>0</v>
      </c>
      <c r="Y248">
        <f>'Entrada datos'!AC158</f>
        <v>0</v>
      </c>
      <c r="Z248">
        <f>'Entrada datos'!AD158</f>
        <v>0</v>
      </c>
      <c r="AA248">
        <f>'Entrada datos'!AE158</f>
        <v>0</v>
      </c>
      <c r="AB248">
        <f>'Entrada datos'!AF158</f>
        <v>0</v>
      </c>
      <c r="AC248">
        <f>'Entrada datos'!AG158</f>
        <v>0</v>
      </c>
      <c r="AD248" s="17">
        <f t="shared" si="54"/>
        <v>0</v>
      </c>
      <c r="AE248">
        <f>'Entrada datos'!AH158</f>
        <v>0</v>
      </c>
      <c r="AF248">
        <f>'Entrada datos'!AI158</f>
        <v>0</v>
      </c>
      <c r="AG248">
        <f>'Entrada datos'!AJ158</f>
        <v>0</v>
      </c>
      <c r="AH248">
        <f>'Entrada datos'!AK158</f>
        <v>0</v>
      </c>
      <c r="AI248">
        <f>'Entrada datos'!AL158</f>
        <v>0</v>
      </c>
      <c r="AJ248">
        <f>'Entrada datos'!AM158</f>
        <v>0</v>
      </c>
      <c r="AK248" s="17">
        <f t="shared" si="55"/>
        <v>0</v>
      </c>
      <c r="AL248">
        <f>'Entrada datos'!AN158</f>
        <v>0</v>
      </c>
      <c r="AM248">
        <f>'Entrada datos'!AO158</f>
        <v>0</v>
      </c>
      <c r="AN248">
        <f>'Entrada datos'!AP158</f>
        <v>0</v>
      </c>
      <c r="AO248">
        <f>'Entrada datos'!AQ158</f>
        <v>0</v>
      </c>
      <c r="AP248">
        <f>'Entrada datos'!AR158</f>
        <v>0</v>
      </c>
      <c r="AQ248">
        <f>'Entrada datos'!AS158</f>
        <v>0</v>
      </c>
      <c r="AR248" s="17">
        <f t="shared" si="56"/>
        <v>0</v>
      </c>
      <c r="AS248" s="23">
        <f t="shared" si="57"/>
        <v>0</v>
      </c>
      <c r="AT248">
        <f t="shared" si="58"/>
        <v>1900</v>
      </c>
      <c r="AU248" s="40" t="str">
        <f t="shared" si="59"/>
        <v>enero</v>
      </c>
      <c r="AV248">
        <f t="shared" si="60"/>
        <v>0</v>
      </c>
      <c r="AW248">
        <f t="shared" si="61"/>
        <v>0</v>
      </c>
      <c r="AX248" s="24">
        <f t="shared" si="62"/>
        <v>0</v>
      </c>
      <c r="AY248" s="24">
        <f t="shared" si="63"/>
        <v>0</v>
      </c>
      <c r="AZ248" s="24">
        <f t="shared" si="64"/>
        <v>0</v>
      </c>
      <c r="BA248">
        <f t="shared" si="65"/>
        <v>0</v>
      </c>
      <c r="BB248">
        <f t="shared" si="66"/>
        <v>0</v>
      </c>
      <c r="BC248" s="24">
        <f t="shared" si="67"/>
        <v>0</v>
      </c>
      <c r="BD248">
        <f t="shared" si="68"/>
        <v>0</v>
      </c>
    </row>
    <row r="249" spans="1:56" x14ac:dyDescent="0.3">
      <c r="A249">
        <f>'Entrada datos'!A159</f>
        <v>0</v>
      </c>
      <c r="B249">
        <f>'Entrada datos'!B159</f>
        <v>0</v>
      </c>
      <c r="C249">
        <f>'Entrada datos'!C159</f>
        <v>0</v>
      </c>
      <c r="D249">
        <f>'Entrada datos'!D159</f>
        <v>0</v>
      </c>
      <c r="E249" s="18">
        <f>'Entrada datos'!G159</f>
        <v>0</v>
      </c>
      <c r="F249" s="18">
        <f>'Entrada datos'!H159</f>
        <v>0</v>
      </c>
      <c r="G249">
        <f>'Entrada datos'!J159</f>
        <v>0</v>
      </c>
      <c r="H249">
        <f>'Entrada datos'!L159</f>
        <v>0</v>
      </c>
      <c r="I249">
        <f>'Entrada datos'!O159</f>
        <v>0</v>
      </c>
      <c r="J249">
        <f>'Entrada datos'!P159</f>
        <v>0</v>
      </c>
      <c r="K249">
        <f>'Entrada datos'!Q159</f>
        <v>0</v>
      </c>
      <c r="L249">
        <f>'Entrada datos'!R159</f>
        <v>0</v>
      </c>
      <c r="M249">
        <f>'Entrada datos'!S159</f>
        <v>0</v>
      </c>
      <c r="N249">
        <f>'Entrada datos'!T159</f>
        <v>0</v>
      </c>
      <c r="O249">
        <f>'Entrada datos'!U159</f>
        <v>0</v>
      </c>
      <c r="P249" s="17">
        <f t="shared" si="52"/>
        <v>0</v>
      </c>
      <c r="Q249">
        <f>'Entrada datos'!V159</f>
        <v>0</v>
      </c>
      <c r="R249">
        <f>'Entrada datos'!W159</f>
        <v>0</v>
      </c>
      <c r="S249">
        <f>'Entrada datos'!X159</f>
        <v>0</v>
      </c>
      <c r="T249">
        <f>'Entrada datos'!Y159</f>
        <v>0</v>
      </c>
      <c r="U249">
        <f>'Entrada datos'!Z159</f>
        <v>0</v>
      </c>
      <c r="V249">
        <f>'Entrada datos'!AA159</f>
        <v>0</v>
      </c>
      <c r="W249" s="17">
        <f t="shared" si="53"/>
        <v>0</v>
      </c>
      <c r="X249">
        <f>'Entrada datos'!AB159</f>
        <v>0</v>
      </c>
      <c r="Y249">
        <f>'Entrada datos'!AC159</f>
        <v>0</v>
      </c>
      <c r="Z249">
        <f>'Entrada datos'!AD159</f>
        <v>0</v>
      </c>
      <c r="AA249">
        <f>'Entrada datos'!AE159</f>
        <v>0</v>
      </c>
      <c r="AB249">
        <f>'Entrada datos'!AF159</f>
        <v>0</v>
      </c>
      <c r="AC249">
        <f>'Entrada datos'!AG159</f>
        <v>0</v>
      </c>
      <c r="AD249" s="17">
        <f t="shared" si="54"/>
        <v>0</v>
      </c>
      <c r="AE249">
        <f>'Entrada datos'!AH159</f>
        <v>0</v>
      </c>
      <c r="AF249">
        <f>'Entrada datos'!AI159</f>
        <v>0</v>
      </c>
      <c r="AG249">
        <f>'Entrada datos'!AJ159</f>
        <v>0</v>
      </c>
      <c r="AH249">
        <f>'Entrada datos'!AK159</f>
        <v>0</v>
      </c>
      <c r="AI249">
        <f>'Entrada datos'!AL159</f>
        <v>0</v>
      </c>
      <c r="AJ249">
        <f>'Entrada datos'!AM159</f>
        <v>0</v>
      </c>
      <c r="AK249" s="17">
        <f t="shared" si="55"/>
        <v>0</v>
      </c>
      <c r="AL249">
        <f>'Entrada datos'!AN159</f>
        <v>0</v>
      </c>
      <c r="AM249">
        <f>'Entrada datos'!AO159</f>
        <v>0</v>
      </c>
      <c r="AN249">
        <f>'Entrada datos'!AP159</f>
        <v>0</v>
      </c>
      <c r="AO249">
        <f>'Entrada datos'!AQ159</f>
        <v>0</v>
      </c>
      <c r="AP249">
        <f>'Entrada datos'!AR159</f>
        <v>0</v>
      </c>
      <c r="AQ249">
        <f>'Entrada datos'!AS159</f>
        <v>0</v>
      </c>
      <c r="AR249" s="17">
        <f t="shared" si="56"/>
        <v>0</v>
      </c>
      <c r="AS249" s="23">
        <f t="shared" si="57"/>
        <v>0</v>
      </c>
      <c r="AT249">
        <f t="shared" si="58"/>
        <v>1900</v>
      </c>
      <c r="AU249" s="40" t="str">
        <f t="shared" si="59"/>
        <v>enero</v>
      </c>
      <c r="AV249">
        <f t="shared" si="60"/>
        <v>0</v>
      </c>
      <c r="AW249">
        <f t="shared" si="61"/>
        <v>0</v>
      </c>
      <c r="AX249" s="24">
        <f t="shared" si="62"/>
        <v>0</v>
      </c>
      <c r="AY249" s="24">
        <f t="shared" si="63"/>
        <v>0</v>
      </c>
      <c r="AZ249" s="24">
        <f t="shared" si="64"/>
        <v>0</v>
      </c>
      <c r="BA249">
        <f t="shared" si="65"/>
        <v>0</v>
      </c>
      <c r="BB249">
        <f t="shared" si="66"/>
        <v>0</v>
      </c>
      <c r="BC249" s="24">
        <f t="shared" si="67"/>
        <v>0</v>
      </c>
      <c r="BD249">
        <f t="shared" si="68"/>
        <v>0</v>
      </c>
    </row>
    <row r="250" spans="1:56" x14ac:dyDescent="0.3">
      <c r="A250">
        <f>'Entrada datos'!A160</f>
        <v>0</v>
      </c>
      <c r="B250">
        <f>'Entrada datos'!B160</f>
        <v>0</v>
      </c>
      <c r="C250">
        <f>'Entrada datos'!C160</f>
        <v>0</v>
      </c>
      <c r="D250">
        <f>'Entrada datos'!D160</f>
        <v>0</v>
      </c>
      <c r="E250" s="18">
        <f>'Entrada datos'!G160</f>
        <v>0</v>
      </c>
      <c r="F250" s="18">
        <f>'Entrada datos'!H160</f>
        <v>0</v>
      </c>
      <c r="G250">
        <f>'Entrada datos'!J160</f>
        <v>0</v>
      </c>
      <c r="H250">
        <f>'Entrada datos'!L160</f>
        <v>0</v>
      </c>
      <c r="I250">
        <f>'Entrada datos'!O160</f>
        <v>0</v>
      </c>
      <c r="J250">
        <f>'Entrada datos'!P160</f>
        <v>0</v>
      </c>
      <c r="K250">
        <f>'Entrada datos'!Q160</f>
        <v>0</v>
      </c>
      <c r="L250">
        <f>'Entrada datos'!R160</f>
        <v>0</v>
      </c>
      <c r="M250">
        <f>'Entrada datos'!S160</f>
        <v>0</v>
      </c>
      <c r="N250">
        <f>'Entrada datos'!T160</f>
        <v>0</v>
      </c>
      <c r="O250">
        <f>'Entrada datos'!U160</f>
        <v>0</v>
      </c>
      <c r="P250" s="17">
        <f t="shared" si="52"/>
        <v>0</v>
      </c>
      <c r="Q250">
        <f>'Entrada datos'!V160</f>
        <v>0</v>
      </c>
      <c r="R250">
        <f>'Entrada datos'!W160</f>
        <v>0</v>
      </c>
      <c r="S250">
        <f>'Entrada datos'!X160</f>
        <v>0</v>
      </c>
      <c r="T250">
        <f>'Entrada datos'!Y160</f>
        <v>0</v>
      </c>
      <c r="U250">
        <f>'Entrada datos'!Z160</f>
        <v>0</v>
      </c>
      <c r="V250">
        <f>'Entrada datos'!AA160</f>
        <v>0</v>
      </c>
      <c r="W250" s="17">
        <f t="shared" si="53"/>
        <v>0</v>
      </c>
      <c r="X250">
        <f>'Entrada datos'!AB160</f>
        <v>0</v>
      </c>
      <c r="Y250">
        <f>'Entrada datos'!AC160</f>
        <v>0</v>
      </c>
      <c r="Z250">
        <f>'Entrada datos'!AD160</f>
        <v>0</v>
      </c>
      <c r="AA250">
        <f>'Entrada datos'!AE160</f>
        <v>0</v>
      </c>
      <c r="AB250">
        <f>'Entrada datos'!AF160</f>
        <v>0</v>
      </c>
      <c r="AC250">
        <f>'Entrada datos'!AG160</f>
        <v>0</v>
      </c>
      <c r="AD250" s="17">
        <f t="shared" si="54"/>
        <v>0</v>
      </c>
      <c r="AE250">
        <f>'Entrada datos'!AH160</f>
        <v>0</v>
      </c>
      <c r="AF250">
        <f>'Entrada datos'!AI160</f>
        <v>0</v>
      </c>
      <c r="AG250">
        <f>'Entrada datos'!AJ160</f>
        <v>0</v>
      </c>
      <c r="AH250">
        <f>'Entrada datos'!AK160</f>
        <v>0</v>
      </c>
      <c r="AI250">
        <f>'Entrada datos'!AL160</f>
        <v>0</v>
      </c>
      <c r="AJ250">
        <f>'Entrada datos'!AM160</f>
        <v>0</v>
      </c>
      <c r="AK250" s="17">
        <f t="shared" si="55"/>
        <v>0</v>
      </c>
      <c r="AL250">
        <f>'Entrada datos'!AN160</f>
        <v>0</v>
      </c>
      <c r="AM250">
        <f>'Entrada datos'!AO160</f>
        <v>0</v>
      </c>
      <c r="AN250">
        <f>'Entrada datos'!AP160</f>
        <v>0</v>
      </c>
      <c r="AO250">
        <f>'Entrada datos'!AQ160</f>
        <v>0</v>
      </c>
      <c r="AP250">
        <f>'Entrada datos'!AR160</f>
        <v>0</v>
      </c>
      <c r="AQ250">
        <f>'Entrada datos'!AS160</f>
        <v>0</v>
      </c>
      <c r="AR250" s="17">
        <f t="shared" si="56"/>
        <v>0</v>
      </c>
      <c r="AS250" s="23">
        <f t="shared" si="57"/>
        <v>0</v>
      </c>
      <c r="AT250">
        <f t="shared" si="58"/>
        <v>1900</v>
      </c>
      <c r="AU250" s="40" t="str">
        <f t="shared" si="59"/>
        <v>enero</v>
      </c>
      <c r="AV250">
        <f t="shared" si="60"/>
        <v>0</v>
      </c>
      <c r="AW250">
        <f t="shared" si="61"/>
        <v>0</v>
      </c>
      <c r="AX250" s="24">
        <f t="shared" si="62"/>
        <v>0</v>
      </c>
      <c r="AY250" s="24">
        <f t="shared" si="63"/>
        <v>0</v>
      </c>
      <c r="AZ250" s="24">
        <f t="shared" si="64"/>
        <v>0</v>
      </c>
      <c r="BA250">
        <f t="shared" si="65"/>
        <v>0</v>
      </c>
      <c r="BB250">
        <f t="shared" si="66"/>
        <v>0</v>
      </c>
      <c r="BC250" s="24">
        <f t="shared" si="67"/>
        <v>0</v>
      </c>
      <c r="BD250">
        <f t="shared" si="68"/>
        <v>0</v>
      </c>
    </row>
    <row r="251" spans="1:56" x14ac:dyDescent="0.3">
      <c r="A251">
        <f>'Entrada datos'!A161</f>
        <v>0</v>
      </c>
      <c r="B251">
        <f>'Entrada datos'!B161</f>
        <v>0</v>
      </c>
      <c r="C251">
        <f>'Entrada datos'!C161</f>
        <v>0</v>
      </c>
      <c r="D251">
        <f>'Entrada datos'!D161</f>
        <v>0</v>
      </c>
      <c r="E251" s="18">
        <f>'Entrada datos'!G161</f>
        <v>0</v>
      </c>
      <c r="F251" s="18">
        <f>'Entrada datos'!H161</f>
        <v>0</v>
      </c>
      <c r="G251">
        <f>'Entrada datos'!J161</f>
        <v>0</v>
      </c>
      <c r="H251">
        <f>'Entrada datos'!L161</f>
        <v>0</v>
      </c>
      <c r="I251">
        <f>'Entrada datos'!O161</f>
        <v>0</v>
      </c>
      <c r="J251">
        <f>'Entrada datos'!P161</f>
        <v>0</v>
      </c>
      <c r="K251">
        <f>'Entrada datos'!Q161</f>
        <v>0</v>
      </c>
      <c r="L251">
        <f>'Entrada datos'!R161</f>
        <v>0</v>
      </c>
      <c r="M251">
        <f>'Entrada datos'!S161</f>
        <v>0</v>
      </c>
      <c r="N251">
        <f>'Entrada datos'!T161</f>
        <v>0</v>
      </c>
      <c r="O251">
        <f>'Entrada datos'!U161</f>
        <v>0</v>
      </c>
      <c r="P251" s="17">
        <f t="shared" si="52"/>
        <v>0</v>
      </c>
      <c r="Q251">
        <f>'Entrada datos'!V161</f>
        <v>0</v>
      </c>
      <c r="R251">
        <f>'Entrada datos'!W161</f>
        <v>0</v>
      </c>
      <c r="S251">
        <f>'Entrada datos'!X161</f>
        <v>0</v>
      </c>
      <c r="T251">
        <f>'Entrada datos'!Y161</f>
        <v>0</v>
      </c>
      <c r="U251">
        <f>'Entrada datos'!Z161</f>
        <v>0</v>
      </c>
      <c r="V251">
        <f>'Entrada datos'!AA161</f>
        <v>0</v>
      </c>
      <c r="W251" s="17">
        <f t="shared" si="53"/>
        <v>0</v>
      </c>
      <c r="X251">
        <f>'Entrada datos'!AB161</f>
        <v>0</v>
      </c>
      <c r="Y251">
        <f>'Entrada datos'!AC161</f>
        <v>0</v>
      </c>
      <c r="Z251">
        <f>'Entrada datos'!AD161</f>
        <v>0</v>
      </c>
      <c r="AA251">
        <f>'Entrada datos'!AE161</f>
        <v>0</v>
      </c>
      <c r="AB251">
        <f>'Entrada datos'!AF161</f>
        <v>0</v>
      </c>
      <c r="AC251">
        <f>'Entrada datos'!AG161</f>
        <v>0</v>
      </c>
      <c r="AD251" s="17">
        <f t="shared" si="54"/>
        <v>0</v>
      </c>
      <c r="AE251">
        <f>'Entrada datos'!AH161</f>
        <v>0</v>
      </c>
      <c r="AF251">
        <f>'Entrada datos'!AI161</f>
        <v>0</v>
      </c>
      <c r="AG251">
        <f>'Entrada datos'!AJ161</f>
        <v>0</v>
      </c>
      <c r="AH251">
        <f>'Entrada datos'!AK161</f>
        <v>0</v>
      </c>
      <c r="AI251">
        <f>'Entrada datos'!AL161</f>
        <v>0</v>
      </c>
      <c r="AJ251">
        <f>'Entrada datos'!AM161</f>
        <v>0</v>
      </c>
      <c r="AK251" s="17">
        <f t="shared" si="55"/>
        <v>0</v>
      </c>
      <c r="AL251">
        <f>'Entrada datos'!AN161</f>
        <v>0</v>
      </c>
      <c r="AM251">
        <f>'Entrada datos'!AO161</f>
        <v>0</v>
      </c>
      <c r="AN251">
        <f>'Entrada datos'!AP161</f>
        <v>0</v>
      </c>
      <c r="AO251">
        <f>'Entrada datos'!AQ161</f>
        <v>0</v>
      </c>
      <c r="AP251">
        <f>'Entrada datos'!AR161</f>
        <v>0</v>
      </c>
      <c r="AQ251">
        <f>'Entrada datos'!AS161</f>
        <v>0</v>
      </c>
      <c r="AR251" s="17">
        <f t="shared" si="56"/>
        <v>0</v>
      </c>
      <c r="AS251" s="23">
        <f t="shared" si="57"/>
        <v>0</v>
      </c>
      <c r="AT251">
        <f t="shared" si="58"/>
        <v>1900</v>
      </c>
      <c r="AU251" s="40" t="str">
        <f t="shared" si="59"/>
        <v>enero</v>
      </c>
      <c r="AV251">
        <f t="shared" si="60"/>
        <v>0</v>
      </c>
      <c r="AW251">
        <f t="shared" si="61"/>
        <v>0</v>
      </c>
      <c r="AX251" s="24">
        <f t="shared" si="62"/>
        <v>0</v>
      </c>
      <c r="AY251" s="24">
        <f t="shared" si="63"/>
        <v>0</v>
      </c>
      <c r="AZ251" s="24">
        <f t="shared" si="64"/>
        <v>0</v>
      </c>
      <c r="BA251">
        <f t="shared" si="65"/>
        <v>0</v>
      </c>
      <c r="BB251">
        <f t="shared" si="66"/>
        <v>0</v>
      </c>
      <c r="BC251" s="24">
        <f t="shared" si="67"/>
        <v>0</v>
      </c>
      <c r="BD251">
        <f t="shared" si="68"/>
        <v>0</v>
      </c>
    </row>
    <row r="252" spans="1:56" x14ac:dyDescent="0.3">
      <c r="A252">
        <f>'Entrada datos'!A162</f>
        <v>0</v>
      </c>
      <c r="B252">
        <f>'Entrada datos'!B162</f>
        <v>0</v>
      </c>
      <c r="C252">
        <f>'Entrada datos'!C162</f>
        <v>0</v>
      </c>
      <c r="D252">
        <f>'Entrada datos'!D162</f>
        <v>0</v>
      </c>
      <c r="E252" s="18">
        <f>'Entrada datos'!G162</f>
        <v>0</v>
      </c>
      <c r="F252" s="18">
        <f>'Entrada datos'!H162</f>
        <v>0</v>
      </c>
      <c r="G252">
        <f>'Entrada datos'!J162</f>
        <v>0</v>
      </c>
      <c r="H252">
        <f>'Entrada datos'!L162</f>
        <v>0</v>
      </c>
      <c r="I252">
        <f>'Entrada datos'!O162</f>
        <v>0</v>
      </c>
      <c r="J252">
        <f>'Entrada datos'!P162</f>
        <v>0</v>
      </c>
      <c r="K252">
        <f>'Entrada datos'!Q162</f>
        <v>0</v>
      </c>
      <c r="L252">
        <f>'Entrada datos'!R162</f>
        <v>0</v>
      </c>
      <c r="M252">
        <f>'Entrada datos'!S162</f>
        <v>0</v>
      </c>
      <c r="N252">
        <f>'Entrada datos'!T162</f>
        <v>0</v>
      </c>
      <c r="O252">
        <f>'Entrada datos'!U162</f>
        <v>0</v>
      </c>
      <c r="P252" s="17">
        <f t="shared" si="52"/>
        <v>0</v>
      </c>
      <c r="Q252">
        <f>'Entrada datos'!V162</f>
        <v>0</v>
      </c>
      <c r="R252">
        <f>'Entrada datos'!W162</f>
        <v>0</v>
      </c>
      <c r="S252">
        <f>'Entrada datos'!X162</f>
        <v>0</v>
      </c>
      <c r="T252">
        <f>'Entrada datos'!Y162</f>
        <v>0</v>
      </c>
      <c r="U252">
        <f>'Entrada datos'!Z162</f>
        <v>0</v>
      </c>
      <c r="V252">
        <f>'Entrada datos'!AA162</f>
        <v>0</v>
      </c>
      <c r="W252" s="17">
        <f t="shared" si="53"/>
        <v>0</v>
      </c>
      <c r="X252">
        <f>'Entrada datos'!AB162</f>
        <v>0</v>
      </c>
      <c r="Y252">
        <f>'Entrada datos'!AC162</f>
        <v>0</v>
      </c>
      <c r="Z252">
        <f>'Entrada datos'!AD162</f>
        <v>0</v>
      </c>
      <c r="AA252">
        <f>'Entrada datos'!AE162</f>
        <v>0</v>
      </c>
      <c r="AB252">
        <f>'Entrada datos'!AF162</f>
        <v>0</v>
      </c>
      <c r="AC252">
        <f>'Entrada datos'!AG162</f>
        <v>0</v>
      </c>
      <c r="AD252" s="17">
        <f t="shared" si="54"/>
        <v>0</v>
      </c>
      <c r="AE252">
        <f>'Entrada datos'!AH162</f>
        <v>0</v>
      </c>
      <c r="AF252">
        <f>'Entrada datos'!AI162</f>
        <v>0</v>
      </c>
      <c r="AG252">
        <f>'Entrada datos'!AJ162</f>
        <v>0</v>
      </c>
      <c r="AH252">
        <f>'Entrada datos'!AK162</f>
        <v>0</v>
      </c>
      <c r="AI252">
        <f>'Entrada datos'!AL162</f>
        <v>0</v>
      </c>
      <c r="AJ252">
        <f>'Entrada datos'!AM162</f>
        <v>0</v>
      </c>
      <c r="AK252" s="17">
        <f t="shared" si="55"/>
        <v>0</v>
      </c>
      <c r="AL252">
        <f>'Entrada datos'!AN162</f>
        <v>0</v>
      </c>
      <c r="AM252">
        <f>'Entrada datos'!AO162</f>
        <v>0</v>
      </c>
      <c r="AN252">
        <f>'Entrada datos'!AP162</f>
        <v>0</v>
      </c>
      <c r="AO252">
        <f>'Entrada datos'!AQ162</f>
        <v>0</v>
      </c>
      <c r="AP252">
        <f>'Entrada datos'!AR162</f>
        <v>0</v>
      </c>
      <c r="AQ252">
        <f>'Entrada datos'!AS162</f>
        <v>0</v>
      </c>
      <c r="AR252" s="17">
        <f t="shared" si="56"/>
        <v>0</v>
      </c>
      <c r="AS252" s="23">
        <f t="shared" si="57"/>
        <v>0</v>
      </c>
      <c r="AT252">
        <f t="shared" si="58"/>
        <v>1900</v>
      </c>
      <c r="AU252" s="40" t="str">
        <f t="shared" si="59"/>
        <v>enero</v>
      </c>
      <c r="AV252">
        <f t="shared" si="60"/>
        <v>0</v>
      </c>
      <c r="AW252">
        <f t="shared" si="61"/>
        <v>0</v>
      </c>
      <c r="AX252" s="24">
        <f t="shared" si="62"/>
        <v>0</v>
      </c>
      <c r="AY252" s="24">
        <f t="shared" si="63"/>
        <v>0</v>
      </c>
      <c r="AZ252" s="24">
        <f t="shared" si="64"/>
        <v>0</v>
      </c>
      <c r="BA252">
        <f t="shared" si="65"/>
        <v>0</v>
      </c>
      <c r="BB252">
        <f t="shared" si="66"/>
        <v>0</v>
      </c>
      <c r="BC252" s="24">
        <f t="shared" si="67"/>
        <v>0</v>
      </c>
      <c r="BD252">
        <f t="shared" si="68"/>
        <v>0</v>
      </c>
    </row>
    <row r="253" spans="1:56" x14ac:dyDescent="0.3">
      <c r="A253">
        <f>'Entrada datos'!A163</f>
        <v>0</v>
      </c>
      <c r="B253">
        <f>'Entrada datos'!B163</f>
        <v>0</v>
      </c>
      <c r="C253">
        <f>'Entrada datos'!C163</f>
        <v>0</v>
      </c>
      <c r="D253">
        <f>'Entrada datos'!D163</f>
        <v>0</v>
      </c>
      <c r="E253" s="18">
        <f>'Entrada datos'!G163</f>
        <v>0</v>
      </c>
      <c r="F253" s="18">
        <f>'Entrada datos'!H163</f>
        <v>0</v>
      </c>
      <c r="G253">
        <f>'Entrada datos'!J163</f>
        <v>0</v>
      </c>
      <c r="H253">
        <f>'Entrada datos'!L163</f>
        <v>0</v>
      </c>
      <c r="I253">
        <f>'Entrada datos'!O163</f>
        <v>0</v>
      </c>
      <c r="J253">
        <f>'Entrada datos'!P163</f>
        <v>0</v>
      </c>
      <c r="K253">
        <f>'Entrada datos'!Q163</f>
        <v>0</v>
      </c>
      <c r="L253">
        <f>'Entrada datos'!R163</f>
        <v>0</v>
      </c>
      <c r="M253">
        <f>'Entrada datos'!S163</f>
        <v>0</v>
      </c>
      <c r="N253">
        <f>'Entrada datos'!T163</f>
        <v>0</v>
      </c>
      <c r="O253">
        <f>'Entrada datos'!U163</f>
        <v>0</v>
      </c>
      <c r="P253" s="17">
        <f t="shared" si="52"/>
        <v>0</v>
      </c>
      <c r="Q253">
        <f>'Entrada datos'!V163</f>
        <v>0</v>
      </c>
      <c r="R253">
        <f>'Entrada datos'!W163</f>
        <v>0</v>
      </c>
      <c r="S253">
        <f>'Entrada datos'!X163</f>
        <v>0</v>
      </c>
      <c r="T253">
        <f>'Entrada datos'!Y163</f>
        <v>0</v>
      </c>
      <c r="U253">
        <f>'Entrada datos'!Z163</f>
        <v>0</v>
      </c>
      <c r="V253">
        <f>'Entrada datos'!AA163</f>
        <v>0</v>
      </c>
      <c r="W253" s="17">
        <f t="shared" si="53"/>
        <v>0</v>
      </c>
      <c r="X253">
        <f>'Entrada datos'!AB163</f>
        <v>0</v>
      </c>
      <c r="Y253">
        <f>'Entrada datos'!AC163</f>
        <v>0</v>
      </c>
      <c r="Z253">
        <f>'Entrada datos'!AD163</f>
        <v>0</v>
      </c>
      <c r="AA253">
        <f>'Entrada datos'!AE163</f>
        <v>0</v>
      </c>
      <c r="AB253">
        <f>'Entrada datos'!AF163</f>
        <v>0</v>
      </c>
      <c r="AC253">
        <f>'Entrada datos'!AG163</f>
        <v>0</v>
      </c>
      <c r="AD253" s="17">
        <f t="shared" si="54"/>
        <v>0</v>
      </c>
      <c r="AE253">
        <f>'Entrada datos'!AH163</f>
        <v>0</v>
      </c>
      <c r="AF253">
        <f>'Entrada datos'!AI163</f>
        <v>0</v>
      </c>
      <c r="AG253">
        <f>'Entrada datos'!AJ163</f>
        <v>0</v>
      </c>
      <c r="AH253">
        <f>'Entrada datos'!AK163</f>
        <v>0</v>
      </c>
      <c r="AI253">
        <f>'Entrada datos'!AL163</f>
        <v>0</v>
      </c>
      <c r="AJ253">
        <f>'Entrada datos'!AM163</f>
        <v>0</v>
      </c>
      <c r="AK253" s="17">
        <f t="shared" si="55"/>
        <v>0</v>
      </c>
      <c r="AL253">
        <f>'Entrada datos'!AN163</f>
        <v>0</v>
      </c>
      <c r="AM253">
        <f>'Entrada datos'!AO163</f>
        <v>0</v>
      </c>
      <c r="AN253">
        <f>'Entrada datos'!AP163</f>
        <v>0</v>
      </c>
      <c r="AO253">
        <f>'Entrada datos'!AQ163</f>
        <v>0</v>
      </c>
      <c r="AP253">
        <f>'Entrada datos'!AR163</f>
        <v>0</v>
      </c>
      <c r="AQ253">
        <f>'Entrada datos'!AS163</f>
        <v>0</v>
      </c>
      <c r="AR253" s="17">
        <f t="shared" si="56"/>
        <v>0</v>
      </c>
      <c r="AS253" s="23">
        <f t="shared" si="57"/>
        <v>0</v>
      </c>
      <c r="AT253">
        <f t="shared" si="58"/>
        <v>1900</v>
      </c>
      <c r="AU253" s="40" t="str">
        <f t="shared" si="59"/>
        <v>enero</v>
      </c>
      <c r="AV253">
        <f t="shared" si="60"/>
        <v>0</v>
      </c>
      <c r="AW253">
        <f t="shared" si="61"/>
        <v>0</v>
      </c>
      <c r="AX253" s="24">
        <f t="shared" si="62"/>
        <v>0</v>
      </c>
      <c r="AY253" s="24">
        <f t="shared" si="63"/>
        <v>0</v>
      </c>
      <c r="AZ253" s="24">
        <f t="shared" si="64"/>
        <v>0</v>
      </c>
      <c r="BA253">
        <f t="shared" si="65"/>
        <v>0</v>
      </c>
      <c r="BB253">
        <f t="shared" si="66"/>
        <v>0</v>
      </c>
      <c r="BC253" s="24">
        <f t="shared" si="67"/>
        <v>0</v>
      </c>
      <c r="BD253">
        <f t="shared" si="68"/>
        <v>0</v>
      </c>
    </row>
    <row r="254" spans="1:56" x14ac:dyDescent="0.3">
      <c r="A254">
        <f>'Entrada datos'!A164</f>
        <v>0</v>
      </c>
      <c r="B254">
        <f>'Entrada datos'!B164</f>
        <v>0</v>
      </c>
      <c r="C254">
        <f>'Entrada datos'!C164</f>
        <v>0</v>
      </c>
      <c r="D254">
        <f>'Entrada datos'!D164</f>
        <v>0</v>
      </c>
      <c r="E254" s="18">
        <f>'Entrada datos'!G164</f>
        <v>0</v>
      </c>
      <c r="F254" s="18">
        <f>'Entrada datos'!H164</f>
        <v>0</v>
      </c>
      <c r="G254">
        <f>'Entrada datos'!J164</f>
        <v>0</v>
      </c>
      <c r="H254">
        <f>'Entrada datos'!L164</f>
        <v>0</v>
      </c>
      <c r="I254">
        <f>'Entrada datos'!O164</f>
        <v>0</v>
      </c>
      <c r="J254">
        <f>'Entrada datos'!P164</f>
        <v>0</v>
      </c>
      <c r="K254">
        <f>'Entrada datos'!Q164</f>
        <v>0</v>
      </c>
      <c r="L254">
        <f>'Entrada datos'!R164</f>
        <v>0</v>
      </c>
      <c r="M254">
        <f>'Entrada datos'!S164</f>
        <v>0</v>
      </c>
      <c r="N254">
        <f>'Entrada datos'!T164</f>
        <v>0</v>
      </c>
      <c r="O254">
        <f>'Entrada datos'!U164</f>
        <v>0</v>
      </c>
      <c r="P254" s="17">
        <f t="shared" si="52"/>
        <v>0</v>
      </c>
      <c r="Q254">
        <f>'Entrada datos'!V164</f>
        <v>0</v>
      </c>
      <c r="R254">
        <f>'Entrada datos'!W164</f>
        <v>0</v>
      </c>
      <c r="S254">
        <f>'Entrada datos'!X164</f>
        <v>0</v>
      </c>
      <c r="T254">
        <f>'Entrada datos'!Y164</f>
        <v>0</v>
      </c>
      <c r="U254">
        <f>'Entrada datos'!Z164</f>
        <v>0</v>
      </c>
      <c r="V254">
        <f>'Entrada datos'!AA164</f>
        <v>0</v>
      </c>
      <c r="W254" s="17">
        <f t="shared" si="53"/>
        <v>0</v>
      </c>
      <c r="X254">
        <f>'Entrada datos'!AB164</f>
        <v>0</v>
      </c>
      <c r="Y254">
        <f>'Entrada datos'!AC164</f>
        <v>0</v>
      </c>
      <c r="Z254">
        <f>'Entrada datos'!AD164</f>
        <v>0</v>
      </c>
      <c r="AA254">
        <f>'Entrada datos'!AE164</f>
        <v>0</v>
      </c>
      <c r="AB254">
        <f>'Entrada datos'!AF164</f>
        <v>0</v>
      </c>
      <c r="AC254">
        <f>'Entrada datos'!AG164</f>
        <v>0</v>
      </c>
      <c r="AD254" s="17">
        <f t="shared" si="54"/>
        <v>0</v>
      </c>
      <c r="AE254">
        <f>'Entrada datos'!AH164</f>
        <v>0</v>
      </c>
      <c r="AF254">
        <f>'Entrada datos'!AI164</f>
        <v>0</v>
      </c>
      <c r="AG254">
        <f>'Entrada datos'!AJ164</f>
        <v>0</v>
      </c>
      <c r="AH254">
        <f>'Entrada datos'!AK164</f>
        <v>0</v>
      </c>
      <c r="AI254">
        <f>'Entrada datos'!AL164</f>
        <v>0</v>
      </c>
      <c r="AJ254">
        <f>'Entrada datos'!AM164</f>
        <v>0</v>
      </c>
      <c r="AK254" s="17">
        <f t="shared" si="55"/>
        <v>0</v>
      </c>
      <c r="AL254">
        <f>'Entrada datos'!AN164</f>
        <v>0</v>
      </c>
      <c r="AM254">
        <f>'Entrada datos'!AO164</f>
        <v>0</v>
      </c>
      <c r="AN254">
        <f>'Entrada datos'!AP164</f>
        <v>0</v>
      </c>
      <c r="AO254">
        <f>'Entrada datos'!AQ164</f>
        <v>0</v>
      </c>
      <c r="AP254">
        <f>'Entrada datos'!AR164</f>
        <v>0</v>
      </c>
      <c r="AQ254">
        <f>'Entrada datos'!AS164</f>
        <v>0</v>
      </c>
      <c r="AR254" s="17">
        <f t="shared" si="56"/>
        <v>0</v>
      </c>
      <c r="AS254" s="23">
        <f t="shared" si="57"/>
        <v>0</v>
      </c>
      <c r="AT254">
        <f t="shared" si="58"/>
        <v>1900</v>
      </c>
      <c r="AU254" s="40" t="str">
        <f t="shared" si="59"/>
        <v>enero</v>
      </c>
      <c r="AV254">
        <f t="shared" si="60"/>
        <v>0</v>
      </c>
      <c r="AW254">
        <f t="shared" si="61"/>
        <v>0</v>
      </c>
      <c r="AX254" s="24">
        <f t="shared" si="62"/>
        <v>0</v>
      </c>
      <c r="AY254" s="24">
        <f t="shared" si="63"/>
        <v>0</v>
      </c>
      <c r="AZ254" s="24">
        <f t="shared" si="64"/>
        <v>0</v>
      </c>
      <c r="BA254">
        <f t="shared" si="65"/>
        <v>0</v>
      </c>
      <c r="BB254">
        <f t="shared" si="66"/>
        <v>0</v>
      </c>
      <c r="BC254" s="24">
        <f t="shared" si="67"/>
        <v>0</v>
      </c>
      <c r="BD254">
        <f t="shared" si="68"/>
        <v>0</v>
      </c>
    </row>
    <row r="255" spans="1:56" x14ac:dyDescent="0.3">
      <c r="A255">
        <f>'Entrada datos'!A165</f>
        <v>0</v>
      </c>
      <c r="B255">
        <f>'Entrada datos'!B165</f>
        <v>0</v>
      </c>
      <c r="C255">
        <f>'Entrada datos'!C165</f>
        <v>0</v>
      </c>
      <c r="D255">
        <f>'Entrada datos'!D165</f>
        <v>0</v>
      </c>
      <c r="E255" s="18">
        <f>'Entrada datos'!G165</f>
        <v>0</v>
      </c>
      <c r="F255" s="18">
        <f>'Entrada datos'!H165</f>
        <v>0</v>
      </c>
      <c r="G255">
        <f>'Entrada datos'!J165</f>
        <v>0</v>
      </c>
      <c r="H255">
        <f>'Entrada datos'!L165</f>
        <v>0</v>
      </c>
      <c r="I255">
        <f>'Entrada datos'!O165</f>
        <v>0</v>
      </c>
      <c r="J255">
        <f>'Entrada datos'!P165</f>
        <v>0</v>
      </c>
      <c r="K255">
        <f>'Entrada datos'!Q165</f>
        <v>0</v>
      </c>
      <c r="L255">
        <f>'Entrada datos'!R165</f>
        <v>0</v>
      </c>
      <c r="M255">
        <f>'Entrada datos'!S165</f>
        <v>0</v>
      </c>
      <c r="N255">
        <f>'Entrada datos'!T165</f>
        <v>0</v>
      </c>
      <c r="O255">
        <f>'Entrada datos'!U165</f>
        <v>0</v>
      </c>
      <c r="P255" s="17">
        <f t="shared" si="52"/>
        <v>0</v>
      </c>
      <c r="Q255">
        <f>'Entrada datos'!V165</f>
        <v>0</v>
      </c>
      <c r="R255">
        <f>'Entrada datos'!W165</f>
        <v>0</v>
      </c>
      <c r="S255">
        <f>'Entrada datos'!X165</f>
        <v>0</v>
      </c>
      <c r="T255">
        <f>'Entrada datos'!Y165</f>
        <v>0</v>
      </c>
      <c r="U255">
        <f>'Entrada datos'!Z165</f>
        <v>0</v>
      </c>
      <c r="V255">
        <f>'Entrada datos'!AA165</f>
        <v>0</v>
      </c>
      <c r="W255" s="17">
        <f t="shared" si="53"/>
        <v>0</v>
      </c>
      <c r="X255">
        <f>'Entrada datos'!AB165</f>
        <v>0</v>
      </c>
      <c r="Y255">
        <f>'Entrada datos'!AC165</f>
        <v>0</v>
      </c>
      <c r="Z255">
        <f>'Entrada datos'!AD165</f>
        <v>0</v>
      </c>
      <c r="AA255">
        <f>'Entrada datos'!AE165</f>
        <v>0</v>
      </c>
      <c r="AB255">
        <f>'Entrada datos'!AF165</f>
        <v>0</v>
      </c>
      <c r="AC255">
        <f>'Entrada datos'!AG165</f>
        <v>0</v>
      </c>
      <c r="AD255" s="17">
        <f t="shared" si="54"/>
        <v>0</v>
      </c>
      <c r="AE255">
        <f>'Entrada datos'!AH165</f>
        <v>0</v>
      </c>
      <c r="AF255">
        <f>'Entrada datos'!AI165</f>
        <v>0</v>
      </c>
      <c r="AG255">
        <f>'Entrada datos'!AJ165</f>
        <v>0</v>
      </c>
      <c r="AH255">
        <f>'Entrada datos'!AK165</f>
        <v>0</v>
      </c>
      <c r="AI255">
        <f>'Entrada datos'!AL165</f>
        <v>0</v>
      </c>
      <c r="AJ255">
        <f>'Entrada datos'!AM165</f>
        <v>0</v>
      </c>
      <c r="AK255" s="17">
        <f t="shared" si="55"/>
        <v>0</v>
      </c>
      <c r="AL255">
        <f>'Entrada datos'!AN165</f>
        <v>0</v>
      </c>
      <c r="AM255">
        <f>'Entrada datos'!AO165</f>
        <v>0</v>
      </c>
      <c r="AN255">
        <f>'Entrada datos'!AP165</f>
        <v>0</v>
      </c>
      <c r="AO255">
        <f>'Entrada datos'!AQ165</f>
        <v>0</v>
      </c>
      <c r="AP255">
        <f>'Entrada datos'!AR165</f>
        <v>0</v>
      </c>
      <c r="AQ255">
        <f>'Entrada datos'!AS165</f>
        <v>0</v>
      </c>
      <c r="AR255" s="17">
        <f t="shared" si="56"/>
        <v>0</v>
      </c>
      <c r="AS255" s="23">
        <f t="shared" si="57"/>
        <v>0</v>
      </c>
      <c r="AT255">
        <f t="shared" si="58"/>
        <v>1900</v>
      </c>
      <c r="AU255" s="40" t="str">
        <f t="shared" si="59"/>
        <v>enero</v>
      </c>
      <c r="AV255">
        <f t="shared" si="60"/>
        <v>0</v>
      </c>
      <c r="AW255">
        <f t="shared" si="61"/>
        <v>0</v>
      </c>
      <c r="AX255" s="24">
        <f t="shared" si="62"/>
        <v>0</v>
      </c>
      <c r="AY255" s="24">
        <f t="shared" si="63"/>
        <v>0</v>
      </c>
      <c r="AZ255" s="24">
        <f t="shared" si="64"/>
        <v>0</v>
      </c>
      <c r="BA255">
        <f t="shared" si="65"/>
        <v>0</v>
      </c>
      <c r="BB255">
        <f t="shared" si="66"/>
        <v>0</v>
      </c>
      <c r="BC255" s="24">
        <f t="shared" si="67"/>
        <v>0</v>
      </c>
      <c r="BD255">
        <f t="shared" si="68"/>
        <v>0</v>
      </c>
    </row>
    <row r="256" spans="1:56" x14ac:dyDescent="0.3">
      <c r="A256">
        <f>'Entrada datos'!A166</f>
        <v>0</v>
      </c>
      <c r="B256">
        <f>'Entrada datos'!B166</f>
        <v>0</v>
      </c>
      <c r="C256">
        <f>'Entrada datos'!C166</f>
        <v>0</v>
      </c>
      <c r="D256">
        <f>'Entrada datos'!D166</f>
        <v>0</v>
      </c>
      <c r="E256" s="18">
        <f>'Entrada datos'!G166</f>
        <v>0</v>
      </c>
      <c r="F256" s="18">
        <f>'Entrada datos'!H166</f>
        <v>0</v>
      </c>
      <c r="G256">
        <f>'Entrada datos'!J166</f>
        <v>0</v>
      </c>
      <c r="H256">
        <f>'Entrada datos'!L166</f>
        <v>0</v>
      </c>
      <c r="I256">
        <f>'Entrada datos'!O166</f>
        <v>0</v>
      </c>
      <c r="J256">
        <f>'Entrada datos'!P166</f>
        <v>0</v>
      </c>
      <c r="K256">
        <f>'Entrada datos'!Q166</f>
        <v>0</v>
      </c>
      <c r="L256">
        <f>'Entrada datos'!R166</f>
        <v>0</v>
      </c>
      <c r="M256">
        <f>'Entrada datos'!S166</f>
        <v>0</v>
      </c>
      <c r="N256">
        <f>'Entrada datos'!T166</f>
        <v>0</v>
      </c>
      <c r="O256">
        <f>'Entrada datos'!U166</f>
        <v>0</v>
      </c>
      <c r="P256" s="17">
        <f t="shared" si="52"/>
        <v>0</v>
      </c>
      <c r="Q256">
        <f>'Entrada datos'!V166</f>
        <v>0</v>
      </c>
      <c r="R256">
        <f>'Entrada datos'!W166</f>
        <v>0</v>
      </c>
      <c r="S256">
        <f>'Entrada datos'!X166</f>
        <v>0</v>
      </c>
      <c r="T256">
        <f>'Entrada datos'!Y166</f>
        <v>0</v>
      </c>
      <c r="U256">
        <f>'Entrada datos'!Z166</f>
        <v>0</v>
      </c>
      <c r="V256">
        <f>'Entrada datos'!AA166</f>
        <v>0</v>
      </c>
      <c r="W256" s="17">
        <f t="shared" si="53"/>
        <v>0</v>
      </c>
      <c r="X256">
        <f>'Entrada datos'!AB166</f>
        <v>0</v>
      </c>
      <c r="Y256">
        <f>'Entrada datos'!AC166</f>
        <v>0</v>
      </c>
      <c r="Z256">
        <f>'Entrada datos'!AD166</f>
        <v>0</v>
      </c>
      <c r="AA256">
        <f>'Entrada datos'!AE166</f>
        <v>0</v>
      </c>
      <c r="AB256">
        <f>'Entrada datos'!AF166</f>
        <v>0</v>
      </c>
      <c r="AC256">
        <f>'Entrada datos'!AG166</f>
        <v>0</v>
      </c>
      <c r="AD256" s="17">
        <f t="shared" si="54"/>
        <v>0</v>
      </c>
      <c r="AE256">
        <f>'Entrada datos'!AH166</f>
        <v>0</v>
      </c>
      <c r="AF256">
        <f>'Entrada datos'!AI166</f>
        <v>0</v>
      </c>
      <c r="AG256">
        <f>'Entrada datos'!AJ166</f>
        <v>0</v>
      </c>
      <c r="AH256">
        <f>'Entrada datos'!AK166</f>
        <v>0</v>
      </c>
      <c r="AI256">
        <f>'Entrada datos'!AL166</f>
        <v>0</v>
      </c>
      <c r="AJ256">
        <f>'Entrada datos'!AM166</f>
        <v>0</v>
      </c>
      <c r="AK256" s="17">
        <f t="shared" si="55"/>
        <v>0</v>
      </c>
      <c r="AL256">
        <f>'Entrada datos'!AN166</f>
        <v>0</v>
      </c>
      <c r="AM256">
        <f>'Entrada datos'!AO166</f>
        <v>0</v>
      </c>
      <c r="AN256">
        <f>'Entrada datos'!AP166</f>
        <v>0</v>
      </c>
      <c r="AO256">
        <f>'Entrada datos'!AQ166</f>
        <v>0</v>
      </c>
      <c r="AP256">
        <f>'Entrada datos'!AR166</f>
        <v>0</v>
      </c>
      <c r="AQ256">
        <f>'Entrada datos'!AS166</f>
        <v>0</v>
      </c>
      <c r="AR256" s="17">
        <f t="shared" si="56"/>
        <v>0</v>
      </c>
      <c r="AS256" s="23">
        <f t="shared" si="57"/>
        <v>0</v>
      </c>
      <c r="AT256">
        <f t="shared" si="58"/>
        <v>1900</v>
      </c>
      <c r="AU256" s="40" t="str">
        <f t="shared" si="59"/>
        <v>enero</v>
      </c>
      <c r="AV256">
        <f t="shared" si="60"/>
        <v>0</v>
      </c>
      <c r="AW256">
        <f t="shared" si="61"/>
        <v>0</v>
      </c>
      <c r="AX256" s="24">
        <f t="shared" si="62"/>
        <v>0</v>
      </c>
      <c r="AY256" s="24">
        <f t="shared" si="63"/>
        <v>0</v>
      </c>
      <c r="AZ256" s="24">
        <f t="shared" si="64"/>
        <v>0</v>
      </c>
      <c r="BA256">
        <f t="shared" si="65"/>
        <v>0</v>
      </c>
      <c r="BB256">
        <f t="shared" si="66"/>
        <v>0</v>
      </c>
      <c r="BC256" s="24">
        <f t="shared" si="67"/>
        <v>0</v>
      </c>
      <c r="BD256">
        <f t="shared" si="68"/>
        <v>0</v>
      </c>
    </row>
    <row r="257" spans="1:56" x14ac:dyDescent="0.3">
      <c r="A257">
        <f>'Entrada datos'!A167</f>
        <v>0</v>
      </c>
      <c r="B257">
        <f>'Entrada datos'!B167</f>
        <v>0</v>
      </c>
      <c r="C257">
        <f>'Entrada datos'!C167</f>
        <v>0</v>
      </c>
      <c r="D257">
        <f>'Entrada datos'!D167</f>
        <v>0</v>
      </c>
      <c r="E257" s="18">
        <f>'Entrada datos'!G167</f>
        <v>0</v>
      </c>
      <c r="F257" s="18">
        <f>'Entrada datos'!H167</f>
        <v>0</v>
      </c>
      <c r="G257">
        <f>'Entrada datos'!J167</f>
        <v>0</v>
      </c>
      <c r="H257">
        <f>'Entrada datos'!L167</f>
        <v>0</v>
      </c>
      <c r="I257">
        <f>'Entrada datos'!O167</f>
        <v>0</v>
      </c>
      <c r="J257">
        <f>'Entrada datos'!P167</f>
        <v>0</v>
      </c>
      <c r="K257">
        <f>'Entrada datos'!Q167</f>
        <v>0</v>
      </c>
      <c r="L257">
        <f>'Entrada datos'!R167</f>
        <v>0</v>
      </c>
      <c r="M257">
        <f>'Entrada datos'!S167</f>
        <v>0</v>
      </c>
      <c r="N257">
        <f>'Entrada datos'!T167</f>
        <v>0</v>
      </c>
      <c r="O257">
        <f>'Entrada datos'!U167</f>
        <v>0</v>
      </c>
      <c r="P257" s="17">
        <f t="shared" si="52"/>
        <v>0</v>
      </c>
      <c r="Q257">
        <f>'Entrada datos'!V167</f>
        <v>0</v>
      </c>
      <c r="R257">
        <f>'Entrada datos'!W167</f>
        <v>0</v>
      </c>
      <c r="S257">
        <f>'Entrada datos'!X167</f>
        <v>0</v>
      </c>
      <c r="T257">
        <f>'Entrada datos'!Y167</f>
        <v>0</v>
      </c>
      <c r="U257">
        <f>'Entrada datos'!Z167</f>
        <v>0</v>
      </c>
      <c r="V257">
        <f>'Entrada datos'!AA167</f>
        <v>0</v>
      </c>
      <c r="W257" s="17">
        <f t="shared" si="53"/>
        <v>0</v>
      </c>
      <c r="X257">
        <f>'Entrada datos'!AB167</f>
        <v>0</v>
      </c>
      <c r="Y257">
        <f>'Entrada datos'!AC167</f>
        <v>0</v>
      </c>
      <c r="Z257">
        <f>'Entrada datos'!AD167</f>
        <v>0</v>
      </c>
      <c r="AA257">
        <f>'Entrada datos'!AE167</f>
        <v>0</v>
      </c>
      <c r="AB257">
        <f>'Entrada datos'!AF167</f>
        <v>0</v>
      </c>
      <c r="AC257">
        <f>'Entrada datos'!AG167</f>
        <v>0</v>
      </c>
      <c r="AD257" s="17">
        <f t="shared" si="54"/>
        <v>0</v>
      </c>
      <c r="AE257">
        <f>'Entrada datos'!AH167</f>
        <v>0</v>
      </c>
      <c r="AF257">
        <f>'Entrada datos'!AI167</f>
        <v>0</v>
      </c>
      <c r="AG257">
        <f>'Entrada datos'!AJ167</f>
        <v>0</v>
      </c>
      <c r="AH257">
        <f>'Entrada datos'!AK167</f>
        <v>0</v>
      </c>
      <c r="AI257">
        <f>'Entrada datos'!AL167</f>
        <v>0</v>
      </c>
      <c r="AJ257">
        <f>'Entrada datos'!AM167</f>
        <v>0</v>
      </c>
      <c r="AK257" s="17">
        <f t="shared" si="55"/>
        <v>0</v>
      </c>
      <c r="AL257">
        <f>'Entrada datos'!AN167</f>
        <v>0</v>
      </c>
      <c r="AM257">
        <f>'Entrada datos'!AO167</f>
        <v>0</v>
      </c>
      <c r="AN257">
        <f>'Entrada datos'!AP167</f>
        <v>0</v>
      </c>
      <c r="AO257">
        <f>'Entrada datos'!AQ167</f>
        <v>0</v>
      </c>
      <c r="AP257">
        <f>'Entrada datos'!AR167</f>
        <v>0</v>
      </c>
      <c r="AQ257">
        <f>'Entrada datos'!AS167</f>
        <v>0</v>
      </c>
      <c r="AR257" s="17">
        <f t="shared" si="56"/>
        <v>0</v>
      </c>
      <c r="AS257" s="23">
        <f t="shared" si="57"/>
        <v>0</v>
      </c>
      <c r="AT257">
        <f t="shared" si="58"/>
        <v>1900</v>
      </c>
      <c r="AU257" s="40" t="str">
        <f t="shared" si="59"/>
        <v>enero</v>
      </c>
      <c r="AV257">
        <f t="shared" si="60"/>
        <v>0</v>
      </c>
      <c r="AW257">
        <f t="shared" si="61"/>
        <v>0</v>
      </c>
      <c r="AX257" s="24">
        <f t="shared" si="62"/>
        <v>0</v>
      </c>
      <c r="AY257" s="24">
        <f t="shared" si="63"/>
        <v>0</v>
      </c>
      <c r="AZ257" s="24">
        <f t="shared" si="64"/>
        <v>0</v>
      </c>
      <c r="BA257">
        <f t="shared" si="65"/>
        <v>0</v>
      </c>
      <c r="BB257">
        <f t="shared" si="66"/>
        <v>0</v>
      </c>
      <c r="BC257" s="24">
        <f t="shared" si="67"/>
        <v>0</v>
      </c>
      <c r="BD257">
        <f t="shared" si="68"/>
        <v>0</v>
      </c>
    </row>
    <row r="258" spans="1:56" x14ac:dyDescent="0.3">
      <c r="A258">
        <f>'Entrada datos'!A168</f>
        <v>0</v>
      </c>
      <c r="B258">
        <f>'Entrada datos'!B168</f>
        <v>0</v>
      </c>
      <c r="C258">
        <f>'Entrada datos'!C168</f>
        <v>0</v>
      </c>
      <c r="D258">
        <f>'Entrada datos'!D168</f>
        <v>0</v>
      </c>
      <c r="E258" s="18">
        <f>'Entrada datos'!G168</f>
        <v>0</v>
      </c>
      <c r="F258" s="18">
        <f>'Entrada datos'!H168</f>
        <v>0</v>
      </c>
      <c r="G258">
        <f>'Entrada datos'!J168</f>
        <v>0</v>
      </c>
      <c r="H258">
        <f>'Entrada datos'!L168</f>
        <v>0</v>
      </c>
      <c r="I258">
        <f>'Entrada datos'!O168</f>
        <v>0</v>
      </c>
      <c r="J258">
        <f>'Entrada datos'!P168</f>
        <v>0</v>
      </c>
      <c r="K258">
        <f>'Entrada datos'!Q168</f>
        <v>0</v>
      </c>
      <c r="L258">
        <f>'Entrada datos'!R168</f>
        <v>0</v>
      </c>
      <c r="M258">
        <f>'Entrada datos'!S168</f>
        <v>0</v>
      </c>
      <c r="N258">
        <f>'Entrada datos'!T168</f>
        <v>0</v>
      </c>
      <c r="O258">
        <f>'Entrada datos'!U168</f>
        <v>0</v>
      </c>
      <c r="P258" s="17">
        <f t="shared" si="52"/>
        <v>0</v>
      </c>
      <c r="Q258">
        <f>'Entrada datos'!V168</f>
        <v>0</v>
      </c>
      <c r="R258">
        <f>'Entrada datos'!W168</f>
        <v>0</v>
      </c>
      <c r="S258">
        <f>'Entrada datos'!X168</f>
        <v>0</v>
      </c>
      <c r="T258">
        <f>'Entrada datos'!Y168</f>
        <v>0</v>
      </c>
      <c r="U258">
        <f>'Entrada datos'!Z168</f>
        <v>0</v>
      </c>
      <c r="V258">
        <f>'Entrada datos'!AA168</f>
        <v>0</v>
      </c>
      <c r="W258" s="17">
        <f t="shared" si="53"/>
        <v>0</v>
      </c>
      <c r="X258">
        <f>'Entrada datos'!AB168</f>
        <v>0</v>
      </c>
      <c r="Y258">
        <f>'Entrada datos'!AC168</f>
        <v>0</v>
      </c>
      <c r="Z258">
        <f>'Entrada datos'!AD168</f>
        <v>0</v>
      </c>
      <c r="AA258">
        <f>'Entrada datos'!AE168</f>
        <v>0</v>
      </c>
      <c r="AB258">
        <f>'Entrada datos'!AF168</f>
        <v>0</v>
      </c>
      <c r="AC258">
        <f>'Entrada datos'!AG168</f>
        <v>0</v>
      </c>
      <c r="AD258" s="17">
        <f t="shared" si="54"/>
        <v>0</v>
      </c>
      <c r="AE258">
        <f>'Entrada datos'!AH168</f>
        <v>0</v>
      </c>
      <c r="AF258">
        <f>'Entrada datos'!AI168</f>
        <v>0</v>
      </c>
      <c r="AG258">
        <f>'Entrada datos'!AJ168</f>
        <v>0</v>
      </c>
      <c r="AH258">
        <f>'Entrada datos'!AK168</f>
        <v>0</v>
      </c>
      <c r="AI258">
        <f>'Entrada datos'!AL168</f>
        <v>0</v>
      </c>
      <c r="AJ258">
        <f>'Entrada datos'!AM168</f>
        <v>0</v>
      </c>
      <c r="AK258" s="17">
        <f t="shared" si="55"/>
        <v>0</v>
      </c>
      <c r="AL258">
        <f>'Entrada datos'!AN168</f>
        <v>0</v>
      </c>
      <c r="AM258">
        <f>'Entrada datos'!AO168</f>
        <v>0</v>
      </c>
      <c r="AN258">
        <f>'Entrada datos'!AP168</f>
        <v>0</v>
      </c>
      <c r="AO258">
        <f>'Entrada datos'!AQ168</f>
        <v>0</v>
      </c>
      <c r="AP258">
        <f>'Entrada datos'!AR168</f>
        <v>0</v>
      </c>
      <c r="AQ258">
        <f>'Entrada datos'!AS168</f>
        <v>0</v>
      </c>
      <c r="AR258" s="17">
        <f t="shared" si="56"/>
        <v>0</v>
      </c>
      <c r="AS258" s="23">
        <f t="shared" si="57"/>
        <v>0</v>
      </c>
      <c r="AT258">
        <f t="shared" si="58"/>
        <v>1900</v>
      </c>
      <c r="AU258" s="40" t="str">
        <f t="shared" si="59"/>
        <v>enero</v>
      </c>
      <c r="AV258">
        <f t="shared" si="60"/>
        <v>0</v>
      </c>
      <c r="AW258">
        <f t="shared" si="61"/>
        <v>0</v>
      </c>
      <c r="AX258" s="24">
        <f t="shared" si="62"/>
        <v>0</v>
      </c>
      <c r="AY258" s="24">
        <f t="shared" si="63"/>
        <v>0</v>
      </c>
      <c r="AZ258" s="24">
        <f t="shared" si="64"/>
        <v>0</v>
      </c>
      <c r="BA258">
        <f t="shared" si="65"/>
        <v>0</v>
      </c>
      <c r="BB258">
        <f t="shared" si="66"/>
        <v>0</v>
      </c>
      <c r="BC258" s="24">
        <f t="shared" si="67"/>
        <v>0</v>
      </c>
      <c r="BD258">
        <f t="shared" si="68"/>
        <v>0</v>
      </c>
    </row>
    <row r="259" spans="1:56" x14ac:dyDescent="0.3">
      <c r="A259">
        <f>'Entrada datos'!A169</f>
        <v>0</v>
      </c>
      <c r="B259">
        <f>'Entrada datos'!B169</f>
        <v>0</v>
      </c>
      <c r="C259">
        <f>'Entrada datos'!C169</f>
        <v>0</v>
      </c>
      <c r="D259">
        <f>'Entrada datos'!D169</f>
        <v>0</v>
      </c>
      <c r="E259" s="18">
        <f>'Entrada datos'!G169</f>
        <v>0</v>
      </c>
      <c r="F259" s="18">
        <f>'Entrada datos'!H169</f>
        <v>0</v>
      </c>
      <c r="G259">
        <f>'Entrada datos'!J169</f>
        <v>0</v>
      </c>
      <c r="H259">
        <f>'Entrada datos'!L169</f>
        <v>0</v>
      </c>
      <c r="I259">
        <f>'Entrada datos'!O169</f>
        <v>0</v>
      </c>
      <c r="J259">
        <f>'Entrada datos'!P169</f>
        <v>0</v>
      </c>
      <c r="K259">
        <f>'Entrada datos'!Q169</f>
        <v>0</v>
      </c>
      <c r="L259">
        <f>'Entrada datos'!R169</f>
        <v>0</v>
      </c>
      <c r="M259">
        <f>'Entrada datos'!S169</f>
        <v>0</v>
      </c>
      <c r="N259">
        <f>'Entrada datos'!T169</f>
        <v>0</v>
      </c>
      <c r="O259">
        <f>'Entrada datos'!U169</f>
        <v>0</v>
      </c>
      <c r="P259" s="17">
        <f t="shared" ref="P259:P300" si="69">SUM(J259:O259)</f>
        <v>0</v>
      </c>
      <c r="Q259">
        <f>'Entrada datos'!V169</f>
        <v>0</v>
      </c>
      <c r="R259">
        <f>'Entrada datos'!W169</f>
        <v>0</v>
      </c>
      <c r="S259">
        <f>'Entrada datos'!X169</f>
        <v>0</v>
      </c>
      <c r="T259">
        <f>'Entrada datos'!Y169</f>
        <v>0</v>
      </c>
      <c r="U259">
        <f>'Entrada datos'!Z169</f>
        <v>0</v>
      </c>
      <c r="V259">
        <f>'Entrada datos'!AA169</f>
        <v>0</v>
      </c>
      <c r="W259" s="17">
        <f t="shared" ref="W259:W300" si="70">SUM(Q259:V259)</f>
        <v>0</v>
      </c>
      <c r="X259">
        <f>'Entrada datos'!AB169</f>
        <v>0</v>
      </c>
      <c r="Y259">
        <f>'Entrada datos'!AC169</f>
        <v>0</v>
      </c>
      <c r="Z259">
        <f>'Entrada datos'!AD169</f>
        <v>0</v>
      </c>
      <c r="AA259">
        <f>'Entrada datos'!AE169</f>
        <v>0</v>
      </c>
      <c r="AB259">
        <f>'Entrada datos'!AF169</f>
        <v>0</v>
      </c>
      <c r="AC259">
        <f>'Entrada datos'!AG169</f>
        <v>0</v>
      </c>
      <c r="AD259" s="17">
        <f t="shared" ref="AD259:AD300" si="71">SUM(X259:AC259)</f>
        <v>0</v>
      </c>
      <c r="AE259">
        <f>'Entrada datos'!AH169</f>
        <v>0</v>
      </c>
      <c r="AF259">
        <f>'Entrada datos'!AI169</f>
        <v>0</v>
      </c>
      <c r="AG259">
        <f>'Entrada datos'!AJ169</f>
        <v>0</v>
      </c>
      <c r="AH259">
        <f>'Entrada datos'!AK169</f>
        <v>0</v>
      </c>
      <c r="AI259">
        <f>'Entrada datos'!AL169</f>
        <v>0</v>
      </c>
      <c r="AJ259">
        <f>'Entrada datos'!AM169</f>
        <v>0</v>
      </c>
      <c r="AK259" s="17">
        <f t="shared" ref="AK259:AK300" si="72">SUM(AE259:AJ259)</f>
        <v>0</v>
      </c>
      <c r="AL259">
        <f>'Entrada datos'!AN169</f>
        <v>0</v>
      </c>
      <c r="AM259">
        <f>'Entrada datos'!AO169</f>
        <v>0</v>
      </c>
      <c r="AN259">
        <f>'Entrada datos'!AP169</f>
        <v>0</v>
      </c>
      <c r="AO259">
        <f>'Entrada datos'!AQ169</f>
        <v>0</v>
      </c>
      <c r="AP259">
        <f>'Entrada datos'!AR169</f>
        <v>0</v>
      </c>
      <c r="AQ259">
        <f>'Entrada datos'!AS169</f>
        <v>0</v>
      </c>
      <c r="AR259" s="17">
        <f t="shared" ref="AR259:AR300" si="73">MAX(AL259:AQ259)</f>
        <v>0</v>
      </c>
      <c r="AS259" s="23">
        <f t="shared" ref="AS259:AS300" si="74">IF(AR259&gt;900,AR259/1000,AR259)</f>
        <v>0</v>
      </c>
      <c r="AT259">
        <f t="shared" ref="AT259:AT300" si="75">YEAR(E259)</f>
        <v>1900</v>
      </c>
      <c r="AU259" s="40" t="str">
        <f t="shared" ref="AU259:AU300" si="76">TEXT(E259,"mmmm")</f>
        <v>enero</v>
      </c>
      <c r="AV259">
        <f t="shared" ref="AV259:AV300" si="77">SUM(AD259,P259)</f>
        <v>0</v>
      </c>
      <c r="AW259">
        <f t="shared" ref="AW259:AW300" si="78">F259-E259</f>
        <v>0</v>
      </c>
      <c r="AX259" s="24">
        <f t="shared" ref="AX259:AX300" si="79">IFERROR(P259/AW259,0)</f>
        <v>0</v>
      </c>
      <c r="AY259" s="24">
        <f t="shared" ref="AY259:AY300" si="80">IFERROR(AV259/AW259,0)</f>
        <v>0</v>
      </c>
      <c r="AZ259" s="24">
        <f t="shared" ref="AZ259:AZ300" si="81">AY259-AX259</f>
        <v>0</v>
      </c>
      <c r="BA259">
        <f t="shared" ref="BA259:BA300" si="82">P259+AK259</f>
        <v>0</v>
      </c>
      <c r="BB259">
        <f t="shared" ref="BB259:BB300" si="83">IFERROR(BA259/AW259,0)</f>
        <v>0</v>
      </c>
      <c r="BC259" s="24">
        <f t="shared" ref="BC259:BC300" si="84">IFERROR(BB259-AX259,0)</f>
        <v>0</v>
      </c>
      <c r="BD259">
        <f t="shared" ref="BD259:BD300" si="85">P259+AD259+AK259</f>
        <v>0</v>
      </c>
    </row>
    <row r="260" spans="1:56" x14ac:dyDescent="0.3">
      <c r="A260">
        <f>'Entrada datos'!A170</f>
        <v>0</v>
      </c>
      <c r="B260">
        <f>'Entrada datos'!B170</f>
        <v>0</v>
      </c>
      <c r="C260">
        <f>'Entrada datos'!C170</f>
        <v>0</v>
      </c>
      <c r="D260">
        <f>'Entrada datos'!D170</f>
        <v>0</v>
      </c>
      <c r="E260" s="18">
        <f>'Entrada datos'!G170</f>
        <v>0</v>
      </c>
      <c r="F260" s="18">
        <f>'Entrada datos'!H170</f>
        <v>0</v>
      </c>
      <c r="G260">
        <f>'Entrada datos'!J170</f>
        <v>0</v>
      </c>
      <c r="H260">
        <f>'Entrada datos'!L170</f>
        <v>0</v>
      </c>
      <c r="I260">
        <f>'Entrada datos'!O170</f>
        <v>0</v>
      </c>
      <c r="J260">
        <f>'Entrada datos'!P170</f>
        <v>0</v>
      </c>
      <c r="K260">
        <f>'Entrada datos'!Q170</f>
        <v>0</v>
      </c>
      <c r="L260">
        <f>'Entrada datos'!R170</f>
        <v>0</v>
      </c>
      <c r="M260">
        <f>'Entrada datos'!S170</f>
        <v>0</v>
      </c>
      <c r="N260">
        <f>'Entrada datos'!T170</f>
        <v>0</v>
      </c>
      <c r="O260">
        <f>'Entrada datos'!U170</f>
        <v>0</v>
      </c>
      <c r="P260" s="17">
        <f t="shared" si="69"/>
        <v>0</v>
      </c>
      <c r="Q260">
        <f>'Entrada datos'!V170</f>
        <v>0</v>
      </c>
      <c r="R260">
        <f>'Entrada datos'!W170</f>
        <v>0</v>
      </c>
      <c r="S260">
        <f>'Entrada datos'!X170</f>
        <v>0</v>
      </c>
      <c r="T260">
        <f>'Entrada datos'!Y170</f>
        <v>0</v>
      </c>
      <c r="U260">
        <f>'Entrada datos'!Z170</f>
        <v>0</v>
      </c>
      <c r="V260">
        <f>'Entrada datos'!AA170</f>
        <v>0</v>
      </c>
      <c r="W260" s="17">
        <f t="shared" si="70"/>
        <v>0</v>
      </c>
      <c r="X260">
        <f>'Entrada datos'!AB170</f>
        <v>0</v>
      </c>
      <c r="Y260">
        <f>'Entrada datos'!AC170</f>
        <v>0</v>
      </c>
      <c r="Z260">
        <f>'Entrada datos'!AD170</f>
        <v>0</v>
      </c>
      <c r="AA260">
        <f>'Entrada datos'!AE170</f>
        <v>0</v>
      </c>
      <c r="AB260">
        <f>'Entrada datos'!AF170</f>
        <v>0</v>
      </c>
      <c r="AC260">
        <f>'Entrada datos'!AG170</f>
        <v>0</v>
      </c>
      <c r="AD260" s="17">
        <f t="shared" si="71"/>
        <v>0</v>
      </c>
      <c r="AE260">
        <f>'Entrada datos'!AH170</f>
        <v>0</v>
      </c>
      <c r="AF260">
        <f>'Entrada datos'!AI170</f>
        <v>0</v>
      </c>
      <c r="AG260">
        <f>'Entrada datos'!AJ170</f>
        <v>0</v>
      </c>
      <c r="AH260">
        <f>'Entrada datos'!AK170</f>
        <v>0</v>
      </c>
      <c r="AI260">
        <f>'Entrada datos'!AL170</f>
        <v>0</v>
      </c>
      <c r="AJ260">
        <f>'Entrada datos'!AM170</f>
        <v>0</v>
      </c>
      <c r="AK260" s="17">
        <f t="shared" si="72"/>
        <v>0</v>
      </c>
      <c r="AL260">
        <f>'Entrada datos'!AN170</f>
        <v>0</v>
      </c>
      <c r="AM260">
        <f>'Entrada datos'!AO170</f>
        <v>0</v>
      </c>
      <c r="AN260">
        <f>'Entrada datos'!AP170</f>
        <v>0</v>
      </c>
      <c r="AO260">
        <f>'Entrada datos'!AQ170</f>
        <v>0</v>
      </c>
      <c r="AP260">
        <f>'Entrada datos'!AR170</f>
        <v>0</v>
      </c>
      <c r="AQ260">
        <f>'Entrada datos'!AS170</f>
        <v>0</v>
      </c>
      <c r="AR260" s="17">
        <f t="shared" si="73"/>
        <v>0</v>
      </c>
      <c r="AS260" s="23">
        <f t="shared" si="74"/>
        <v>0</v>
      </c>
      <c r="AT260">
        <f t="shared" si="75"/>
        <v>1900</v>
      </c>
      <c r="AU260" s="40" t="str">
        <f t="shared" si="76"/>
        <v>enero</v>
      </c>
      <c r="AV260">
        <f t="shared" si="77"/>
        <v>0</v>
      </c>
      <c r="AW260">
        <f t="shared" si="78"/>
        <v>0</v>
      </c>
      <c r="AX260" s="24">
        <f t="shared" si="79"/>
        <v>0</v>
      </c>
      <c r="AY260" s="24">
        <f t="shared" si="80"/>
        <v>0</v>
      </c>
      <c r="AZ260" s="24">
        <f t="shared" si="81"/>
        <v>0</v>
      </c>
      <c r="BA260">
        <f t="shared" si="82"/>
        <v>0</v>
      </c>
      <c r="BB260">
        <f t="shared" si="83"/>
        <v>0</v>
      </c>
      <c r="BC260" s="24">
        <f t="shared" si="84"/>
        <v>0</v>
      </c>
      <c r="BD260">
        <f t="shared" si="85"/>
        <v>0</v>
      </c>
    </row>
    <row r="261" spans="1:56" x14ac:dyDescent="0.3">
      <c r="A261">
        <f>'Entrada datos'!A171</f>
        <v>0</v>
      </c>
      <c r="B261">
        <f>'Entrada datos'!B171</f>
        <v>0</v>
      </c>
      <c r="C261">
        <f>'Entrada datos'!C171</f>
        <v>0</v>
      </c>
      <c r="D261">
        <f>'Entrada datos'!D171</f>
        <v>0</v>
      </c>
      <c r="E261" s="18">
        <f>'Entrada datos'!G171</f>
        <v>0</v>
      </c>
      <c r="F261" s="18">
        <f>'Entrada datos'!H171</f>
        <v>0</v>
      </c>
      <c r="G261">
        <f>'Entrada datos'!J171</f>
        <v>0</v>
      </c>
      <c r="H261">
        <f>'Entrada datos'!L171</f>
        <v>0</v>
      </c>
      <c r="I261">
        <f>'Entrada datos'!O171</f>
        <v>0</v>
      </c>
      <c r="J261">
        <f>'Entrada datos'!P171</f>
        <v>0</v>
      </c>
      <c r="K261">
        <f>'Entrada datos'!Q171</f>
        <v>0</v>
      </c>
      <c r="L261">
        <f>'Entrada datos'!R171</f>
        <v>0</v>
      </c>
      <c r="M261">
        <f>'Entrada datos'!S171</f>
        <v>0</v>
      </c>
      <c r="N261">
        <f>'Entrada datos'!T171</f>
        <v>0</v>
      </c>
      <c r="O261">
        <f>'Entrada datos'!U171</f>
        <v>0</v>
      </c>
      <c r="P261" s="17">
        <f t="shared" si="69"/>
        <v>0</v>
      </c>
      <c r="Q261">
        <f>'Entrada datos'!V171</f>
        <v>0</v>
      </c>
      <c r="R261">
        <f>'Entrada datos'!W171</f>
        <v>0</v>
      </c>
      <c r="S261">
        <f>'Entrada datos'!X171</f>
        <v>0</v>
      </c>
      <c r="T261">
        <f>'Entrada datos'!Y171</f>
        <v>0</v>
      </c>
      <c r="U261">
        <f>'Entrada datos'!Z171</f>
        <v>0</v>
      </c>
      <c r="V261">
        <f>'Entrada datos'!AA171</f>
        <v>0</v>
      </c>
      <c r="W261" s="17">
        <f t="shared" si="70"/>
        <v>0</v>
      </c>
      <c r="X261">
        <f>'Entrada datos'!AB171</f>
        <v>0</v>
      </c>
      <c r="Y261">
        <f>'Entrada datos'!AC171</f>
        <v>0</v>
      </c>
      <c r="Z261">
        <f>'Entrada datos'!AD171</f>
        <v>0</v>
      </c>
      <c r="AA261">
        <f>'Entrada datos'!AE171</f>
        <v>0</v>
      </c>
      <c r="AB261">
        <f>'Entrada datos'!AF171</f>
        <v>0</v>
      </c>
      <c r="AC261">
        <f>'Entrada datos'!AG171</f>
        <v>0</v>
      </c>
      <c r="AD261" s="17">
        <f t="shared" si="71"/>
        <v>0</v>
      </c>
      <c r="AE261">
        <f>'Entrada datos'!AH171</f>
        <v>0</v>
      </c>
      <c r="AF261">
        <f>'Entrada datos'!AI171</f>
        <v>0</v>
      </c>
      <c r="AG261">
        <f>'Entrada datos'!AJ171</f>
        <v>0</v>
      </c>
      <c r="AH261">
        <f>'Entrada datos'!AK171</f>
        <v>0</v>
      </c>
      <c r="AI261">
        <f>'Entrada datos'!AL171</f>
        <v>0</v>
      </c>
      <c r="AJ261">
        <f>'Entrada datos'!AM171</f>
        <v>0</v>
      </c>
      <c r="AK261" s="17">
        <f t="shared" si="72"/>
        <v>0</v>
      </c>
      <c r="AL261">
        <f>'Entrada datos'!AN171</f>
        <v>0</v>
      </c>
      <c r="AM261">
        <f>'Entrada datos'!AO171</f>
        <v>0</v>
      </c>
      <c r="AN261">
        <f>'Entrada datos'!AP171</f>
        <v>0</v>
      </c>
      <c r="AO261">
        <f>'Entrada datos'!AQ171</f>
        <v>0</v>
      </c>
      <c r="AP261">
        <f>'Entrada datos'!AR171</f>
        <v>0</v>
      </c>
      <c r="AQ261">
        <f>'Entrada datos'!AS171</f>
        <v>0</v>
      </c>
      <c r="AR261" s="17">
        <f t="shared" si="73"/>
        <v>0</v>
      </c>
      <c r="AS261" s="23">
        <f t="shared" si="74"/>
        <v>0</v>
      </c>
      <c r="AT261">
        <f t="shared" si="75"/>
        <v>1900</v>
      </c>
      <c r="AU261" s="40" t="str">
        <f t="shared" si="76"/>
        <v>enero</v>
      </c>
      <c r="AV261">
        <f t="shared" si="77"/>
        <v>0</v>
      </c>
      <c r="AW261">
        <f t="shared" si="78"/>
        <v>0</v>
      </c>
      <c r="AX261" s="24">
        <f t="shared" si="79"/>
        <v>0</v>
      </c>
      <c r="AY261" s="24">
        <f t="shared" si="80"/>
        <v>0</v>
      </c>
      <c r="AZ261" s="24">
        <f t="shared" si="81"/>
        <v>0</v>
      </c>
      <c r="BA261">
        <f t="shared" si="82"/>
        <v>0</v>
      </c>
      <c r="BB261">
        <f t="shared" si="83"/>
        <v>0</v>
      </c>
      <c r="BC261" s="24">
        <f t="shared" si="84"/>
        <v>0</v>
      </c>
      <c r="BD261">
        <f t="shared" si="85"/>
        <v>0</v>
      </c>
    </row>
    <row r="262" spans="1:56" x14ac:dyDescent="0.3">
      <c r="A262">
        <f>'Entrada datos'!A172</f>
        <v>0</v>
      </c>
      <c r="B262">
        <f>'Entrada datos'!B172</f>
        <v>0</v>
      </c>
      <c r="C262">
        <f>'Entrada datos'!C172</f>
        <v>0</v>
      </c>
      <c r="D262">
        <f>'Entrada datos'!D172</f>
        <v>0</v>
      </c>
      <c r="E262" s="18">
        <f>'Entrada datos'!G172</f>
        <v>0</v>
      </c>
      <c r="F262" s="18">
        <f>'Entrada datos'!H172</f>
        <v>0</v>
      </c>
      <c r="G262">
        <f>'Entrada datos'!J172</f>
        <v>0</v>
      </c>
      <c r="H262">
        <f>'Entrada datos'!L172</f>
        <v>0</v>
      </c>
      <c r="I262">
        <f>'Entrada datos'!O172</f>
        <v>0</v>
      </c>
      <c r="J262">
        <f>'Entrada datos'!P172</f>
        <v>0</v>
      </c>
      <c r="K262">
        <f>'Entrada datos'!Q172</f>
        <v>0</v>
      </c>
      <c r="L262">
        <f>'Entrada datos'!R172</f>
        <v>0</v>
      </c>
      <c r="M262">
        <f>'Entrada datos'!S172</f>
        <v>0</v>
      </c>
      <c r="N262">
        <f>'Entrada datos'!T172</f>
        <v>0</v>
      </c>
      <c r="O262">
        <f>'Entrada datos'!U172</f>
        <v>0</v>
      </c>
      <c r="P262" s="17">
        <f t="shared" si="69"/>
        <v>0</v>
      </c>
      <c r="Q262">
        <f>'Entrada datos'!V172</f>
        <v>0</v>
      </c>
      <c r="R262">
        <f>'Entrada datos'!W172</f>
        <v>0</v>
      </c>
      <c r="S262">
        <f>'Entrada datos'!X172</f>
        <v>0</v>
      </c>
      <c r="T262">
        <f>'Entrada datos'!Y172</f>
        <v>0</v>
      </c>
      <c r="U262">
        <f>'Entrada datos'!Z172</f>
        <v>0</v>
      </c>
      <c r="V262">
        <f>'Entrada datos'!AA172</f>
        <v>0</v>
      </c>
      <c r="W262" s="17">
        <f t="shared" si="70"/>
        <v>0</v>
      </c>
      <c r="X262">
        <f>'Entrada datos'!AB172</f>
        <v>0</v>
      </c>
      <c r="Y262">
        <f>'Entrada datos'!AC172</f>
        <v>0</v>
      </c>
      <c r="Z262">
        <f>'Entrada datos'!AD172</f>
        <v>0</v>
      </c>
      <c r="AA262">
        <f>'Entrada datos'!AE172</f>
        <v>0</v>
      </c>
      <c r="AB262">
        <f>'Entrada datos'!AF172</f>
        <v>0</v>
      </c>
      <c r="AC262">
        <f>'Entrada datos'!AG172</f>
        <v>0</v>
      </c>
      <c r="AD262" s="17">
        <f t="shared" si="71"/>
        <v>0</v>
      </c>
      <c r="AE262">
        <f>'Entrada datos'!AH172</f>
        <v>0</v>
      </c>
      <c r="AF262">
        <f>'Entrada datos'!AI172</f>
        <v>0</v>
      </c>
      <c r="AG262">
        <f>'Entrada datos'!AJ172</f>
        <v>0</v>
      </c>
      <c r="AH262">
        <f>'Entrada datos'!AK172</f>
        <v>0</v>
      </c>
      <c r="AI262">
        <f>'Entrada datos'!AL172</f>
        <v>0</v>
      </c>
      <c r="AJ262">
        <f>'Entrada datos'!AM172</f>
        <v>0</v>
      </c>
      <c r="AK262" s="17">
        <f t="shared" si="72"/>
        <v>0</v>
      </c>
      <c r="AL262">
        <f>'Entrada datos'!AN172</f>
        <v>0</v>
      </c>
      <c r="AM262">
        <f>'Entrada datos'!AO172</f>
        <v>0</v>
      </c>
      <c r="AN262">
        <f>'Entrada datos'!AP172</f>
        <v>0</v>
      </c>
      <c r="AO262">
        <f>'Entrada datos'!AQ172</f>
        <v>0</v>
      </c>
      <c r="AP262">
        <f>'Entrada datos'!AR172</f>
        <v>0</v>
      </c>
      <c r="AQ262">
        <f>'Entrada datos'!AS172</f>
        <v>0</v>
      </c>
      <c r="AR262" s="17">
        <f t="shared" si="73"/>
        <v>0</v>
      </c>
      <c r="AS262" s="23">
        <f t="shared" si="74"/>
        <v>0</v>
      </c>
      <c r="AT262">
        <f t="shared" si="75"/>
        <v>1900</v>
      </c>
      <c r="AU262" s="40" t="str">
        <f t="shared" si="76"/>
        <v>enero</v>
      </c>
      <c r="AV262">
        <f t="shared" si="77"/>
        <v>0</v>
      </c>
      <c r="AW262">
        <f t="shared" si="78"/>
        <v>0</v>
      </c>
      <c r="AX262" s="24">
        <f t="shared" si="79"/>
        <v>0</v>
      </c>
      <c r="AY262" s="24">
        <f t="shared" si="80"/>
        <v>0</v>
      </c>
      <c r="AZ262" s="24">
        <f t="shared" si="81"/>
        <v>0</v>
      </c>
      <c r="BA262">
        <f t="shared" si="82"/>
        <v>0</v>
      </c>
      <c r="BB262">
        <f t="shared" si="83"/>
        <v>0</v>
      </c>
      <c r="BC262" s="24">
        <f t="shared" si="84"/>
        <v>0</v>
      </c>
      <c r="BD262">
        <f t="shared" si="85"/>
        <v>0</v>
      </c>
    </row>
    <row r="263" spans="1:56" x14ac:dyDescent="0.3">
      <c r="A263">
        <f>'Entrada datos'!A173</f>
        <v>0</v>
      </c>
      <c r="B263">
        <f>'Entrada datos'!B173</f>
        <v>0</v>
      </c>
      <c r="C263">
        <f>'Entrada datos'!C173</f>
        <v>0</v>
      </c>
      <c r="D263">
        <f>'Entrada datos'!D173</f>
        <v>0</v>
      </c>
      <c r="E263" s="18">
        <f>'Entrada datos'!G173</f>
        <v>0</v>
      </c>
      <c r="F263" s="18">
        <f>'Entrada datos'!H173</f>
        <v>0</v>
      </c>
      <c r="G263">
        <f>'Entrada datos'!J173</f>
        <v>0</v>
      </c>
      <c r="H263">
        <f>'Entrada datos'!L173</f>
        <v>0</v>
      </c>
      <c r="I263">
        <f>'Entrada datos'!O173</f>
        <v>0</v>
      </c>
      <c r="J263">
        <f>'Entrada datos'!P173</f>
        <v>0</v>
      </c>
      <c r="K263">
        <f>'Entrada datos'!Q173</f>
        <v>0</v>
      </c>
      <c r="L263">
        <f>'Entrada datos'!R173</f>
        <v>0</v>
      </c>
      <c r="M263">
        <f>'Entrada datos'!S173</f>
        <v>0</v>
      </c>
      <c r="N263">
        <f>'Entrada datos'!T173</f>
        <v>0</v>
      </c>
      <c r="O263">
        <f>'Entrada datos'!U173</f>
        <v>0</v>
      </c>
      <c r="P263" s="17">
        <f t="shared" si="69"/>
        <v>0</v>
      </c>
      <c r="Q263">
        <f>'Entrada datos'!V173</f>
        <v>0</v>
      </c>
      <c r="R263">
        <f>'Entrada datos'!W173</f>
        <v>0</v>
      </c>
      <c r="S263">
        <f>'Entrada datos'!X173</f>
        <v>0</v>
      </c>
      <c r="T263">
        <f>'Entrada datos'!Y173</f>
        <v>0</v>
      </c>
      <c r="U263">
        <f>'Entrada datos'!Z173</f>
        <v>0</v>
      </c>
      <c r="V263">
        <f>'Entrada datos'!AA173</f>
        <v>0</v>
      </c>
      <c r="W263" s="17">
        <f t="shared" si="70"/>
        <v>0</v>
      </c>
      <c r="X263">
        <f>'Entrada datos'!AB173</f>
        <v>0</v>
      </c>
      <c r="Y263">
        <f>'Entrada datos'!AC173</f>
        <v>0</v>
      </c>
      <c r="Z263">
        <f>'Entrada datos'!AD173</f>
        <v>0</v>
      </c>
      <c r="AA263">
        <f>'Entrada datos'!AE173</f>
        <v>0</v>
      </c>
      <c r="AB263">
        <f>'Entrada datos'!AF173</f>
        <v>0</v>
      </c>
      <c r="AC263">
        <f>'Entrada datos'!AG173</f>
        <v>0</v>
      </c>
      <c r="AD263" s="17">
        <f t="shared" si="71"/>
        <v>0</v>
      </c>
      <c r="AE263">
        <f>'Entrada datos'!AH173</f>
        <v>0</v>
      </c>
      <c r="AF263">
        <f>'Entrada datos'!AI173</f>
        <v>0</v>
      </c>
      <c r="AG263">
        <f>'Entrada datos'!AJ173</f>
        <v>0</v>
      </c>
      <c r="AH263">
        <f>'Entrada datos'!AK173</f>
        <v>0</v>
      </c>
      <c r="AI263">
        <f>'Entrada datos'!AL173</f>
        <v>0</v>
      </c>
      <c r="AJ263">
        <f>'Entrada datos'!AM173</f>
        <v>0</v>
      </c>
      <c r="AK263" s="17">
        <f t="shared" si="72"/>
        <v>0</v>
      </c>
      <c r="AL263">
        <f>'Entrada datos'!AN173</f>
        <v>0</v>
      </c>
      <c r="AM263">
        <f>'Entrada datos'!AO173</f>
        <v>0</v>
      </c>
      <c r="AN263">
        <f>'Entrada datos'!AP173</f>
        <v>0</v>
      </c>
      <c r="AO263">
        <f>'Entrada datos'!AQ173</f>
        <v>0</v>
      </c>
      <c r="AP263">
        <f>'Entrada datos'!AR173</f>
        <v>0</v>
      </c>
      <c r="AQ263">
        <f>'Entrada datos'!AS173</f>
        <v>0</v>
      </c>
      <c r="AR263" s="17">
        <f t="shared" si="73"/>
        <v>0</v>
      </c>
      <c r="AS263" s="23">
        <f t="shared" si="74"/>
        <v>0</v>
      </c>
      <c r="AT263">
        <f t="shared" si="75"/>
        <v>1900</v>
      </c>
      <c r="AU263" s="40" t="str">
        <f t="shared" si="76"/>
        <v>enero</v>
      </c>
      <c r="AV263">
        <f t="shared" si="77"/>
        <v>0</v>
      </c>
      <c r="AW263">
        <f t="shared" si="78"/>
        <v>0</v>
      </c>
      <c r="AX263" s="24">
        <f t="shared" si="79"/>
        <v>0</v>
      </c>
      <c r="AY263" s="24">
        <f t="shared" si="80"/>
        <v>0</v>
      </c>
      <c r="AZ263" s="24">
        <f t="shared" si="81"/>
        <v>0</v>
      </c>
      <c r="BA263">
        <f t="shared" si="82"/>
        <v>0</v>
      </c>
      <c r="BB263">
        <f t="shared" si="83"/>
        <v>0</v>
      </c>
      <c r="BC263" s="24">
        <f t="shared" si="84"/>
        <v>0</v>
      </c>
      <c r="BD263">
        <f t="shared" si="85"/>
        <v>0</v>
      </c>
    </row>
    <row r="264" spans="1:56" x14ac:dyDescent="0.3">
      <c r="A264">
        <f>'Entrada datos'!A174</f>
        <v>0</v>
      </c>
      <c r="B264">
        <f>'Entrada datos'!B174</f>
        <v>0</v>
      </c>
      <c r="C264">
        <f>'Entrada datos'!C174</f>
        <v>0</v>
      </c>
      <c r="D264">
        <f>'Entrada datos'!D174</f>
        <v>0</v>
      </c>
      <c r="E264" s="18">
        <f>'Entrada datos'!G174</f>
        <v>0</v>
      </c>
      <c r="F264" s="18">
        <f>'Entrada datos'!H174</f>
        <v>0</v>
      </c>
      <c r="G264">
        <f>'Entrada datos'!J174</f>
        <v>0</v>
      </c>
      <c r="H264">
        <f>'Entrada datos'!L174</f>
        <v>0</v>
      </c>
      <c r="I264">
        <f>'Entrada datos'!O174</f>
        <v>0</v>
      </c>
      <c r="J264">
        <f>'Entrada datos'!P174</f>
        <v>0</v>
      </c>
      <c r="K264">
        <f>'Entrada datos'!Q174</f>
        <v>0</v>
      </c>
      <c r="L264">
        <f>'Entrada datos'!R174</f>
        <v>0</v>
      </c>
      <c r="M264">
        <f>'Entrada datos'!S174</f>
        <v>0</v>
      </c>
      <c r="N264">
        <f>'Entrada datos'!T174</f>
        <v>0</v>
      </c>
      <c r="O264">
        <f>'Entrada datos'!U174</f>
        <v>0</v>
      </c>
      <c r="P264" s="17">
        <f t="shared" si="69"/>
        <v>0</v>
      </c>
      <c r="Q264">
        <f>'Entrada datos'!V174</f>
        <v>0</v>
      </c>
      <c r="R264">
        <f>'Entrada datos'!W174</f>
        <v>0</v>
      </c>
      <c r="S264">
        <f>'Entrada datos'!X174</f>
        <v>0</v>
      </c>
      <c r="T264">
        <f>'Entrada datos'!Y174</f>
        <v>0</v>
      </c>
      <c r="U264">
        <f>'Entrada datos'!Z174</f>
        <v>0</v>
      </c>
      <c r="V264">
        <f>'Entrada datos'!AA174</f>
        <v>0</v>
      </c>
      <c r="W264" s="17">
        <f t="shared" si="70"/>
        <v>0</v>
      </c>
      <c r="X264">
        <f>'Entrada datos'!AB174</f>
        <v>0</v>
      </c>
      <c r="Y264">
        <f>'Entrada datos'!AC174</f>
        <v>0</v>
      </c>
      <c r="Z264">
        <f>'Entrada datos'!AD174</f>
        <v>0</v>
      </c>
      <c r="AA264">
        <f>'Entrada datos'!AE174</f>
        <v>0</v>
      </c>
      <c r="AB264">
        <f>'Entrada datos'!AF174</f>
        <v>0</v>
      </c>
      <c r="AC264">
        <f>'Entrada datos'!AG174</f>
        <v>0</v>
      </c>
      <c r="AD264" s="17">
        <f t="shared" si="71"/>
        <v>0</v>
      </c>
      <c r="AE264">
        <f>'Entrada datos'!AH174</f>
        <v>0</v>
      </c>
      <c r="AF264">
        <f>'Entrada datos'!AI174</f>
        <v>0</v>
      </c>
      <c r="AG264">
        <f>'Entrada datos'!AJ174</f>
        <v>0</v>
      </c>
      <c r="AH264">
        <f>'Entrada datos'!AK174</f>
        <v>0</v>
      </c>
      <c r="AI264">
        <f>'Entrada datos'!AL174</f>
        <v>0</v>
      </c>
      <c r="AJ264">
        <f>'Entrada datos'!AM174</f>
        <v>0</v>
      </c>
      <c r="AK264" s="17">
        <f t="shared" si="72"/>
        <v>0</v>
      </c>
      <c r="AL264">
        <f>'Entrada datos'!AN174</f>
        <v>0</v>
      </c>
      <c r="AM264">
        <f>'Entrada datos'!AO174</f>
        <v>0</v>
      </c>
      <c r="AN264">
        <f>'Entrada datos'!AP174</f>
        <v>0</v>
      </c>
      <c r="AO264">
        <f>'Entrada datos'!AQ174</f>
        <v>0</v>
      </c>
      <c r="AP264">
        <f>'Entrada datos'!AR174</f>
        <v>0</v>
      </c>
      <c r="AQ264">
        <f>'Entrada datos'!AS174</f>
        <v>0</v>
      </c>
      <c r="AR264" s="17">
        <f t="shared" si="73"/>
        <v>0</v>
      </c>
      <c r="AS264" s="23">
        <f t="shared" si="74"/>
        <v>0</v>
      </c>
      <c r="AT264">
        <f t="shared" si="75"/>
        <v>1900</v>
      </c>
      <c r="AU264" s="40" t="str">
        <f t="shared" si="76"/>
        <v>enero</v>
      </c>
      <c r="AV264">
        <f t="shared" si="77"/>
        <v>0</v>
      </c>
      <c r="AW264">
        <f t="shared" si="78"/>
        <v>0</v>
      </c>
      <c r="AX264" s="24">
        <f t="shared" si="79"/>
        <v>0</v>
      </c>
      <c r="AY264" s="24">
        <f t="shared" si="80"/>
        <v>0</v>
      </c>
      <c r="AZ264" s="24">
        <f t="shared" si="81"/>
        <v>0</v>
      </c>
      <c r="BA264">
        <f t="shared" si="82"/>
        <v>0</v>
      </c>
      <c r="BB264">
        <f t="shared" si="83"/>
        <v>0</v>
      </c>
      <c r="BC264" s="24">
        <f t="shared" si="84"/>
        <v>0</v>
      </c>
      <c r="BD264">
        <f t="shared" si="85"/>
        <v>0</v>
      </c>
    </row>
    <row r="265" spans="1:56" x14ac:dyDescent="0.3">
      <c r="A265">
        <f>'Entrada datos'!A175</f>
        <v>0</v>
      </c>
      <c r="B265">
        <f>'Entrada datos'!B175</f>
        <v>0</v>
      </c>
      <c r="C265">
        <f>'Entrada datos'!C175</f>
        <v>0</v>
      </c>
      <c r="D265">
        <f>'Entrada datos'!D175</f>
        <v>0</v>
      </c>
      <c r="E265" s="18">
        <f>'Entrada datos'!G175</f>
        <v>0</v>
      </c>
      <c r="F265" s="18">
        <f>'Entrada datos'!H175</f>
        <v>0</v>
      </c>
      <c r="G265">
        <f>'Entrada datos'!J175</f>
        <v>0</v>
      </c>
      <c r="H265">
        <f>'Entrada datos'!L175</f>
        <v>0</v>
      </c>
      <c r="I265">
        <f>'Entrada datos'!O175</f>
        <v>0</v>
      </c>
      <c r="J265">
        <f>'Entrada datos'!P175</f>
        <v>0</v>
      </c>
      <c r="K265">
        <f>'Entrada datos'!Q175</f>
        <v>0</v>
      </c>
      <c r="L265">
        <f>'Entrada datos'!R175</f>
        <v>0</v>
      </c>
      <c r="M265">
        <f>'Entrada datos'!S175</f>
        <v>0</v>
      </c>
      <c r="N265">
        <f>'Entrada datos'!T175</f>
        <v>0</v>
      </c>
      <c r="O265">
        <f>'Entrada datos'!U175</f>
        <v>0</v>
      </c>
      <c r="P265" s="17">
        <f t="shared" si="69"/>
        <v>0</v>
      </c>
      <c r="Q265">
        <f>'Entrada datos'!V175</f>
        <v>0</v>
      </c>
      <c r="R265">
        <f>'Entrada datos'!W175</f>
        <v>0</v>
      </c>
      <c r="S265">
        <f>'Entrada datos'!X175</f>
        <v>0</v>
      </c>
      <c r="T265">
        <f>'Entrada datos'!Y175</f>
        <v>0</v>
      </c>
      <c r="U265">
        <f>'Entrada datos'!Z175</f>
        <v>0</v>
      </c>
      <c r="V265">
        <f>'Entrada datos'!AA175</f>
        <v>0</v>
      </c>
      <c r="W265" s="17">
        <f t="shared" si="70"/>
        <v>0</v>
      </c>
      <c r="X265">
        <f>'Entrada datos'!AB175</f>
        <v>0</v>
      </c>
      <c r="Y265">
        <f>'Entrada datos'!AC175</f>
        <v>0</v>
      </c>
      <c r="Z265">
        <f>'Entrada datos'!AD175</f>
        <v>0</v>
      </c>
      <c r="AA265">
        <f>'Entrada datos'!AE175</f>
        <v>0</v>
      </c>
      <c r="AB265">
        <f>'Entrada datos'!AF175</f>
        <v>0</v>
      </c>
      <c r="AC265">
        <f>'Entrada datos'!AG175</f>
        <v>0</v>
      </c>
      <c r="AD265" s="17">
        <f t="shared" si="71"/>
        <v>0</v>
      </c>
      <c r="AE265">
        <f>'Entrada datos'!AH175</f>
        <v>0</v>
      </c>
      <c r="AF265">
        <f>'Entrada datos'!AI175</f>
        <v>0</v>
      </c>
      <c r="AG265">
        <f>'Entrada datos'!AJ175</f>
        <v>0</v>
      </c>
      <c r="AH265">
        <f>'Entrada datos'!AK175</f>
        <v>0</v>
      </c>
      <c r="AI265">
        <f>'Entrada datos'!AL175</f>
        <v>0</v>
      </c>
      <c r="AJ265">
        <f>'Entrada datos'!AM175</f>
        <v>0</v>
      </c>
      <c r="AK265" s="17">
        <f t="shared" si="72"/>
        <v>0</v>
      </c>
      <c r="AL265">
        <f>'Entrada datos'!AN175</f>
        <v>0</v>
      </c>
      <c r="AM265">
        <f>'Entrada datos'!AO175</f>
        <v>0</v>
      </c>
      <c r="AN265">
        <f>'Entrada datos'!AP175</f>
        <v>0</v>
      </c>
      <c r="AO265">
        <f>'Entrada datos'!AQ175</f>
        <v>0</v>
      </c>
      <c r="AP265">
        <f>'Entrada datos'!AR175</f>
        <v>0</v>
      </c>
      <c r="AQ265">
        <f>'Entrada datos'!AS175</f>
        <v>0</v>
      </c>
      <c r="AR265" s="17">
        <f t="shared" si="73"/>
        <v>0</v>
      </c>
      <c r="AS265" s="23">
        <f t="shared" si="74"/>
        <v>0</v>
      </c>
      <c r="AT265">
        <f t="shared" si="75"/>
        <v>1900</v>
      </c>
      <c r="AU265" s="40" t="str">
        <f t="shared" si="76"/>
        <v>enero</v>
      </c>
      <c r="AV265">
        <f t="shared" si="77"/>
        <v>0</v>
      </c>
      <c r="AW265">
        <f t="shared" si="78"/>
        <v>0</v>
      </c>
      <c r="AX265" s="24">
        <f t="shared" si="79"/>
        <v>0</v>
      </c>
      <c r="AY265" s="24">
        <f t="shared" si="80"/>
        <v>0</v>
      </c>
      <c r="AZ265" s="24">
        <f t="shared" si="81"/>
        <v>0</v>
      </c>
      <c r="BA265">
        <f t="shared" si="82"/>
        <v>0</v>
      </c>
      <c r="BB265">
        <f t="shared" si="83"/>
        <v>0</v>
      </c>
      <c r="BC265" s="24">
        <f t="shared" si="84"/>
        <v>0</v>
      </c>
      <c r="BD265">
        <f t="shared" si="85"/>
        <v>0</v>
      </c>
    </row>
    <row r="266" spans="1:56" x14ac:dyDescent="0.3">
      <c r="A266">
        <f>'Entrada datos'!A176</f>
        <v>0</v>
      </c>
      <c r="B266">
        <f>'Entrada datos'!B176</f>
        <v>0</v>
      </c>
      <c r="C266">
        <f>'Entrada datos'!C176</f>
        <v>0</v>
      </c>
      <c r="D266">
        <f>'Entrada datos'!D176</f>
        <v>0</v>
      </c>
      <c r="E266" s="18">
        <f>'Entrada datos'!G176</f>
        <v>0</v>
      </c>
      <c r="F266" s="18">
        <f>'Entrada datos'!H176</f>
        <v>0</v>
      </c>
      <c r="G266">
        <f>'Entrada datos'!J176</f>
        <v>0</v>
      </c>
      <c r="H266">
        <f>'Entrada datos'!L176</f>
        <v>0</v>
      </c>
      <c r="I266">
        <f>'Entrada datos'!O176</f>
        <v>0</v>
      </c>
      <c r="J266">
        <f>'Entrada datos'!P176</f>
        <v>0</v>
      </c>
      <c r="K266">
        <f>'Entrada datos'!Q176</f>
        <v>0</v>
      </c>
      <c r="L266">
        <f>'Entrada datos'!R176</f>
        <v>0</v>
      </c>
      <c r="M266">
        <f>'Entrada datos'!S176</f>
        <v>0</v>
      </c>
      <c r="N266">
        <f>'Entrada datos'!T176</f>
        <v>0</v>
      </c>
      <c r="O266">
        <f>'Entrada datos'!U176</f>
        <v>0</v>
      </c>
      <c r="P266" s="17">
        <f t="shared" si="69"/>
        <v>0</v>
      </c>
      <c r="Q266">
        <f>'Entrada datos'!V176</f>
        <v>0</v>
      </c>
      <c r="R266">
        <f>'Entrada datos'!W176</f>
        <v>0</v>
      </c>
      <c r="S266">
        <f>'Entrada datos'!X176</f>
        <v>0</v>
      </c>
      <c r="T266">
        <f>'Entrada datos'!Y176</f>
        <v>0</v>
      </c>
      <c r="U266">
        <f>'Entrada datos'!Z176</f>
        <v>0</v>
      </c>
      <c r="V266">
        <f>'Entrada datos'!AA176</f>
        <v>0</v>
      </c>
      <c r="W266" s="17">
        <f t="shared" si="70"/>
        <v>0</v>
      </c>
      <c r="X266">
        <f>'Entrada datos'!AB176</f>
        <v>0</v>
      </c>
      <c r="Y266">
        <f>'Entrada datos'!AC176</f>
        <v>0</v>
      </c>
      <c r="Z266">
        <f>'Entrada datos'!AD176</f>
        <v>0</v>
      </c>
      <c r="AA266">
        <f>'Entrada datos'!AE176</f>
        <v>0</v>
      </c>
      <c r="AB266">
        <f>'Entrada datos'!AF176</f>
        <v>0</v>
      </c>
      <c r="AC266">
        <f>'Entrada datos'!AG176</f>
        <v>0</v>
      </c>
      <c r="AD266" s="17">
        <f t="shared" si="71"/>
        <v>0</v>
      </c>
      <c r="AE266">
        <f>'Entrada datos'!AH176</f>
        <v>0</v>
      </c>
      <c r="AF266">
        <f>'Entrada datos'!AI176</f>
        <v>0</v>
      </c>
      <c r="AG266">
        <f>'Entrada datos'!AJ176</f>
        <v>0</v>
      </c>
      <c r="AH266">
        <f>'Entrada datos'!AK176</f>
        <v>0</v>
      </c>
      <c r="AI266">
        <f>'Entrada datos'!AL176</f>
        <v>0</v>
      </c>
      <c r="AJ266">
        <f>'Entrada datos'!AM176</f>
        <v>0</v>
      </c>
      <c r="AK266" s="17">
        <f t="shared" si="72"/>
        <v>0</v>
      </c>
      <c r="AL266">
        <f>'Entrada datos'!AN176</f>
        <v>0</v>
      </c>
      <c r="AM266">
        <f>'Entrada datos'!AO176</f>
        <v>0</v>
      </c>
      <c r="AN266">
        <f>'Entrada datos'!AP176</f>
        <v>0</v>
      </c>
      <c r="AO266">
        <f>'Entrada datos'!AQ176</f>
        <v>0</v>
      </c>
      <c r="AP266">
        <f>'Entrada datos'!AR176</f>
        <v>0</v>
      </c>
      <c r="AQ266">
        <f>'Entrada datos'!AS176</f>
        <v>0</v>
      </c>
      <c r="AR266" s="17">
        <f t="shared" si="73"/>
        <v>0</v>
      </c>
      <c r="AS266" s="23">
        <f t="shared" si="74"/>
        <v>0</v>
      </c>
      <c r="AT266">
        <f t="shared" si="75"/>
        <v>1900</v>
      </c>
      <c r="AU266" s="40" t="str">
        <f t="shared" si="76"/>
        <v>enero</v>
      </c>
      <c r="AV266">
        <f t="shared" si="77"/>
        <v>0</v>
      </c>
      <c r="AW266">
        <f t="shared" si="78"/>
        <v>0</v>
      </c>
      <c r="AX266" s="24">
        <f t="shared" si="79"/>
        <v>0</v>
      </c>
      <c r="AY266" s="24">
        <f t="shared" si="80"/>
        <v>0</v>
      </c>
      <c r="AZ266" s="24">
        <f t="shared" si="81"/>
        <v>0</v>
      </c>
      <c r="BA266">
        <f t="shared" si="82"/>
        <v>0</v>
      </c>
      <c r="BB266">
        <f t="shared" si="83"/>
        <v>0</v>
      </c>
      <c r="BC266" s="24">
        <f t="shared" si="84"/>
        <v>0</v>
      </c>
      <c r="BD266">
        <f t="shared" si="85"/>
        <v>0</v>
      </c>
    </row>
    <row r="267" spans="1:56" x14ac:dyDescent="0.3">
      <c r="A267">
        <f>'Entrada datos'!A177</f>
        <v>0</v>
      </c>
      <c r="B267">
        <f>'Entrada datos'!B177</f>
        <v>0</v>
      </c>
      <c r="C267">
        <f>'Entrada datos'!C177</f>
        <v>0</v>
      </c>
      <c r="D267">
        <f>'Entrada datos'!D177</f>
        <v>0</v>
      </c>
      <c r="E267" s="18">
        <f>'Entrada datos'!G177</f>
        <v>0</v>
      </c>
      <c r="F267" s="18">
        <f>'Entrada datos'!H177</f>
        <v>0</v>
      </c>
      <c r="G267">
        <f>'Entrada datos'!J177</f>
        <v>0</v>
      </c>
      <c r="H267">
        <f>'Entrada datos'!L177</f>
        <v>0</v>
      </c>
      <c r="I267">
        <f>'Entrada datos'!O177</f>
        <v>0</v>
      </c>
      <c r="J267">
        <f>'Entrada datos'!P177</f>
        <v>0</v>
      </c>
      <c r="K267">
        <f>'Entrada datos'!Q177</f>
        <v>0</v>
      </c>
      <c r="L267">
        <f>'Entrada datos'!R177</f>
        <v>0</v>
      </c>
      <c r="M267">
        <f>'Entrada datos'!S177</f>
        <v>0</v>
      </c>
      <c r="N267">
        <f>'Entrada datos'!T177</f>
        <v>0</v>
      </c>
      <c r="O267">
        <f>'Entrada datos'!U177</f>
        <v>0</v>
      </c>
      <c r="P267" s="17">
        <f t="shared" si="69"/>
        <v>0</v>
      </c>
      <c r="Q267">
        <f>'Entrada datos'!V177</f>
        <v>0</v>
      </c>
      <c r="R267">
        <f>'Entrada datos'!W177</f>
        <v>0</v>
      </c>
      <c r="S267">
        <f>'Entrada datos'!X177</f>
        <v>0</v>
      </c>
      <c r="T267">
        <f>'Entrada datos'!Y177</f>
        <v>0</v>
      </c>
      <c r="U267">
        <f>'Entrada datos'!Z177</f>
        <v>0</v>
      </c>
      <c r="V267">
        <f>'Entrada datos'!AA177</f>
        <v>0</v>
      </c>
      <c r="W267" s="17">
        <f t="shared" si="70"/>
        <v>0</v>
      </c>
      <c r="X267">
        <f>'Entrada datos'!AB177</f>
        <v>0</v>
      </c>
      <c r="Y267">
        <f>'Entrada datos'!AC177</f>
        <v>0</v>
      </c>
      <c r="Z267">
        <f>'Entrada datos'!AD177</f>
        <v>0</v>
      </c>
      <c r="AA267">
        <f>'Entrada datos'!AE177</f>
        <v>0</v>
      </c>
      <c r="AB267">
        <f>'Entrada datos'!AF177</f>
        <v>0</v>
      </c>
      <c r="AC267">
        <f>'Entrada datos'!AG177</f>
        <v>0</v>
      </c>
      <c r="AD267" s="17">
        <f t="shared" si="71"/>
        <v>0</v>
      </c>
      <c r="AE267">
        <f>'Entrada datos'!AH177</f>
        <v>0</v>
      </c>
      <c r="AF267">
        <f>'Entrada datos'!AI177</f>
        <v>0</v>
      </c>
      <c r="AG267">
        <f>'Entrada datos'!AJ177</f>
        <v>0</v>
      </c>
      <c r="AH267">
        <f>'Entrada datos'!AK177</f>
        <v>0</v>
      </c>
      <c r="AI267">
        <f>'Entrada datos'!AL177</f>
        <v>0</v>
      </c>
      <c r="AJ267">
        <f>'Entrada datos'!AM177</f>
        <v>0</v>
      </c>
      <c r="AK267" s="17">
        <f t="shared" si="72"/>
        <v>0</v>
      </c>
      <c r="AL267">
        <f>'Entrada datos'!AN177</f>
        <v>0</v>
      </c>
      <c r="AM267">
        <f>'Entrada datos'!AO177</f>
        <v>0</v>
      </c>
      <c r="AN267">
        <f>'Entrada datos'!AP177</f>
        <v>0</v>
      </c>
      <c r="AO267">
        <f>'Entrada datos'!AQ177</f>
        <v>0</v>
      </c>
      <c r="AP267">
        <f>'Entrada datos'!AR177</f>
        <v>0</v>
      </c>
      <c r="AQ267">
        <f>'Entrada datos'!AS177</f>
        <v>0</v>
      </c>
      <c r="AR267" s="17">
        <f t="shared" si="73"/>
        <v>0</v>
      </c>
      <c r="AS267" s="23">
        <f t="shared" si="74"/>
        <v>0</v>
      </c>
      <c r="AT267">
        <f t="shared" si="75"/>
        <v>1900</v>
      </c>
      <c r="AU267" s="40" t="str">
        <f t="shared" si="76"/>
        <v>enero</v>
      </c>
      <c r="AV267">
        <f t="shared" si="77"/>
        <v>0</v>
      </c>
      <c r="AW267">
        <f t="shared" si="78"/>
        <v>0</v>
      </c>
      <c r="AX267" s="24">
        <f t="shared" si="79"/>
        <v>0</v>
      </c>
      <c r="AY267" s="24">
        <f t="shared" si="80"/>
        <v>0</v>
      </c>
      <c r="AZ267" s="24">
        <f t="shared" si="81"/>
        <v>0</v>
      </c>
      <c r="BA267">
        <f t="shared" si="82"/>
        <v>0</v>
      </c>
      <c r="BB267">
        <f t="shared" si="83"/>
        <v>0</v>
      </c>
      <c r="BC267" s="24">
        <f t="shared" si="84"/>
        <v>0</v>
      </c>
      <c r="BD267">
        <f t="shared" si="85"/>
        <v>0</v>
      </c>
    </row>
    <row r="268" spans="1:56" x14ac:dyDescent="0.3">
      <c r="A268">
        <f>'Entrada datos'!A178</f>
        <v>0</v>
      </c>
      <c r="B268">
        <f>'Entrada datos'!B178</f>
        <v>0</v>
      </c>
      <c r="C268">
        <f>'Entrada datos'!C178</f>
        <v>0</v>
      </c>
      <c r="D268">
        <f>'Entrada datos'!D178</f>
        <v>0</v>
      </c>
      <c r="E268" s="18">
        <f>'Entrada datos'!G178</f>
        <v>0</v>
      </c>
      <c r="F268" s="18">
        <f>'Entrada datos'!H178</f>
        <v>0</v>
      </c>
      <c r="G268">
        <f>'Entrada datos'!J178</f>
        <v>0</v>
      </c>
      <c r="H268">
        <f>'Entrada datos'!L178</f>
        <v>0</v>
      </c>
      <c r="I268">
        <f>'Entrada datos'!O178</f>
        <v>0</v>
      </c>
      <c r="J268">
        <f>'Entrada datos'!P178</f>
        <v>0</v>
      </c>
      <c r="K268">
        <f>'Entrada datos'!Q178</f>
        <v>0</v>
      </c>
      <c r="L268">
        <f>'Entrada datos'!R178</f>
        <v>0</v>
      </c>
      <c r="M268">
        <f>'Entrada datos'!S178</f>
        <v>0</v>
      </c>
      <c r="N268">
        <f>'Entrada datos'!T178</f>
        <v>0</v>
      </c>
      <c r="O268">
        <f>'Entrada datos'!U178</f>
        <v>0</v>
      </c>
      <c r="P268" s="17">
        <f t="shared" si="69"/>
        <v>0</v>
      </c>
      <c r="Q268">
        <f>'Entrada datos'!V178</f>
        <v>0</v>
      </c>
      <c r="R268">
        <f>'Entrada datos'!W178</f>
        <v>0</v>
      </c>
      <c r="S268">
        <f>'Entrada datos'!X178</f>
        <v>0</v>
      </c>
      <c r="T268">
        <f>'Entrada datos'!Y178</f>
        <v>0</v>
      </c>
      <c r="U268">
        <f>'Entrada datos'!Z178</f>
        <v>0</v>
      </c>
      <c r="V268">
        <f>'Entrada datos'!AA178</f>
        <v>0</v>
      </c>
      <c r="W268" s="17">
        <f t="shared" si="70"/>
        <v>0</v>
      </c>
      <c r="X268">
        <f>'Entrada datos'!AB178</f>
        <v>0</v>
      </c>
      <c r="Y268">
        <f>'Entrada datos'!AC178</f>
        <v>0</v>
      </c>
      <c r="Z268">
        <f>'Entrada datos'!AD178</f>
        <v>0</v>
      </c>
      <c r="AA268">
        <f>'Entrada datos'!AE178</f>
        <v>0</v>
      </c>
      <c r="AB268">
        <f>'Entrada datos'!AF178</f>
        <v>0</v>
      </c>
      <c r="AC268">
        <f>'Entrada datos'!AG178</f>
        <v>0</v>
      </c>
      <c r="AD268" s="17">
        <f t="shared" si="71"/>
        <v>0</v>
      </c>
      <c r="AE268">
        <f>'Entrada datos'!AH178</f>
        <v>0</v>
      </c>
      <c r="AF268">
        <f>'Entrada datos'!AI178</f>
        <v>0</v>
      </c>
      <c r="AG268">
        <f>'Entrada datos'!AJ178</f>
        <v>0</v>
      </c>
      <c r="AH268">
        <f>'Entrada datos'!AK178</f>
        <v>0</v>
      </c>
      <c r="AI268">
        <f>'Entrada datos'!AL178</f>
        <v>0</v>
      </c>
      <c r="AJ268">
        <f>'Entrada datos'!AM178</f>
        <v>0</v>
      </c>
      <c r="AK268" s="17">
        <f t="shared" si="72"/>
        <v>0</v>
      </c>
      <c r="AL268">
        <f>'Entrada datos'!AN178</f>
        <v>0</v>
      </c>
      <c r="AM268">
        <f>'Entrada datos'!AO178</f>
        <v>0</v>
      </c>
      <c r="AN268">
        <f>'Entrada datos'!AP178</f>
        <v>0</v>
      </c>
      <c r="AO268">
        <f>'Entrada datos'!AQ178</f>
        <v>0</v>
      </c>
      <c r="AP268">
        <f>'Entrada datos'!AR178</f>
        <v>0</v>
      </c>
      <c r="AQ268">
        <f>'Entrada datos'!AS178</f>
        <v>0</v>
      </c>
      <c r="AR268" s="17">
        <f t="shared" si="73"/>
        <v>0</v>
      </c>
      <c r="AS268" s="23">
        <f t="shared" si="74"/>
        <v>0</v>
      </c>
      <c r="AT268">
        <f t="shared" si="75"/>
        <v>1900</v>
      </c>
      <c r="AU268" s="40" t="str">
        <f t="shared" si="76"/>
        <v>enero</v>
      </c>
      <c r="AV268">
        <f t="shared" si="77"/>
        <v>0</v>
      </c>
      <c r="AW268">
        <f t="shared" si="78"/>
        <v>0</v>
      </c>
      <c r="AX268" s="24">
        <f t="shared" si="79"/>
        <v>0</v>
      </c>
      <c r="AY268" s="24">
        <f t="shared" si="80"/>
        <v>0</v>
      </c>
      <c r="AZ268" s="24">
        <f t="shared" si="81"/>
        <v>0</v>
      </c>
      <c r="BA268">
        <f t="shared" si="82"/>
        <v>0</v>
      </c>
      <c r="BB268">
        <f t="shared" si="83"/>
        <v>0</v>
      </c>
      <c r="BC268" s="24">
        <f t="shared" si="84"/>
        <v>0</v>
      </c>
      <c r="BD268">
        <f t="shared" si="85"/>
        <v>0</v>
      </c>
    </row>
    <row r="269" spans="1:56" x14ac:dyDescent="0.3">
      <c r="A269">
        <f>'Entrada datos'!A179</f>
        <v>0</v>
      </c>
      <c r="B269">
        <f>'Entrada datos'!B179</f>
        <v>0</v>
      </c>
      <c r="C269">
        <f>'Entrada datos'!C179</f>
        <v>0</v>
      </c>
      <c r="D269">
        <f>'Entrada datos'!D179</f>
        <v>0</v>
      </c>
      <c r="E269" s="18">
        <f>'Entrada datos'!G179</f>
        <v>0</v>
      </c>
      <c r="F269" s="18">
        <f>'Entrada datos'!H179</f>
        <v>0</v>
      </c>
      <c r="G269">
        <f>'Entrada datos'!J179</f>
        <v>0</v>
      </c>
      <c r="H269">
        <f>'Entrada datos'!L179</f>
        <v>0</v>
      </c>
      <c r="I269">
        <f>'Entrada datos'!O179</f>
        <v>0</v>
      </c>
      <c r="J269">
        <f>'Entrada datos'!P179</f>
        <v>0</v>
      </c>
      <c r="K269">
        <f>'Entrada datos'!Q179</f>
        <v>0</v>
      </c>
      <c r="L269">
        <f>'Entrada datos'!R179</f>
        <v>0</v>
      </c>
      <c r="M269">
        <f>'Entrada datos'!S179</f>
        <v>0</v>
      </c>
      <c r="N269">
        <f>'Entrada datos'!T179</f>
        <v>0</v>
      </c>
      <c r="O269">
        <f>'Entrada datos'!U179</f>
        <v>0</v>
      </c>
      <c r="P269" s="17">
        <f t="shared" si="69"/>
        <v>0</v>
      </c>
      <c r="Q269">
        <f>'Entrada datos'!V179</f>
        <v>0</v>
      </c>
      <c r="R269">
        <f>'Entrada datos'!W179</f>
        <v>0</v>
      </c>
      <c r="S269">
        <f>'Entrada datos'!X179</f>
        <v>0</v>
      </c>
      <c r="T269">
        <f>'Entrada datos'!Y179</f>
        <v>0</v>
      </c>
      <c r="U269">
        <f>'Entrada datos'!Z179</f>
        <v>0</v>
      </c>
      <c r="V269">
        <f>'Entrada datos'!AA179</f>
        <v>0</v>
      </c>
      <c r="W269" s="17">
        <f t="shared" si="70"/>
        <v>0</v>
      </c>
      <c r="X269">
        <f>'Entrada datos'!AB179</f>
        <v>0</v>
      </c>
      <c r="Y269">
        <f>'Entrada datos'!AC179</f>
        <v>0</v>
      </c>
      <c r="Z269">
        <f>'Entrada datos'!AD179</f>
        <v>0</v>
      </c>
      <c r="AA269">
        <f>'Entrada datos'!AE179</f>
        <v>0</v>
      </c>
      <c r="AB269">
        <f>'Entrada datos'!AF179</f>
        <v>0</v>
      </c>
      <c r="AC269">
        <f>'Entrada datos'!AG179</f>
        <v>0</v>
      </c>
      <c r="AD269" s="17">
        <f t="shared" si="71"/>
        <v>0</v>
      </c>
      <c r="AE269">
        <f>'Entrada datos'!AH179</f>
        <v>0</v>
      </c>
      <c r="AF269">
        <f>'Entrada datos'!AI179</f>
        <v>0</v>
      </c>
      <c r="AG269">
        <f>'Entrada datos'!AJ179</f>
        <v>0</v>
      </c>
      <c r="AH269">
        <f>'Entrada datos'!AK179</f>
        <v>0</v>
      </c>
      <c r="AI269">
        <f>'Entrada datos'!AL179</f>
        <v>0</v>
      </c>
      <c r="AJ269">
        <f>'Entrada datos'!AM179</f>
        <v>0</v>
      </c>
      <c r="AK269" s="17">
        <f t="shared" si="72"/>
        <v>0</v>
      </c>
      <c r="AL269">
        <f>'Entrada datos'!AN179</f>
        <v>0</v>
      </c>
      <c r="AM269">
        <f>'Entrada datos'!AO179</f>
        <v>0</v>
      </c>
      <c r="AN269">
        <f>'Entrada datos'!AP179</f>
        <v>0</v>
      </c>
      <c r="AO269">
        <f>'Entrada datos'!AQ179</f>
        <v>0</v>
      </c>
      <c r="AP269">
        <f>'Entrada datos'!AR179</f>
        <v>0</v>
      </c>
      <c r="AQ269">
        <f>'Entrada datos'!AS179</f>
        <v>0</v>
      </c>
      <c r="AR269" s="17">
        <f t="shared" si="73"/>
        <v>0</v>
      </c>
      <c r="AS269" s="23">
        <f t="shared" si="74"/>
        <v>0</v>
      </c>
      <c r="AT269">
        <f t="shared" si="75"/>
        <v>1900</v>
      </c>
      <c r="AU269" s="40" t="str">
        <f t="shared" si="76"/>
        <v>enero</v>
      </c>
      <c r="AV269">
        <f t="shared" si="77"/>
        <v>0</v>
      </c>
      <c r="AW269">
        <f t="shared" si="78"/>
        <v>0</v>
      </c>
      <c r="AX269" s="24">
        <f t="shared" si="79"/>
        <v>0</v>
      </c>
      <c r="AY269" s="24">
        <f t="shared" si="80"/>
        <v>0</v>
      </c>
      <c r="AZ269" s="24">
        <f t="shared" si="81"/>
        <v>0</v>
      </c>
      <c r="BA269">
        <f t="shared" si="82"/>
        <v>0</v>
      </c>
      <c r="BB269">
        <f t="shared" si="83"/>
        <v>0</v>
      </c>
      <c r="BC269" s="24">
        <f t="shared" si="84"/>
        <v>0</v>
      </c>
      <c r="BD269">
        <f t="shared" si="85"/>
        <v>0</v>
      </c>
    </row>
    <row r="270" spans="1:56" x14ac:dyDescent="0.3">
      <c r="A270">
        <f>'Entrada datos'!A180</f>
        <v>0</v>
      </c>
      <c r="B270">
        <f>'Entrada datos'!B180</f>
        <v>0</v>
      </c>
      <c r="C270">
        <f>'Entrada datos'!C180</f>
        <v>0</v>
      </c>
      <c r="D270">
        <f>'Entrada datos'!D180</f>
        <v>0</v>
      </c>
      <c r="E270" s="18">
        <f>'Entrada datos'!G180</f>
        <v>0</v>
      </c>
      <c r="F270" s="18">
        <f>'Entrada datos'!H180</f>
        <v>0</v>
      </c>
      <c r="G270">
        <f>'Entrada datos'!J180</f>
        <v>0</v>
      </c>
      <c r="H270">
        <f>'Entrada datos'!L180</f>
        <v>0</v>
      </c>
      <c r="I270">
        <f>'Entrada datos'!O180</f>
        <v>0</v>
      </c>
      <c r="J270">
        <f>'Entrada datos'!P180</f>
        <v>0</v>
      </c>
      <c r="K270">
        <f>'Entrada datos'!Q180</f>
        <v>0</v>
      </c>
      <c r="L270">
        <f>'Entrada datos'!R180</f>
        <v>0</v>
      </c>
      <c r="M270">
        <f>'Entrada datos'!S180</f>
        <v>0</v>
      </c>
      <c r="N270">
        <f>'Entrada datos'!T180</f>
        <v>0</v>
      </c>
      <c r="O270">
        <f>'Entrada datos'!U180</f>
        <v>0</v>
      </c>
      <c r="P270" s="17">
        <f t="shared" si="69"/>
        <v>0</v>
      </c>
      <c r="Q270">
        <f>'Entrada datos'!V180</f>
        <v>0</v>
      </c>
      <c r="R270">
        <f>'Entrada datos'!W180</f>
        <v>0</v>
      </c>
      <c r="S270">
        <f>'Entrada datos'!X180</f>
        <v>0</v>
      </c>
      <c r="T270">
        <f>'Entrada datos'!Y180</f>
        <v>0</v>
      </c>
      <c r="U270">
        <f>'Entrada datos'!Z180</f>
        <v>0</v>
      </c>
      <c r="V270">
        <f>'Entrada datos'!AA180</f>
        <v>0</v>
      </c>
      <c r="W270" s="17">
        <f t="shared" si="70"/>
        <v>0</v>
      </c>
      <c r="X270">
        <f>'Entrada datos'!AB180</f>
        <v>0</v>
      </c>
      <c r="Y270">
        <f>'Entrada datos'!AC180</f>
        <v>0</v>
      </c>
      <c r="Z270">
        <f>'Entrada datos'!AD180</f>
        <v>0</v>
      </c>
      <c r="AA270">
        <f>'Entrada datos'!AE180</f>
        <v>0</v>
      </c>
      <c r="AB270">
        <f>'Entrada datos'!AF180</f>
        <v>0</v>
      </c>
      <c r="AC270">
        <f>'Entrada datos'!AG180</f>
        <v>0</v>
      </c>
      <c r="AD270" s="17">
        <f t="shared" si="71"/>
        <v>0</v>
      </c>
      <c r="AE270">
        <f>'Entrada datos'!AH180</f>
        <v>0</v>
      </c>
      <c r="AF270">
        <f>'Entrada datos'!AI180</f>
        <v>0</v>
      </c>
      <c r="AG270">
        <f>'Entrada datos'!AJ180</f>
        <v>0</v>
      </c>
      <c r="AH270">
        <f>'Entrada datos'!AK180</f>
        <v>0</v>
      </c>
      <c r="AI270">
        <f>'Entrada datos'!AL180</f>
        <v>0</v>
      </c>
      <c r="AJ270">
        <f>'Entrada datos'!AM180</f>
        <v>0</v>
      </c>
      <c r="AK270" s="17">
        <f t="shared" si="72"/>
        <v>0</v>
      </c>
      <c r="AL270">
        <f>'Entrada datos'!AN180</f>
        <v>0</v>
      </c>
      <c r="AM270">
        <f>'Entrada datos'!AO180</f>
        <v>0</v>
      </c>
      <c r="AN270">
        <f>'Entrada datos'!AP180</f>
        <v>0</v>
      </c>
      <c r="AO270">
        <f>'Entrada datos'!AQ180</f>
        <v>0</v>
      </c>
      <c r="AP270">
        <f>'Entrada datos'!AR180</f>
        <v>0</v>
      </c>
      <c r="AQ270">
        <f>'Entrada datos'!AS180</f>
        <v>0</v>
      </c>
      <c r="AR270" s="17">
        <f t="shared" si="73"/>
        <v>0</v>
      </c>
      <c r="AS270" s="23">
        <f t="shared" si="74"/>
        <v>0</v>
      </c>
      <c r="AT270">
        <f t="shared" si="75"/>
        <v>1900</v>
      </c>
      <c r="AU270" s="40" t="str">
        <f t="shared" si="76"/>
        <v>enero</v>
      </c>
      <c r="AV270">
        <f t="shared" si="77"/>
        <v>0</v>
      </c>
      <c r="AW270">
        <f t="shared" si="78"/>
        <v>0</v>
      </c>
      <c r="AX270" s="24">
        <f t="shared" si="79"/>
        <v>0</v>
      </c>
      <c r="AY270" s="24">
        <f t="shared" si="80"/>
        <v>0</v>
      </c>
      <c r="AZ270" s="24">
        <f t="shared" si="81"/>
        <v>0</v>
      </c>
      <c r="BA270">
        <f t="shared" si="82"/>
        <v>0</v>
      </c>
      <c r="BB270">
        <f t="shared" si="83"/>
        <v>0</v>
      </c>
      <c r="BC270" s="24">
        <f t="shared" si="84"/>
        <v>0</v>
      </c>
      <c r="BD270">
        <f t="shared" si="85"/>
        <v>0</v>
      </c>
    </row>
    <row r="271" spans="1:56" x14ac:dyDescent="0.3">
      <c r="A271">
        <f>'Entrada datos'!A181</f>
        <v>0</v>
      </c>
      <c r="B271">
        <f>'Entrada datos'!B181</f>
        <v>0</v>
      </c>
      <c r="C271">
        <f>'Entrada datos'!C181</f>
        <v>0</v>
      </c>
      <c r="D271">
        <f>'Entrada datos'!D181</f>
        <v>0</v>
      </c>
      <c r="E271" s="18">
        <f>'Entrada datos'!G181</f>
        <v>0</v>
      </c>
      <c r="F271" s="18">
        <f>'Entrada datos'!H181</f>
        <v>0</v>
      </c>
      <c r="G271">
        <f>'Entrada datos'!J181</f>
        <v>0</v>
      </c>
      <c r="H271">
        <f>'Entrada datos'!L181</f>
        <v>0</v>
      </c>
      <c r="I271">
        <f>'Entrada datos'!O181</f>
        <v>0</v>
      </c>
      <c r="J271">
        <f>'Entrada datos'!P181</f>
        <v>0</v>
      </c>
      <c r="K271">
        <f>'Entrada datos'!Q181</f>
        <v>0</v>
      </c>
      <c r="L271">
        <f>'Entrada datos'!R181</f>
        <v>0</v>
      </c>
      <c r="M271">
        <f>'Entrada datos'!S181</f>
        <v>0</v>
      </c>
      <c r="N271">
        <f>'Entrada datos'!T181</f>
        <v>0</v>
      </c>
      <c r="O271">
        <f>'Entrada datos'!U181</f>
        <v>0</v>
      </c>
      <c r="P271" s="17">
        <f t="shared" si="69"/>
        <v>0</v>
      </c>
      <c r="Q271">
        <f>'Entrada datos'!V181</f>
        <v>0</v>
      </c>
      <c r="R271">
        <f>'Entrada datos'!W181</f>
        <v>0</v>
      </c>
      <c r="S271">
        <f>'Entrada datos'!X181</f>
        <v>0</v>
      </c>
      <c r="T271">
        <f>'Entrada datos'!Y181</f>
        <v>0</v>
      </c>
      <c r="U271">
        <f>'Entrada datos'!Z181</f>
        <v>0</v>
      </c>
      <c r="V271">
        <f>'Entrada datos'!AA181</f>
        <v>0</v>
      </c>
      <c r="W271" s="17">
        <f t="shared" si="70"/>
        <v>0</v>
      </c>
      <c r="X271">
        <f>'Entrada datos'!AB181</f>
        <v>0</v>
      </c>
      <c r="Y271">
        <f>'Entrada datos'!AC181</f>
        <v>0</v>
      </c>
      <c r="Z271">
        <f>'Entrada datos'!AD181</f>
        <v>0</v>
      </c>
      <c r="AA271">
        <f>'Entrada datos'!AE181</f>
        <v>0</v>
      </c>
      <c r="AB271">
        <f>'Entrada datos'!AF181</f>
        <v>0</v>
      </c>
      <c r="AC271">
        <f>'Entrada datos'!AG181</f>
        <v>0</v>
      </c>
      <c r="AD271" s="17">
        <f t="shared" si="71"/>
        <v>0</v>
      </c>
      <c r="AE271">
        <f>'Entrada datos'!AH181</f>
        <v>0</v>
      </c>
      <c r="AF271">
        <f>'Entrada datos'!AI181</f>
        <v>0</v>
      </c>
      <c r="AG271">
        <f>'Entrada datos'!AJ181</f>
        <v>0</v>
      </c>
      <c r="AH271">
        <f>'Entrada datos'!AK181</f>
        <v>0</v>
      </c>
      <c r="AI271">
        <f>'Entrada datos'!AL181</f>
        <v>0</v>
      </c>
      <c r="AJ271">
        <f>'Entrada datos'!AM181</f>
        <v>0</v>
      </c>
      <c r="AK271" s="17">
        <f t="shared" si="72"/>
        <v>0</v>
      </c>
      <c r="AL271">
        <f>'Entrada datos'!AN181</f>
        <v>0</v>
      </c>
      <c r="AM271">
        <f>'Entrada datos'!AO181</f>
        <v>0</v>
      </c>
      <c r="AN271">
        <f>'Entrada datos'!AP181</f>
        <v>0</v>
      </c>
      <c r="AO271">
        <f>'Entrada datos'!AQ181</f>
        <v>0</v>
      </c>
      <c r="AP271">
        <f>'Entrada datos'!AR181</f>
        <v>0</v>
      </c>
      <c r="AQ271">
        <f>'Entrada datos'!AS181</f>
        <v>0</v>
      </c>
      <c r="AR271" s="17">
        <f t="shared" si="73"/>
        <v>0</v>
      </c>
      <c r="AS271" s="23">
        <f t="shared" si="74"/>
        <v>0</v>
      </c>
      <c r="AT271">
        <f t="shared" si="75"/>
        <v>1900</v>
      </c>
      <c r="AU271" s="40" t="str">
        <f t="shared" si="76"/>
        <v>enero</v>
      </c>
      <c r="AV271">
        <f t="shared" si="77"/>
        <v>0</v>
      </c>
      <c r="AW271">
        <f t="shared" si="78"/>
        <v>0</v>
      </c>
      <c r="AX271" s="24">
        <f t="shared" si="79"/>
        <v>0</v>
      </c>
      <c r="AY271" s="24">
        <f t="shared" si="80"/>
        <v>0</v>
      </c>
      <c r="AZ271" s="24">
        <f t="shared" si="81"/>
        <v>0</v>
      </c>
      <c r="BA271">
        <f t="shared" si="82"/>
        <v>0</v>
      </c>
      <c r="BB271">
        <f t="shared" si="83"/>
        <v>0</v>
      </c>
      <c r="BC271" s="24">
        <f t="shared" si="84"/>
        <v>0</v>
      </c>
      <c r="BD271">
        <f t="shared" si="85"/>
        <v>0</v>
      </c>
    </row>
    <row r="272" spans="1:56" x14ac:dyDescent="0.3">
      <c r="A272">
        <f>'Entrada datos'!A182</f>
        <v>0</v>
      </c>
      <c r="B272">
        <f>'Entrada datos'!B182</f>
        <v>0</v>
      </c>
      <c r="C272">
        <f>'Entrada datos'!C182</f>
        <v>0</v>
      </c>
      <c r="D272">
        <f>'Entrada datos'!D182</f>
        <v>0</v>
      </c>
      <c r="E272" s="18">
        <f>'Entrada datos'!G182</f>
        <v>0</v>
      </c>
      <c r="F272" s="18">
        <f>'Entrada datos'!H182</f>
        <v>0</v>
      </c>
      <c r="G272">
        <f>'Entrada datos'!J182</f>
        <v>0</v>
      </c>
      <c r="H272">
        <f>'Entrada datos'!L182</f>
        <v>0</v>
      </c>
      <c r="I272">
        <f>'Entrada datos'!O182</f>
        <v>0</v>
      </c>
      <c r="J272">
        <f>'Entrada datos'!P182</f>
        <v>0</v>
      </c>
      <c r="K272">
        <f>'Entrada datos'!Q182</f>
        <v>0</v>
      </c>
      <c r="L272">
        <f>'Entrada datos'!R182</f>
        <v>0</v>
      </c>
      <c r="M272">
        <f>'Entrada datos'!S182</f>
        <v>0</v>
      </c>
      <c r="N272">
        <f>'Entrada datos'!T182</f>
        <v>0</v>
      </c>
      <c r="O272">
        <f>'Entrada datos'!U182</f>
        <v>0</v>
      </c>
      <c r="P272" s="17">
        <f t="shared" si="69"/>
        <v>0</v>
      </c>
      <c r="Q272">
        <f>'Entrada datos'!V182</f>
        <v>0</v>
      </c>
      <c r="R272">
        <f>'Entrada datos'!W182</f>
        <v>0</v>
      </c>
      <c r="S272">
        <f>'Entrada datos'!X182</f>
        <v>0</v>
      </c>
      <c r="T272">
        <f>'Entrada datos'!Y182</f>
        <v>0</v>
      </c>
      <c r="U272">
        <f>'Entrada datos'!Z182</f>
        <v>0</v>
      </c>
      <c r="V272">
        <f>'Entrada datos'!AA182</f>
        <v>0</v>
      </c>
      <c r="W272" s="17">
        <f t="shared" si="70"/>
        <v>0</v>
      </c>
      <c r="X272">
        <f>'Entrada datos'!AB182</f>
        <v>0</v>
      </c>
      <c r="Y272">
        <f>'Entrada datos'!AC182</f>
        <v>0</v>
      </c>
      <c r="Z272">
        <f>'Entrada datos'!AD182</f>
        <v>0</v>
      </c>
      <c r="AA272">
        <f>'Entrada datos'!AE182</f>
        <v>0</v>
      </c>
      <c r="AB272">
        <f>'Entrada datos'!AF182</f>
        <v>0</v>
      </c>
      <c r="AC272">
        <f>'Entrada datos'!AG182</f>
        <v>0</v>
      </c>
      <c r="AD272" s="17">
        <f t="shared" si="71"/>
        <v>0</v>
      </c>
      <c r="AE272">
        <f>'Entrada datos'!AH182</f>
        <v>0</v>
      </c>
      <c r="AF272">
        <f>'Entrada datos'!AI182</f>
        <v>0</v>
      </c>
      <c r="AG272">
        <f>'Entrada datos'!AJ182</f>
        <v>0</v>
      </c>
      <c r="AH272">
        <f>'Entrada datos'!AK182</f>
        <v>0</v>
      </c>
      <c r="AI272">
        <f>'Entrada datos'!AL182</f>
        <v>0</v>
      </c>
      <c r="AJ272">
        <f>'Entrada datos'!AM182</f>
        <v>0</v>
      </c>
      <c r="AK272" s="17">
        <f t="shared" si="72"/>
        <v>0</v>
      </c>
      <c r="AL272">
        <f>'Entrada datos'!AN182</f>
        <v>0</v>
      </c>
      <c r="AM272">
        <f>'Entrada datos'!AO182</f>
        <v>0</v>
      </c>
      <c r="AN272">
        <f>'Entrada datos'!AP182</f>
        <v>0</v>
      </c>
      <c r="AO272">
        <f>'Entrada datos'!AQ182</f>
        <v>0</v>
      </c>
      <c r="AP272">
        <f>'Entrada datos'!AR182</f>
        <v>0</v>
      </c>
      <c r="AQ272">
        <f>'Entrada datos'!AS182</f>
        <v>0</v>
      </c>
      <c r="AR272" s="17">
        <f t="shared" si="73"/>
        <v>0</v>
      </c>
      <c r="AS272" s="23">
        <f t="shared" si="74"/>
        <v>0</v>
      </c>
      <c r="AT272">
        <f t="shared" si="75"/>
        <v>1900</v>
      </c>
      <c r="AU272" s="40" t="str">
        <f t="shared" si="76"/>
        <v>enero</v>
      </c>
      <c r="AV272">
        <f t="shared" si="77"/>
        <v>0</v>
      </c>
      <c r="AW272">
        <f t="shared" si="78"/>
        <v>0</v>
      </c>
      <c r="AX272" s="24">
        <f t="shared" si="79"/>
        <v>0</v>
      </c>
      <c r="AY272" s="24">
        <f t="shared" si="80"/>
        <v>0</v>
      </c>
      <c r="AZ272" s="24">
        <f t="shared" si="81"/>
        <v>0</v>
      </c>
      <c r="BA272">
        <f t="shared" si="82"/>
        <v>0</v>
      </c>
      <c r="BB272">
        <f t="shared" si="83"/>
        <v>0</v>
      </c>
      <c r="BC272" s="24">
        <f t="shared" si="84"/>
        <v>0</v>
      </c>
      <c r="BD272">
        <f t="shared" si="85"/>
        <v>0</v>
      </c>
    </row>
    <row r="273" spans="1:56" x14ac:dyDescent="0.3">
      <c r="A273">
        <f>'Entrada datos'!A183</f>
        <v>0</v>
      </c>
      <c r="B273">
        <f>'Entrada datos'!B183</f>
        <v>0</v>
      </c>
      <c r="C273">
        <f>'Entrada datos'!C183</f>
        <v>0</v>
      </c>
      <c r="D273">
        <f>'Entrada datos'!D183</f>
        <v>0</v>
      </c>
      <c r="E273" s="18">
        <f>'Entrada datos'!G183</f>
        <v>0</v>
      </c>
      <c r="F273" s="18">
        <f>'Entrada datos'!H183</f>
        <v>0</v>
      </c>
      <c r="G273">
        <f>'Entrada datos'!J183</f>
        <v>0</v>
      </c>
      <c r="H273">
        <f>'Entrada datos'!L183</f>
        <v>0</v>
      </c>
      <c r="I273">
        <f>'Entrada datos'!O183</f>
        <v>0</v>
      </c>
      <c r="J273">
        <f>'Entrada datos'!P183</f>
        <v>0</v>
      </c>
      <c r="K273">
        <f>'Entrada datos'!Q183</f>
        <v>0</v>
      </c>
      <c r="L273">
        <f>'Entrada datos'!R183</f>
        <v>0</v>
      </c>
      <c r="M273">
        <f>'Entrada datos'!S183</f>
        <v>0</v>
      </c>
      <c r="N273">
        <f>'Entrada datos'!T183</f>
        <v>0</v>
      </c>
      <c r="O273">
        <f>'Entrada datos'!U183</f>
        <v>0</v>
      </c>
      <c r="P273" s="17">
        <f t="shared" si="69"/>
        <v>0</v>
      </c>
      <c r="Q273">
        <f>'Entrada datos'!V183</f>
        <v>0</v>
      </c>
      <c r="R273">
        <f>'Entrada datos'!W183</f>
        <v>0</v>
      </c>
      <c r="S273">
        <f>'Entrada datos'!X183</f>
        <v>0</v>
      </c>
      <c r="T273">
        <f>'Entrada datos'!Y183</f>
        <v>0</v>
      </c>
      <c r="U273">
        <f>'Entrada datos'!Z183</f>
        <v>0</v>
      </c>
      <c r="V273">
        <f>'Entrada datos'!AA183</f>
        <v>0</v>
      </c>
      <c r="W273" s="17">
        <f t="shared" si="70"/>
        <v>0</v>
      </c>
      <c r="X273">
        <f>'Entrada datos'!AB183</f>
        <v>0</v>
      </c>
      <c r="Y273">
        <f>'Entrada datos'!AC183</f>
        <v>0</v>
      </c>
      <c r="Z273">
        <f>'Entrada datos'!AD183</f>
        <v>0</v>
      </c>
      <c r="AA273">
        <f>'Entrada datos'!AE183</f>
        <v>0</v>
      </c>
      <c r="AB273">
        <f>'Entrada datos'!AF183</f>
        <v>0</v>
      </c>
      <c r="AC273">
        <f>'Entrada datos'!AG183</f>
        <v>0</v>
      </c>
      <c r="AD273" s="17">
        <f t="shared" si="71"/>
        <v>0</v>
      </c>
      <c r="AE273">
        <f>'Entrada datos'!AH183</f>
        <v>0</v>
      </c>
      <c r="AF273">
        <f>'Entrada datos'!AI183</f>
        <v>0</v>
      </c>
      <c r="AG273">
        <f>'Entrada datos'!AJ183</f>
        <v>0</v>
      </c>
      <c r="AH273">
        <f>'Entrada datos'!AK183</f>
        <v>0</v>
      </c>
      <c r="AI273">
        <f>'Entrada datos'!AL183</f>
        <v>0</v>
      </c>
      <c r="AJ273">
        <f>'Entrada datos'!AM183</f>
        <v>0</v>
      </c>
      <c r="AK273" s="17">
        <f t="shared" si="72"/>
        <v>0</v>
      </c>
      <c r="AL273">
        <f>'Entrada datos'!AN183</f>
        <v>0</v>
      </c>
      <c r="AM273">
        <f>'Entrada datos'!AO183</f>
        <v>0</v>
      </c>
      <c r="AN273">
        <f>'Entrada datos'!AP183</f>
        <v>0</v>
      </c>
      <c r="AO273">
        <f>'Entrada datos'!AQ183</f>
        <v>0</v>
      </c>
      <c r="AP273">
        <f>'Entrada datos'!AR183</f>
        <v>0</v>
      </c>
      <c r="AQ273">
        <f>'Entrada datos'!AS183</f>
        <v>0</v>
      </c>
      <c r="AR273" s="17">
        <f t="shared" si="73"/>
        <v>0</v>
      </c>
      <c r="AS273" s="23">
        <f t="shared" si="74"/>
        <v>0</v>
      </c>
      <c r="AT273">
        <f t="shared" si="75"/>
        <v>1900</v>
      </c>
      <c r="AU273" s="40" t="str">
        <f t="shared" si="76"/>
        <v>enero</v>
      </c>
      <c r="AV273">
        <f t="shared" si="77"/>
        <v>0</v>
      </c>
      <c r="AW273">
        <f t="shared" si="78"/>
        <v>0</v>
      </c>
      <c r="AX273" s="24">
        <f t="shared" si="79"/>
        <v>0</v>
      </c>
      <c r="AY273" s="24">
        <f t="shared" si="80"/>
        <v>0</v>
      </c>
      <c r="AZ273" s="24">
        <f t="shared" si="81"/>
        <v>0</v>
      </c>
      <c r="BA273">
        <f t="shared" si="82"/>
        <v>0</v>
      </c>
      <c r="BB273">
        <f t="shared" si="83"/>
        <v>0</v>
      </c>
      <c r="BC273" s="24">
        <f t="shared" si="84"/>
        <v>0</v>
      </c>
      <c r="BD273">
        <f t="shared" si="85"/>
        <v>0</v>
      </c>
    </row>
    <row r="274" spans="1:56" x14ac:dyDescent="0.3">
      <c r="A274">
        <f>'Entrada datos'!A184</f>
        <v>0</v>
      </c>
      <c r="B274">
        <f>'Entrada datos'!B184</f>
        <v>0</v>
      </c>
      <c r="C274">
        <f>'Entrada datos'!C184</f>
        <v>0</v>
      </c>
      <c r="D274">
        <f>'Entrada datos'!D184</f>
        <v>0</v>
      </c>
      <c r="E274" s="18">
        <f>'Entrada datos'!G184</f>
        <v>0</v>
      </c>
      <c r="F274" s="18">
        <f>'Entrada datos'!H184</f>
        <v>0</v>
      </c>
      <c r="G274">
        <f>'Entrada datos'!J184</f>
        <v>0</v>
      </c>
      <c r="H274">
        <f>'Entrada datos'!L184</f>
        <v>0</v>
      </c>
      <c r="I274">
        <f>'Entrada datos'!O184</f>
        <v>0</v>
      </c>
      <c r="J274">
        <f>'Entrada datos'!P184</f>
        <v>0</v>
      </c>
      <c r="K274">
        <f>'Entrada datos'!Q184</f>
        <v>0</v>
      </c>
      <c r="L274">
        <f>'Entrada datos'!R184</f>
        <v>0</v>
      </c>
      <c r="M274">
        <f>'Entrada datos'!S184</f>
        <v>0</v>
      </c>
      <c r="N274">
        <f>'Entrada datos'!T184</f>
        <v>0</v>
      </c>
      <c r="O274">
        <f>'Entrada datos'!U184</f>
        <v>0</v>
      </c>
      <c r="P274" s="17">
        <f t="shared" si="69"/>
        <v>0</v>
      </c>
      <c r="Q274">
        <f>'Entrada datos'!V184</f>
        <v>0</v>
      </c>
      <c r="R274">
        <f>'Entrada datos'!W184</f>
        <v>0</v>
      </c>
      <c r="S274">
        <f>'Entrada datos'!X184</f>
        <v>0</v>
      </c>
      <c r="T274">
        <f>'Entrada datos'!Y184</f>
        <v>0</v>
      </c>
      <c r="U274">
        <f>'Entrada datos'!Z184</f>
        <v>0</v>
      </c>
      <c r="V274">
        <f>'Entrada datos'!AA184</f>
        <v>0</v>
      </c>
      <c r="W274" s="17">
        <f t="shared" si="70"/>
        <v>0</v>
      </c>
      <c r="X274">
        <f>'Entrada datos'!AB184</f>
        <v>0</v>
      </c>
      <c r="Y274">
        <f>'Entrada datos'!AC184</f>
        <v>0</v>
      </c>
      <c r="Z274">
        <f>'Entrada datos'!AD184</f>
        <v>0</v>
      </c>
      <c r="AA274">
        <f>'Entrada datos'!AE184</f>
        <v>0</v>
      </c>
      <c r="AB274">
        <f>'Entrada datos'!AF184</f>
        <v>0</v>
      </c>
      <c r="AC274">
        <f>'Entrada datos'!AG184</f>
        <v>0</v>
      </c>
      <c r="AD274" s="17">
        <f t="shared" si="71"/>
        <v>0</v>
      </c>
      <c r="AE274">
        <f>'Entrada datos'!AH184</f>
        <v>0</v>
      </c>
      <c r="AF274">
        <f>'Entrada datos'!AI184</f>
        <v>0</v>
      </c>
      <c r="AG274">
        <f>'Entrada datos'!AJ184</f>
        <v>0</v>
      </c>
      <c r="AH274">
        <f>'Entrada datos'!AK184</f>
        <v>0</v>
      </c>
      <c r="AI274">
        <f>'Entrada datos'!AL184</f>
        <v>0</v>
      </c>
      <c r="AJ274">
        <f>'Entrada datos'!AM184</f>
        <v>0</v>
      </c>
      <c r="AK274" s="17">
        <f t="shared" si="72"/>
        <v>0</v>
      </c>
      <c r="AL274">
        <f>'Entrada datos'!AN184</f>
        <v>0</v>
      </c>
      <c r="AM274">
        <f>'Entrada datos'!AO184</f>
        <v>0</v>
      </c>
      <c r="AN274">
        <f>'Entrada datos'!AP184</f>
        <v>0</v>
      </c>
      <c r="AO274">
        <f>'Entrada datos'!AQ184</f>
        <v>0</v>
      </c>
      <c r="AP274">
        <f>'Entrada datos'!AR184</f>
        <v>0</v>
      </c>
      <c r="AQ274">
        <f>'Entrada datos'!AS184</f>
        <v>0</v>
      </c>
      <c r="AR274" s="17">
        <f t="shared" si="73"/>
        <v>0</v>
      </c>
      <c r="AS274" s="23">
        <f t="shared" si="74"/>
        <v>0</v>
      </c>
      <c r="AT274">
        <f t="shared" si="75"/>
        <v>1900</v>
      </c>
      <c r="AU274" s="40" t="str">
        <f t="shared" si="76"/>
        <v>enero</v>
      </c>
      <c r="AV274">
        <f t="shared" si="77"/>
        <v>0</v>
      </c>
      <c r="AW274">
        <f t="shared" si="78"/>
        <v>0</v>
      </c>
      <c r="AX274" s="24">
        <f t="shared" si="79"/>
        <v>0</v>
      </c>
      <c r="AY274" s="24">
        <f t="shared" si="80"/>
        <v>0</v>
      </c>
      <c r="AZ274" s="24">
        <f t="shared" si="81"/>
        <v>0</v>
      </c>
      <c r="BA274">
        <f t="shared" si="82"/>
        <v>0</v>
      </c>
      <c r="BB274">
        <f t="shared" si="83"/>
        <v>0</v>
      </c>
      <c r="BC274" s="24">
        <f t="shared" si="84"/>
        <v>0</v>
      </c>
      <c r="BD274">
        <f t="shared" si="85"/>
        <v>0</v>
      </c>
    </row>
    <row r="275" spans="1:56" x14ac:dyDescent="0.3">
      <c r="A275">
        <f>'Entrada datos'!A185</f>
        <v>0</v>
      </c>
      <c r="B275">
        <f>'Entrada datos'!B185</f>
        <v>0</v>
      </c>
      <c r="C275">
        <f>'Entrada datos'!C185</f>
        <v>0</v>
      </c>
      <c r="D275">
        <f>'Entrada datos'!D185</f>
        <v>0</v>
      </c>
      <c r="E275" s="18">
        <f>'Entrada datos'!G185</f>
        <v>0</v>
      </c>
      <c r="F275" s="18">
        <f>'Entrada datos'!H185</f>
        <v>0</v>
      </c>
      <c r="G275">
        <f>'Entrada datos'!J185</f>
        <v>0</v>
      </c>
      <c r="H275">
        <f>'Entrada datos'!L185</f>
        <v>0</v>
      </c>
      <c r="I275">
        <f>'Entrada datos'!O185</f>
        <v>0</v>
      </c>
      <c r="J275">
        <f>'Entrada datos'!P185</f>
        <v>0</v>
      </c>
      <c r="K275">
        <f>'Entrada datos'!Q185</f>
        <v>0</v>
      </c>
      <c r="L275">
        <f>'Entrada datos'!R185</f>
        <v>0</v>
      </c>
      <c r="M275">
        <f>'Entrada datos'!S185</f>
        <v>0</v>
      </c>
      <c r="N275">
        <f>'Entrada datos'!T185</f>
        <v>0</v>
      </c>
      <c r="O275">
        <f>'Entrada datos'!U185</f>
        <v>0</v>
      </c>
      <c r="P275" s="17">
        <f t="shared" si="69"/>
        <v>0</v>
      </c>
      <c r="Q275">
        <f>'Entrada datos'!V185</f>
        <v>0</v>
      </c>
      <c r="R275">
        <f>'Entrada datos'!W185</f>
        <v>0</v>
      </c>
      <c r="S275">
        <f>'Entrada datos'!X185</f>
        <v>0</v>
      </c>
      <c r="T275">
        <f>'Entrada datos'!Y185</f>
        <v>0</v>
      </c>
      <c r="U275">
        <f>'Entrada datos'!Z185</f>
        <v>0</v>
      </c>
      <c r="V275">
        <f>'Entrada datos'!AA185</f>
        <v>0</v>
      </c>
      <c r="W275" s="17">
        <f t="shared" si="70"/>
        <v>0</v>
      </c>
      <c r="X275">
        <f>'Entrada datos'!AB185</f>
        <v>0</v>
      </c>
      <c r="Y275">
        <f>'Entrada datos'!AC185</f>
        <v>0</v>
      </c>
      <c r="Z275">
        <f>'Entrada datos'!AD185</f>
        <v>0</v>
      </c>
      <c r="AA275">
        <f>'Entrada datos'!AE185</f>
        <v>0</v>
      </c>
      <c r="AB275">
        <f>'Entrada datos'!AF185</f>
        <v>0</v>
      </c>
      <c r="AC275">
        <f>'Entrada datos'!AG185</f>
        <v>0</v>
      </c>
      <c r="AD275" s="17">
        <f t="shared" si="71"/>
        <v>0</v>
      </c>
      <c r="AE275">
        <f>'Entrada datos'!AH185</f>
        <v>0</v>
      </c>
      <c r="AF275">
        <f>'Entrada datos'!AI185</f>
        <v>0</v>
      </c>
      <c r="AG275">
        <f>'Entrada datos'!AJ185</f>
        <v>0</v>
      </c>
      <c r="AH275">
        <f>'Entrada datos'!AK185</f>
        <v>0</v>
      </c>
      <c r="AI275">
        <f>'Entrada datos'!AL185</f>
        <v>0</v>
      </c>
      <c r="AJ275">
        <f>'Entrada datos'!AM185</f>
        <v>0</v>
      </c>
      <c r="AK275" s="17">
        <f t="shared" si="72"/>
        <v>0</v>
      </c>
      <c r="AL275">
        <f>'Entrada datos'!AN185</f>
        <v>0</v>
      </c>
      <c r="AM275">
        <f>'Entrada datos'!AO185</f>
        <v>0</v>
      </c>
      <c r="AN275">
        <f>'Entrada datos'!AP185</f>
        <v>0</v>
      </c>
      <c r="AO275">
        <f>'Entrada datos'!AQ185</f>
        <v>0</v>
      </c>
      <c r="AP275">
        <f>'Entrada datos'!AR185</f>
        <v>0</v>
      </c>
      <c r="AQ275">
        <f>'Entrada datos'!AS185</f>
        <v>0</v>
      </c>
      <c r="AR275" s="17">
        <f t="shared" si="73"/>
        <v>0</v>
      </c>
      <c r="AS275" s="23">
        <f t="shared" si="74"/>
        <v>0</v>
      </c>
      <c r="AT275">
        <f t="shared" si="75"/>
        <v>1900</v>
      </c>
      <c r="AU275" s="40" t="str">
        <f t="shared" si="76"/>
        <v>enero</v>
      </c>
      <c r="AV275">
        <f t="shared" si="77"/>
        <v>0</v>
      </c>
      <c r="AW275">
        <f t="shared" si="78"/>
        <v>0</v>
      </c>
      <c r="AX275" s="24">
        <f t="shared" si="79"/>
        <v>0</v>
      </c>
      <c r="AY275" s="24">
        <f t="shared" si="80"/>
        <v>0</v>
      </c>
      <c r="AZ275" s="24">
        <f t="shared" si="81"/>
        <v>0</v>
      </c>
      <c r="BA275">
        <f t="shared" si="82"/>
        <v>0</v>
      </c>
      <c r="BB275">
        <f t="shared" si="83"/>
        <v>0</v>
      </c>
      <c r="BC275" s="24">
        <f t="shared" si="84"/>
        <v>0</v>
      </c>
      <c r="BD275">
        <f t="shared" si="85"/>
        <v>0</v>
      </c>
    </row>
    <row r="276" spans="1:56" x14ac:dyDescent="0.3">
      <c r="A276">
        <f>'Entrada datos'!A186</f>
        <v>0</v>
      </c>
      <c r="B276">
        <f>'Entrada datos'!B186</f>
        <v>0</v>
      </c>
      <c r="C276">
        <f>'Entrada datos'!C186</f>
        <v>0</v>
      </c>
      <c r="D276">
        <f>'Entrada datos'!D186</f>
        <v>0</v>
      </c>
      <c r="E276" s="18">
        <f>'Entrada datos'!G186</f>
        <v>0</v>
      </c>
      <c r="F276" s="18">
        <f>'Entrada datos'!H186</f>
        <v>0</v>
      </c>
      <c r="G276">
        <f>'Entrada datos'!J186</f>
        <v>0</v>
      </c>
      <c r="H276">
        <f>'Entrada datos'!L186</f>
        <v>0</v>
      </c>
      <c r="I276">
        <f>'Entrada datos'!O186</f>
        <v>0</v>
      </c>
      <c r="J276">
        <f>'Entrada datos'!P186</f>
        <v>0</v>
      </c>
      <c r="K276">
        <f>'Entrada datos'!Q186</f>
        <v>0</v>
      </c>
      <c r="L276">
        <f>'Entrada datos'!R186</f>
        <v>0</v>
      </c>
      <c r="M276">
        <f>'Entrada datos'!S186</f>
        <v>0</v>
      </c>
      <c r="N276">
        <f>'Entrada datos'!T186</f>
        <v>0</v>
      </c>
      <c r="O276">
        <f>'Entrada datos'!U186</f>
        <v>0</v>
      </c>
      <c r="P276" s="17">
        <f t="shared" si="69"/>
        <v>0</v>
      </c>
      <c r="Q276">
        <f>'Entrada datos'!V186</f>
        <v>0</v>
      </c>
      <c r="R276">
        <f>'Entrada datos'!W186</f>
        <v>0</v>
      </c>
      <c r="S276">
        <f>'Entrada datos'!X186</f>
        <v>0</v>
      </c>
      <c r="T276">
        <f>'Entrada datos'!Y186</f>
        <v>0</v>
      </c>
      <c r="U276">
        <f>'Entrada datos'!Z186</f>
        <v>0</v>
      </c>
      <c r="V276">
        <f>'Entrada datos'!AA186</f>
        <v>0</v>
      </c>
      <c r="W276" s="17">
        <f t="shared" si="70"/>
        <v>0</v>
      </c>
      <c r="X276">
        <f>'Entrada datos'!AB186</f>
        <v>0</v>
      </c>
      <c r="Y276">
        <f>'Entrada datos'!AC186</f>
        <v>0</v>
      </c>
      <c r="Z276">
        <f>'Entrada datos'!AD186</f>
        <v>0</v>
      </c>
      <c r="AA276">
        <f>'Entrada datos'!AE186</f>
        <v>0</v>
      </c>
      <c r="AB276">
        <f>'Entrada datos'!AF186</f>
        <v>0</v>
      </c>
      <c r="AC276">
        <f>'Entrada datos'!AG186</f>
        <v>0</v>
      </c>
      <c r="AD276" s="17">
        <f t="shared" si="71"/>
        <v>0</v>
      </c>
      <c r="AE276">
        <f>'Entrada datos'!AH186</f>
        <v>0</v>
      </c>
      <c r="AF276">
        <f>'Entrada datos'!AI186</f>
        <v>0</v>
      </c>
      <c r="AG276">
        <f>'Entrada datos'!AJ186</f>
        <v>0</v>
      </c>
      <c r="AH276">
        <f>'Entrada datos'!AK186</f>
        <v>0</v>
      </c>
      <c r="AI276">
        <f>'Entrada datos'!AL186</f>
        <v>0</v>
      </c>
      <c r="AJ276">
        <f>'Entrada datos'!AM186</f>
        <v>0</v>
      </c>
      <c r="AK276" s="17">
        <f t="shared" si="72"/>
        <v>0</v>
      </c>
      <c r="AL276">
        <f>'Entrada datos'!AN186</f>
        <v>0</v>
      </c>
      <c r="AM276">
        <f>'Entrada datos'!AO186</f>
        <v>0</v>
      </c>
      <c r="AN276">
        <f>'Entrada datos'!AP186</f>
        <v>0</v>
      </c>
      <c r="AO276">
        <f>'Entrada datos'!AQ186</f>
        <v>0</v>
      </c>
      <c r="AP276">
        <f>'Entrada datos'!AR186</f>
        <v>0</v>
      </c>
      <c r="AQ276">
        <f>'Entrada datos'!AS186</f>
        <v>0</v>
      </c>
      <c r="AR276" s="17">
        <f t="shared" si="73"/>
        <v>0</v>
      </c>
      <c r="AS276" s="23">
        <f t="shared" si="74"/>
        <v>0</v>
      </c>
      <c r="AT276">
        <f t="shared" si="75"/>
        <v>1900</v>
      </c>
      <c r="AU276" s="40" t="str">
        <f t="shared" si="76"/>
        <v>enero</v>
      </c>
      <c r="AV276">
        <f t="shared" si="77"/>
        <v>0</v>
      </c>
      <c r="AW276">
        <f t="shared" si="78"/>
        <v>0</v>
      </c>
      <c r="AX276" s="24">
        <f t="shared" si="79"/>
        <v>0</v>
      </c>
      <c r="AY276" s="24">
        <f t="shared" si="80"/>
        <v>0</v>
      </c>
      <c r="AZ276" s="24">
        <f t="shared" si="81"/>
        <v>0</v>
      </c>
      <c r="BA276">
        <f t="shared" si="82"/>
        <v>0</v>
      </c>
      <c r="BB276">
        <f t="shared" si="83"/>
        <v>0</v>
      </c>
      <c r="BC276" s="24">
        <f t="shared" si="84"/>
        <v>0</v>
      </c>
      <c r="BD276">
        <f t="shared" si="85"/>
        <v>0</v>
      </c>
    </row>
    <row r="277" spans="1:56" x14ac:dyDescent="0.3">
      <c r="A277">
        <f>'Entrada datos'!A187</f>
        <v>0</v>
      </c>
      <c r="B277">
        <f>'Entrada datos'!B187</f>
        <v>0</v>
      </c>
      <c r="C277">
        <f>'Entrada datos'!C187</f>
        <v>0</v>
      </c>
      <c r="D277">
        <f>'Entrada datos'!D187</f>
        <v>0</v>
      </c>
      <c r="E277" s="18">
        <f>'Entrada datos'!G187</f>
        <v>0</v>
      </c>
      <c r="F277" s="18">
        <f>'Entrada datos'!H187</f>
        <v>0</v>
      </c>
      <c r="G277">
        <f>'Entrada datos'!J187</f>
        <v>0</v>
      </c>
      <c r="H277">
        <f>'Entrada datos'!L187</f>
        <v>0</v>
      </c>
      <c r="I277">
        <f>'Entrada datos'!O187</f>
        <v>0</v>
      </c>
      <c r="J277">
        <f>'Entrada datos'!P187</f>
        <v>0</v>
      </c>
      <c r="K277">
        <f>'Entrada datos'!Q187</f>
        <v>0</v>
      </c>
      <c r="L277">
        <f>'Entrada datos'!R187</f>
        <v>0</v>
      </c>
      <c r="M277">
        <f>'Entrada datos'!S187</f>
        <v>0</v>
      </c>
      <c r="N277">
        <f>'Entrada datos'!T187</f>
        <v>0</v>
      </c>
      <c r="O277">
        <f>'Entrada datos'!U187</f>
        <v>0</v>
      </c>
      <c r="P277" s="17">
        <f t="shared" si="69"/>
        <v>0</v>
      </c>
      <c r="Q277">
        <f>'Entrada datos'!V187</f>
        <v>0</v>
      </c>
      <c r="R277">
        <f>'Entrada datos'!W187</f>
        <v>0</v>
      </c>
      <c r="S277">
        <f>'Entrada datos'!X187</f>
        <v>0</v>
      </c>
      <c r="T277">
        <f>'Entrada datos'!Y187</f>
        <v>0</v>
      </c>
      <c r="U277">
        <f>'Entrada datos'!Z187</f>
        <v>0</v>
      </c>
      <c r="V277">
        <f>'Entrada datos'!AA187</f>
        <v>0</v>
      </c>
      <c r="W277" s="17">
        <f t="shared" si="70"/>
        <v>0</v>
      </c>
      <c r="X277">
        <f>'Entrada datos'!AB187</f>
        <v>0</v>
      </c>
      <c r="Y277">
        <f>'Entrada datos'!AC187</f>
        <v>0</v>
      </c>
      <c r="Z277">
        <f>'Entrada datos'!AD187</f>
        <v>0</v>
      </c>
      <c r="AA277">
        <f>'Entrada datos'!AE187</f>
        <v>0</v>
      </c>
      <c r="AB277">
        <f>'Entrada datos'!AF187</f>
        <v>0</v>
      </c>
      <c r="AC277">
        <f>'Entrada datos'!AG187</f>
        <v>0</v>
      </c>
      <c r="AD277" s="17">
        <f t="shared" si="71"/>
        <v>0</v>
      </c>
      <c r="AE277">
        <f>'Entrada datos'!AH187</f>
        <v>0</v>
      </c>
      <c r="AF277">
        <f>'Entrada datos'!AI187</f>
        <v>0</v>
      </c>
      <c r="AG277">
        <f>'Entrada datos'!AJ187</f>
        <v>0</v>
      </c>
      <c r="AH277">
        <f>'Entrada datos'!AK187</f>
        <v>0</v>
      </c>
      <c r="AI277">
        <f>'Entrada datos'!AL187</f>
        <v>0</v>
      </c>
      <c r="AJ277">
        <f>'Entrada datos'!AM187</f>
        <v>0</v>
      </c>
      <c r="AK277" s="17">
        <f t="shared" si="72"/>
        <v>0</v>
      </c>
      <c r="AL277">
        <f>'Entrada datos'!AN187</f>
        <v>0</v>
      </c>
      <c r="AM277">
        <f>'Entrada datos'!AO187</f>
        <v>0</v>
      </c>
      <c r="AN277">
        <f>'Entrada datos'!AP187</f>
        <v>0</v>
      </c>
      <c r="AO277">
        <f>'Entrada datos'!AQ187</f>
        <v>0</v>
      </c>
      <c r="AP277">
        <f>'Entrada datos'!AR187</f>
        <v>0</v>
      </c>
      <c r="AQ277">
        <f>'Entrada datos'!AS187</f>
        <v>0</v>
      </c>
      <c r="AR277" s="17">
        <f t="shared" si="73"/>
        <v>0</v>
      </c>
      <c r="AS277" s="23">
        <f t="shared" si="74"/>
        <v>0</v>
      </c>
      <c r="AT277">
        <f t="shared" si="75"/>
        <v>1900</v>
      </c>
      <c r="AU277" s="40" t="str">
        <f t="shared" si="76"/>
        <v>enero</v>
      </c>
      <c r="AV277">
        <f t="shared" si="77"/>
        <v>0</v>
      </c>
      <c r="AW277">
        <f t="shared" si="78"/>
        <v>0</v>
      </c>
      <c r="AX277" s="24">
        <f t="shared" si="79"/>
        <v>0</v>
      </c>
      <c r="AY277" s="24">
        <f t="shared" si="80"/>
        <v>0</v>
      </c>
      <c r="AZ277" s="24">
        <f t="shared" si="81"/>
        <v>0</v>
      </c>
      <c r="BA277">
        <f t="shared" si="82"/>
        <v>0</v>
      </c>
      <c r="BB277">
        <f t="shared" si="83"/>
        <v>0</v>
      </c>
      <c r="BC277" s="24">
        <f t="shared" si="84"/>
        <v>0</v>
      </c>
      <c r="BD277">
        <f t="shared" si="85"/>
        <v>0</v>
      </c>
    </row>
    <row r="278" spans="1:56" x14ac:dyDescent="0.3">
      <c r="A278">
        <f>'Entrada datos'!A188</f>
        <v>0</v>
      </c>
      <c r="B278">
        <f>'Entrada datos'!B188</f>
        <v>0</v>
      </c>
      <c r="C278">
        <f>'Entrada datos'!C188</f>
        <v>0</v>
      </c>
      <c r="D278">
        <f>'Entrada datos'!D188</f>
        <v>0</v>
      </c>
      <c r="E278" s="18">
        <f>'Entrada datos'!G188</f>
        <v>0</v>
      </c>
      <c r="F278" s="18">
        <f>'Entrada datos'!H188</f>
        <v>0</v>
      </c>
      <c r="G278">
        <f>'Entrada datos'!J188</f>
        <v>0</v>
      </c>
      <c r="H278">
        <f>'Entrada datos'!L188</f>
        <v>0</v>
      </c>
      <c r="I278">
        <f>'Entrada datos'!O188</f>
        <v>0</v>
      </c>
      <c r="J278">
        <f>'Entrada datos'!P188</f>
        <v>0</v>
      </c>
      <c r="K278">
        <f>'Entrada datos'!Q188</f>
        <v>0</v>
      </c>
      <c r="L278">
        <f>'Entrada datos'!R188</f>
        <v>0</v>
      </c>
      <c r="M278">
        <f>'Entrada datos'!S188</f>
        <v>0</v>
      </c>
      <c r="N278">
        <f>'Entrada datos'!T188</f>
        <v>0</v>
      </c>
      <c r="O278">
        <f>'Entrada datos'!U188</f>
        <v>0</v>
      </c>
      <c r="P278" s="17">
        <f t="shared" si="69"/>
        <v>0</v>
      </c>
      <c r="Q278">
        <f>'Entrada datos'!V188</f>
        <v>0</v>
      </c>
      <c r="R278">
        <f>'Entrada datos'!W188</f>
        <v>0</v>
      </c>
      <c r="S278">
        <f>'Entrada datos'!X188</f>
        <v>0</v>
      </c>
      <c r="T278">
        <f>'Entrada datos'!Y188</f>
        <v>0</v>
      </c>
      <c r="U278">
        <f>'Entrada datos'!Z188</f>
        <v>0</v>
      </c>
      <c r="V278">
        <f>'Entrada datos'!AA188</f>
        <v>0</v>
      </c>
      <c r="W278" s="17">
        <f t="shared" si="70"/>
        <v>0</v>
      </c>
      <c r="X278">
        <f>'Entrada datos'!AB188</f>
        <v>0</v>
      </c>
      <c r="Y278">
        <f>'Entrada datos'!AC188</f>
        <v>0</v>
      </c>
      <c r="Z278">
        <f>'Entrada datos'!AD188</f>
        <v>0</v>
      </c>
      <c r="AA278">
        <f>'Entrada datos'!AE188</f>
        <v>0</v>
      </c>
      <c r="AB278">
        <f>'Entrada datos'!AF188</f>
        <v>0</v>
      </c>
      <c r="AC278">
        <f>'Entrada datos'!AG188</f>
        <v>0</v>
      </c>
      <c r="AD278" s="17">
        <f t="shared" si="71"/>
        <v>0</v>
      </c>
      <c r="AE278">
        <f>'Entrada datos'!AH188</f>
        <v>0</v>
      </c>
      <c r="AF278">
        <f>'Entrada datos'!AI188</f>
        <v>0</v>
      </c>
      <c r="AG278">
        <f>'Entrada datos'!AJ188</f>
        <v>0</v>
      </c>
      <c r="AH278">
        <f>'Entrada datos'!AK188</f>
        <v>0</v>
      </c>
      <c r="AI278">
        <f>'Entrada datos'!AL188</f>
        <v>0</v>
      </c>
      <c r="AJ278">
        <f>'Entrada datos'!AM188</f>
        <v>0</v>
      </c>
      <c r="AK278" s="17">
        <f t="shared" si="72"/>
        <v>0</v>
      </c>
      <c r="AL278">
        <f>'Entrada datos'!AN188</f>
        <v>0</v>
      </c>
      <c r="AM278">
        <f>'Entrada datos'!AO188</f>
        <v>0</v>
      </c>
      <c r="AN278">
        <f>'Entrada datos'!AP188</f>
        <v>0</v>
      </c>
      <c r="AO278">
        <f>'Entrada datos'!AQ188</f>
        <v>0</v>
      </c>
      <c r="AP278">
        <f>'Entrada datos'!AR188</f>
        <v>0</v>
      </c>
      <c r="AQ278">
        <f>'Entrada datos'!AS188</f>
        <v>0</v>
      </c>
      <c r="AR278" s="17">
        <f t="shared" si="73"/>
        <v>0</v>
      </c>
      <c r="AS278" s="23">
        <f t="shared" si="74"/>
        <v>0</v>
      </c>
      <c r="AT278">
        <f t="shared" si="75"/>
        <v>1900</v>
      </c>
      <c r="AU278" s="40" t="str">
        <f t="shared" si="76"/>
        <v>enero</v>
      </c>
      <c r="AV278">
        <f t="shared" si="77"/>
        <v>0</v>
      </c>
      <c r="AW278">
        <f t="shared" si="78"/>
        <v>0</v>
      </c>
      <c r="AX278" s="24">
        <f t="shared" si="79"/>
        <v>0</v>
      </c>
      <c r="AY278" s="24">
        <f t="shared" si="80"/>
        <v>0</v>
      </c>
      <c r="AZ278" s="24">
        <f t="shared" si="81"/>
        <v>0</v>
      </c>
      <c r="BA278">
        <f t="shared" si="82"/>
        <v>0</v>
      </c>
      <c r="BB278">
        <f t="shared" si="83"/>
        <v>0</v>
      </c>
      <c r="BC278" s="24">
        <f t="shared" si="84"/>
        <v>0</v>
      </c>
      <c r="BD278">
        <f t="shared" si="85"/>
        <v>0</v>
      </c>
    </row>
    <row r="279" spans="1:56" x14ac:dyDescent="0.3">
      <c r="A279">
        <f>'Entrada datos'!A189</f>
        <v>0</v>
      </c>
      <c r="B279">
        <f>'Entrada datos'!B189</f>
        <v>0</v>
      </c>
      <c r="C279">
        <f>'Entrada datos'!C189</f>
        <v>0</v>
      </c>
      <c r="D279">
        <f>'Entrada datos'!D189</f>
        <v>0</v>
      </c>
      <c r="E279" s="18">
        <f>'Entrada datos'!G189</f>
        <v>0</v>
      </c>
      <c r="F279" s="18">
        <f>'Entrada datos'!H189</f>
        <v>0</v>
      </c>
      <c r="G279">
        <f>'Entrada datos'!J189</f>
        <v>0</v>
      </c>
      <c r="H279">
        <f>'Entrada datos'!L189</f>
        <v>0</v>
      </c>
      <c r="I279">
        <f>'Entrada datos'!O189</f>
        <v>0</v>
      </c>
      <c r="J279">
        <f>'Entrada datos'!P189</f>
        <v>0</v>
      </c>
      <c r="K279">
        <f>'Entrada datos'!Q189</f>
        <v>0</v>
      </c>
      <c r="L279">
        <f>'Entrada datos'!R189</f>
        <v>0</v>
      </c>
      <c r="M279">
        <f>'Entrada datos'!S189</f>
        <v>0</v>
      </c>
      <c r="N279">
        <f>'Entrada datos'!T189</f>
        <v>0</v>
      </c>
      <c r="O279">
        <f>'Entrada datos'!U189</f>
        <v>0</v>
      </c>
      <c r="P279" s="17">
        <f t="shared" si="69"/>
        <v>0</v>
      </c>
      <c r="Q279">
        <f>'Entrada datos'!V189</f>
        <v>0</v>
      </c>
      <c r="R279">
        <f>'Entrada datos'!W189</f>
        <v>0</v>
      </c>
      <c r="S279">
        <f>'Entrada datos'!X189</f>
        <v>0</v>
      </c>
      <c r="T279">
        <f>'Entrada datos'!Y189</f>
        <v>0</v>
      </c>
      <c r="U279">
        <f>'Entrada datos'!Z189</f>
        <v>0</v>
      </c>
      <c r="V279">
        <f>'Entrada datos'!AA189</f>
        <v>0</v>
      </c>
      <c r="W279" s="17">
        <f t="shared" si="70"/>
        <v>0</v>
      </c>
      <c r="X279">
        <f>'Entrada datos'!AB189</f>
        <v>0</v>
      </c>
      <c r="Y279">
        <f>'Entrada datos'!AC189</f>
        <v>0</v>
      </c>
      <c r="Z279">
        <f>'Entrada datos'!AD189</f>
        <v>0</v>
      </c>
      <c r="AA279">
        <f>'Entrada datos'!AE189</f>
        <v>0</v>
      </c>
      <c r="AB279">
        <f>'Entrada datos'!AF189</f>
        <v>0</v>
      </c>
      <c r="AC279">
        <f>'Entrada datos'!AG189</f>
        <v>0</v>
      </c>
      <c r="AD279" s="17">
        <f t="shared" si="71"/>
        <v>0</v>
      </c>
      <c r="AE279">
        <f>'Entrada datos'!AH189</f>
        <v>0</v>
      </c>
      <c r="AF279">
        <f>'Entrada datos'!AI189</f>
        <v>0</v>
      </c>
      <c r="AG279">
        <f>'Entrada datos'!AJ189</f>
        <v>0</v>
      </c>
      <c r="AH279">
        <f>'Entrada datos'!AK189</f>
        <v>0</v>
      </c>
      <c r="AI279">
        <f>'Entrada datos'!AL189</f>
        <v>0</v>
      </c>
      <c r="AJ279">
        <f>'Entrada datos'!AM189</f>
        <v>0</v>
      </c>
      <c r="AK279" s="17">
        <f t="shared" si="72"/>
        <v>0</v>
      </c>
      <c r="AL279">
        <f>'Entrada datos'!AN189</f>
        <v>0</v>
      </c>
      <c r="AM279">
        <f>'Entrada datos'!AO189</f>
        <v>0</v>
      </c>
      <c r="AN279">
        <f>'Entrada datos'!AP189</f>
        <v>0</v>
      </c>
      <c r="AO279">
        <f>'Entrada datos'!AQ189</f>
        <v>0</v>
      </c>
      <c r="AP279">
        <f>'Entrada datos'!AR189</f>
        <v>0</v>
      </c>
      <c r="AQ279">
        <f>'Entrada datos'!AS189</f>
        <v>0</v>
      </c>
      <c r="AR279" s="17">
        <f t="shared" si="73"/>
        <v>0</v>
      </c>
      <c r="AS279" s="23">
        <f t="shared" si="74"/>
        <v>0</v>
      </c>
      <c r="AT279">
        <f t="shared" si="75"/>
        <v>1900</v>
      </c>
      <c r="AU279" s="40" t="str">
        <f t="shared" si="76"/>
        <v>enero</v>
      </c>
      <c r="AV279">
        <f t="shared" si="77"/>
        <v>0</v>
      </c>
      <c r="AW279">
        <f t="shared" si="78"/>
        <v>0</v>
      </c>
      <c r="AX279" s="24">
        <f t="shared" si="79"/>
        <v>0</v>
      </c>
      <c r="AY279" s="24">
        <f t="shared" si="80"/>
        <v>0</v>
      </c>
      <c r="AZ279" s="24">
        <f t="shared" si="81"/>
        <v>0</v>
      </c>
      <c r="BA279">
        <f t="shared" si="82"/>
        <v>0</v>
      </c>
      <c r="BB279">
        <f t="shared" si="83"/>
        <v>0</v>
      </c>
      <c r="BC279" s="24">
        <f t="shared" si="84"/>
        <v>0</v>
      </c>
      <c r="BD279">
        <f t="shared" si="85"/>
        <v>0</v>
      </c>
    </row>
    <row r="280" spans="1:56" x14ac:dyDescent="0.3">
      <c r="A280">
        <f>'Entrada datos'!A190</f>
        <v>0</v>
      </c>
      <c r="B280">
        <f>'Entrada datos'!B190</f>
        <v>0</v>
      </c>
      <c r="C280">
        <f>'Entrada datos'!C190</f>
        <v>0</v>
      </c>
      <c r="D280">
        <f>'Entrada datos'!D190</f>
        <v>0</v>
      </c>
      <c r="E280" s="18">
        <f>'Entrada datos'!G190</f>
        <v>0</v>
      </c>
      <c r="F280" s="18">
        <f>'Entrada datos'!H190</f>
        <v>0</v>
      </c>
      <c r="G280">
        <f>'Entrada datos'!J190</f>
        <v>0</v>
      </c>
      <c r="H280">
        <f>'Entrada datos'!L190</f>
        <v>0</v>
      </c>
      <c r="I280">
        <f>'Entrada datos'!O190</f>
        <v>0</v>
      </c>
      <c r="J280">
        <f>'Entrada datos'!P190</f>
        <v>0</v>
      </c>
      <c r="K280">
        <f>'Entrada datos'!Q190</f>
        <v>0</v>
      </c>
      <c r="L280">
        <f>'Entrada datos'!R190</f>
        <v>0</v>
      </c>
      <c r="M280">
        <f>'Entrada datos'!S190</f>
        <v>0</v>
      </c>
      <c r="N280">
        <f>'Entrada datos'!T190</f>
        <v>0</v>
      </c>
      <c r="O280">
        <f>'Entrada datos'!U190</f>
        <v>0</v>
      </c>
      <c r="P280" s="17">
        <f t="shared" si="69"/>
        <v>0</v>
      </c>
      <c r="Q280">
        <f>'Entrada datos'!V190</f>
        <v>0</v>
      </c>
      <c r="R280">
        <f>'Entrada datos'!W190</f>
        <v>0</v>
      </c>
      <c r="S280">
        <f>'Entrada datos'!X190</f>
        <v>0</v>
      </c>
      <c r="T280">
        <f>'Entrada datos'!Y190</f>
        <v>0</v>
      </c>
      <c r="U280">
        <f>'Entrada datos'!Z190</f>
        <v>0</v>
      </c>
      <c r="V280">
        <f>'Entrada datos'!AA190</f>
        <v>0</v>
      </c>
      <c r="W280" s="17">
        <f t="shared" si="70"/>
        <v>0</v>
      </c>
      <c r="X280">
        <f>'Entrada datos'!AB190</f>
        <v>0</v>
      </c>
      <c r="Y280">
        <f>'Entrada datos'!AC190</f>
        <v>0</v>
      </c>
      <c r="Z280">
        <f>'Entrada datos'!AD190</f>
        <v>0</v>
      </c>
      <c r="AA280">
        <f>'Entrada datos'!AE190</f>
        <v>0</v>
      </c>
      <c r="AB280">
        <f>'Entrada datos'!AF190</f>
        <v>0</v>
      </c>
      <c r="AC280">
        <f>'Entrada datos'!AG190</f>
        <v>0</v>
      </c>
      <c r="AD280" s="17">
        <f t="shared" si="71"/>
        <v>0</v>
      </c>
      <c r="AE280">
        <f>'Entrada datos'!AH190</f>
        <v>0</v>
      </c>
      <c r="AF280">
        <f>'Entrada datos'!AI190</f>
        <v>0</v>
      </c>
      <c r="AG280">
        <f>'Entrada datos'!AJ190</f>
        <v>0</v>
      </c>
      <c r="AH280">
        <f>'Entrada datos'!AK190</f>
        <v>0</v>
      </c>
      <c r="AI280">
        <f>'Entrada datos'!AL190</f>
        <v>0</v>
      </c>
      <c r="AJ280">
        <f>'Entrada datos'!AM190</f>
        <v>0</v>
      </c>
      <c r="AK280" s="17">
        <f t="shared" si="72"/>
        <v>0</v>
      </c>
      <c r="AL280">
        <f>'Entrada datos'!AN190</f>
        <v>0</v>
      </c>
      <c r="AM280">
        <f>'Entrada datos'!AO190</f>
        <v>0</v>
      </c>
      <c r="AN280">
        <f>'Entrada datos'!AP190</f>
        <v>0</v>
      </c>
      <c r="AO280">
        <f>'Entrada datos'!AQ190</f>
        <v>0</v>
      </c>
      <c r="AP280">
        <f>'Entrada datos'!AR190</f>
        <v>0</v>
      </c>
      <c r="AQ280">
        <f>'Entrada datos'!AS190</f>
        <v>0</v>
      </c>
      <c r="AR280" s="17">
        <f t="shared" si="73"/>
        <v>0</v>
      </c>
      <c r="AS280" s="23">
        <f t="shared" si="74"/>
        <v>0</v>
      </c>
      <c r="AT280">
        <f t="shared" si="75"/>
        <v>1900</v>
      </c>
      <c r="AU280" s="40" t="str">
        <f t="shared" si="76"/>
        <v>enero</v>
      </c>
      <c r="AV280">
        <f t="shared" si="77"/>
        <v>0</v>
      </c>
      <c r="AW280">
        <f t="shared" si="78"/>
        <v>0</v>
      </c>
      <c r="AX280" s="24">
        <f t="shared" si="79"/>
        <v>0</v>
      </c>
      <c r="AY280" s="24">
        <f t="shared" si="80"/>
        <v>0</v>
      </c>
      <c r="AZ280" s="24">
        <f t="shared" si="81"/>
        <v>0</v>
      </c>
      <c r="BA280">
        <f t="shared" si="82"/>
        <v>0</v>
      </c>
      <c r="BB280">
        <f t="shared" si="83"/>
        <v>0</v>
      </c>
      <c r="BC280" s="24">
        <f t="shared" si="84"/>
        <v>0</v>
      </c>
      <c r="BD280">
        <f t="shared" si="85"/>
        <v>0</v>
      </c>
    </row>
    <row r="281" spans="1:56" x14ac:dyDescent="0.3">
      <c r="A281">
        <f>'Entrada datos'!A191</f>
        <v>0</v>
      </c>
      <c r="B281">
        <f>'Entrada datos'!B191</f>
        <v>0</v>
      </c>
      <c r="C281">
        <f>'Entrada datos'!C191</f>
        <v>0</v>
      </c>
      <c r="D281">
        <f>'Entrada datos'!D191</f>
        <v>0</v>
      </c>
      <c r="E281" s="18">
        <f>'Entrada datos'!G191</f>
        <v>0</v>
      </c>
      <c r="F281" s="18">
        <f>'Entrada datos'!H191</f>
        <v>0</v>
      </c>
      <c r="G281">
        <f>'Entrada datos'!J191</f>
        <v>0</v>
      </c>
      <c r="H281">
        <f>'Entrada datos'!L191</f>
        <v>0</v>
      </c>
      <c r="I281">
        <f>'Entrada datos'!O191</f>
        <v>0</v>
      </c>
      <c r="J281">
        <f>'Entrada datos'!P191</f>
        <v>0</v>
      </c>
      <c r="K281">
        <f>'Entrada datos'!Q191</f>
        <v>0</v>
      </c>
      <c r="L281">
        <f>'Entrada datos'!R191</f>
        <v>0</v>
      </c>
      <c r="M281">
        <f>'Entrada datos'!S191</f>
        <v>0</v>
      </c>
      <c r="N281">
        <f>'Entrada datos'!T191</f>
        <v>0</v>
      </c>
      <c r="O281">
        <f>'Entrada datos'!U191</f>
        <v>0</v>
      </c>
      <c r="P281" s="17">
        <f t="shared" si="69"/>
        <v>0</v>
      </c>
      <c r="Q281">
        <f>'Entrada datos'!V191</f>
        <v>0</v>
      </c>
      <c r="R281">
        <f>'Entrada datos'!W191</f>
        <v>0</v>
      </c>
      <c r="S281">
        <f>'Entrada datos'!X191</f>
        <v>0</v>
      </c>
      <c r="T281">
        <f>'Entrada datos'!Y191</f>
        <v>0</v>
      </c>
      <c r="U281">
        <f>'Entrada datos'!Z191</f>
        <v>0</v>
      </c>
      <c r="V281">
        <f>'Entrada datos'!AA191</f>
        <v>0</v>
      </c>
      <c r="W281" s="17">
        <f t="shared" si="70"/>
        <v>0</v>
      </c>
      <c r="X281">
        <f>'Entrada datos'!AB191</f>
        <v>0</v>
      </c>
      <c r="Y281">
        <f>'Entrada datos'!AC191</f>
        <v>0</v>
      </c>
      <c r="Z281">
        <f>'Entrada datos'!AD191</f>
        <v>0</v>
      </c>
      <c r="AA281">
        <f>'Entrada datos'!AE191</f>
        <v>0</v>
      </c>
      <c r="AB281">
        <f>'Entrada datos'!AF191</f>
        <v>0</v>
      </c>
      <c r="AC281">
        <f>'Entrada datos'!AG191</f>
        <v>0</v>
      </c>
      <c r="AD281" s="17">
        <f t="shared" si="71"/>
        <v>0</v>
      </c>
      <c r="AE281">
        <f>'Entrada datos'!AH191</f>
        <v>0</v>
      </c>
      <c r="AF281">
        <f>'Entrada datos'!AI191</f>
        <v>0</v>
      </c>
      <c r="AG281">
        <f>'Entrada datos'!AJ191</f>
        <v>0</v>
      </c>
      <c r="AH281">
        <f>'Entrada datos'!AK191</f>
        <v>0</v>
      </c>
      <c r="AI281">
        <f>'Entrada datos'!AL191</f>
        <v>0</v>
      </c>
      <c r="AJ281">
        <f>'Entrada datos'!AM191</f>
        <v>0</v>
      </c>
      <c r="AK281" s="17">
        <f t="shared" si="72"/>
        <v>0</v>
      </c>
      <c r="AL281">
        <f>'Entrada datos'!AN191</f>
        <v>0</v>
      </c>
      <c r="AM281">
        <f>'Entrada datos'!AO191</f>
        <v>0</v>
      </c>
      <c r="AN281">
        <f>'Entrada datos'!AP191</f>
        <v>0</v>
      </c>
      <c r="AO281">
        <f>'Entrada datos'!AQ191</f>
        <v>0</v>
      </c>
      <c r="AP281">
        <f>'Entrada datos'!AR191</f>
        <v>0</v>
      </c>
      <c r="AQ281">
        <f>'Entrada datos'!AS191</f>
        <v>0</v>
      </c>
      <c r="AR281" s="17">
        <f t="shared" si="73"/>
        <v>0</v>
      </c>
      <c r="AS281" s="23">
        <f t="shared" si="74"/>
        <v>0</v>
      </c>
      <c r="AT281">
        <f t="shared" si="75"/>
        <v>1900</v>
      </c>
      <c r="AU281" s="40" t="str">
        <f t="shared" si="76"/>
        <v>enero</v>
      </c>
      <c r="AV281">
        <f t="shared" si="77"/>
        <v>0</v>
      </c>
      <c r="AW281">
        <f t="shared" si="78"/>
        <v>0</v>
      </c>
      <c r="AX281" s="24">
        <f t="shared" si="79"/>
        <v>0</v>
      </c>
      <c r="AY281" s="24">
        <f t="shared" si="80"/>
        <v>0</v>
      </c>
      <c r="AZ281" s="24">
        <f t="shared" si="81"/>
        <v>0</v>
      </c>
      <c r="BA281">
        <f t="shared" si="82"/>
        <v>0</v>
      </c>
      <c r="BB281">
        <f t="shared" si="83"/>
        <v>0</v>
      </c>
      <c r="BC281" s="24">
        <f t="shared" si="84"/>
        <v>0</v>
      </c>
      <c r="BD281">
        <f t="shared" si="85"/>
        <v>0</v>
      </c>
    </row>
    <row r="282" spans="1:56" x14ac:dyDescent="0.3">
      <c r="A282">
        <f>'Entrada datos'!A192</f>
        <v>0</v>
      </c>
      <c r="B282">
        <f>'Entrada datos'!B192</f>
        <v>0</v>
      </c>
      <c r="C282">
        <f>'Entrada datos'!C192</f>
        <v>0</v>
      </c>
      <c r="D282">
        <f>'Entrada datos'!D192</f>
        <v>0</v>
      </c>
      <c r="E282" s="18">
        <f>'Entrada datos'!G192</f>
        <v>0</v>
      </c>
      <c r="F282" s="18">
        <f>'Entrada datos'!H192</f>
        <v>0</v>
      </c>
      <c r="G282">
        <f>'Entrada datos'!J192</f>
        <v>0</v>
      </c>
      <c r="H282">
        <f>'Entrada datos'!L192</f>
        <v>0</v>
      </c>
      <c r="I282">
        <f>'Entrada datos'!O192</f>
        <v>0</v>
      </c>
      <c r="J282">
        <f>'Entrada datos'!P192</f>
        <v>0</v>
      </c>
      <c r="K282">
        <f>'Entrada datos'!Q192</f>
        <v>0</v>
      </c>
      <c r="L282">
        <f>'Entrada datos'!R192</f>
        <v>0</v>
      </c>
      <c r="M282">
        <f>'Entrada datos'!S192</f>
        <v>0</v>
      </c>
      <c r="N282">
        <f>'Entrada datos'!T192</f>
        <v>0</v>
      </c>
      <c r="O282">
        <f>'Entrada datos'!U192</f>
        <v>0</v>
      </c>
      <c r="P282" s="17">
        <f t="shared" si="69"/>
        <v>0</v>
      </c>
      <c r="Q282">
        <f>'Entrada datos'!V192</f>
        <v>0</v>
      </c>
      <c r="R282">
        <f>'Entrada datos'!W192</f>
        <v>0</v>
      </c>
      <c r="S282">
        <f>'Entrada datos'!X192</f>
        <v>0</v>
      </c>
      <c r="T282">
        <f>'Entrada datos'!Y192</f>
        <v>0</v>
      </c>
      <c r="U282">
        <f>'Entrada datos'!Z192</f>
        <v>0</v>
      </c>
      <c r="V282">
        <f>'Entrada datos'!AA192</f>
        <v>0</v>
      </c>
      <c r="W282" s="17">
        <f t="shared" si="70"/>
        <v>0</v>
      </c>
      <c r="X282">
        <f>'Entrada datos'!AB192</f>
        <v>0</v>
      </c>
      <c r="Y282">
        <f>'Entrada datos'!AC192</f>
        <v>0</v>
      </c>
      <c r="Z282">
        <f>'Entrada datos'!AD192</f>
        <v>0</v>
      </c>
      <c r="AA282">
        <f>'Entrada datos'!AE192</f>
        <v>0</v>
      </c>
      <c r="AB282">
        <f>'Entrada datos'!AF192</f>
        <v>0</v>
      </c>
      <c r="AC282">
        <f>'Entrada datos'!AG192</f>
        <v>0</v>
      </c>
      <c r="AD282" s="17">
        <f t="shared" si="71"/>
        <v>0</v>
      </c>
      <c r="AE282">
        <f>'Entrada datos'!AH192</f>
        <v>0</v>
      </c>
      <c r="AF282">
        <f>'Entrada datos'!AI192</f>
        <v>0</v>
      </c>
      <c r="AG282">
        <f>'Entrada datos'!AJ192</f>
        <v>0</v>
      </c>
      <c r="AH282">
        <f>'Entrada datos'!AK192</f>
        <v>0</v>
      </c>
      <c r="AI282">
        <f>'Entrada datos'!AL192</f>
        <v>0</v>
      </c>
      <c r="AJ282">
        <f>'Entrada datos'!AM192</f>
        <v>0</v>
      </c>
      <c r="AK282" s="17">
        <f t="shared" si="72"/>
        <v>0</v>
      </c>
      <c r="AL282">
        <f>'Entrada datos'!AN192</f>
        <v>0</v>
      </c>
      <c r="AM282">
        <f>'Entrada datos'!AO192</f>
        <v>0</v>
      </c>
      <c r="AN282">
        <f>'Entrada datos'!AP192</f>
        <v>0</v>
      </c>
      <c r="AO282">
        <f>'Entrada datos'!AQ192</f>
        <v>0</v>
      </c>
      <c r="AP282">
        <f>'Entrada datos'!AR192</f>
        <v>0</v>
      </c>
      <c r="AQ282">
        <f>'Entrada datos'!AS192</f>
        <v>0</v>
      </c>
      <c r="AR282" s="17">
        <f t="shared" si="73"/>
        <v>0</v>
      </c>
      <c r="AS282" s="23">
        <f t="shared" si="74"/>
        <v>0</v>
      </c>
      <c r="AT282">
        <f t="shared" si="75"/>
        <v>1900</v>
      </c>
      <c r="AU282" s="40" t="str">
        <f t="shared" si="76"/>
        <v>enero</v>
      </c>
      <c r="AV282">
        <f t="shared" si="77"/>
        <v>0</v>
      </c>
      <c r="AW282">
        <f t="shared" si="78"/>
        <v>0</v>
      </c>
      <c r="AX282" s="24">
        <f t="shared" si="79"/>
        <v>0</v>
      </c>
      <c r="AY282" s="24">
        <f t="shared" si="80"/>
        <v>0</v>
      </c>
      <c r="AZ282" s="24">
        <f t="shared" si="81"/>
        <v>0</v>
      </c>
      <c r="BA282">
        <f t="shared" si="82"/>
        <v>0</v>
      </c>
      <c r="BB282">
        <f t="shared" si="83"/>
        <v>0</v>
      </c>
      <c r="BC282" s="24">
        <f t="shared" si="84"/>
        <v>0</v>
      </c>
      <c r="BD282">
        <f t="shared" si="85"/>
        <v>0</v>
      </c>
    </row>
    <row r="283" spans="1:56" x14ac:dyDescent="0.3">
      <c r="A283">
        <f>'Entrada datos'!A193</f>
        <v>0</v>
      </c>
      <c r="B283">
        <f>'Entrada datos'!B193</f>
        <v>0</v>
      </c>
      <c r="C283">
        <f>'Entrada datos'!C193</f>
        <v>0</v>
      </c>
      <c r="D283">
        <f>'Entrada datos'!D193</f>
        <v>0</v>
      </c>
      <c r="E283" s="18">
        <f>'Entrada datos'!G193</f>
        <v>0</v>
      </c>
      <c r="F283" s="18">
        <f>'Entrada datos'!H193</f>
        <v>0</v>
      </c>
      <c r="G283">
        <f>'Entrada datos'!J193</f>
        <v>0</v>
      </c>
      <c r="H283">
        <f>'Entrada datos'!L193</f>
        <v>0</v>
      </c>
      <c r="I283">
        <f>'Entrada datos'!O193</f>
        <v>0</v>
      </c>
      <c r="J283">
        <f>'Entrada datos'!P193</f>
        <v>0</v>
      </c>
      <c r="K283">
        <f>'Entrada datos'!Q193</f>
        <v>0</v>
      </c>
      <c r="L283">
        <f>'Entrada datos'!R193</f>
        <v>0</v>
      </c>
      <c r="M283">
        <f>'Entrada datos'!S193</f>
        <v>0</v>
      </c>
      <c r="N283">
        <f>'Entrada datos'!T193</f>
        <v>0</v>
      </c>
      <c r="O283">
        <f>'Entrada datos'!U193</f>
        <v>0</v>
      </c>
      <c r="P283" s="17">
        <f t="shared" si="69"/>
        <v>0</v>
      </c>
      <c r="Q283">
        <f>'Entrada datos'!V193</f>
        <v>0</v>
      </c>
      <c r="R283">
        <f>'Entrada datos'!W193</f>
        <v>0</v>
      </c>
      <c r="S283">
        <f>'Entrada datos'!X193</f>
        <v>0</v>
      </c>
      <c r="T283">
        <f>'Entrada datos'!Y193</f>
        <v>0</v>
      </c>
      <c r="U283">
        <f>'Entrada datos'!Z193</f>
        <v>0</v>
      </c>
      <c r="V283">
        <f>'Entrada datos'!AA193</f>
        <v>0</v>
      </c>
      <c r="W283" s="17">
        <f t="shared" si="70"/>
        <v>0</v>
      </c>
      <c r="X283">
        <f>'Entrada datos'!AB193</f>
        <v>0</v>
      </c>
      <c r="Y283">
        <f>'Entrada datos'!AC193</f>
        <v>0</v>
      </c>
      <c r="Z283">
        <f>'Entrada datos'!AD193</f>
        <v>0</v>
      </c>
      <c r="AA283">
        <f>'Entrada datos'!AE193</f>
        <v>0</v>
      </c>
      <c r="AB283">
        <f>'Entrada datos'!AF193</f>
        <v>0</v>
      </c>
      <c r="AC283">
        <f>'Entrada datos'!AG193</f>
        <v>0</v>
      </c>
      <c r="AD283" s="17">
        <f t="shared" si="71"/>
        <v>0</v>
      </c>
      <c r="AE283">
        <f>'Entrada datos'!AH193</f>
        <v>0</v>
      </c>
      <c r="AF283">
        <f>'Entrada datos'!AI193</f>
        <v>0</v>
      </c>
      <c r="AG283">
        <f>'Entrada datos'!AJ193</f>
        <v>0</v>
      </c>
      <c r="AH283">
        <f>'Entrada datos'!AK193</f>
        <v>0</v>
      </c>
      <c r="AI283">
        <f>'Entrada datos'!AL193</f>
        <v>0</v>
      </c>
      <c r="AJ283">
        <f>'Entrada datos'!AM193</f>
        <v>0</v>
      </c>
      <c r="AK283" s="17">
        <f t="shared" si="72"/>
        <v>0</v>
      </c>
      <c r="AL283">
        <f>'Entrada datos'!AN193</f>
        <v>0</v>
      </c>
      <c r="AM283">
        <f>'Entrada datos'!AO193</f>
        <v>0</v>
      </c>
      <c r="AN283">
        <f>'Entrada datos'!AP193</f>
        <v>0</v>
      </c>
      <c r="AO283">
        <f>'Entrada datos'!AQ193</f>
        <v>0</v>
      </c>
      <c r="AP283">
        <f>'Entrada datos'!AR193</f>
        <v>0</v>
      </c>
      <c r="AQ283">
        <f>'Entrada datos'!AS193</f>
        <v>0</v>
      </c>
      <c r="AR283" s="17">
        <f t="shared" si="73"/>
        <v>0</v>
      </c>
      <c r="AS283" s="23">
        <f t="shared" si="74"/>
        <v>0</v>
      </c>
      <c r="AT283">
        <f t="shared" si="75"/>
        <v>1900</v>
      </c>
      <c r="AU283" s="40" t="str">
        <f t="shared" si="76"/>
        <v>enero</v>
      </c>
      <c r="AV283">
        <f t="shared" si="77"/>
        <v>0</v>
      </c>
      <c r="AW283">
        <f t="shared" si="78"/>
        <v>0</v>
      </c>
      <c r="AX283" s="24">
        <f t="shared" si="79"/>
        <v>0</v>
      </c>
      <c r="AY283" s="24">
        <f t="shared" si="80"/>
        <v>0</v>
      </c>
      <c r="AZ283" s="24">
        <f t="shared" si="81"/>
        <v>0</v>
      </c>
      <c r="BA283">
        <f t="shared" si="82"/>
        <v>0</v>
      </c>
      <c r="BB283">
        <f t="shared" si="83"/>
        <v>0</v>
      </c>
      <c r="BC283" s="24">
        <f t="shared" si="84"/>
        <v>0</v>
      </c>
      <c r="BD283">
        <f t="shared" si="85"/>
        <v>0</v>
      </c>
    </row>
    <row r="284" spans="1:56" x14ac:dyDescent="0.3">
      <c r="A284">
        <f>'Entrada datos'!A194</f>
        <v>0</v>
      </c>
      <c r="B284">
        <f>'Entrada datos'!B194</f>
        <v>0</v>
      </c>
      <c r="C284">
        <f>'Entrada datos'!C194</f>
        <v>0</v>
      </c>
      <c r="D284">
        <f>'Entrada datos'!D194</f>
        <v>0</v>
      </c>
      <c r="E284" s="18">
        <f>'Entrada datos'!G194</f>
        <v>0</v>
      </c>
      <c r="F284" s="18">
        <f>'Entrada datos'!H194</f>
        <v>0</v>
      </c>
      <c r="G284">
        <f>'Entrada datos'!J194</f>
        <v>0</v>
      </c>
      <c r="H284">
        <f>'Entrada datos'!L194</f>
        <v>0</v>
      </c>
      <c r="I284">
        <f>'Entrada datos'!O194</f>
        <v>0</v>
      </c>
      <c r="J284">
        <f>'Entrada datos'!P194</f>
        <v>0</v>
      </c>
      <c r="K284">
        <f>'Entrada datos'!Q194</f>
        <v>0</v>
      </c>
      <c r="L284">
        <f>'Entrada datos'!R194</f>
        <v>0</v>
      </c>
      <c r="M284">
        <f>'Entrada datos'!S194</f>
        <v>0</v>
      </c>
      <c r="N284">
        <f>'Entrada datos'!T194</f>
        <v>0</v>
      </c>
      <c r="O284">
        <f>'Entrada datos'!U194</f>
        <v>0</v>
      </c>
      <c r="P284" s="17">
        <f t="shared" si="69"/>
        <v>0</v>
      </c>
      <c r="Q284">
        <f>'Entrada datos'!V194</f>
        <v>0</v>
      </c>
      <c r="R284">
        <f>'Entrada datos'!W194</f>
        <v>0</v>
      </c>
      <c r="S284">
        <f>'Entrada datos'!X194</f>
        <v>0</v>
      </c>
      <c r="T284">
        <f>'Entrada datos'!Y194</f>
        <v>0</v>
      </c>
      <c r="U284">
        <f>'Entrada datos'!Z194</f>
        <v>0</v>
      </c>
      <c r="V284">
        <f>'Entrada datos'!AA194</f>
        <v>0</v>
      </c>
      <c r="W284" s="17">
        <f t="shared" si="70"/>
        <v>0</v>
      </c>
      <c r="X284">
        <f>'Entrada datos'!AB194</f>
        <v>0</v>
      </c>
      <c r="Y284">
        <f>'Entrada datos'!AC194</f>
        <v>0</v>
      </c>
      <c r="Z284">
        <f>'Entrada datos'!AD194</f>
        <v>0</v>
      </c>
      <c r="AA284">
        <f>'Entrada datos'!AE194</f>
        <v>0</v>
      </c>
      <c r="AB284">
        <f>'Entrada datos'!AF194</f>
        <v>0</v>
      </c>
      <c r="AC284">
        <f>'Entrada datos'!AG194</f>
        <v>0</v>
      </c>
      <c r="AD284" s="17">
        <f t="shared" si="71"/>
        <v>0</v>
      </c>
      <c r="AE284">
        <f>'Entrada datos'!AH194</f>
        <v>0</v>
      </c>
      <c r="AF284">
        <f>'Entrada datos'!AI194</f>
        <v>0</v>
      </c>
      <c r="AG284">
        <f>'Entrada datos'!AJ194</f>
        <v>0</v>
      </c>
      <c r="AH284">
        <f>'Entrada datos'!AK194</f>
        <v>0</v>
      </c>
      <c r="AI284">
        <f>'Entrada datos'!AL194</f>
        <v>0</v>
      </c>
      <c r="AJ284">
        <f>'Entrada datos'!AM194</f>
        <v>0</v>
      </c>
      <c r="AK284" s="17">
        <f t="shared" si="72"/>
        <v>0</v>
      </c>
      <c r="AL284">
        <f>'Entrada datos'!AN194</f>
        <v>0</v>
      </c>
      <c r="AM284">
        <f>'Entrada datos'!AO194</f>
        <v>0</v>
      </c>
      <c r="AN284">
        <f>'Entrada datos'!AP194</f>
        <v>0</v>
      </c>
      <c r="AO284">
        <f>'Entrada datos'!AQ194</f>
        <v>0</v>
      </c>
      <c r="AP284">
        <f>'Entrada datos'!AR194</f>
        <v>0</v>
      </c>
      <c r="AQ284">
        <f>'Entrada datos'!AS194</f>
        <v>0</v>
      </c>
      <c r="AR284" s="17">
        <f t="shared" si="73"/>
        <v>0</v>
      </c>
      <c r="AS284" s="23">
        <f t="shared" si="74"/>
        <v>0</v>
      </c>
      <c r="AT284">
        <f t="shared" si="75"/>
        <v>1900</v>
      </c>
      <c r="AU284" s="40" t="str">
        <f t="shared" si="76"/>
        <v>enero</v>
      </c>
      <c r="AV284">
        <f t="shared" si="77"/>
        <v>0</v>
      </c>
      <c r="AW284">
        <f t="shared" si="78"/>
        <v>0</v>
      </c>
      <c r="AX284" s="24">
        <f t="shared" si="79"/>
        <v>0</v>
      </c>
      <c r="AY284" s="24">
        <f t="shared" si="80"/>
        <v>0</v>
      </c>
      <c r="AZ284" s="24">
        <f t="shared" si="81"/>
        <v>0</v>
      </c>
      <c r="BA284">
        <f t="shared" si="82"/>
        <v>0</v>
      </c>
      <c r="BB284">
        <f t="shared" si="83"/>
        <v>0</v>
      </c>
      <c r="BC284" s="24">
        <f t="shared" si="84"/>
        <v>0</v>
      </c>
      <c r="BD284">
        <f t="shared" si="85"/>
        <v>0</v>
      </c>
    </row>
    <row r="285" spans="1:56" x14ac:dyDescent="0.3">
      <c r="A285">
        <f>'Entrada datos'!A195</f>
        <v>0</v>
      </c>
      <c r="B285">
        <f>'Entrada datos'!B195</f>
        <v>0</v>
      </c>
      <c r="C285">
        <f>'Entrada datos'!C195</f>
        <v>0</v>
      </c>
      <c r="D285">
        <f>'Entrada datos'!D195</f>
        <v>0</v>
      </c>
      <c r="E285" s="18">
        <f>'Entrada datos'!G195</f>
        <v>0</v>
      </c>
      <c r="F285" s="18">
        <f>'Entrada datos'!H195</f>
        <v>0</v>
      </c>
      <c r="G285">
        <f>'Entrada datos'!J195</f>
        <v>0</v>
      </c>
      <c r="H285">
        <f>'Entrada datos'!L195</f>
        <v>0</v>
      </c>
      <c r="I285">
        <f>'Entrada datos'!O195</f>
        <v>0</v>
      </c>
      <c r="J285">
        <f>'Entrada datos'!P195</f>
        <v>0</v>
      </c>
      <c r="K285">
        <f>'Entrada datos'!Q195</f>
        <v>0</v>
      </c>
      <c r="L285">
        <f>'Entrada datos'!R195</f>
        <v>0</v>
      </c>
      <c r="M285">
        <f>'Entrada datos'!S195</f>
        <v>0</v>
      </c>
      <c r="N285">
        <f>'Entrada datos'!T195</f>
        <v>0</v>
      </c>
      <c r="O285">
        <f>'Entrada datos'!U195</f>
        <v>0</v>
      </c>
      <c r="P285" s="17">
        <f t="shared" si="69"/>
        <v>0</v>
      </c>
      <c r="Q285">
        <f>'Entrada datos'!V195</f>
        <v>0</v>
      </c>
      <c r="R285">
        <f>'Entrada datos'!W195</f>
        <v>0</v>
      </c>
      <c r="S285">
        <f>'Entrada datos'!X195</f>
        <v>0</v>
      </c>
      <c r="T285">
        <f>'Entrada datos'!Y195</f>
        <v>0</v>
      </c>
      <c r="U285">
        <f>'Entrada datos'!Z195</f>
        <v>0</v>
      </c>
      <c r="V285">
        <f>'Entrada datos'!AA195</f>
        <v>0</v>
      </c>
      <c r="W285" s="17">
        <f t="shared" si="70"/>
        <v>0</v>
      </c>
      <c r="X285">
        <f>'Entrada datos'!AB195</f>
        <v>0</v>
      </c>
      <c r="Y285">
        <f>'Entrada datos'!AC195</f>
        <v>0</v>
      </c>
      <c r="Z285">
        <f>'Entrada datos'!AD195</f>
        <v>0</v>
      </c>
      <c r="AA285">
        <f>'Entrada datos'!AE195</f>
        <v>0</v>
      </c>
      <c r="AB285">
        <f>'Entrada datos'!AF195</f>
        <v>0</v>
      </c>
      <c r="AC285">
        <f>'Entrada datos'!AG195</f>
        <v>0</v>
      </c>
      <c r="AD285" s="17">
        <f t="shared" si="71"/>
        <v>0</v>
      </c>
      <c r="AE285">
        <f>'Entrada datos'!AH195</f>
        <v>0</v>
      </c>
      <c r="AF285">
        <f>'Entrada datos'!AI195</f>
        <v>0</v>
      </c>
      <c r="AG285">
        <f>'Entrada datos'!AJ195</f>
        <v>0</v>
      </c>
      <c r="AH285">
        <f>'Entrada datos'!AK195</f>
        <v>0</v>
      </c>
      <c r="AI285">
        <f>'Entrada datos'!AL195</f>
        <v>0</v>
      </c>
      <c r="AJ285">
        <f>'Entrada datos'!AM195</f>
        <v>0</v>
      </c>
      <c r="AK285" s="17">
        <f t="shared" si="72"/>
        <v>0</v>
      </c>
      <c r="AL285">
        <f>'Entrada datos'!AN195</f>
        <v>0</v>
      </c>
      <c r="AM285">
        <f>'Entrada datos'!AO195</f>
        <v>0</v>
      </c>
      <c r="AN285">
        <f>'Entrada datos'!AP195</f>
        <v>0</v>
      </c>
      <c r="AO285">
        <f>'Entrada datos'!AQ195</f>
        <v>0</v>
      </c>
      <c r="AP285">
        <f>'Entrada datos'!AR195</f>
        <v>0</v>
      </c>
      <c r="AQ285">
        <f>'Entrada datos'!AS195</f>
        <v>0</v>
      </c>
      <c r="AR285" s="17">
        <f t="shared" si="73"/>
        <v>0</v>
      </c>
      <c r="AS285" s="23">
        <f t="shared" si="74"/>
        <v>0</v>
      </c>
      <c r="AT285">
        <f t="shared" si="75"/>
        <v>1900</v>
      </c>
      <c r="AU285" s="40" t="str">
        <f t="shared" si="76"/>
        <v>enero</v>
      </c>
      <c r="AV285">
        <f t="shared" si="77"/>
        <v>0</v>
      </c>
      <c r="AW285">
        <f t="shared" si="78"/>
        <v>0</v>
      </c>
      <c r="AX285" s="24">
        <f t="shared" si="79"/>
        <v>0</v>
      </c>
      <c r="AY285" s="24">
        <f t="shared" si="80"/>
        <v>0</v>
      </c>
      <c r="AZ285" s="24">
        <f t="shared" si="81"/>
        <v>0</v>
      </c>
      <c r="BA285">
        <f t="shared" si="82"/>
        <v>0</v>
      </c>
      <c r="BB285">
        <f t="shared" si="83"/>
        <v>0</v>
      </c>
      <c r="BC285" s="24">
        <f t="shared" si="84"/>
        <v>0</v>
      </c>
      <c r="BD285">
        <f t="shared" si="85"/>
        <v>0</v>
      </c>
    </row>
    <row r="286" spans="1:56" x14ac:dyDescent="0.3">
      <c r="A286">
        <f>'Entrada datos'!A196</f>
        <v>0</v>
      </c>
      <c r="B286">
        <f>'Entrada datos'!B196</f>
        <v>0</v>
      </c>
      <c r="C286">
        <f>'Entrada datos'!C196</f>
        <v>0</v>
      </c>
      <c r="D286">
        <f>'Entrada datos'!D196</f>
        <v>0</v>
      </c>
      <c r="E286" s="18">
        <f>'Entrada datos'!G196</f>
        <v>0</v>
      </c>
      <c r="F286" s="18">
        <f>'Entrada datos'!H196</f>
        <v>0</v>
      </c>
      <c r="G286">
        <f>'Entrada datos'!J196</f>
        <v>0</v>
      </c>
      <c r="H286">
        <f>'Entrada datos'!L196</f>
        <v>0</v>
      </c>
      <c r="I286">
        <f>'Entrada datos'!O196</f>
        <v>0</v>
      </c>
      <c r="J286">
        <f>'Entrada datos'!P196</f>
        <v>0</v>
      </c>
      <c r="K286">
        <f>'Entrada datos'!Q196</f>
        <v>0</v>
      </c>
      <c r="L286">
        <f>'Entrada datos'!R196</f>
        <v>0</v>
      </c>
      <c r="M286">
        <f>'Entrada datos'!S196</f>
        <v>0</v>
      </c>
      <c r="N286">
        <f>'Entrada datos'!T196</f>
        <v>0</v>
      </c>
      <c r="O286">
        <f>'Entrada datos'!U196</f>
        <v>0</v>
      </c>
      <c r="P286" s="17">
        <f t="shared" si="69"/>
        <v>0</v>
      </c>
      <c r="Q286">
        <f>'Entrada datos'!V196</f>
        <v>0</v>
      </c>
      <c r="R286">
        <f>'Entrada datos'!W196</f>
        <v>0</v>
      </c>
      <c r="S286">
        <f>'Entrada datos'!X196</f>
        <v>0</v>
      </c>
      <c r="T286">
        <f>'Entrada datos'!Y196</f>
        <v>0</v>
      </c>
      <c r="U286">
        <f>'Entrada datos'!Z196</f>
        <v>0</v>
      </c>
      <c r="V286">
        <f>'Entrada datos'!AA196</f>
        <v>0</v>
      </c>
      <c r="W286" s="17">
        <f t="shared" si="70"/>
        <v>0</v>
      </c>
      <c r="X286">
        <f>'Entrada datos'!AB196</f>
        <v>0</v>
      </c>
      <c r="Y286">
        <f>'Entrada datos'!AC196</f>
        <v>0</v>
      </c>
      <c r="Z286">
        <f>'Entrada datos'!AD196</f>
        <v>0</v>
      </c>
      <c r="AA286">
        <f>'Entrada datos'!AE196</f>
        <v>0</v>
      </c>
      <c r="AB286">
        <f>'Entrada datos'!AF196</f>
        <v>0</v>
      </c>
      <c r="AC286">
        <f>'Entrada datos'!AG196</f>
        <v>0</v>
      </c>
      <c r="AD286" s="17">
        <f t="shared" si="71"/>
        <v>0</v>
      </c>
      <c r="AE286">
        <f>'Entrada datos'!AH196</f>
        <v>0</v>
      </c>
      <c r="AF286">
        <f>'Entrada datos'!AI196</f>
        <v>0</v>
      </c>
      <c r="AG286">
        <f>'Entrada datos'!AJ196</f>
        <v>0</v>
      </c>
      <c r="AH286">
        <f>'Entrada datos'!AK196</f>
        <v>0</v>
      </c>
      <c r="AI286">
        <f>'Entrada datos'!AL196</f>
        <v>0</v>
      </c>
      <c r="AJ286">
        <f>'Entrada datos'!AM196</f>
        <v>0</v>
      </c>
      <c r="AK286" s="17">
        <f t="shared" si="72"/>
        <v>0</v>
      </c>
      <c r="AL286">
        <f>'Entrada datos'!AN196</f>
        <v>0</v>
      </c>
      <c r="AM286">
        <f>'Entrada datos'!AO196</f>
        <v>0</v>
      </c>
      <c r="AN286">
        <f>'Entrada datos'!AP196</f>
        <v>0</v>
      </c>
      <c r="AO286">
        <f>'Entrada datos'!AQ196</f>
        <v>0</v>
      </c>
      <c r="AP286">
        <f>'Entrada datos'!AR196</f>
        <v>0</v>
      </c>
      <c r="AQ286">
        <f>'Entrada datos'!AS196</f>
        <v>0</v>
      </c>
      <c r="AR286" s="17">
        <f t="shared" si="73"/>
        <v>0</v>
      </c>
      <c r="AS286" s="23">
        <f t="shared" si="74"/>
        <v>0</v>
      </c>
      <c r="AT286">
        <f t="shared" si="75"/>
        <v>1900</v>
      </c>
      <c r="AU286" s="40" t="str">
        <f t="shared" si="76"/>
        <v>enero</v>
      </c>
      <c r="AV286">
        <f t="shared" si="77"/>
        <v>0</v>
      </c>
      <c r="AW286">
        <f t="shared" si="78"/>
        <v>0</v>
      </c>
      <c r="AX286" s="24">
        <f t="shared" si="79"/>
        <v>0</v>
      </c>
      <c r="AY286" s="24">
        <f t="shared" si="80"/>
        <v>0</v>
      </c>
      <c r="AZ286" s="24">
        <f t="shared" si="81"/>
        <v>0</v>
      </c>
      <c r="BA286">
        <f t="shared" si="82"/>
        <v>0</v>
      </c>
      <c r="BB286">
        <f t="shared" si="83"/>
        <v>0</v>
      </c>
      <c r="BC286" s="24">
        <f t="shared" si="84"/>
        <v>0</v>
      </c>
      <c r="BD286">
        <f t="shared" si="85"/>
        <v>0</v>
      </c>
    </row>
    <row r="287" spans="1:56" x14ac:dyDescent="0.3">
      <c r="A287">
        <f>'Entrada datos'!A197</f>
        <v>0</v>
      </c>
      <c r="B287">
        <f>'Entrada datos'!B197</f>
        <v>0</v>
      </c>
      <c r="C287">
        <f>'Entrada datos'!C197</f>
        <v>0</v>
      </c>
      <c r="D287">
        <f>'Entrada datos'!D197</f>
        <v>0</v>
      </c>
      <c r="E287" s="18">
        <f>'Entrada datos'!G197</f>
        <v>0</v>
      </c>
      <c r="F287" s="18">
        <f>'Entrada datos'!H197</f>
        <v>0</v>
      </c>
      <c r="G287">
        <f>'Entrada datos'!J197</f>
        <v>0</v>
      </c>
      <c r="H287">
        <f>'Entrada datos'!L197</f>
        <v>0</v>
      </c>
      <c r="I287">
        <f>'Entrada datos'!O197</f>
        <v>0</v>
      </c>
      <c r="J287">
        <f>'Entrada datos'!P197</f>
        <v>0</v>
      </c>
      <c r="K287">
        <f>'Entrada datos'!Q197</f>
        <v>0</v>
      </c>
      <c r="L287">
        <f>'Entrada datos'!R197</f>
        <v>0</v>
      </c>
      <c r="M287">
        <f>'Entrada datos'!S197</f>
        <v>0</v>
      </c>
      <c r="N287">
        <f>'Entrada datos'!T197</f>
        <v>0</v>
      </c>
      <c r="O287">
        <f>'Entrada datos'!U197</f>
        <v>0</v>
      </c>
      <c r="P287" s="17">
        <f t="shared" si="69"/>
        <v>0</v>
      </c>
      <c r="Q287">
        <f>'Entrada datos'!V197</f>
        <v>0</v>
      </c>
      <c r="R287">
        <f>'Entrada datos'!W197</f>
        <v>0</v>
      </c>
      <c r="S287">
        <f>'Entrada datos'!X197</f>
        <v>0</v>
      </c>
      <c r="T287">
        <f>'Entrada datos'!Y197</f>
        <v>0</v>
      </c>
      <c r="U287">
        <f>'Entrada datos'!Z197</f>
        <v>0</v>
      </c>
      <c r="V287">
        <f>'Entrada datos'!AA197</f>
        <v>0</v>
      </c>
      <c r="W287" s="17">
        <f t="shared" si="70"/>
        <v>0</v>
      </c>
      <c r="X287">
        <f>'Entrada datos'!AB197</f>
        <v>0</v>
      </c>
      <c r="Y287">
        <f>'Entrada datos'!AC197</f>
        <v>0</v>
      </c>
      <c r="Z287">
        <f>'Entrada datos'!AD197</f>
        <v>0</v>
      </c>
      <c r="AA287">
        <f>'Entrada datos'!AE197</f>
        <v>0</v>
      </c>
      <c r="AB287">
        <f>'Entrada datos'!AF197</f>
        <v>0</v>
      </c>
      <c r="AC287">
        <f>'Entrada datos'!AG197</f>
        <v>0</v>
      </c>
      <c r="AD287" s="17">
        <f t="shared" si="71"/>
        <v>0</v>
      </c>
      <c r="AE287">
        <f>'Entrada datos'!AH197</f>
        <v>0</v>
      </c>
      <c r="AF287">
        <f>'Entrada datos'!AI197</f>
        <v>0</v>
      </c>
      <c r="AG287">
        <f>'Entrada datos'!AJ197</f>
        <v>0</v>
      </c>
      <c r="AH287">
        <f>'Entrada datos'!AK197</f>
        <v>0</v>
      </c>
      <c r="AI287">
        <f>'Entrada datos'!AL197</f>
        <v>0</v>
      </c>
      <c r="AJ287">
        <f>'Entrada datos'!AM197</f>
        <v>0</v>
      </c>
      <c r="AK287" s="17">
        <f t="shared" si="72"/>
        <v>0</v>
      </c>
      <c r="AL287">
        <f>'Entrada datos'!AN197</f>
        <v>0</v>
      </c>
      <c r="AM287">
        <f>'Entrada datos'!AO197</f>
        <v>0</v>
      </c>
      <c r="AN287">
        <f>'Entrada datos'!AP197</f>
        <v>0</v>
      </c>
      <c r="AO287">
        <f>'Entrada datos'!AQ197</f>
        <v>0</v>
      </c>
      <c r="AP287">
        <f>'Entrada datos'!AR197</f>
        <v>0</v>
      </c>
      <c r="AQ287">
        <f>'Entrada datos'!AS197</f>
        <v>0</v>
      </c>
      <c r="AR287" s="17">
        <f t="shared" si="73"/>
        <v>0</v>
      </c>
      <c r="AS287" s="23">
        <f t="shared" si="74"/>
        <v>0</v>
      </c>
      <c r="AT287">
        <f t="shared" si="75"/>
        <v>1900</v>
      </c>
      <c r="AU287" s="40" t="str">
        <f t="shared" si="76"/>
        <v>enero</v>
      </c>
      <c r="AV287">
        <f t="shared" si="77"/>
        <v>0</v>
      </c>
      <c r="AW287">
        <f t="shared" si="78"/>
        <v>0</v>
      </c>
      <c r="AX287" s="24">
        <f t="shared" si="79"/>
        <v>0</v>
      </c>
      <c r="AY287" s="24">
        <f t="shared" si="80"/>
        <v>0</v>
      </c>
      <c r="AZ287" s="24">
        <f t="shared" si="81"/>
        <v>0</v>
      </c>
      <c r="BA287">
        <f t="shared" si="82"/>
        <v>0</v>
      </c>
      <c r="BB287">
        <f t="shared" si="83"/>
        <v>0</v>
      </c>
      <c r="BC287" s="24">
        <f t="shared" si="84"/>
        <v>0</v>
      </c>
      <c r="BD287">
        <f t="shared" si="85"/>
        <v>0</v>
      </c>
    </row>
    <row r="288" spans="1:56" x14ac:dyDescent="0.3">
      <c r="A288">
        <f>'Entrada datos'!A198</f>
        <v>0</v>
      </c>
      <c r="B288">
        <f>'Entrada datos'!B198</f>
        <v>0</v>
      </c>
      <c r="C288">
        <f>'Entrada datos'!C198</f>
        <v>0</v>
      </c>
      <c r="D288">
        <f>'Entrada datos'!D198</f>
        <v>0</v>
      </c>
      <c r="E288" s="18">
        <f>'Entrada datos'!G198</f>
        <v>0</v>
      </c>
      <c r="F288" s="18">
        <f>'Entrada datos'!H198</f>
        <v>0</v>
      </c>
      <c r="G288">
        <f>'Entrada datos'!J198</f>
        <v>0</v>
      </c>
      <c r="H288">
        <f>'Entrada datos'!L198</f>
        <v>0</v>
      </c>
      <c r="I288">
        <f>'Entrada datos'!O198</f>
        <v>0</v>
      </c>
      <c r="J288">
        <f>'Entrada datos'!P198</f>
        <v>0</v>
      </c>
      <c r="K288">
        <f>'Entrada datos'!Q198</f>
        <v>0</v>
      </c>
      <c r="L288">
        <f>'Entrada datos'!R198</f>
        <v>0</v>
      </c>
      <c r="M288">
        <f>'Entrada datos'!S198</f>
        <v>0</v>
      </c>
      <c r="N288">
        <f>'Entrada datos'!T198</f>
        <v>0</v>
      </c>
      <c r="O288">
        <f>'Entrada datos'!U198</f>
        <v>0</v>
      </c>
      <c r="P288" s="17">
        <f t="shared" si="69"/>
        <v>0</v>
      </c>
      <c r="Q288">
        <f>'Entrada datos'!V198</f>
        <v>0</v>
      </c>
      <c r="R288">
        <f>'Entrada datos'!W198</f>
        <v>0</v>
      </c>
      <c r="S288">
        <f>'Entrada datos'!X198</f>
        <v>0</v>
      </c>
      <c r="T288">
        <f>'Entrada datos'!Y198</f>
        <v>0</v>
      </c>
      <c r="U288">
        <f>'Entrada datos'!Z198</f>
        <v>0</v>
      </c>
      <c r="V288">
        <f>'Entrada datos'!AA198</f>
        <v>0</v>
      </c>
      <c r="W288" s="17">
        <f t="shared" si="70"/>
        <v>0</v>
      </c>
      <c r="X288">
        <f>'Entrada datos'!AB198</f>
        <v>0</v>
      </c>
      <c r="Y288">
        <f>'Entrada datos'!AC198</f>
        <v>0</v>
      </c>
      <c r="Z288">
        <f>'Entrada datos'!AD198</f>
        <v>0</v>
      </c>
      <c r="AA288">
        <f>'Entrada datos'!AE198</f>
        <v>0</v>
      </c>
      <c r="AB288">
        <f>'Entrada datos'!AF198</f>
        <v>0</v>
      </c>
      <c r="AC288">
        <f>'Entrada datos'!AG198</f>
        <v>0</v>
      </c>
      <c r="AD288" s="17">
        <f t="shared" si="71"/>
        <v>0</v>
      </c>
      <c r="AE288">
        <f>'Entrada datos'!AH198</f>
        <v>0</v>
      </c>
      <c r="AF288">
        <f>'Entrada datos'!AI198</f>
        <v>0</v>
      </c>
      <c r="AG288">
        <f>'Entrada datos'!AJ198</f>
        <v>0</v>
      </c>
      <c r="AH288">
        <f>'Entrada datos'!AK198</f>
        <v>0</v>
      </c>
      <c r="AI288">
        <f>'Entrada datos'!AL198</f>
        <v>0</v>
      </c>
      <c r="AJ288">
        <f>'Entrada datos'!AM198</f>
        <v>0</v>
      </c>
      <c r="AK288" s="17">
        <f t="shared" si="72"/>
        <v>0</v>
      </c>
      <c r="AL288">
        <f>'Entrada datos'!AN198</f>
        <v>0</v>
      </c>
      <c r="AM288">
        <f>'Entrada datos'!AO198</f>
        <v>0</v>
      </c>
      <c r="AN288">
        <f>'Entrada datos'!AP198</f>
        <v>0</v>
      </c>
      <c r="AO288">
        <f>'Entrada datos'!AQ198</f>
        <v>0</v>
      </c>
      <c r="AP288">
        <f>'Entrada datos'!AR198</f>
        <v>0</v>
      </c>
      <c r="AQ288">
        <f>'Entrada datos'!AS198</f>
        <v>0</v>
      </c>
      <c r="AR288" s="17">
        <f t="shared" si="73"/>
        <v>0</v>
      </c>
      <c r="AS288" s="23">
        <f t="shared" si="74"/>
        <v>0</v>
      </c>
      <c r="AT288">
        <f t="shared" si="75"/>
        <v>1900</v>
      </c>
      <c r="AU288" s="40" t="str">
        <f t="shared" si="76"/>
        <v>enero</v>
      </c>
      <c r="AV288">
        <f t="shared" si="77"/>
        <v>0</v>
      </c>
      <c r="AW288">
        <f t="shared" si="78"/>
        <v>0</v>
      </c>
      <c r="AX288" s="24">
        <f t="shared" si="79"/>
        <v>0</v>
      </c>
      <c r="AY288" s="24">
        <f t="shared" si="80"/>
        <v>0</v>
      </c>
      <c r="AZ288" s="24">
        <f t="shared" si="81"/>
        <v>0</v>
      </c>
      <c r="BA288">
        <f t="shared" si="82"/>
        <v>0</v>
      </c>
      <c r="BB288">
        <f t="shared" si="83"/>
        <v>0</v>
      </c>
      <c r="BC288" s="24">
        <f t="shared" si="84"/>
        <v>0</v>
      </c>
      <c r="BD288">
        <f t="shared" si="85"/>
        <v>0</v>
      </c>
    </row>
    <row r="289" spans="1:56" x14ac:dyDescent="0.3">
      <c r="A289">
        <f>'Entrada datos'!A199</f>
        <v>0</v>
      </c>
      <c r="B289">
        <f>'Entrada datos'!B199</f>
        <v>0</v>
      </c>
      <c r="C289">
        <f>'Entrada datos'!C199</f>
        <v>0</v>
      </c>
      <c r="D289">
        <f>'Entrada datos'!D199</f>
        <v>0</v>
      </c>
      <c r="E289" s="18">
        <f>'Entrada datos'!G199</f>
        <v>0</v>
      </c>
      <c r="F289" s="18">
        <f>'Entrada datos'!H199</f>
        <v>0</v>
      </c>
      <c r="G289">
        <f>'Entrada datos'!J199</f>
        <v>0</v>
      </c>
      <c r="H289">
        <f>'Entrada datos'!L199</f>
        <v>0</v>
      </c>
      <c r="I289">
        <f>'Entrada datos'!O199</f>
        <v>0</v>
      </c>
      <c r="J289">
        <f>'Entrada datos'!P199</f>
        <v>0</v>
      </c>
      <c r="K289">
        <f>'Entrada datos'!Q199</f>
        <v>0</v>
      </c>
      <c r="L289">
        <f>'Entrada datos'!R199</f>
        <v>0</v>
      </c>
      <c r="M289">
        <f>'Entrada datos'!S199</f>
        <v>0</v>
      </c>
      <c r="N289">
        <f>'Entrada datos'!T199</f>
        <v>0</v>
      </c>
      <c r="O289">
        <f>'Entrada datos'!U199</f>
        <v>0</v>
      </c>
      <c r="P289" s="17">
        <f t="shared" si="69"/>
        <v>0</v>
      </c>
      <c r="Q289">
        <f>'Entrada datos'!V199</f>
        <v>0</v>
      </c>
      <c r="R289">
        <f>'Entrada datos'!W199</f>
        <v>0</v>
      </c>
      <c r="S289">
        <f>'Entrada datos'!X199</f>
        <v>0</v>
      </c>
      <c r="T289">
        <f>'Entrada datos'!Y199</f>
        <v>0</v>
      </c>
      <c r="U289">
        <f>'Entrada datos'!Z199</f>
        <v>0</v>
      </c>
      <c r="V289">
        <f>'Entrada datos'!AA199</f>
        <v>0</v>
      </c>
      <c r="W289" s="17">
        <f t="shared" si="70"/>
        <v>0</v>
      </c>
      <c r="X289">
        <f>'Entrada datos'!AB199</f>
        <v>0</v>
      </c>
      <c r="Y289">
        <f>'Entrada datos'!AC199</f>
        <v>0</v>
      </c>
      <c r="Z289">
        <f>'Entrada datos'!AD199</f>
        <v>0</v>
      </c>
      <c r="AA289">
        <f>'Entrada datos'!AE199</f>
        <v>0</v>
      </c>
      <c r="AB289">
        <f>'Entrada datos'!AF199</f>
        <v>0</v>
      </c>
      <c r="AC289">
        <f>'Entrada datos'!AG199</f>
        <v>0</v>
      </c>
      <c r="AD289" s="17">
        <f t="shared" si="71"/>
        <v>0</v>
      </c>
      <c r="AE289">
        <f>'Entrada datos'!AH199</f>
        <v>0</v>
      </c>
      <c r="AF289">
        <f>'Entrada datos'!AI199</f>
        <v>0</v>
      </c>
      <c r="AG289">
        <f>'Entrada datos'!AJ199</f>
        <v>0</v>
      </c>
      <c r="AH289">
        <f>'Entrada datos'!AK199</f>
        <v>0</v>
      </c>
      <c r="AI289">
        <f>'Entrada datos'!AL199</f>
        <v>0</v>
      </c>
      <c r="AJ289">
        <f>'Entrada datos'!AM199</f>
        <v>0</v>
      </c>
      <c r="AK289" s="17">
        <f t="shared" si="72"/>
        <v>0</v>
      </c>
      <c r="AL289">
        <f>'Entrada datos'!AN199</f>
        <v>0</v>
      </c>
      <c r="AM289">
        <f>'Entrada datos'!AO199</f>
        <v>0</v>
      </c>
      <c r="AN289">
        <f>'Entrada datos'!AP199</f>
        <v>0</v>
      </c>
      <c r="AO289">
        <f>'Entrada datos'!AQ199</f>
        <v>0</v>
      </c>
      <c r="AP289">
        <f>'Entrada datos'!AR199</f>
        <v>0</v>
      </c>
      <c r="AQ289">
        <f>'Entrada datos'!AS199</f>
        <v>0</v>
      </c>
      <c r="AR289" s="17">
        <f t="shared" si="73"/>
        <v>0</v>
      </c>
      <c r="AS289" s="23">
        <f t="shared" si="74"/>
        <v>0</v>
      </c>
      <c r="AT289">
        <f t="shared" si="75"/>
        <v>1900</v>
      </c>
      <c r="AU289" s="40" t="str">
        <f t="shared" si="76"/>
        <v>enero</v>
      </c>
      <c r="AV289">
        <f t="shared" si="77"/>
        <v>0</v>
      </c>
      <c r="AW289">
        <f t="shared" si="78"/>
        <v>0</v>
      </c>
      <c r="AX289" s="24">
        <f t="shared" si="79"/>
        <v>0</v>
      </c>
      <c r="AY289" s="24">
        <f t="shared" si="80"/>
        <v>0</v>
      </c>
      <c r="AZ289" s="24">
        <f t="shared" si="81"/>
        <v>0</v>
      </c>
      <c r="BA289">
        <f t="shared" si="82"/>
        <v>0</v>
      </c>
      <c r="BB289">
        <f t="shared" si="83"/>
        <v>0</v>
      </c>
      <c r="BC289" s="24">
        <f t="shared" si="84"/>
        <v>0</v>
      </c>
      <c r="BD289">
        <f t="shared" si="85"/>
        <v>0</v>
      </c>
    </row>
    <row r="290" spans="1:56" x14ac:dyDescent="0.3">
      <c r="A290">
        <f>'Entrada datos'!A200</f>
        <v>0</v>
      </c>
      <c r="B290">
        <f>'Entrada datos'!B200</f>
        <v>0</v>
      </c>
      <c r="C290">
        <f>'Entrada datos'!C200</f>
        <v>0</v>
      </c>
      <c r="D290">
        <f>'Entrada datos'!D200</f>
        <v>0</v>
      </c>
      <c r="E290" s="18">
        <f>'Entrada datos'!G200</f>
        <v>0</v>
      </c>
      <c r="F290" s="18">
        <f>'Entrada datos'!H200</f>
        <v>0</v>
      </c>
      <c r="G290">
        <f>'Entrada datos'!J200</f>
        <v>0</v>
      </c>
      <c r="H290">
        <f>'Entrada datos'!L200</f>
        <v>0</v>
      </c>
      <c r="I290">
        <f>'Entrada datos'!O200</f>
        <v>0</v>
      </c>
      <c r="J290">
        <f>'Entrada datos'!P200</f>
        <v>0</v>
      </c>
      <c r="K290">
        <f>'Entrada datos'!Q200</f>
        <v>0</v>
      </c>
      <c r="L290">
        <f>'Entrada datos'!R200</f>
        <v>0</v>
      </c>
      <c r="M290">
        <f>'Entrada datos'!S200</f>
        <v>0</v>
      </c>
      <c r="N290">
        <f>'Entrada datos'!T200</f>
        <v>0</v>
      </c>
      <c r="O290">
        <f>'Entrada datos'!U200</f>
        <v>0</v>
      </c>
      <c r="P290" s="17">
        <f t="shared" si="69"/>
        <v>0</v>
      </c>
      <c r="Q290">
        <f>'Entrada datos'!V200</f>
        <v>0</v>
      </c>
      <c r="R290">
        <f>'Entrada datos'!W200</f>
        <v>0</v>
      </c>
      <c r="S290">
        <f>'Entrada datos'!X200</f>
        <v>0</v>
      </c>
      <c r="T290">
        <f>'Entrada datos'!Y200</f>
        <v>0</v>
      </c>
      <c r="U290">
        <f>'Entrada datos'!Z200</f>
        <v>0</v>
      </c>
      <c r="V290">
        <f>'Entrada datos'!AA200</f>
        <v>0</v>
      </c>
      <c r="W290" s="17">
        <f t="shared" si="70"/>
        <v>0</v>
      </c>
      <c r="X290">
        <f>'Entrada datos'!AB200</f>
        <v>0</v>
      </c>
      <c r="Y290">
        <f>'Entrada datos'!AC200</f>
        <v>0</v>
      </c>
      <c r="Z290">
        <f>'Entrada datos'!AD200</f>
        <v>0</v>
      </c>
      <c r="AA290">
        <f>'Entrada datos'!AE200</f>
        <v>0</v>
      </c>
      <c r="AB290">
        <f>'Entrada datos'!AF200</f>
        <v>0</v>
      </c>
      <c r="AC290">
        <f>'Entrada datos'!AG200</f>
        <v>0</v>
      </c>
      <c r="AD290" s="17">
        <f t="shared" si="71"/>
        <v>0</v>
      </c>
      <c r="AE290">
        <f>'Entrada datos'!AH200</f>
        <v>0</v>
      </c>
      <c r="AF290">
        <f>'Entrada datos'!AI200</f>
        <v>0</v>
      </c>
      <c r="AG290">
        <f>'Entrada datos'!AJ200</f>
        <v>0</v>
      </c>
      <c r="AH290">
        <f>'Entrada datos'!AK200</f>
        <v>0</v>
      </c>
      <c r="AI290">
        <f>'Entrada datos'!AL200</f>
        <v>0</v>
      </c>
      <c r="AJ290">
        <f>'Entrada datos'!AM200</f>
        <v>0</v>
      </c>
      <c r="AK290" s="17">
        <f t="shared" si="72"/>
        <v>0</v>
      </c>
      <c r="AL290">
        <f>'Entrada datos'!AN200</f>
        <v>0</v>
      </c>
      <c r="AM290">
        <f>'Entrada datos'!AO200</f>
        <v>0</v>
      </c>
      <c r="AN290">
        <f>'Entrada datos'!AP200</f>
        <v>0</v>
      </c>
      <c r="AO290">
        <f>'Entrada datos'!AQ200</f>
        <v>0</v>
      </c>
      <c r="AP290">
        <f>'Entrada datos'!AR200</f>
        <v>0</v>
      </c>
      <c r="AQ290">
        <f>'Entrada datos'!AS200</f>
        <v>0</v>
      </c>
      <c r="AR290" s="17">
        <f t="shared" si="73"/>
        <v>0</v>
      </c>
      <c r="AS290" s="23">
        <f t="shared" si="74"/>
        <v>0</v>
      </c>
      <c r="AT290">
        <f t="shared" si="75"/>
        <v>1900</v>
      </c>
      <c r="AU290" s="40" t="str">
        <f t="shared" si="76"/>
        <v>enero</v>
      </c>
      <c r="AV290">
        <f t="shared" si="77"/>
        <v>0</v>
      </c>
      <c r="AW290">
        <f t="shared" si="78"/>
        <v>0</v>
      </c>
      <c r="AX290" s="24">
        <f t="shared" si="79"/>
        <v>0</v>
      </c>
      <c r="AY290" s="24">
        <f t="shared" si="80"/>
        <v>0</v>
      </c>
      <c r="AZ290" s="24">
        <f t="shared" si="81"/>
        <v>0</v>
      </c>
      <c r="BA290">
        <f t="shared" si="82"/>
        <v>0</v>
      </c>
      <c r="BB290">
        <f t="shared" si="83"/>
        <v>0</v>
      </c>
      <c r="BC290" s="24">
        <f t="shared" si="84"/>
        <v>0</v>
      </c>
      <c r="BD290">
        <f t="shared" si="85"/>
        <v>0</v>
      </c>
    </row>
    <row r="291" spans="1:56" x14ac:dyDescent="0.3">
      <c r="A291">
        <f>'Entrada datos'!A201</f>
        <v>0</v>
      </c>
      <c r="B291">
        <f>'Entrada datos'!B201</f>
        <v>0</v>
      </c>
      <c r="C291">
        <f>'Entrada datos'!C201</f>
        <v>0</v>
      </c>
      <c r="D291">
        <f>'Entrada datos'!D201</f>
        <v>0</v>
      </c>
      <c r="E291" s="18">
        <f>'Entrada datos'!G201</f>
        <v>0</v>
      </c>
      <c r="F291" s="18">
        <f>'Entrada datos'!H201</f>
        <v>0</v>
      </c>
      <c r="G291">
        <f>'Entrada datos'!J201</f>
        <v>0</v>
      </c>
      <c r="H291">
        <f>'Entrada datos'!L201</f>
        <v>0</v>
      </c>
      <c r="I291">
        <f>'Entrada datos'!O201</f>
        <v>0</v>
      </c>
      <c r="J291">
        <f>'Entrada datos'!P201</f>
        <v>0</v>
      </c>
      <c r="K291">
        <f>'Entrada datos'!Q201</f>
        <v>0</v>
      </c>
      <c r="L291">
        <f>'Entrada datos'!R201</f>
        <v>0</v>
      </c>
      <c r="M291">
        <f>'Entrada datos'!S201</f>
        <v>0</v>
      </c>
      <c r="N291">
        <f>'Entrada datos'!T201</f>
        <v>0</v>
      </c>
      <c r="O291">
        <f>'Entrada datos'!U201</f>
        <v>0</v>
      </c>
      <c r="P291" s="17">
        <f t="shared" si="69"/>
        <v>0</v>
      </c>
      <c r="Q291">
        <f>'Entrada datos'!V201</f>
        <v>0</v>
      </c>
      <c r="R291">
        <f>'Entrada datos'!W201</f>
        <v>0</v>
      </c>
      <c r="S291">
        <f>'Entrada datos'!X201</f>
        <v>0</v>
      </c>
      <c r="T291">
        <f>'Entrada datos'!Y201</f>
        <v>0</v>
      </c>
      <c r="U291">
        <f>'Entrada datos'!Z201</f>
        <v>0</v>
      </c>
      <c r="V291">
        <f>'Entrada datos'!AA201</f>
        <v>0</v>
      </c>
      <c r="W291" s="17">
        <f t="shared" si="70"/>
        <v>0</v>
      </c>
      <c r="X291">
        <f>'Entrada datos'!AB201</f>
        <v>0</v>
      </c>
      <c r="Y291">
        <f>'Entrada datos'!AC201</f>
        <v>0</v>
      </c>
      <c r="Z291">
        <f>'Entrada datos'!AD201</f>
        <v>0</v>
      </c>
      <c r="AA291">
        <f>'Entrada datos'!AE201</f>
        <v>0</v>
      </c>
      <c r="AB291">
        <f>'Entrada datos'!AF201</f>
        <v>0</v>
      </c>
      <c r="AC291">
        <f>'Entrada datos'!AG201</f>
        <v>0</v>
      </c>
      <c r="AD291" s="17">
        <f t="shared" si="71"/>
        <v>0</v>
      </c>
      <c r="AE291">
        <f>'Entrada datos'!AH201</f>
        <v>0</v>
      </c>
      <c r="AF291">
        <f>'Entrada datos'!AI201</f>
        <v>0</v>
      </c>
      <c r="AG291">
        <f>'Entrada datos'!AJ201</f>
        <v>0</v>
      </c>
      <c r="AH291">
        <f>'Entrada datos'!AK201</f>
        <v>0</v>
      </c>
      <c r="AI291">
        <f>'Entrada datos'!AL201</f>
        <v>0</v>
      </c>
      <c r="AJ291">
        <f>'Entrada datos'!AM201</f>
        <v>0</v>
      </c>
      <c r="AK291" s="17">
        <f t="shared" si="72"/>
        <v>0</v>
      </c>
      <c r="AL291">
        <f>'Entrada datos'!AN201</f>
        <v>0</v>
      </c>
      <c r="AM291">
        <f>'Entrada datos'!AO201</f>
        <v>0</v>
      </c>
      <c r="AN291">
        <f>'Entrada datos'!AP201</f>
        <v>0</v>
      </c>
      <c r="AO291">
        <f>'Entrada datos'!AQ201</f>
        <v>0</v>
      </c>
      <c r="AP291">
        <f>'Entrada datos'!AR201</f>
        <v>0</v>
      </c>
      <c r="AQ291">
        <f>'Entrada datos'!AS201</f>
        <v>0</v>
      </c>
      <c r="AR291" s="17">
        <f t="shared" si="73"/>
        <v>0</v>
      </c>
      <c r="AS291" s="23">
        <f t="shared" si="74"/>
        <v>0</v>
      </c>
      <c r="AT291">
        <f t="shared" si="75"/>
        <v>1900</v>
      </c>
      <c r="AU291" s="40" t="str">
        <f t="shared" si="76"/>
        <v>enero</v>
      </c>
      <c r="AV291">
        <f t="shared" si="77"/>
        <v>0</v>
      </c>
      <c r="AW291">
        <f t="shared" si="78"/>
        <v>0</v>
      </c>
      <c r="AX291" s="24">
        <f t="shared" si="79"/>
        <v>0</v>
      </c>
      <c r="AY291" s="24">
        <f t="shared" si="80"/>
        <v>0</v>
      </c>
      <c r="AZ291" s="24">
        <f t="shared" si="81"/>
        <v>0</v>
      </c>
      <c r="BA291">
        <f t="shared" si="82"/>
        <v>0</v>
      </c>
      <c r="BB291">
        <f t="shared" si="83"/>
        <v>0</v>
      </c>
      <c r="BC291" s="24">
        <f t="shared" si="84"/>
        <v>0</v>
      </c>
      <c r="BD291">
        <f t="shared" si="85"/>
        <v>0</v>
      </c>
    </row>
    <row r="292" spans="1:56" x14ac:dyDescent="0.3">
      <c r="A292">
        <f>'Entrada datos'!A202</f>
        <v>0</v>
      </c>
      <c r="B292">
        <f>'Entrada datos'!B202</f>
        <v>0</v>
      </c>
      <c r="C292">
        <f>'Entrada datos'!C202</f>
        <v>0</v>
      </c>
      <c r="D292">
        <f>'Entrada datos'!D202</f>
        <v>0</v>
      </c>
      <c r="E292" s="18">
        <f>'Entrada datos'!G202</f>
        <v>0</v>
      </c>
      <c r="F292" s="18">
        <f>'Entrada datos'!H202</f>
        <v>0</v>
      </c>
      <c r="G292">
        <f>'Entrada datos'!J202</f>
        <v>0</v>
      </c>
      <c r="H292">
        <f>'Entrada datos'!L202</f>
        <v>0</v>
      </c>
      <c r="I292">
        <f>'Entrada datos'!O202</f>
        <v>0</v>
      </c>
      <c r="J292">
        <f>'Entrada datos'!P202</f>
        <v>0</v>
      </c>
      <c r="K292">
        <f>'Entrada datos'!Q202</f>
        <v>0</v>
      </c>
      <c r="L292">
        <f>'Entrada datos'!R202</f>
        <v>0</v>
      </c>
      <c r="M292">
        <f>'Entrada datos'!S202</f>
        <v>0</v>
      </c>
      <c r="N292">
        <f>'Entrada datos'!T202</f>
        <v>0</v>
      </c>
      <c r="O292">
        <f>'Entrada datos'!U202</f>
        <v>0</v>
      </c>
      <c r="P292" s="17">
        <f t="shared" si="69"/>
        <v>0</v>
      </c>
      <c r="Q292">
        <f>'Entrada datos'!V202</f>
        <v>0</v>
      </c>
      <c r="R292">
        <f>'Entrada datos'!W202</f>
        <v>0</v>
      </c>
      <c r="S292">
        <f>'Entrada datos'!X202</f>
        <v>0</v>
      </c>
      <c r="T292">
        <f>'Entrada datos'!Y202</f>
        <v>0</v>
      </c>
      <c r="U292">
        <f>'Entrada datos'!Z202</f>
        <v>0</v>
      </c>
      <c r="V292">
        <f>'Entrada datos'!AA202</f>
        <v>0</v>
      </c>
      <c r="W292" s="17">
        <f t="shared" si="70"/>
        <v>0</v>
      </c>
      <c r="X292">
        <f>'Entrada datos'!AB202</f>
        <v>0</v>
      </c>
      <c r="Y292">
        <f>'Entrada datos'!AC202</f>
        <v>0</v>
      </c>
      <c r="Z292">
        <f>'Entrada datos'!AD202</f>
        <v>0</v>
      </c>
      <c r="AA292">
        <f>'Entrada datos'!AE202</f>
        <v>0</v>
      </c>
      <c r="AB292">
        <f>'Entrada datos'!AF202</f>
        <v>0</v>
      </c>
      <c r="AC292">
        <f>'Entrada datos'!AG202</f>
        <v>0</v>
      </c>
      <c r="AD292" s="17">
        <f t="shared" si="71"/>
        <v>0</v>
      </c>
      <c r="AE292">
        <f>'Entrada datos'!AH202</f>
        <v>0</v>
      </c>
      <c r="AF292">
        <f>'Entrada datos'!AI202</f>
        <v>0</v>
      </c>
      <c r="AG292">
        <f>'Entrada datos'!AJ202</f>
        <v>0</v>
      </c>
      <c r="AH292">
        <f>'Entrada datos'!AK202</f>
        <v>0</v>
      </c>
      <c r="AI292">
        <f>'Entrada datos'!AL202</f>
        <v>0</v>
      </c>
      <c r="AJ292">
        <f>'Entrada datos'!AM202</f>
        <v>0</v>
      </c>
      <c r="AK292" s="17">
        <f t="shared" si="72"/>
        <v>0</v>
      </c>
      <c r="AL292">
        <f>'Entrada datos'!AN202</f>
        <v>0</v>
      </c>
      <c r="AM292">
        <f>'Entrada datos'!AO202</f>
        <v>0</v>
      </c>
      <c r="AN292">
        <f>'Entrada datos'!AP202</f>
        <v>0</v>
      </c>
      <c r="AO292">
        <f>'Entrada datos'!AQ202</f>
        <v>0</v>
      </c>
      <c r="AP292">
        <f>'Entrada datos'!AR202</f>
        <v>0</v>
      </c>
      <c r="AQ292">
        <f>'Entrada datos'!AS202</f>
        <v>0</v>
      </c>
      <c r="AR292" s="17">
        <f t="shared" si="73"/>
        <v>0</v>
      </c>
      <c r="AS292" s="23">
        <f t="shared" si="74"/>
        <v>0</v>
      </c>
      <c r="AT292">
        <f t="shared" si="75"/>
        <v>1900</v>
      </c>
      <c r="AU292" s="40" t="str">
        <f t="shared" si="76"/>
        <v>enero</v>
      </c>
      <c r="AV292">
        <f t="shared" si="77"/>
        <v>0</v>
      </c>
      <c r="AW292">
        <f t="shared" si="78"/>
        <v>0</v>
      </c>
      <c r="AX292" s="24">
        <f t="shared" si="79"/>
        <v>0</v>
      </c>
      <c r="AY292" s="24">
        <f t="shared" si="80"/>
        <v>0</v>
      </c>
      <c r="AZ292" s="24">
        <f t="shared" si="81"/>
        <v>0</v>
      </c>
      <c r="BA292">
        <f t="shared" si="82"/>
        <v>0</v>
      </c>
      <c r="BB292">
        <f t="shared" si="83"/>
        <v>0</v>
      </c>
      <c r="BC292" s="24">
        <f t="shared" si="84"/>
        <v>0</v>
      </c>
      <c r="BD292">
        <f t="shared" si="85"/>
        <v>0</v>
      </c>
    </row>
    <row r="293" spans="1:56" x14ac:dyDescent="0.3">
      <c r="A293">
        <f>'Entrada datos'!A203</f>
        <v>0</v>
      </c>
      <c r="B293">
        <f>'Entrada datos'!B203</f>
        <v>0</v>
      </c>
      <c r="C293">
        <f>'Entrada datos'!C203</f>
        <v>0</v>
      </c>
      <c r="D293">
        <f>'Entrada datos'!D203</f>
        <v>0</v>
      </c>
      <c r="E293" s="18">
        <f>'Entrada datos'!G203</f>
        <v>0</v>
      </c>
      <c r="F293" s="18">
        <f>'Entrada datos'!H203</f>
        <v>0</v>
      </c>
      <c r="G293">
        <f>'Entrada datos'!J203</f>
        <v>0</v>
      </c>
      <c r="H293">
        <f>'Entrada datos'!L203</f>
        <v>0</v>
      </c>
      <c r="I293">
        <f>'Entrada datos'!O203</f>
        <v>0</v>
      </c>
      <c r="J293">
        <f>'Entrada datos'!P203</f>
        <v>0</v>
      </c>
      <c r="K293">
        <f>'Entrada datos'!Q203</f>
        <v>0</v>
      </c>
      <c r="L293">
        <f>'Entrada datos'!R203</f>
        <v>0</v>
      </c>
      <c r="M293">
        <f>'Entrada datos'!S203</f>
        <v>0</v>
      </c>
      <c r="N293">
        <f>'Entrada datos'!T203</f>
        <v>0</v>
      </c>
      <c r="O293">
        <f>'Entrada datos'!U203</f>
        <v>0</v>
      </c>
      <c r="P293" s="17">
        <f t="shared" si="69"/>
        <v>0</v>
      </c>
      <c r="Q293">
        <f>'Entrada datos'!V203</f>
        <v>0</v>
      </c>
      <c r="R293">
        <f>'Entrada datos'!W203</f>
        <v>0</v>
      </c>
      <c r="S293">
        <f>'Entrada datos'!X203</f>
        <v>0</v>
      </c>
      <c r="T293">
        <f>'Entrada datos'!Y203</f>
        <v>0</v>
      </c>
      <c r="U293">
        <f>'Entrada datos'!Z203</f>
        <v>0</v>
      </c>
      <c r="V293">
        <f>'Entrada datos'!AA203</f>
        <v>0</v>
      </c>
      <c r="W293" s="17">
        <f t="shared" si="70"/>
        <v>0</v>
      </c>
      <c r="X293">
        <f>'Entrada datos'!AB203</f>
        <v>0</v>
      </c>
      <c r="Y293">
        <f>'Entrada datos'!AC203</f>
        <v>0</v>
      </c>
      <c r="Z293">
        <f>'Entrada datos'!AD203</f>
        <v>0</v>
      </c>
      <c r="AA293">
        <f>'Entrada datos'!AE203</f>
        <v>0</v>
      </c>
      <c r="AB293">
        <f>'Entrada datos'!AF203</f>
        <v>0</v>
      </c>
      <c r="AC293">
        <f>'Entrada datos'!AG203</f>
        <v>0</v>
      </c>
      <c r="AD293" s="17">
        <f t="shared" si="71"/>
        <v>0</v>
      </c>
      <c r="AE293">
        <f>'Entrada datos'!AH203</f>
        <v>0</v>
      </c>
      <c r="AF293">
        <f>'Entrada datos'!AI203</f>
        <v>0</v>
      </c>
      <c r="AG293">
        <f>'Entrada datos'!AJ203</f>
        <v>0</v>
      </c>
      <c r="AH293">
        <f>'Entrada datos'!AK203</f>
        <v>0</v>
      </c>
      <c r="AI293">
        <f>'Entrada datos'!AL203</f>
        <v>0</v>
      </c>
      <c r="AJ293">
        <f>'Entrada datos'!AM203</f>
        <v>0</v>
      </c>
      <c r="AK293" s="17">
        <f t="shared" si="72"/>
        <v>0</v>
      </c>
      <c r="AL293">
        <f>'Entrada datos'!AN203</f>
        <v>0</v>
      </c>
      <c r="AM293">
        <f>'Entrada datos'!AO203</f>
        <v>0</v>
      </c>
      <c r="AN293">
        <f>'Entrada datos'!AP203</f>
        <v>0</v>
      </c>
      <c r="AO293">
        <f>'Entrada datos'!AQ203</f>
        <v>0</v>
      </c>
      <c r="AP293">
        <f>'Entrada datos'!AR203</f>
        <v>0</v>
      </c>
      <c r="AQ293">
        <f>'Entrada datos'!AS203</f>
        <v>0</v>
      </c>
      <c r="AR293" s="17">
        <f t="shared" si="73"/>
        <v>0</v>
      </c>
      <c r="AS293" s="23">
        <f t="shared" si="74"/>
        <v>0</v>
      </c>
      <c r="AT293">
        <f t="shared" si="75"/>
        <v>1900</v>
      </c>
      <c r="AU293" s="40" t="str">
        <f t="shared" si="76"/>
        <v>enero</v>
      </c>
      <c r="AV293">
        <f t="shared" si="77"/>
        <v>0</v>
      </c>
      <c r="AW293">
        <f t="shared" si="78"/>
        <v>0</v>
      </c>
      <c r="AX293" s="24">
        <f t="shared" si="79"/>
        <v>0</v>
      </c>
      <c r="AY293" s="24">
        <f t="shared" si="80"/>
        <v>0</v>
      </c>
      <c r="AZ293" s="24">
        <f t="shared" si="81"/>
        <v>0</v>
      </c>
      <c r="BA293">
        <f t="shared" si="82"/>
        <v>0</v>
      </c>
      <c r="BB293">
        <f t="shared" si="83"/>
        <v>0</v>
      </c>
      <c r="BC293" s="24">
        <f t="shared" si="84"/>
        <v>0</v>
      </c>
      <c r="BD293">
        <f t="shared" si="85"/>
        <v>0</v>
      </c>
    </row>
    <row r="294" spans="1:56" x14ac:dyDescent="0.3">
      <c r="A294">
        <f>'Entrada datos'!A204</f>
        <v>0</v>
      </c>
      <c r="B294">
        <f>'Entrada datos'!B204</f>
        <v>0</v>
      </c>
      <c r="C294">
        <f>'Entrada datos'!C204</f>
        <v>0</v>
      </c>
      <c r="D294">
        <f>'Entrada datos'!D204</f>
        <v>0</v>
      </c>
      <c r="E294" s="18">
        <f>'Entrada datos'!G204</f>
        <v>0</v>
      </c>
      <c r="F294" s="18">
        <f>'Entrada datos'!H204</f>
        <v>0</v>
      </c>
      <c r="G294">
        <f>'Entrada datos'!J204</f>
        <v>0</v>
      </c>
      <c r="H294">
        <f>'Entrada datos'!L204</f>
        <v>0</v>
      </c>
      <c r="I294">
        <f>'Entrada datos'!O204</f>
        <v>0</v>
      </c>
      <c r="J294">
        <f>'Entrada datos'!P204</f>
        <v>0</v>
      </c>
      <c r="K294">
        <f>'Entrada datos'!Q204</f>
        <v>0</v>
      </c>
      <c r="L294">
        <f>'Entrada datos'!R204</f>
        <v>0</v>
      </c>
      <c r="M294">
        <f>'Entrada datos'!S204</f>
        <v>0</v>
      </c>
      <c r="N294">
        <f>'Entrada datos'!T204</f>
        <v>0</v>
      </c>
      <c r="O294">
        <f>'Entrada datos'!U204</f>
        <v>0</v>
      </c>
      <c r="P294" s="17">
        <f t="shared" si="69"/>
        <v>0</v>
      </c>
      <c r="Q294">
        <f>'Entrada datos'!V204</f>
        <v>0</v>
      </c>
      <c r="R294">
        <f>'Entrada datos'!W204</f>
        <v>0</v>
      </c>
      <c r="S294">
        <f>'Entrada datos'!X204</f>
        <v>0</v>
      </c>
      <c r="T294">
        <f>'Entrada datos'!Y204</f>
        <v>0</v>
      </c>
      <c r="U294">
        <f>'Entrada datos'!Z204</f>
        <v>0</v>
      </c>
      <c r="V294">
        <f>'Entrada datos'!AA204</f>
        <v>0</v>
      </c>
      <c r="W294" s="17">
        <f t="shared" si="70"/>
        <v>0</v>
      </c>
      <c r="X294">
        <f>'Entrada datos'!AB204</f>
        <v>0</v>
      </c>
      <c r="Y294">
        <f>'Entrada datos'!AC204</f>
        <v>0</v>
      </c>
      <c r="Z294">
        <f>'Entrada datos'!AD204</f>
        <v>0</v>
      </c>
      <c r="AA294">
        <f>'Entrada datos'!AE204</f>
        <v>0</v>
      </c>
      <c r="AB294">
        <f>'Entrada datos'!AF204</f>
        <v>0</v>
      </c>
      <c r="AC294">
        <f>'Entrada datos'!AG204</f>
        <v>0</v>
      </c>
      <c r="AD294" s="17">
        <f t="shared" si="71"/>
        <v>0</v>
      </c>
      <c r="AE294">
        <f>'Entrada datos'!AH204</f>
        <v>0</v>
      </c>
      <c r="AF294">
        <f>'Entrada datos'!AI204</f>
        <v>0</v>
      </c>
      <c r="AG294">
        <f>'Entrada datos'!AJ204</f>
        <v>0</v>
      </c>
      <c r="AH294">
        <f>'Entrada datos'!AK204</f>
        <v>0</v>
      </c>
      <c r="AI294">
        <f>'Entrada datos'!AL204</f>
        <v>0</v>
      </c>
      <c r="AJ294">
        <f>'Entrada datos'!AM204</f>
        <v>0</v>
      </c>
      <c r="AK294" s="17">
        <f t="shared" si="72"/>
        <v>0</v>
      </c>
      <c r="AL294">
        <f>'Entrada datos'!AN204</f>
        <v>0</v>
      </c>
      <c r="AM294">
        <f>'Entrada datos'!AO204</f>
        <v>0</v>
      </c>
      <c r="AN294">
        <f>'Entrada datos'!AP204</f>
        <v>0</v>
      </c>
      <c r="AO294">
        <f>'Entrada datos'!AQ204</f>
        <v>0</v>
      </c>
      <c r="AP294">
        <f>'Entrada datos'!AR204</f>
        <v>0</v>
      </c>
      <c r="AQ294">
        <f>'Entrada datos'!AS204</f>
        <v>0</v>
      </c>
      <c r="AR294" s="17">
        <f t="shared" si="73"/>
        <v>0</v>
      </c>
      <c r="AS294" s="23">
        <f t="shared" si="74"/>
        <v>0</v>
      </c>
      <c r="AT294">
        <f t="shared" si="75"/>
        <v>1900</v>
      </c>
      <c r="AU294" s="40" t="str">
        <f t="shared" si="76"/>
        <v>enero</v>
      </c>
      <c r="AV294">
        <f t="shared" si="77"/>
        <v>0</v>
      </c>
      <c r="AW294">
        <f t="shared" si="78"/>
        <v>0</v>
      </c>
      <c r="AX294" s="24">
        <f t="shared" si="79"/>
        <v>0</v>
      </c>
      <c r="AY294" s="24">
        <f t="shared" si="80"/>
        <v>0</v>
      </c>
      <c r="AZ294" s="24">
        <f t="shared" si="81"/>
        <v>0</v>
      </c>
      <c r="BA294">
        <f t="shared" si="82"/>
        <v>0</v>
      </c>
      <c r="BB294">
        <f t="shared" si="83"/>
        <v>0</v>
      </c>
      <c r="BC294" s="24">
        <f t="shared" si="84"/>
        <v>0</v>
      </c>
      <c r="BD294">
        <f t="shared" si="85"/>
        <v>0</v>
      </c>
    </row>
    <row r="295" spans="1:56" x14ac:dyDescent="0.3">
      <c r="A295">
        <f>'Entrada datos'!A205</f>
        <v>0</v>
      </c>
      <c r="B295">
        <f>'Entrada datos'!B205</f>
        <v>0</v>
      </c>
      <c r="C295">
        <f>'Entrada datos'!C205</f>
        <v>0</v>
      </c>
      <c r="D295">
        <f>'Entrada datos'!D205</f>
        <v>0</v>
      </c>
      <c r="E295" s="18">
        <f>'Entrada datos'!G205</f>
        <v>0</v>
      </c>
      <c r="F295" s="18">
        <f>'Entrada datos'!H205</f>
        <v>0</v>
      </c>
      <c r="G295">
        <f>'Entrada datos'!J205</f>
        <v>0</v>
      </c>
      <c r="H295">
        <f>'Entrada datos'!L205</f>
        <v>0</v>
      </c>
      <c r="I295">
        <f>'Entrada datos'!O205</f>
        <v>0</v>
      </c>
      <c r="J295">
        <f>'Entrada datos'!P205</f>
        <v>0</v>
      </c>
      <c r="K295">
        <f>'Entrada datos'!Q205</f>
        <v>0</v>
      </c>
      <c r="L295">
        <f>'Entrada datos'!R205</f>
        <v>0</v>
      </c>
      <c r="M295">
        <f>'Entrada datos'!S205</f>
        <v>0</v>
      </c>
      <c r="N295">
        <f>'Entrada datos'!T205</f>
        <v>0</v>
      </c>
      <c r="O295">
        <f>'Entrada datos'!U205</f>
        <v>0</v>
      </c>
      <c r="P295" s="17">
        <f t="shared" si="69"/>
        <v>0</v>
      </c>
      <c r="Q295">
        <f>'Entrada datos'!V205</f>
        <v>0</v>
      </c>
      <c r="R295">
        <f>'Entrada datos'!W205</f>
        <v>0</v>
      </c>
      <c r="S295">
        <f>'Entrada datos'!X205</f>
        <v>0</v>
      </c>
      <c r="T295">
        <f>'Entrada datos'!Y205</f>
        <v>0</v>
      </c>
      <c r="U295">
        <f>'Entrada datos'!Z205</f>
        <v>0</v>
      </c>
      <c r="V295">
        <f>'Entrada datos'!AA205</f>
        <v>0</v>
      </c>
      <c r="W295" s="17">
        <f t="shared" si="70"/>
        <v>0</v>
      </c>
      <c r="X295">
        <f>'Entrada datos'!AB205</f>
        <v>0</v>
      </c>
      <c r="Y295">
        <f>'Entrada datos'!AC205</f>
        <v>0</v>
      </c>
      <c r="Z295">
        <f>'Entrada datos'!AD205</f>
        <v>0</v>
      </c>
      <c r="AA295">
        <f>'Entrada datos'!AE205</f>
        <v>0</v>
      </c>
      <c r="AB295">
        <f>'Entrada datos'!AF205</f>
        <v>0</v>
      </c>
      <c r="AC295">
        <f>'Entrada datos'!AG205</f>
        <v>0</v>
      </c>
      <c r="AD295" s="17">
        <f t="shared" si="71"/>
        <v>0</v>
      </c>
      <c r="AE295">
        <f>'Entrada datos'!AH205</f>
        <v>0</v>
      </c>
      <c r="AF295">
        <f>'Entrada datos'!AI205</f>
        <v>0</v>
      </c>
      <c r="AG295">
        <f>'Entrada datos'!AJ205</f>
        <v>0</v>
      </c>
      <c r="AH295">
        <f>'Entrada datos'!AK205</f>
        <v>0</v>
      </c>
      <c r="AI295">
        <f>'Entrada datos'!AL205</f>
        <v>0</v>
      </c>
      <c r="AJ295">
        <f>'Entrada datos'!AM205</f>
        <v>0</v>
      </c>
      <c r="AK295" s="17">
        <f t="shared" si="72"/>
        <v>0</v>
      </c>
      <c r="AL295">
        <f>'Entrada datos'!AN205</f>
        <v>0</v>
      </c>
      <c r="AM295">
        <f>'Entrada datos'!AO205</f>
        <v>0</v>
      </c>
      <c r="AN295">
        <f>'Entrada datos'!AP205</f>
        <v>0</v>
      </c>
      <c r="AO295">
        <f>'Entrada datos'!AQ205</f>
        <v>0</v>
      </c>
      <c r="AP295">
        <f>'Entrada datos'!AR205</f>
        <v>0</v>
      </c>
      <c r="AQ295">
        <f>'Entrada datos'!AS205</f>
        <v>0</v>
      </c>
      <c r="AR295" s="17">
        <f t="shared" si="73"/>
        <v>0</v>
      </c>
      <c r="AS295" s="23">
        <f t="shared" si="74"/>
        <v>0</v>
      </c>
      <c r="AT295">
        <f t="shared" si="75"/>
        <v>1900</v>
      </c>
      <c r="AU295" s="40" t="str">
        <f t="shared" si="76"/>
        <v>enero</v>
      </c>
      <c r="AV295">
        <f t="shared" si="77"/>
        <v>0</v>
      </c>
      <c r="AW295">
        <f t="shared" si="78"/>
        <v>0</v>
      </c>
      <c r="AX295" s="24">
        <f t="shared" si="79"/>
        <v>0</v>
      </c>
      <c r="AY295" s="24">
        <f t="shared" si="80"/>
        <v>0</v>
      </c>
      <c r="AZ295" s="24">
        <f t="shared" si="81"/>
        <v>0</v>
      </c>
      <c r="BA295">
        <f t="shared" si="82"/>
        <v>0</v>
      </c>
      <c r="BB295">
        <f t="shared" si="83"/>
        <v>0</v>
      </c>
      <c r="BC295" s="24">
        <f t="shared" si="84"/>
        <v>0</v>
      </c>
      <c r="BD295">
        <f t="shared" si="85"/>
        <v>0</v>
      </c>
    </row>
    <row r="296" spans="1:56" x14ac:dyDescent="0.3">
      <c r="A296">
        <f>'Entrada datos'!A206</f>
        <v>0</v>
      </c>
      <c r="B296">
        <f>'Entrada datos'!B206</f>
        <v>0</v>
      </c>
      <c r="C296">
        <f>'Entrada datos'!C206</f>
        <v>0</v>
      </c>
      <c r="D296">
        <f>'Entrada datos'!D206</f>
        <v>0</v>
      </c>
      <c r="E296" s="18">
        <f>'Entrada datos'!G206</f>
        <v>0</v>
      </c>
      <c r="F296" s="18">
        <f>'Entrada datos'!H206</f>
        <v>0</v>
      </c>
      <c r="G296">
        <f>'Entrada datos'!J206</f>
        <v>0</v>
      </c>
      <c r="H296">
        <f>'Entrada datos'!L206</f>
        <v>0</v>
      </c>
      <c r="I296">
        <f>'Entrada datos'!O206</f>
        <v>0</v>
      </c>
      <c r="J296">
        <f>'Entrada datos'!P206</f>
        <v>0</v>
      </c>
      <c r="K296">
        <f>'Entrada datos'!Q206</f>
        <v>0</v>
      </c>
      <c r="L296">
        <f>'Entrada datos'!R206</f>
        <v>0</v>
      </c>
      <c r="M296">
        <f>'Entrada datos'!S206</f>
        <v>0</v>
      </c>
      <c r="N296">
        <f>'Entrada datos'!T206</f>
        <v>0</v>
      </c>
      <c r="O296">
        <f>'Entrada datos'!U206</f>
        <v>0</v>
      </c>
      <c r="P296" s="17">
        <f t="shared" si="69"/>
        <v>0</v>
      </c>
      <c r="Q296">
        <f>'Entrada datos'!V206</f>
        <v>0</v>
      </c>
      <c r="R296">
        <f>'Entrada datos'!W206</f>
        <v>0</v>
      </c>
      <c r="S296">
        <f>'Entrada datos'!X206</f>
        <v>0</v>
      </c>
      <c r="T296">
        <f>'Entrada datos'!Y206</f>
        <v>0</v>
      </c>
      <c r="U296">
        <f>'Entrada datos'!Z206</f>
        <v>0</v>
      </c>
      <c r="V296">
        <f>'Entrada datos'!AA206</f>
        <v>0</v>
      </c>
      <c r="W296" s="17">
        <f t="shared" si="70"/>
        <v>0</v>
      </c>
      <c r="X296">
        <f>'Entrada datos'!AB206</f>
        <v>0</v>
      </c>
      <c r="Y296">
        <f>'Entrada datos'!AC206</f>
        <v>0</v>
      </c>
      <c r="Z296">
        <f>'Entrada datos'!AD206</f>
        <v>0</v>
      </c>
      <c r="AA296">
        <f>'Entrada datos'!AE206</f>
        <v>0</v>
      </c>
      <c r="AB296">
        <f>'Entrada datos'!AF206</f>
        <v>0</v>
      </c>
      <c r="AC296">
        <f>'Entrada datos'!AG206</f>
        <v>0</v>
      </c>
      <c r="AD296" s="17">
        <f t="shared" si="71"/>
        <v>0</v>
      </c>
      <c r="AE296">
        <f>'Entrada datos'!AH206</f>
        <v>0</v>
      </c>
      <c r="AF296">
        <f>'Entrada datos'!AI206</f>
        <v>0</v>
      </c>
      <c r="AG296">
        <f>'Entrada datos'!AJ206</f>
        <v>0</v>
      </c>
      <c r="AH296">
        <f>'Entrada datos'!AK206</f>
        <v>0</v>
      </c>
      <c r="AI296">
        <f>'Entrada datos'!AL206</f>
        <v>0</v>
      </c>
      <c r="AJ296">
        <f>'Entrada datos'!AM206</f>
        <v>0</v>
      </c>
      <c r="AK296" s="17">
        <f t="shared" si="72"/>
        <v>0</v>
      </c>
      <c r="AL296">
        <f>'Entrada datos'!AN206</f>
        <v>0</v>
      </c>
      <c r="AM296">
        <f>'Entrada datos'!AO206</f>
        <v>0</v>
      </c>
      <c r="AN296">
        <f>'Entrada datos'!AP206</f>
        <v>0</v>
      </c>
      <c r="AO296">
        <f>'Entrada datos'!AQ206</f>
        <v>0</v>
      </c>
      <c r="AP296">
        <f>'Entrada datos'!AR206</f>
        <v>0</v>
      </c>
      <c r="AQ296">
        <f>'Entrada datos'!AS206</f>
        <v>0</v>
      </c>
      <c r="AR296" s="17">
        <f t="shared" si="73"/>
        <v>0</v>
      </c>
      <c r="AS296" s="23">
        <f t="shared" si="74"/>
        <v>0</v>
      </c>
      <c r="AT296">
        <f t="shared" si="75"/>
        <v>1900</v>
      </c>
      <c r="AU296" s="40" t="str">
        <f t="shared" si="76"/>
        <v>enero</v>
      </c>
      <c r="AV296">
        <f t="shared" si="77"/>
        <v>0</v>
      </c>
      <c r="AW296">
        <f t="shared" si="78"/>
        <v>0</v>
      </c>
      <c r="AX296" s="24">
        <f t="shared" si="79"/>
        <v>0</v>
      </c>
      <c r="AY296" s="24">
        <f t="shared" si="80"/>
        <v>0</v>
      </c>
      <c r="AZ296" s="24">
        <f t="shared" si="81"/>
        <v>0</v>
      </c>
      <c r="BA296">
        <f t="shared" si="82"/>
        <v>0</v>
      </c>
      <c r="BB296">
        <f t="shared" si="83"/>
        <v>0</v>
      </c>
      <c r="BC296" s="24">
        <f t="shared" si="84"/>
        <v>0</v>
      </c>
      <c r="BD296">
        <f t="shared" si="85"/>
        <v>0</v>
      </c>
    </row>
    <row r="297" spans="1:56" x14ac:dyDescent="0.3">
      <c r="A297">
        <f>'Entrada datos'!A207</f>
        <v>0</v>
      </c>
      <c r="B297">
        <f>'Entrada datos'!B207</f>
        <v>0</v>
      </c>
      <c r="C297">
        <f>'Entrada datos'!C207</f>
        <v>0</v>
      </c>
      <c r="D297">
        <f>'Entrada datos'!D207</f>
        <v>0</v>
      </c>
      <c r="E297" s="18">
        <f>'Entrada datos'!G207</f>
        <v>0</v>
      </c>
      <c r="F297" s="18">
        <f>'Entrada datos'!H207</f>
        <v>0</v>
      </c>
      <c r="G297">
        <f>'Entrada datos'!J207</f>
        <v>0</v>
      </c>
      <c r="H297">
        <f>'Entrada datos'!L207</f>
        <v>0</v>
      </c>
      <c r="I297">
        <f>'Entrada datos'!O207</f>
        <v>0</v>
      </c>
      <c r="J297">
        <f>'Entrada datos'!P207</f>
        <v>0</v>
      </c>
      <c r="K297">
        <f>'Entrada datos'!Q207</f>
        <v>0</v>
      </c>
      <c r="L297">
        <f>'Entrada datos'!R207</f>
        <v>0</v>
      </c>
      <c r="M297">
        <f>'Entrada datos'!S207</f>
        <v>0</v>
      </c>
      <c r="N297">
        <f>'Entrada datos'!T207</f>
        <v>0</v>
      </c>
      <c r="O297">
        <f>'Entrada datos'!U207</f>
        <v>0</v>
      </c>
      <c r="P297" s="17">
        <f t="shared" si="69"/>
        <v>0</v>
      </c>
      <c r="Q297">
        <f>'Entrada datos'!V207</f>
        <v>0</v>
      </c>
      <c r="R297">
        <f>'Entrada datos'!W207</f>
        <v>0</v>
      </c>
      <c r="S297">
        <f>'Entrada datos'!X207</f>
        <v>0</v>
      </c>
      <c r="T297">
        <f>'Entrada datos'!Y207</f>
        <v>0</v>
      </c>
      <c r="U297">
        <f>'Entrada datos'!Z207</f>
        <v>0</v>
      </c>
      <c r="V297">
        <f>'Entrada datos'!AA207</f>
        <v>0</v>
      </c>
      <c r="W297" s="17">
        <f t="shared" si="70"/>
        <v>0</v>
      </c>
      <c r="X297">
        <f>'Entrada datos'!AB207</f>
        <v>0</v>
      </c>
      <c r="Y297">
        <f>'Entrada datos'!AC207</f>
        <v>0</v>
      </c>
      <c r="Z297">
        <f>'Entrada datos'!AD207</f>
        <v>0</v>
      </c>
      <c r="AA297">
        <f>'Entrada datos'!AE207</f>
        <v>0</v>
      </c>
      <c r="AB297">
        <f>'Entrada datos'!AF207</f>
        <v>0</v>
      </c>
      <c r="AC297">
        <f>'Entrada datos'!AG207</f>
        <v>0</v>
      </c>
      <c r="AD297" s="17">
        <f t="shared" si="71"/>
        <v>0</v>
      </c>
      <c r="AE297">
        <f>'Entrada datos'!AH207</f>
        <v>0</v>
      </c>
      <c r="AF297">
        <f>'Entrada datos'!AI207</f>
        <v>0</v>
      </c>
      <c r="AG297">
        <f>'Entrada datos'!AJ207</f>
        <v>0</v>
      </c>
      <c r="AH297">
        <f>'Entrada datos'!AK207</f>
        <v>0</v>
      </c>
      <c r="AI297">
        <f>'Entrada datos'!AL207</f>
        <v>0</v>
      </c>
      <c r="AJ297">
        <f>'Entrada datos'!AM207</f>
        <v>0</v>
      </c>
      <c r="AK297" s="17">
        <f t="shared" si="72"/>
        <v>0</v>
      </c>
      <c r="AL297">
        <f>'Entrada datos'!AN207</f>
        <v>0</v>
      </c>
      <c r="AM297">
        <f>'Entrada datos'!AO207</f>
        <v>0</v>
      </c>
      <c r="AN297">
        <f>'Entrada datos'!AP207</f>
        <v>0</v>
      </c>
      <c r="AO297">
        <f>'Entrada datos'!AQ207</f>
        <v>0</v>
      </c>
      <c r="AP297">
        <f>'Entrada datos'!AR207</f>
        <v>0</v>
      </c>
      <c r="AQ297">
        <f>'Entrada datos'!AS207</f>
        <v>0</v>
      </c>
      <c r="AR297" s="17">
        <f t="shared" si="73"/>
        <v>0</v>
      </c>
      <c r="AS297" s="23">
        <f t="shared" si="74"/>
        <v>0</v>
      </c>
      <c r="AT297">
        <f t="shared" si="75"/>
        <v>1900</v>
      </c>
      <c r="AU297" s="40" t="str">
        <f t="shared" si="76"/>
        <v>enero</v>
      </c>
      <c r="AV297">
        <f t="shared" si="77"/>
        <v>0</v>
      </c>
      <c r="AW297">
        <f t="shared" si="78"/>
        <v>0</v>
      </c>
      <c r="AX297" s="24">
        <f t="shared" si="79"/>
        <v>0</v>
      </c>
      <c r="AY297" s="24">
        <f t="shared" si="80"/>
        <v>0</v>
      </c>
      <c r="AZ297" s="24">
        <f t="shared" si="81"/>
        <v>0</v>
      </c>
      <c r="BA297">
        <f t="shared" si="82"/>
        <v>0</v>
      </c>
      <c r="BB297">
        <f t="shared" si="83"/>
        <v>0</v>
      </c>
      <c r="BC297" s="24">
        <f t="shared" si="84"/>
        <v>0</v>
      </c>
      <c r="BD297">
        <f t="shared" si="85"/>
        <v>0</v>
      </c>
    </row>
    <row r="298" spans="1:56" x14ac:dyDescent="0.3">
      <c r="A298">
        <f>'Entrada datos'!A208</f>
        <v>0</v>
      </c>
      <c r="B298">
        <f>'Entrada datos'!B208</f>
        <v>0</v>
      </c>
      <c r="C298">
        <f>'Entrada datos'!C208</f>
        <v>0</v>
      </c>
      <c r="D298">
        <f>'Entrada datos'!D208</f>
        <v>0</v>
      </c>
      <c r="E298" s="18">
        <f>'Entrada datos'!G208</f>
        <v>0</v>
      </c>
      <c r="F298" s="18">
        <f>'Entrada datos'!H208</f>
        <v>0</v>
      </c>
      <c r="G298">
        <f>'Entrada datos'!J208</f>
        <v>0</v>
      </c>
      <c r="H298">
        <f>'Entrada datos'!L208</f>
        <v>0</v>
      </c>
      <c r="I298">
        <f>'Entrada datos'!O208</f>
        <v>0</v>
      </c>
      <c r="J298">
        <f>'Entrada datos'!P208</f>
        <v>0</v>
      </c>
      <c r="K298">
        <f>'Entrada datos'!Q208</f>
        <v>0</v>
      </c>
      <c r="L298">
        <f>'Entrada datos'!R208</f>
        <v>0</v>
      </c>
      <c r="M298">
        <f>'Entrada datos'!S208</f>
        <v>0</v>
      </c>
      <c r="N298">
        <f>'Entrada datos'!T208</f>
        <v>0</v>
      </c>
      <c r="O298">
        <f>'Entrada datos'!U208</f>
        <v>0</v>
      </c>
      <c r="P298" s="17">
        <f t="shared" si="69"/>
        <v>0</v>
      </c>
      <c r="Q298">
        <f>'Entrada datos'!V208</f>
        <v>0</v>
      </c>
      <c r="R298">
        <f>'Entrada datos'!W208</f>
        <v>0</v>
      </c>
      <c r="S298">
        <f>'Entrada datos'!X208</f>
        <v>0</v>
      </c>
      <c r="T298">
        <f>'Entrada datos'!Y208</f>
        <v>0</v>
      </c>
      <c r="U298">
        <f>'Entrada datos'!Z208</f>
        <v>0</v>
      </c>
      <c r="V298">
        <f>'Entrada datos'!AA208</f>
        <v>0</v>
      </c>
      <c r="W298" s="17">
        <f t="shared" si="70"/>
        <v>0</v>
      </c>
      <c r="X298">
        <f>'Entrada datos'!AB208</f>
        <v>0</v>
      </c>
      <c r="Y298">
        <f>'Entrada datos'!AC208</f>
        <v>0</v>
      </c>
      <c r="Z298">
        <f>'Entrada datos'!AD208</f>
        <v>0</v>
      </c>
      <c r="AA298">
        <f>'Entrada datos'!AE208</f>
        <v>0</v>
      </c>
      <c r="AB298">
        <f>'Entrada datos'!AF208</f>
        <v>0</v>
      </c>
      <c r="AC298">
        <f>'Entrada datos'!AG208</f>
        <v>0</v>
      </c>
      <c r="AD298" s="17">
        <f t="shared" si="71"/>
        <v>0</v>
      </c>
      <c r="AE298">
        <f>'Entrada datos'!AH208</f>
        <v>0</v>
      </c>
      <c r="AF298">
        <f>'Entrada datos'!AI208</f>
        <v>0</v>
      </c>
      <c r="AG298">
        <f>'Entrada datos'!AJ208</f>
        <v>0</v>
      </c>
      <c r="AH298">
        <f>'Entrada datos'!AK208</f>
        <v>0</v>
      </c>
      <c r="AI298">
        <f>'Entrada datos'!AL208</f>
        <v>0</v>
      </c>
      <c r="AJ298">
        <f>'Entrada datos'!AM208</f>
        <v>0</v>
      </c>
      <c r="AK298" s="17">
        <f t="shared" si="72"/>
        <v>0</v>
      </c>
      <c r="AL298">
        <f>'Entrada datos'!AN208</f>
        <v>0</v>
      </c>
      <c r="AM298">
        <f>'Entrada datos'!AO208</f>
        <v>0</v>
      </c>
      <c r="AN298">
        <f>'Entrada datos'!AP208</f>
        <v>0</v>
      </c>
      <c r="AO298">
        <f>'Entrada datos'!AQ208</f>
        <v>0</v>
      </c>
      <c r="AP298">
        <f>'Entrada datos'!AR208</f>
        <v>0</v>
      </c>
      <c r="AQ298">
        <f>'Entrada datos'!AS208</f>
        <v>0</v>
      </c>
      <c r="AR298" s="17">
        <f t="shared" si="73"/>
        <v>0</v>
      </c>
      <c r="AS298" s="23">
        <f t="shared" si="74"/>
        <v>0</v>
      </c>
      <c r="AT298">
        <f t="shared" si="75"/>
        <v>1900</v>
      </c>
      <c r="AU298" s="40" t="str">
        <f t="shared" si="76"/>
        <v>enero</v>
      </c>
      <c r="AV298">
        <f t="shared" si="77"/>
        <v>0</v>
      </c>
      <c r="AW298">
        <f t="shared" si="78"/>
        <v>0</v>
      </c>
      <c r="AX298" s="24">
        <f t="shared" si="79"/>
        <v>0</v>
      </c>
      <c r="AY298" s="24">
        <f t="shared" si="80"/>
        <v>0</v>
      </c>
      <c r="AZ298" s="24">
        <f t="shared" si="81"/>
        <v>0</v>
      </c>
      <c r="BA298">
        <f t="shared" si="82"/>
        <v>0</v>
      </c>
      <c r="BB298">
        <f t="shared" si="83"/>
        <v>0</v>
      </c>
      <c r="BC298" s="24">
        <f t="shared" si="84"/>
        <v>0</v>
      </c>
      <c r="BD298">
        <f t="shared" si="85"/>
        <v>0</v>
      </c>
    </row>
    <row r="299" spans="1:56" x14ac:dyDescent="0.3">
      <c r="A299">
        <f>'Entrada datos'!A209</f>
        <v>0</v>
      </c>
      <c r="B299">
        <f>'Entrada datos'!B209</f>
        <v>0</v>
      </c>
      <c r="C299">
        <f>'Entrada datos'!C209</f>
        <v>0</v>
      </c>
      <c r="D299">
        <f>'Entrada datos'!D209</f>
        <v>0</v>
      </c>
      <c r="E299" s="18">
        <f>'Entrada datos'!G209</f>
        <v>0</v>
      </c>
      <c r="F299" s="18">
        <f>'Entrada datos'!H209</f>
        <v>0</v>
      </c>
      <c r="G299">
        <f>'Entrada datos'!J209</f>
        <v>0</v>
      </c>
      <c r="H299">
        <f>'Entrada datos'!L209</f>
        <v>0</v>
      </c>
      <c r="I299">
        <f>'Entrada datos'!O209</f>
        <v>0</v>
      </c>
      <c r="J299">
        <f>'Entrada datos'!P209</f>
        <v>0</v>
      </c>
      <c r="K299">
        <f>'Entrada datos'!Q209</f>
        <v>0</v>
      </c>
      <c r="L299">
        <f>'Entrada datos'!R209</f>
        <v>0</v>
      </c>
      <c r="M299">
        <f>'Entrada datos'!S209</f>
        <v>0</v>
      </c>
      <c r="N299">
        <f>'Entrada datos'!T209</f>
        <v>0</v>
      </c>
      <c r="O299">
        <f>'Entrada datos'!U209</f>
        <v>0</v>
      </c>
      <c r="P299" s="17">
        <f t="shared" si="69"/>
        <v>0</v>
      </c>
      <c r="Q299">
        <f>'Entrada datos'!V209</f>
        <v>0</v>
      </c>
      <c r="R299">
        <f>'Entrada datos'!W209</f>
        <v>0</v>
      </c>
      <c r="S299">
        <f>'Entrada datos'!X209</f>
        <v>0</v>
      </c>
      <c r="T299">
        <f>'Entrada datos'!Y209</f>
        <v>0</v>
      </c>
      <c r="U299">
        <f>'Entrada datos'!Z209</f>
        <v>0</v>
      </c>
      <c r="V299">
        <f>'Entrada datos'!AA209</f>
        <v>0</v>
      </c>
      <c r="W299" s="17">
        <f t="shared" si="70"/>
        <v>0</v>
      </c>
      <c r="X299">
        <f>'Entrada datos'!AB209</f>
        <v>0</v>
      </c>
      <c r="Y299">
        <f>'Entrada datos'!AC209</f>
        <v>0</v>
      </c>
      <c r="Z299">
        <f>'Entrada datos'!AD209</f>
        <v>0</v>
      </c>
      <c r="AA299">
        <f>'Entrada datos'!AE209</f>
        <v>0</v>
      </c>
      <c r="AB299">
        <f>'Entrada datos'!AF209</f>
        <v>0</v>
      </c>
      <c r="AC299">
        <f>'Entrada datos'!AG209</f>
        <v>0</v>
      </c>
      <c r="AD299" s="17">
        <f t="shared" si="71"/>
        <v>0</v>
      </c>
      <c r="AE299">
        <f>'Entrada datos'!AH209</f>
        <v>0</v>
      </c>
      <c r="AF299">
        <f>'Entrada datos'!AI209</f>
        <v>0</v>
      </c>
      <c r="AG299">
        <f>'Entrada datos'!AJ209</f>
        <v>0</v>
      </c>
      <c r="AH299">
        <f>'Entrada datos'!AK209</f>
        <v>0</v>
      </c>
      <c r="AI299">
        <f>'Entrada datos'!AL209</f>
        <v>0</v>
      </c>
      <c r="AJ299">
        <f>'Entrada datos'!AM209</f>
        <v>0</v>
      </c>
      <c r="AK299" s="17">
        <f t="shared" si="72"/>
        <v>0</v>
      </c>
      <c r="AL299">
        <f>'Entrada datos'!AN209</f>
        <v>0</v>
      </c>
      <c r="AM299">
        <f>'Entrada datos'!AO209</f>
        <v>0</v>
      </c>
      <c r="AN299">
        <f>'Entrada datos'!AP209</f>
        <v>0</v>
      </c>
      <c r="AO299">
        <f>'Entrada datos'!AQ209</f>
        <v>0</v>
      </c>
      <c r="AP299">
        <f>'Entrada datos'!AR209</f>
        <v>0</v>
      </c>
      <c r="AQ299">
        <f>'Entrada datos'!AS209</f>
        <v>0</v>
      </c>
      <c r="AR299" s="17">
        <f t="shared" si="73"/>
        <v>0</v>
      </c>
      <c r="AS299" s="23">
        <f t="shared" si="74"/>
        <v>0</v>
      </c>
      <c r="AT299">
        <f t="shared" si="75"/>
        <v>1900</v>
      </c>
      <c r="AU299" s="40" t="str">
        <f t="shared" si="76"/>
        <v>enero</v>
      </c>
      <c r="AV299">
        <f t="shared" si="77"/>
        <v>0</v>
      </c>
      <c r="AW299">
        <f t="shared" si="78"/>
        <v>0</v>
      </c>
      <c r="AX299" s="24">
        <f t="shared" si="79"/>
        <v>0</v>
      </c>
      <c r="AY299" s="24">
        <f t="shared" si="80"/>
        <v>0</v>
      </c>
      <c r="AZ299" s="24">
        <f t="shared" si="81"/>
        <v>0</v>
      </c>
      <c r="BA299">
        <f t="shared" si="82"/>
        <v>0</v>
      </c>
      <c r="BB299">
        <f t="shared" si="83"/>
        <v>0</v>
      </c>
      <c r="BC299" s="24">
        <f t="shared" si="84"/>
        <v>0</v>
      </c>
      <c r="BD299">
        <f t="shared" si="85"/>
        <v>0</v>
      </c>
    </row>
    <row r="300" spans="1:56" x14ac:dyDescent="0.3">
      <c r="A300">
        <f>'Entrada datos'!A210</f>
        <v>0</v>
      </c>
      <c r="B300">
        <f>'Entrada datos'!B210</f>
        <v>0</v>
      </c>
      <c r="C300">
        <f>'Entrada datos'!C210</f>
        <v>0</v>
      </c>
      <c r="D300">
        <f>'Entrada datos'!D210</f>
        <v>0</v>
      </c>
      <c r="E300" s="18">
        <f>'Entrada datos'!G210</f>
        <v>0</v>
      </c>
      <c r="F300" s="18">
        <f>'Entrada datos'!H210</f>
        <v>0</v>
      </c>
      <c r="G300">
        <f>'Entrada datos'!J210</f>
        <v>0</v>
      </c>
      <c r="H300">
        <f>'Entrada datos'!L210</f>
        <v>0</v>
      </c>
      <c r="I300">
        <f>'Entrada datos'!O210</f>
        <v>0</v>
      </c>
      <c r="J300">
        <f>'Entrada datos'!P210</f>
        <v>0</v>
      </c>
      <c r="K300">
        <f>'Entrada datos'!Q210</f>
        <v>0</v>
      </c>
      <c r="L300">
        <f>'Entrada datos'!R210</f>
        <v>0</v>
      </c>
      <c r="M300">
        <f>'Entrada datos'!S210</f>
        <v>0</v>
      </c>
      <c r="N300">
        <f>'Entrada datos'!T210</f>
        <v>0</v>
      </c>
      <c r="O300">
        <f>'Entrada datos'!U210</f>
        <v>0</v>
      </c>
      <c r="P300" s="17">
        <f t="shared" si="69"/>
        <v>0</v>
      </c>
      <c r="Q300">
        <f>'Entrada datos'!V210</f>
        <v>0</v>
      </c>
      <c r="R300">
        <f>'Entrada datos'!W210</f>
        <v>0</v>
      </c>
      <c r="S300">
        <f>'Entrada datos'!X210</f>
        <v>0</v>
      </c>
      <c r="T300">
        <f>'Entrada datos'!Y210</f>
        <v>0</v>
      </c>
      <c r="U300">
        <f>'Entrada datos'!Z210</f>
        <v>0</v>
      </c>
      <c r="V300">
        <f>'Entrada datos'!AA210</f>
        <v>0</v>
      </c>
      <c r="W300" s="17">
        <f t="shared" si="70"/>
        <v>0</v>
      </c>
      <c r="X300">
        <f>'Entrada datos'!AB210</f>
        <v>0</v>
      </c>
      <c r="Y300">
        <f>'Entrada datos'!AC210</f>
        <v>0</v>
      </c>
      <c r="Z300">
        <f>'Entrada datos'!AD210</f>
        <v>0</v>
      </c>
      <c r="AA300">
        <f>'Entrada datos'!AE210</f>
        <v>0</v>
      </c>
      <c r="AB300">
        <f>'Entrada datos'!AF210</f>
        <v>0</v>
      </c>
      <c r="AC300">
        <f>'Entrada datos'!AG210</f>
        <v>0</v>
      </c>
      <c r="AD300" s="17">
        <f t="shared" si="71"/>
        <v>0</v>
      </c>
      <c r="AE300">
        <f>'Entrada datos'!AH210</f>
        <v>0</v>
      </c>
      <c r="AF300">
        <f>'Entrada datos'!AI210</f>
        <v>0</v>
      </c>
      <c r="AG300">
        <f>'Entrada datos'!AJ210</f>
        <v>0</v>
      </c>
      <c r="AH300">
        <f>'Entrada datos'!AK210</f>
        <v>0</v>
      </c>
      <c r="AI300">
        <f>'Entrada datos'!AL210</f>
        <v>0</v>
      </c>
      <c r="AJ300">
        <f>'Entrada datos'!AM210</f>
        <v>0</v>
      </c>
      <c r="AK300" s="17">
        <f t="shared" si="72"/>
        <v>0</v>
      </c>
      <c r="AL300">
        <f>'Entrada datos'!AN210</f>
        <v>0</v>
      </c>
      <c r="AM300">
        <f>'Entrada datos'!AO210</f>
        <v>0</v>
      </c>
      <c r="AN300">
        <f>'Entrada datos'!AP210</f>
        <v>0</v>
      </c>
      <c r="AO300">
        <f>'Entrada datos'!AQ210</f>
        <v>0</v>
      </c>
      <c r="AP300">
        <f>'Entrada datos'!AR210</f>
        <v>0</v>
      </c>
      <c r="AQ300">
        <f>'Entrada datos'!AS210</f>
        <v>0</v>
      </c>
      <c r="AR300" s="17">
        <f t="shared" si="73"/>
        <v>0</v>
      </c>
      <c r="AS300" s="23">
        <f t="shared" si="74"/>
        <v>0</v>
      </c>
      <c r="AT300">
        <f t="shared" si="75"/>
        <v>1900</v>
      </c>
      <c r="AU300" s="40" t="str">
        <f t="shared" si="76"/>
        <v>enero</v>
      </c>
      <c r="AV300">
        <f t="shared" si="77"/>
        <v>0</v>
      </c>
      <c r="AW300">
        <f t="shared" si="78"/>
        <v>0</v>
      </c>
      <c r="AX300" s="24">
        <f t="shared" si="79"/>
        <v>0</v>
      </c>
      <c r="AY300" s="24">
        <f t="shared" si="80"/>
        <v>0</v>
      </c>
      <c r="AZ300" s="24">
        <f t="shared" si="81"/>
        <v>0</v>
      </c>
      <c r="BA300">
        <f t="shared" si="82"/>
        <v>0</v>
      </c>
      <c r="BB300">
        <f t="shared" si="83"/>
        <v>0</v>
      </c>
      <c r="BC300" s="24">
        <f t="shared" si="84"/>
        <v>0</v>
      </c>
      <c r="BD300">
        <f t="shared" si="85"/>
        <v>0</v>
      </c>
    </row>
  </sheetData>
  <sheetProtection algorithmName="SHA-512" hashValue="ow3F6vmAFFS4QXm1Q9EhAIGBIpviZJnh0V/d0m2e7+Qkx7LZtO1qZXOpidU07E+F9w0qIp3CrBRmoc4WN2BHRA==" saltValue="AnlPb/uW0IbYErSrxO8wjA==" spinCount="100000" sheet="1" objects="1" scenarios="1"/>
  <protectedRanges>
    <protectedRange sqref="AT1:AU1048576" name="Rango1"/>
  </protectedRanges>
  <pageMargins left="0.7" right="0.7" top="0.75" bottom="0.75" header="0.3" footer="0.3"/>
  <pageSetup paperSize="9" orientation="portrait" r:id="rId1"/>
  <headerFooter>
    <oddHeader>&amp;C&amp;"Arial"&amp;8&amp;K000000INTERNAL&amp;1#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AB250"/>
  <sheetViews>
    <sheetView workbookViewId="0">
      <selection sqref="A1:B1"/>
    </sheetView>
  </sheetViews>
  <sheetFormatPr baseColWidth="10" defaultColWidth="11.44140625" defaultRowHeight="14.4" x14ac:dyDescent="0.3"/>
  <cols>
    <col min="1" max="1" width="12" style="2" bestFit="1" customWidth="1"/>
    <col min="2" max="3" width="13.44140625" style="2" customWidth="1"/>
    <col min="4" max="4" width="12" style="1" bestFit="1" customWidth="1"/>
    <col min="5" max="5" width="12" style="1" customWidth="1"/>
    <col min="6" max="6" width="11.88671875" style="1" bestFit="1" customWidth="1"/>
    <col min="7" max="7" width="11.88671875" style="1" customWidth="1"/>
    <col min="8" max="16384" width="11.44140625" style="1"/>
  </cols>
  <sheetData>
    <row r="1" spans="1:28" ht="34.5" customHeight="1" x14ac:dyDescent="0.3">
      <c r="A1" s="116">
        <f>Suma!A1</f>
        <v>0</v>
      </c>
      <c r="B1" s="117"/>
      <c r="C1" s="12"/>
    </row>
    <row r="2" spans="1:28" s="9" customFormat="1" ht="57.6" x14ac:dyDescent="0.3">
      <c r="A2" s="5" t="s">
        <v>12</v>
      </c>
      <c r="B2" s="6" t="s">
        <v>13</v>
      </c>
      <c r="C2" s="6" t="s">
        <v>14</v>
      </c>
      <c r="D2" s="7" t="s">
        <v>0</v>
      </c>
      <c r="E2" s="7" t="s">
        <v>1</v>
      </c>
      <c r="F2" s="7" t="s">
        <v>2</v>
      </c>
      <c r="G2" s="7" t="s">
        <v>3</v>
      </c>
      <c r="H2" s="8" t="s">
        <v>4</v>
      </c>
      <c r="I2" s="8" t="s">
        <v>17</v>
      </c>
      <c r="J2" s="8" t="s">
        <v>21</v>
      </c>
      <c r="K2" s="8" t="s">
        <v>19</v>
      </c>
      <c r="L2" s="8" t="s">
        <v>22</v>
      </c>
      <c r="M2" s="8" t="s">
        <v>23</v>
      </c>
      <c r="N2" s="8" t="s">
        <v>8</v>
      </c>
      <c r="O2" s="8" t="s">
        <v>28</v>
      </c>
      <c r="P2" s="8" t="s">
        <v>31</v>
      </c>
      <c r="Q2" s="25" t="s">
        <v>26</v>
      </c>
      <c r="R2" s="25" t="s">
        <v>35</v>
      </c>
      <c r="S2" s="25" t="s">
        <v>99</v>
      </c>
      <c r="T2" s="25" t="s">
        <v>102</v>
      </c>
      <c r="U2" s="25" t="s">
        <v>60</v>
      </c>
      <c r="V2" s="25" t="s">
        <v>61</v>
      </c>
      <c r="W2" s="25" t="s">
        <v>62</v>
      </c>
      <c r="X2" s="25" t="s">
        <v>63</v>
      </c>
      <c r="Y2" s="25" t="s">
        <v>64</v>
      </c>
      <c r="Z2" s="25" t="s">
        <v>65</v>
      </c>
      <c r="AA2" s="25" t="s">
        <v>103</v>
      </c>
      <c r="AB2" s="25" t="s">
        <v>105</v>
      </c>
    </row>
    <row r="3" spans="1:28" x14ac:dyDescent="0.3">
      <c r="A3" s="1" t="e">
        <f>IF(Suma!$B2=$A$1,Suma!C2,NA())</f>
        <v>#REF!</v>
      </c>
      <c r="B3" s="1" t="e">
        <f>IF(Suma!$B2=$A$1,Suma!D2,NA())</f>
        <v>#REF!</v>
      </c>
      <c r="C3" s="2" t="e">
        <f>IF(Suma!$B2=$A$1,Suma!E2,NA())</f>
        <v>#REF!</v>
      </c>
      <c r="D3" s="2" t="e">
        <f>IF(Suma!$B2=$A$1,Suma!F2,NA())</f>
        <v>#REF!</v>
      </c>
      <c r="E3" s="1" t="e">
        <f>IF(Suma!$B2=$A$1,Suma!P2,NA())</f>
        <v>#REF!</v>
      </c>
      <c r="F3" s="10" t="e">
        <f>IFERROR(E3/(($D3-$C3)+1),NA())</f>
        <v>#N/A</v>
      </c>
      <c r="G3" s="1" t="e">
        <f>IF(Suma!$B2=$A$1,Suma!W2,NA())</f>
        <v>#REF!</v>
      </c>
      <c r="H3" s="10" t="e">
        <f>IFERROR((G3/($D3-$C3+1)),NA())</f>
        <v>#N/A</v>
      </c>
      <c r="I3" s="1" t="e">
        <f>IF(Suma!$B2=$A$1,Suma!AD2,NA())</f>
        <v>#REF!</v>
      </c>
      <c r="J3" s="1" t="e">
        <f>IF(Suma!$B2=$A$1,Suma!AK2,NA())</f>
        <v>#REF!</v>
      </c>
      <c r="K3" s="10" t="e">
        <f>IF(Suma!$B2=$A$1,Suma!AS2,NA())</f>
        <v>#REF!</v>
      </c>
      <c r="L3" s="1" t="e">
        <f>IF(Suma!$B2=$A$1,Suma!G2,NA())</f>
        <v>#REF!</v>
      </c>
      <c r="M3" s="1" t="e">
        <f>IF(Suma!$B2=$A$1,Suma!H2,NA())</f>
        <v>#REF!</v>
      </c>
      <c r="N3" s="1" t="e">
        <f>IF(Suma!$B2=$A$1,Suma!AT2,NA())</f>
        <v>#REF!</v>
      </c>
      <c r="O3" s="1" t="e">
        <f>IF(Suma!$B2=$A$1,Suma!AU2,NA())</f>
        <v>#REF!</v>
      </c>
      <c r="P3" s="1" t="e">
        <f>IF(Suma!$B2=$A$1,Suma!AV2,NA())</f>
        <v>#REF!</v>
      </c>
      <c r="Q3" s="1" t="e">
        <f>IF(Suma!$B2=$A$1,Suma!AW2,NA())</f>
        <v>#REF!</v>
      </c>
      <c r="R3" s="10" t="e">
        <f>IF(Suma!$B2=$A$1,Suma!AX2,NA())</f>
        <v>#REF!</v>
      </c>
      <c r="S3" s="10" t="e">
        <f>IF(Suma!$B2=$A$1,Suma!AY2,NA())</f>
        <v>#REF!</v>
      </c>
      <c r="T3" s="10" t="e">
        <f>IF(Suma!$B2=$A$1,Suma!AZ2,NA())</f>
        <v>#REF!</v>
      </c>
      <c r="U3" s="10" t="e">
        <f>IF(Suma!$B2=$A$1,Suma!J2,NA())</f>
        <v>#REF!</v>
      </c>
      <c r="V3" s="10" t="e">
        <f>IF(Suma!$B2=$A$1,Suma!K2,NA())</f>
        <v>#REF!</v>
      </c>
      <c r="W3" s="10" t="e">
        <f>IF(Suma!$B2=$A$1,Suma!L2,NA())</f>
        <v>#REF!</v>
      </c>
      <c r="X3" s="10" t="e">
        <f>IF(Suma!$B2=$A$1,Suma!M2,NA())</f>
        <v>#REF!</v>
      </c>
      <c r="Y3" s="10" t="e">
        <f>IF(Suma!$B2=$A$1,Suma!N2,NA())</f>
        <v>#REF!</v>
      </c>
      <c r="Z3" s="10" t="e">
        <f>IF(Suma!$B2=$A$1,Suma!O2,NA())</f>
        <v>#REF!</v>
      </c>
      <c r="AA3" s="10" t="e">
        <f>IF(Suma!$B2=$A$1,Suma!BC2,NA())</f>
        <v>#REF!</v>
      </c>
      <c r="AB3" s="10" t="e">
        <f>IF(Suma!$B2=$A$1,Suma!BD2,NA())</f>
        <v>#REF!</v>
      </c>
    </row>
    <row r="4" spans="1:28" x14ac:dyDescent="0.3">
      <c r="A4" s="1" t="e">
        <f>IF(Suma!$B3=$A$1,Suma!C3,NA())</f>
        <v>#REF!</v>
      </c>
      <c r="B4" s="1" t="e">
        <f>IF(Suma!$B3=$A$1,Suma!D3,NA())</f>
        <v>#REF!</v>
      </c>
      <c r="C4" s="2" t="e">
        <f>IF(Suma!$B3=$A$1,Suma!E3,NA())</f>
        <v>#REF!</v>
      </c>
      <c r="D4" s="2" t="e">
        <f>IF(Suma!$B3=$A$1,Suma!F3,NA())</f>
        <v>#REF!</v>
      </c>
      <c r="E4" s="1" t="e">
        <f>IF(Suma!$B3=$A$1,Suma!P3,NA())</f>
        <v>#REF!</v>
      </c>
      <c r="F4" s="10" t="e">
        <f t="shared" ref="F4:F67" si="0">IFERROR(E4/(($D4-$C4)+1),NA())</f>
        <v>#N/A</v>
      </c>
      <c r="G4" s="1" t="e">
        <f>IF(Suma!$B3=$A$1,Suma!W3,NA())</f>
        <v>#REF!</v>
      </c>
      <c r="H4" s="10" t="e">
        <f t="shared" ref="H4:H67" si="1">IFERROR((G4/($D4-$C4+1)),NA())</f>
        <v>#N/A</v>
      </c>
      <c r="I4" s="1" t="e">
        <f>IF(Suma!$B3=$A$1,Suma!AD3,NA())</f>
        <v>#REF!</v>
      </c>
      <c r="J4" s="1" t="e">
        <f>IF(Suma!$B3=$A$1,Suma!AK3,NA())</f>
        <v>#REF!</v>
      </c>
      <c r="K4" s="10" t="e">
        <f>IF(Suma!$B3=$A$1,Suma!AS3,NA())</f>
        <v>#REF!</v>
      </c>
      <c r="L4" s="1" t="e">
        <f>IF(Suma!$B3=$A$1,Suma!G3,NA())</f>
        <v>#REF!</v>
      </c>
      <c r="M4" s="1" t="e">
        <f>IF(Suma!$B3=$A$1,Suma!H3,NA())</f>
        <v>#REF!</v>
      </c>
      <c r="N4" s="1" t="e">
        <f>IF(Suma!$B3=$A$1,Suma!AT3,NA())</f>
        <v>#REF!</v>
      </c>
      <c r="O4" s="1" t="e">
        <f>IF(Suma!$B3=$A$1,Suma!AU3,NA())</f>
        <v>#REF!</v>
      </c>
      <c r="P4" s="1" t="e">
        <f>IF(Suma!$B3=$A$1,Suma!AV3,NA())</f>
        <v>#REF!</v>
      </c>
      <c r="Q4" s="1" t="e">
        <f>IF(Suma!$B3=$A$1,Suma!AW3,NA())</f>
        <v>#REF!</v>
      </c>
      <c r="R4" s="10" t="e">
        <f>IF(Suma!$B3=$A$1,Suma!AX3,NA())</f>
        <v>#REF!</v>
      </c>
      <c r="S4" s="10" t="e">
        <f>IF(Suma!$B3=$A$1,Suma!AY3,NA())</f>
        <v>#REF!</v>
      </c>
      <c r="T4" s="10" t="e">
        <f>IF(Suma!$B3=$A$1,Suma!AZ3,NA())</f>
        <v>#REF!</v>
      </c>
      <c r="U4" s="10" t="e">
        <f>IF(Suma!$B3=$A$1,Suma!J3,NA())</f>
        <v>#REF!</v>
      </c>
      <c r="V4" s="10" t="e">
        <f>IF(Suma!$B3=$A$1,Suma!K3,NA())</f>
        <v>#REF!</v>
      </c>
      <c r="W4" s="10" t="e">
        <f>IF(Suma!$B3=$A$1,Suma!L3,NA())</f>
        <v>#REF!</v>
      </c>
      <c r="X4" s="10" t="e">
        <f>IF(Suma!$B3=$A$1,Suma!M3,NA())</f>
        <v>#REF!</v>
      </c>
      <c r="Y4" s="10" t="e">
        <f>IF(Suma!$B3=$A$1,Suma!N3,NA())</f>
        <v>#REF!</v>
      </c>
      <c r="Z4" s="10" t="e">
        <f>IF(Suma!$B3=$A$1,Suma!O3,NA())</f>
        <v>#REF!</v>
      </c>
      <c r="AA4" s="10" t="e">
        <f>IF(Suma!$B3=$A$1,Suma!BC3,NA())</f>
        <v>#REF!</v>
      </c>
      <c r="AB4" s="10" t="e">
        <f>IF(Suma!$B3=$A$1,Suma!BD3,NA())</f>
        <v>#REF!</v>
      </c>
    </row>
    <row r="5" spans="1:28" x14ac:dyDescent="0.3">
      <c r="A5" s="1" t="e">
        <f>IF(Suma!$B4=$A$1,Suma!C4,NA())</f>
        <v>#REF!</v>
      </c>
      <c r="B5" s="1" t="e">
        <f>IF(Suma!$B4=$A$1,Suma!D4,NA())</f>
        <v>#REF!</v>
      </c>
      <c r="C5" s="2" t="e">
        <f>IF(Suma!$B4=$A$1,Suma!E4,NA())</f>
        <v>#REF!</v>
      </c>
      <c r="D5" s="2" t="e">
        <f>IF(Suma!$B4=$A$1,Suma!F4,NA())</f>
        <v>#REF!</v>
      </c>
      <c r="E5" s="1" t="e">
        <f>IF(Suma!$B4=$A$1,Suma!P4,NA())</f>
        <v>#REF!</v>
      </c>
      <c r="F5" s="10" t="e">
        <f t="shared" si="0"/>
        <v>#N/A</v>
      </c>
      <c r="G5" s="1" t="e">
        <f>IF(Suma!$B4=$A$1,Suma!W4,NA())</f>
        <v>#REF!</v>
      </c>
      <c r="H5" s="10" t="e">
        <f t="shared" si="1"/>
        <v>#N/A</v>
      </c>
      <c r="I5" s="1" t="e">
        <f>IF(Suma!$B4=$A$1,Suma!AD4,NA())</f>
        <v>#REF!</v>
      </c>
      <c r="J5" s="1" t="e">
        <f>IF(Suma!$B4=$A$1,Suma!AK4,NA())</f>
        <v>#REF!</v>
      </c>
      <c r="K5" s="10" t="e">
        <f>IF(Suma!$B4=$A$1,Suma!AS4,NA())</f>
        <v>#REF!</v>
      </c>
      <c r="L5" s="1" t="e">
        <f>IF(Suma!$B4=$A$1,Suma!G4,NA())</f>
        <v>#REF!</v>
      </c>
      <c r="M5" s="1" t="e">
        <f>IF(Suma!$B4=$A$1,Suma!H4,NA())</f>
        <v>#REF!</v>
      </c>
      <c r="N5" s="1" t="e">
        <f>IF(Suma!$B4=$A$1,Suma!AT4,NA())</f>
        <v>#REF!</v>
      </c>
      <c r="O5" s="1" t="e">
        <f>IF(Suma!$B4=$A$1,Suma!AU4,NA())</f>
        <v>#REF!</v>
      </c>
      <c r="P5" s="1" t="e">
        <f>IF(Suma!$B4=$A$1,Suma!AV4,NA())</f>
        <v>#REF!</v>
      </c>
      <c r="Q5" s="1" t="e">
        <f>IF(Suma!$B4=$A$1,Suma!AW4,NA())</f>
        <v>#REF!</v>
      </c>
      <c r="R5" s="10" t="e">
        <f>IF(Suma!$B4=$A$1,Suma!AX4,NA())</f>
        <v>#REF!</v>
      </c>
      <c r="S5" s="10" t="e">
        <f>IF(Suma!$B4=$A$1,Suma!AY4,NA())</f>
        <v>#REF!</v>
      </c>
      <c r="T5" s="10" t="e">
        <f>IF(Suma!$B4=$A$1,Suma!AZ4,NA())</f>
        <v>#REF!</v>
      </c>
      <c r="U5" s="10" t="e">
        <f>IF(Suma!$B4=$A$1,Suma!J4,NA())</f>
        <v>#REF!</v>
      </c>
      <c r="V5" s="10" t="e">
        <f>IF(Suma!$B4=$A$1,Suma!K4,NA())</f>
        <v>#REF!</v>
      </c>
      <c r="W5" s="10" t="e">
        <f>IF(Suma!$B4=$A$1,Suma!L4,NA())</f>
        <v>#REF!</v>
      </c>
      <c r="X5" s="10" t="e">
        <f>IF(Suma!$B4=$A$1,Suma!M4,NA())</f>
        <v>#REF!</v>
      </c>
      <c r="Y5" s="10" t="e">
        <f>IF(Suma!$B4=$A$1,Suma!N4,NA())</f>
        <v>#REF!</v>
      </c>
      <c r="Z5" s="10" t="e">
        <f>IF(Suma!$B4=$A$1,Suma!O4,NA())</f>
        <v>#REF!</v>
      </c>
      <c r="AA5" s="10" t="e">
        <f>IF(Suma!$B4=$A$1,Suma!BC4,NA())</f>
        <v>#REF!</v>
      </c>
      <c r="AB5" s="10" t="e">
        <f>IF(Suma!$B4=$A$1,Suma!BD4,NA())</f>
        <v>#REF!</v>
      </c>
    </row>
    <row r="6" spans="1:28" x14ac:dyDescent="0.3">
      <c r="A6" s="1" t="e">
        <f>IF(Suma!$B5=$A$1,Suma!C5,NA())</f>
        <v>#REF!</v>
      </c>
      <c r="B6" s="1" t="e">
        <f>IF(Suma!$B5=$A$1,Suma!D5,NA())</f>
        <v>#REF!</v>
      </c>
      <c r="C6" s="2" t="e">
        <f>IF(Suma!$B5=$A$1,Suma!E5,NA())</f>
        <v>#REF!</v>
      </c>
      <c r="D6" s="2" t="e">
        <f>IF(Suma!$B5=$A$1,Suma!F5,NA())</f>
        <v>#REF!</v>
      </c>
      <c r="E6" s="1" t="e">
        <f>IF(Suma!$B5=$A$1,Suma!P5,NA())</f>
        <v>#REF!</v>
      </c>
      <c r="F6" s="10" t="e">
        <f t="shared" si="0"/>
        <v>#N/A</v>
      </c>
      <c r="G6" s="1" t="e">
        <f>IF(Suma!$B5=$A$1,Suma!W5,NA())</f>
        <v>#REF!</v>
      </c>
      <c r="H6" s="10" t="e">
        <f t="shared" si="1"/>
        <v>#N/A</v>
      </c>
      <c r="I6" s="1" t="e">
        <f>IF(Suma!$B5=$A$1,Suma!AD5,NA())</f>
        <v>#REF!</v>
      </c>
      <c r="J6" s="1" t="e">
        <f>IF(Suma!$B5=$A$1,Suma!AK5,NA())</f>
        <v>#REF!</v>
      </c>
      <c r="K6" s="10" t="e">
        <f>IF(Suma!$B5=$A$1,Suma!AS5,NA())</f>
        <v>#REF!</v>
      </c>
      <c r="L6" s="1" t="e">
        <f>IF(Suma!$B5=$A$1,Suma!G5,NA())</f>
        <v>#REF!</v>
      </c>
      <c r="M6" s="1" t="e">
        <f>IF(Suma!$B5=$A$1,Suma!H5,NA())</f>
        <v>#REF!</v>
      </c>
      <c r="N6" s="1" t="e">
        <f>IF(Suma!$B5=$A$1,Suma!AT5,NA())</f>
        <v>#REF!</v>
      </c>
      <c r="O6" s="1" t="e">
        <f>IF(Suma!$B5=$A$1,Suma!AU5,NA())</f>
        <v>#REF!</v>
      </c>
      <c r="P6" s="1" t="e">
        <f>IF(Suma!$B5=$A$1,Suma!AV5,NA())</f>
        <v>#REF!</v>
      </c>
      <c r="Q6" s="1" t="e">
        <f>IF(Suma!$B5=$A$1,Suma!AW5,NA())</f>
        <v>#REF!</v>
      </c>
      <c r="R6" s="10" t="e">
        <f>IF(Suma!$B5=$A$1,Suma!AX5,NA())</f>
        <v>#REF!</v>
      </c>
      <c r="S6" s="10" t="e">
        <f>IF(Suma!$B5=$A$1,Suma!AY5,NA())</f>
        <v>#REF!</v>
      </c>
      <c r="T6" s="10" t="e">
        <f>IF(Suma!$B5=$A$1,Suma!AZ5,NA())</f>
        <v>#REF!</v>
      </c>
      <c r="U6" s="10" t="e">
        <f>IF(Suma!$B5=$A$1,Suma!J5,NA())</f>
        <v>#REF!</v>
      </c>
      <c r="V6" s="10" t="e">
        <f>IF(Suma!$B5=$A$1,Suma!K5,NA())</f>
        <v>#REF!</v>
      </c>
      <c r="W6" s="10" t="e">
        <f>IF(Suma!$B5=$A$1,Suma!L5,NA())</f>
        <v>#REF!</v>
      </c>
      <c r="X6" s="10" t="e">
        <f>IF(Suma!$B5=$A$1,Suma!M5,NA())</f>
        <v>#REF!</v>
      </c>
      <c r="Y6" s="10" t="e">
        <f>IF(Suma!$B5=$A$1,Suma!N5,NA())</f>
        <v>#REF!</v>
      </c>
      <c r="Z6" s="10" t="e">
        <f>IF(Suma!$B5=$A$1,Suma!O5,NA())</f>
        <v>#REF!</v>
      </c>
      <c r="AA6" s="10" t="e">
        <f>IF(Suma!$B5=$A$1,Suma!BC5,NA())</f>
        <v>#REF!</v>
      </c>
      <c r="AB6" s="10" t="e">
        <f>IF(Suma!$B5=$A$1,Suma!BD5,NA())</f>
        <v>#REF!</v>
      </c>
    </row>
    <row r="7" spans="1:28" x14ac:dyDescent="0.3">
      <c r="A7" s="1" t="e">
        <f>IF(Suma!$B6=$A$1,Suma!C6,NA())</f>
        <v>#REF!</v>
      </c>
      <c r="B7" s="1" t="e">
        <f>IF(Suma!$B6=$A$1,Suma!D6,NA())</f>
        <v>#REF!</v>
      </c>
      <c r="C7" s="2" t="e">
        <f>IF(Suma!$B6=$A$1,Suma!E6,NA())</f>
        <v>#REF!</v>
      </c>
      <c r="D7" s="2" t="e">
        <f>IF(Suma!$B6=$A$1,Suma!F6,NA())</f>
        <v>#REF!</v>
      </c>
      <c r="E7" s="1" t="e">
        <f>IF(Suma!$B6=$A$1,Suma!P6,NA())</f>
        <v>#REF!</v>
      </c>
      <c r="F7" s="10" t="e">
        <f t="shared" si="0"/>
        <v>#N/A</v>
      </c>
      <c r="G7" s="1" t="e">
        <f>IF(Suma!$B6=$A$1,Suma!W6,NA())</f>
        <v>#REF!</v>
      </c>
      <c r="H7" s="10" t="e">
        <f t="shared" si="1"/>
        <v>#N/A</v>
      </c>
      <c r="I7" s="1" t="e">
        <f>IF(Suma!$B6=$A$1,Suma!AD6,NA())</f>
        <v>#REF!</v>
      </c>
      <c r="J7" s="1" t="e">
        <f>IF(Suma!$B6=$A$1,Suma!AK6,NA())</f>
        <v>#REF!</v>
      </c>
      <c r="K7" s="10" t="e">
        <f>IF(Suma!$B6=$A$1,Suma!AS6,NA())</f>
        <v>#REF!</v>
      </c>
      <c r="L7" s="1" t="e">
        <f>IF(Suma!$B6=$A$1,Suma!G6,NA())</f>
        <v>#REF!</v>
      </c>
      <c r="M7" s="1" t="e">
        <f>IF(Suma!$B6=$A$1,Suma!H6,NA())</f>
        <v>#REF!</v>
      </c>
      <c r="N7" s="1" t="e">
        <f>IF(Suma!$B6=$A$1,Suma!AT6,NA())</f>
        <v>#REF!</v>
      </c>
      <c r="O7" s="1" t="e">
        <f>IF(Suma!$B6=$A$1,Suma!AU6,NA())</f>
        <v>#REF!</v>
      </c>
      <c r="P7" s="1" t="e">
        <f>IF(Suma!$B6=$A$1,Suma!AV6,NA())</f>
        <v>#REF!</v>
      </c>
      <c r="Q7" s="1" t="e">
        <f>IF(Suma!$B6=$A$1,Suma!AW6,NA())</f>
        <v>#REF!</v>
      </c>
      <c r="R7" s="10" t="e">
        <f>IF(Suma!$B6=$A$1,Suma!AX6,NA())</f>
        <v>#REF!</v>
      </c>
      <c r="S7" s="10" t="e">
        <f>IF(Suma!$B6=$A$1,Suma!AY6,NA())</f>
        <v>#REF!</v>
      </c>
      <c r="T7" s="10" t="e">
        <f>IF(Suma!$B6=$A$1,Suma!AZ6,NA())</f>
        <v>#REF!</v>
      </c>
      <c r="U7" s="10" t="e">
        <f>IF(Suma!$B6=$A$1,Suma!J6,NA())</f>
        <v>#REF!</v>
      </c>
      <c r="V7" s="10" t="e">
        <f>IF(Suma!$B6=$A$1,Suma!K6,NA())</f>
        <v>#REF!</v>
      </c>
      <c r="W7" s="10" t="e">
        <f>IF(Suma!$B6=$A$1,Suma!L6,NA())</f>
        <v>#REF!</v>
      </c>
      <c r="X7" s="10" t="e">
        <f>IF(Suma!$B6=$A$1,Suma!M6,NA())</f>
        <v>#REF!</v>
      </c>
      <c r="Y7" s="10" t="e">
        <f>IF(Suma!$B6=$A$1,Suma!N6,NA())</f>
        <v>#REF!</v>
      </c>
      <c r="Z7" s="10" t="e">
        <f>IF(Suma!$B6=$A$1,Suma!O6,NA())</f>
        <v>#REF!</v>
      </c>
      <c r="AA7" s="10" t="e">
        <f>IF(Suma!$B6=$A$1,Suma!BC6,NA())</f>
        <v>#REF!</v>
      </c>
      <c r="AB7" s="10" t="e">
        <f>IF(Suma!$B6=$A$1,Suma!BD6,NA())</f>
        <v>#REF!</v>
      </c>
    </row>
    <row r="8" spans="1:28" x14ac:dyDescent="0.3">
      <c r="A8" s="1" t="e">
        <f>IF(Suma!$B7=$A$1,Suma!C7,NA())</f>
        <v>#REF!</v>
      </c>
      <c r="B8" s="1" t="e">
        <f>IF(Suma!$B7=$A$1,Suma!D7,NA())</f>
        <v>#REF!</v>
      </c>
      <c r="C8" s="2" t="e">
        <f>IF(Suma!$B7=$A$1,Suma!E7,NA())</f>
        <v>#REF!</v>
      </c>
      <c r="D8" s="2" t="e">
        <f>IF(Suma!$B7=$A$1,Suma!F7,NA())</f>
        <v>#REF!</v>
      </c>
      <c r="E8" s="1" t="e">
        <f>IF(Suma!$B7=$A$1,Suma!P7,NA())</f>
        <v>#REF!</v>
      </c>
      <c r="F8" s="10" t="e">
        <f t="shared" si="0"/>
        <v>#N/A</v>
      </c>
      <c r="G8" s="1" t="e">
        <f>IF(Suma!$B7=$A$1,Suma!W7,NA())</f>
        <v>#REF!</v>
      </c>
      <c r="H8" s="10" t="e">
        <f t="shared" si="1"/>
        <v>#N/A</v>
      </c>
      <c r="I8" s="1" t="e">
        <f>IF(Suma!$B7=$A$1,Suma!AD7,NA())</f>
        <v>#REF!</v>
      </c>
      <c r="J8" s="1" t="e">
        <f>IF(Suma!$B7=$A$1,Suma!AK7,NA())</f>
        <v>#REF!</v>
      </c>
      <c r="K8" s="10" t="e">
        <f>IF(Suma!$B7=$A$1,Suma!AS7,NA())</f>
        <v>#REF!</v>
      </c>
      <c r="L8" s="1" t="e">
        <f>IF(Suma!$B7=$A$1,Suma!G7,NA())</f>
        <v>#REF!</v>
      </c>
      <c r="M8" s="1" t="e">
        <f>IF(Suma!$B7=$A$1,Suma!H7,NA())</f>
        <v>#REF!</v>
      </c>
      <c r="N8" s="1" t="e">
        <f>IF(Suma!$B7=$A$1,Suma!AT7,NA())</f>
        <v>#REF!</v>
      </c>
      <c r="O8" s="1" t="e">
        <f>IF(Suma!$B7=$A$1,Suma!AU7,NA())</f>
        <v>#REF!</v>
      </c>
      <c r="P8" s="1" t="e">
        <f>IF(Suma!$B7=$A$1,Suma!AV7,NA())</f>
        <v>#REF!</v>
      </c>
      <c r="Q8" s="1" t="e">
        <f>IF(Suma!$B7=$A$1,Suma!AW7,NA())</f>
        <v>#REF!</v>
      </c>
      <c r="R8" s="10" t="e">
        <f>IF(Suma!$B7=$A$1,Suma!AX7,NA())</f>
        <v>#REF!</v>
      </c>
      <c r="S8" s="10" t="e">
        <f>IF(Suma!$B7=$A$1,Suma!AY7,NA())</f>
        <v>#REF!</v>
      </c>
      <c r="T8" s="10" t="e">
        <f>IF(Suma!$B7=$A$1,Suma!AZ7,NA())</f>
        <v>#REF!</v>
      </c>
      <c r="U8" s="10" t="e">
        <f>IF(Suma!$B7=$A$1,Suma!J7,NA())</f>
        <v>#REF!</v>
      </c>
      <c r="V8" s="10" t="e">
        <f>IF(Suma!$B7=$A$1,Suma!K7,NA())</f>
        <v>#REF!</v>
      </c>
      <c r="W8" s="10" t="e">
        <f>IF(Suma!$B7=$A$1,Suma!L7,NA())</f>
        <v>#REF!</v>
      </c>
      <c r="X8" s="10" t="e">
        <f>IF(Suma!$B7=$A$1,Suma!M7,NA())</f>
        <v>#REF!</v>
      </c>
      <c r="Y8" s="10" t="e">
        <f>IF(Suma!$B7=$A$1,Suma!N7,NA())</f>
        <v>#REF!</v>
      </c>
      <c r="Z8" s="10" t="e">
        <f>IF(Suma!$B7=$A$1,Suma!O7,NA())</f>
        <v>#REF!</v>
      </c>
      <c r="AA8" s="10" t="e">
        <f>IF(Suma!$B7=$A$1,Suma!BC7,NA())</f>
        <v>#REF!</v>
      </c>
      <c r="AB8" s="10" t="e">
        <f>IF(Suma!$B7=$A$1,Suma!BD7,NA())</f>
        <v>#REF!</v>
      </c>
    </row>
    <row r="9" spans="1:28" x14ac:dyDescent="0.3">
      <c r="A9" s="1" t="e">
        <f>IF(Suma!$B8=$A$1,Suma!C8,NA())</f>
        <v>#REF!</v>
      </c>
      <c r="B9" s="1" t="e">
        <f>IF(Suma!$B8=$A$1,Suma!D8,NA())</f>
        <v>#REF!</v>
      </c>
      <c r="C9" s="2" t="e">
        <f>IF(Suma!$B8=$A$1,Suma!E8,NA())</f>
        <v>#REF!</v>
      </c>
      <c r="D9" s="2" t="e">
        <f>IF(Suma!$B8=$A$1,Suma!F8,NA())</f>
        <v>#REF!</v>
      </c>
      <c r="E9" s="1" t="e">
        <f>IF(Suma!$B8=$A$1,Suma!P8,NA())</f>
        <v>#REF!</v>
      </c>
      <c r="F9" s="10" t="e">
        <f t="shared" si="0"/>
        <v>#N/A</v>
      </c>
      <c r="G9" s="1" t="e">
        <f>IF(Suma!$B8=$A$1,Suma!W8,NA())</f>
        <v>#REF!</v>
      </c>
      <c r="H9" s="10" t="e">
        <f t="shared" si="1"/>
        <v>#N/A</v>
      </c>
      <c r="I9" s="1" t="e">
        <f>IF(Suma!$B8=$A$1,Suma!AD8,NA())</f>
        <v>#REF!</v>
      </c>
      <c r="J9" s="1" t="e">
        <f>IF(Suma!$B8=$A$1,Suma!AK8,NA())</f>
        <v>#REF!</v>
      </c>
      <c r="K9" s="10" t="e">
        <f>IF(Suma!$B8=$A$1,Suma!AS8,NA())</f>
        <v>#REF!</v>
      </c>
      <c r="L9" s="1" t="e">
        <f>IF(Suma!$B8=$A$1,Suma!G8,NA())</f>
        <v>#REF!</v>
      </c>
      <c r="M9" s="1" t="e">
        <f>IF(Suma!$B8=$A$1,Suma!H8,NA())</f>
        <v>#REF!</v>
      </c>
      <c r="N9" s="1" t="e">
        <f>IF(Suma!$B8=$A$1,Suma!AT8,NA())</f>
        <v>#REF!</v>
      </c>
      <c r="O9" s="1" t="e">
        <f>IF(Suma!$B8=$A$1,Suma!AU8,NA())</f>
        <v>#REF!</v>
      </c>
      <c r="P9" s="1" t="e">
        <f>IF(Suma!$B8=$A$1,Suma!AV8,NA())</f>
        <v>#REF!</v>
      </c>
      <c r="Q9" s="1" t="e">
        <f>IF(Suma!$B8=$A$1,Suma!AW8,NA())</f>
        <v>#REF!</v>
      </c>
      <c r="R9" s="10" t="e">
        <f>IF(Suma!$B8=$A$1,Suma!AX8,NA())</f>
        <v>#REF!</v>
      </c>
      <c r="S9" s="10" t="e">
        <f>IF(Suma!$B8=$A$1,Suma!AY8,NA())</f>
        <v>#REF!</v>
      </c>
      <c r="T9" s="10" t="e">
        <f>IF(Suma!$B8=$A$1,Suma!AZ8,NA())</f>
        <v>#REF!</v>
      </c>
      <c r="U9" s="10" t="e">
        <f>IF(Suma!$B8=$A$1,Suma!J8,NA())</f>
        <v>#REF!</v>
      </c>
      <c r="V9" s="10" t="e">
        <f>IF(Suma!$B8=$A$1,Suma!K8,NA())</f>
        <v>#REF!</v>
      </c>
      <c r="W9" s="10" t="e">
        <f>IF(Suma!$B8=$A$1,Suma!L8,NA())</f>
        <v>#REF!</v>
      </c>
      <c r="X9" s="10" t="e">
        <f>IF(Suma!$B8=$A$1,Suma!M8,NA())</f>
        <v>#REF!</v>
      </c>
      <c r="Y9" s="10" t="e">
        <f>IF(Suma!$B8=$A$1,Suma!N8,NA())</f>
        <v>#REF!</v>
      </c>
      <c r="Z9" s="10" t="e">
        <f>IF(Suma!$B8=$A$1,Suma!O8,NA())</f>
        <v>#REF!</v>
      </c>
      <c r="AA9" s="10" t="e">
        <f>IF(Suma!$B8=$A$1,Suma!BC8,NA())</f>
        <v>#REF!</v>
      </c>
      <c r="AB9" s="10" t="e">
        <f>IF(Suma!$B8=$A$1,Suma!BD8,NA())</f>
        <v>#REF!</v>
      </c>
    </row>
    <row r="10" spans="1:28" x14ac:dyDescent="0.3">
      <c r="A10" s="1" t="e">
        <f>IF(Suma!$B9=$A$1,Suma!C9,NA())</f>
        <v>#REF!</v>
      </c>
      <c r="B10" s="1" t="e">
        <f>IF(Suma!$B9=$A$1,Suma!D9,NA())</f>
        <v>#REF!</v>
      </c>
      <c r="C10" s="2" t="e">
        <f>IF(Suma!$B9=$A$1,Suma!E9,NA())</f>
        <v>#REF!</v>
      </c>
      <c r="D10" s="2" t="e">
        <f>IF(Suma!$B9=$A$1,Suma!F9,NA())</f>
        <v>#REF!</v>
      </c>
      <c r="E10" s="1" t="e">
        <f>IF(Suma!$B9=$A$1,Suma!P9,NA())</f>
        <v>#REF!</v>
      </c>
      <c r="F10" s="10" t="e">
        <f t="shared" si="0"/>
        <v>#N/A</v>
      </c>
      <c r="G10" s="1" t="e">
        <f>IF(Suma!$B9=$A$1,Suma!W9,NA())</f>
        <v>#REF!</v>
      </c>
      <c r="H10" s="10" t="e">
        <f t="shared" si="1"/>
        <v>#N/A</v>
      </c>
      <c r="I10" s="1" t="e">
        <f>IF(Suma!$B9=$A$1,Suma!AD9,NA())</f>
        <v>#REF!</v>
      </c>
      <c r="J10" s="1" t="e">
        <f>IF(Suma!$B9=$A$1,Suma!AK9,NA())</f>
        <v>#REF!</v>
      </c>
      <c r="K10" s="10" t="e">
        <f>IF(Suma!$B9=$A$1,Suma!AS9,NA())</f>
        <v>#REF!</v>
      </c>
      <c r="L10" s="1" t="e">
        <f>IF(Suma!$B9=$A$1,Suma!G9,NA())</f>
        <v>#REF!</v>
      </c>
      <c r="M10" s="1" t="e">
        <f>IF(Suma!$B9=$A$1,Suma!H9,NA())</f>
        <v>#REF!</v>
      </c>
      <c r="N10" s="1" t="e">
        <f>IF(Suma!$B9=$A$1,Suma!AT9,NA())</f>
        <v>#REF!</v>
      </c>
      <c r="O10" s="1" t="e">
        <f>IF(Suma!$B9=$A$1,Suma!AU9,NA())</f>
        <v>#REF!</v>
      </c>
      <c r="P10" s="1" t="e">
        <f>IF(Suma!$B9=$A$1,Suma!AV9,NA())</f>
        <v>#REF!</v>
      </c>
      <c r="Q10" s="1" t="e">
        <f>IF(Suma!$B9=$A$1,Suma!AW9,NA())</f>
        <v>#REF!</v>
      </c>
      <c r="R10" s="10" t="e">
        <f>IF(Suma!$B9=$A$1,Suma!AX9,NA())</f>
        <v>#REF!</v>
      </c>
      <c r="S10" s="10" t="e">
        <f>IF(Suma!$B9=$A$1,Suma!AY9,NA())</f>
        <v>#REF!</v>
      </c>
      <c r="T10" s="10" t="e">
        <f>IF(Suma!$B9=$A$1,Suma!AZ9,NA())</f>
        <v>#REF!</v>
      </c>
      <c r="U10" s="10" t="e">
        <f>IF(Suma!$B9=$A$1,Suma!J9,NA())</f>
        <v>#REF!</v>
      </c>
      <c r="V10" s="10" t="e">
        <f>IF(Suma!$B9=$A$1,Suma!K9,NA())</f>
        <v>#REF!</v>
      </c>
      <c r="W10" s="10" t="e">
        <f>IF(Suma!$B9=$A$1,Suma!L9,NA())</f>
        <v>#REF!</v>
      </c>
      <c r="X10" s="10" t="e">
        <f>IF(Suma!$B9=$A$1,Suma!M9,NA())</f>
        <v>#REF!</v>
      </c>
      <c r="Y10" s="10" t="e">
        <f>IF(Suma!$B9=$A$1,Suma!N9,NA())</f>
        <v>#REF!</v>
      </c>
      <c r="Z10" s="10" t="e">
        <f>IF(Suma!$B9=$A$1,Suma!O9,NA())</f>
        <v>#REF!</v>
      </c>
      <c r="AA10" s="10" t="e">
        <f>IF(Suma!$B9=$A$1,Suma!BC9,NA())</f>
        <v>#REF!</v>
      </c>
      <c r="AB10" s="10" t="e">
        <f>IF(Suma!$B9=$A$1,Suma!BD9,NA())</f>
        <v>#REF!</v>
      </c>
    </row>
    <row r="11" spans="1:28" x14ac:dyDescent="0.3">
      <c r="A11" s="1" t="e">
        <f>IF(Suma!$B10=$A$1,Suma!C10,NA())</f>
        <v>#REF!</v>
      </c>
      <c r="B11" s="1" t="e">
        <f>IF(Suma!$B10=$A$1,Suma!D10,NA())</f>
        <v>#REF!</v>
      </c>
      <c r="C11" s="2" t="e">
        <f>IF(Suma!$B10=$A$1,Suma!E10,NA())</f>
        <v>#REF!</v>
      </c>
      <c r="D11" s="2" t="e">
        <f>IF(Suma!$B10=$A$1,Suma!F10,NA())</f>
        <v>#REF!</v>
      </c>
      <c r="E11" s="1" t="e">
        <f>IF(Suma!$B10=$A$1,Suma!P10,NA())</f>
        <v>#REF!</v>
      </c>
      <c r="F11" s="10" t="e">
        <f t="shared" si="0"/>
        <v>#N/A</v>
      </c>
      <c r="G11" s="1" t="e">
        <f>IF(Suma!$B10=$A$1,Suma!W10,NA())</f>
        <v>#REF!</v>
      </c>
      <c r="H11" s="10" t="e">
        <f t="shared" si="1"/>
        <v>#N/A</v>
      </c>
      <c r="I11" s="1" t="e">
        <f>IF(Suma!$B10=$A$1,Suma!AD10,NA())</f>
        <v>#REF!</v>
      </c>
      <c r="J11" s="1" t="e">
        <f>IF(Suma!$B10=$A$1,Suma!AK10,NA())</f>
        <v>#REF!</v>
      </c>
      <c r="K11" s="10" t="e">
        <f>IF(Suma!$B10=$A$1,Suma!AS10,NA())</f>
        <v>#REF!</v>
      </c>
      <c r="L11" s="1" t="e">
        <f>IF(Suma!$B10=$A$1,Suma!G10,NA())</f>
        <v>#REF!</v>
      </c>
      <c r="M11" s="1" t="e">
        <f>IF(Suma!$B10=$A$1,Suma!H10,NA())</f>
        <v>#REF!</v>
      </c>
      <c r="N11" s="1" t="e">
        <f>IF(Suma!$B10=$A$1,Suma!AT10,NA())</f>
        <v>#REF!</v>
      </c>
      <c r="O11" s="1" t="e">
        <f>IF(Suma!$B10=$A$1,Suma!AU10,NA())</f>
        <v>#REF!</v>
      </c>
      <c r="P11" s="1" t="e">
        <f>IF(Suma!$B10=$A$1,Suma!AV10,NA())</f>
        <v>#REF!</v>
      </c>
      <c r="Q11" s="1" t="e">
        <f>IF(Suma!$B10=$A$1,Suma!AW10,NA())</f>
        <v>#REF!</v>
      </c>
      <c r="R11" s="10" t="e">
        <f>IF(Suma!$B10=$A$1,Suma!AX10,NA())</f>
        <v>#REF!</v>
      </c>
      <c r="S11" s="10" t="e">
        <f>IF(Suma!$B10=$A$1,Suma!AY10,NA())</f>
        <v>#REF!</v>
      </c>
      <c r="T11" s="10" t="e">
        <f>IF(Suma!$B10=$A$1,Suma!AZ10,NA())</f>
        <v>#REF!</v>
      </c>
      <c r="U11" s="10" t="e">
        <f>IF(Suma!$B10=$A$1,Suma!J10,NA())</f>
        <v>#REF!</v>
      </c>
      <c r="V11" s="10" t="e">
        <f>IF(Suma!$B10=$A$1,Suma!K10,NA())</f>
        <v>#REF!</v>
      </c>
      <c r="W11" s="10" t="e">
        <f>IF(Suma!$B10=$A$1,Suma!L10,NA())</f>
        <v>#REF!</v>
      </c>
      <c r="X11" s="10" t="e">
        <f>IF(Suma!$B10=$A$1,Suma!M10,NA())</f>
        <v>#REF!</v>
      </c>
      <c r="Y11" s="10" t="e">
        <f>IF(Suma!$B10=$A$1,Suma!N10,NA())</f>
        <v>#REF!</v>
      </c>
      <c r="Z11" s="10" t="e">
        <f>IF(Suma!$B10=$A$1,Suma!O10,NA())</f>
        <v>#REF!</v>
      </c>
      <c r="AA11" s="10" t="e">
        <f>IF(Suma!$B10=$A$1,Suma!BC10,NA())</f>
        <v>#REF!</v>
      </c>
      <c r="AB11" s="10" t="e">
        <f>IF(Suma!$B10=$A$1,Suma!BD10,NA())</f>
        <v>#REF!</v>
      </c>
    </row>
    <row r="12" spans="1:28" x14ac:dyDescent="0.3">
      <c r="A12" s="1" t="e">
        <f>IF(Suma!$B11=$A$1,Suma!C11,NA())</f>
        <v>#REF!</v>
      </c>
      <c r="B12" s="1" t="e">
        <f>IF(Suma!$B11=$A$1,Suma!D11,NA())</f>
        <v>#REF!</v>
      </c>
      <c r="C12" s="2" t="e">
        <f>IF(Suma!$B11=$A$1,Suma!E11,NA())</f>
        <v>#REF!</v>
      </c>
      <c r="D12" s="2" t="e">
        <f>IF(Suma!$B11=$A$1,Suma!F11,NA())</f>
        <v>#REF!</v>
      </c>
      <c r="E12" s="1" t="e">
        <f>IF(Suma!$B11=$A$1,Suma!P11,NA())</f>
        <v>#REF!</v>
      </c>
      <c r="F12" s="10" t="e">
        <f t="shared" si="0"/>
        <v>#N/A</v>
      </c>
      <c r="G12" s="1" t="e">
        <f>IF(Suma!$B11=$A$1,Suma!W11,NA())</f>
        <v>#REF!</v>
      </c>
      <c r="H12" s="10" t="e">
        <f t="shared" si="1"/>
        <v>#N/A</v>
      </c>
      <c r="I12" s="1" t="e">
        <f>IF(Suma!$B11=$A$1,Suma!AD11,NA())</f>
        <v>#REF!</v>
      </c>
      <c r="J12" s="1" t="e">
        <f>IF(Suma!$B11=$A$1,Suma!AK11,NA())</f>
        <v>#REF!</v>
      </c>
      <c r="K12" s="10" t="e">
        <f>IF(Suma!$B11=$A$1,Suma!AS11,NA())</f>
        <v>#REF!</v>
      </c>
      <c r="L12" s="1" t="e">
        <f>IF(Suma!$B11=$A$1,Suma!G11,NA())</f>
        <v>#REF!</v>
      </c>
      <c r="M12" s="1" t="e">
        <f>IF(Suma!$B11=$A$1,Suma!H11,NA())</f>
        <v>#REF!</v>
      </c>
      <c r="N12" s="1" t="e">
        <f>IF(Suma!$B11=$A$1,Suma!AT11,NA())</f>
        <v>#REF!</v>
      </c>
      <c r="O12" s="1" t="e">
        <f>IF(Suma!$B11=$A$1,Suma!AU11,NA())</f>
        <v>#REF!</v>
      </c>
      <c r="P12" s="1" t="e">
        <f>IF(Suma!$B11=$A$1,Suma!AV11,NA())</f>
        <v>#REF!</v>
      </c>
      <c r="Q12" s="1" t="e">
        <f>IF(Suma!$B11=$A$1,Suma!AW11,NA())</f>
        <v>#REF!</v>
      </c>
      <c r="R12" s="10" t="e">
        <f>IF(Suma!$B11=$A$1,Suma!AX11,NA())</f>
        <v>#REF!</v>
      </c>
      <c r="S12" s="10" t="e">
        <f>IF(Suma!$B11=$A$1,Suma!AY11,NA())</f>
        <v>#REF!</v>
      </c>
      <c r="T12" s="10" t="e">
        <f>IF(Suma!$B11=$A$1,Suma!AZ11,NA())</f>
        <v>#REF!</v>
      </c>
      <c r="U12" s="10" t="e">
        <f>IF(Suma!$B11=$A$1,Suma!J11,NA())</f>
        <v>#REF!</v>
      </c>
      <c r="V12" s="10" t="e">
        <f>IF(Suma!$B11=$A$1,Suma!K11,NA())</f>
        <v>#REF!</v>
      </c>
      <c r="W12" s="10" t="e">
        <f>IF(Suma!$B11=$A$1,Suma!L11,NA())</f>
        <v>#REF!</v>
      </c>
      <c r="X12" s="10" t="e">
        <f>IF(Suma!$B11=$A$1,Suma!M11,NA())</f>
        <v>#REF!</v>
      </c>
      <c r="Y12" s="10" t="e">
        <f>IF(Suma!$B11=$A$1,Suma!N11,NA())</f>
        <v>#REF!</v>
      </c>
      <c r="Z12" s="10" t="e">
        <f>IF(Suma!$B11=$A$1,Suma!O11,NA())</f>
        <v>#REF!</v>
      </c>
      <c r="AA12" s="10" t="e">
        <f>IF(Suma!$B11=$A$1,Suma!BC11,NA())</f>
        <v>#REF!</v>
      </c>
      <c r="AB12" s="10" t="e">
        <f>IF(Suma!$B11=$A$1,Suma!BD11,NA())</f>
        <v>#REF!</v>
      </c>
    </row>
    <row r="13" spans="1:28" x14ac:dyDescent="0.3">
      <c r="A13" s="1" t="e">
        <f>IF(Suma!$B12=$A$1,Suma!C12,NA())</f>
        <v>#REF!</v>
      </c>
      <c r="B13" s="1" t="e">
        <f>IF(Suma!$B12=$A$1,Suma!D12,NA())</f>
        <v>#REF!</v>
      </c>
      <c r="C13" s="2" t="e">
        <f>IF(Suma!$B12=$A$1,Suma!E12,NA())</f>
        <v>#REF!</v>
      </c>
      <c r="D13" s="2" t="e">
        <f>IF(Suma!$B12=$A$1,Suma!F12,NA())</f>
        <v>#REF!</v>
      </c>
      <c r="E13" s="1" t="e">
        <f>IF(Suma!$B12=$A$1,Suma!P12,NA())</f>
        <v>#REF!</v>
      </c>
      <c r="F13" s="10" t="e">
        <f t="shared" si="0"/>
        <v>#N/A</v>
      </c>
      <c r="G13" s="1" t="e">
        <f>IF(Suma!$B12=$A$1,Suma!W12,NA())</f>
        <v>#REF!</v>
      </c>
      <c r="H13" s="10" t="e">
        <f t="shared" si="1"/>
        <v>#N/A</v>
      </c>
      <c r="I13" s="1" t="e">
        <f>IF(Suma!$B12=$A$1,Suma!AD12,NA())</f>
        <v>#REF!</v>
      </c>
      <c r="J13" s="1" t="e">
        <f>IF(Suma!$B12=$A$1,Suma!AK12,NA())</f>
        <v>#REF!</v>
      </c>
      <c r="K13" s="10" t="e">
        <f>IF(Suma!$B12=$A$1,Suma!AS12,NA())</f>
        <v>#REF!</v>
      </c>
      <c r="L13" s="1" t="e">
        <f>IF(Suma!$B12=$A$1,Suma!G12,NA())</f>
        <v>#REF!</v>
      </c>
      <c r="M13" s="1" t="e">
        <f>IF(Suma!$B12=$A$1,Suma!H12,NA())</f>
        <v>#REF!</v>
      </c>
      <c r="N13" s="1" t="e">
        <f>IF(Suma!$B12=$A$1,Suma!AT12,NA())</f>
        <v>#REF!</v>
      </c>
      <c r="O13" s="1" t="e">
        <f>IF(Suma!$B12=$A$1,Suma!AU12,NA())</f>
        <v>#REF!</v>
      </c>
      <c r="P13" s="1" t="e">
        <f>IF(Suma!$B12=$A$1,Suma!AV12,NA())</f>
        <v>#REF!</v>
      </c>
      <c r="Q13" s="1" t="e">
        <f>IF(Suma!$B12=$A$1,Suma!AW12,NA())</f>
        <v>#REF!</v>
      </c>
      <c r="R13" s="10" t="e">
        <f>IF(Suma!$B12=$A$1,Suma!AX12,NA())</f>
        <v>#REF!</v>
      </c>
      <c r="S13" s="10" t="e">
        <f>IF(Suma!$B12=$A$1,Suma!AY12,NA())</f>
        <v>#REF!</v>
      </c>
      <c r="T13" s="10" t="e">
        <f>IF(Suma!$B12=$A$1,Suma!AZ12,NA())</f>
        <v>#REF!</v>
      </c>
      <c r="U13" s="10" t="e">
        <f>IF(Suma!$B12=$A$1,Suma!J12,NA())</f>
        <v>#REF!</v>
      </c>
      <c r="V13" s="10" t="e">
        <f>IF(Suma!$B12=$A$1,Suma!K12,NA())</f>
        <v>#REF!</v>
      </c>
      <c r="W13" s="10" t="e">
        <f>IF(Suma!$B12=$A$1,Suma!L12,NA())</f>
        <v>#REF!</v>
      </c>
      <c r="X13" s="10" t="e">
        <f>IF(Suma!$B12=$A$1,Suma!M12,NA())</f>
        <v>#REF!</v>
      </c>
      <c r="Y13" s="10" t="e">
        <f>IF(Suma!$B12=$A$1,Suma!N12,NA())</f>
        <v>#REF!</v>
      </c>
      <c r="Z13" s="10" t="e">
        <f>IF(Suma!$B12=$A$1,Suma!O12,NA())</f>
        <v>#REF!</v>
      </c>
      <c r="AA13" s="10" t="e">
        <f>IF(Suma!$B12=$A$1,Suma!BC12,NA())</f>
        <v>#REF!</v>
      </c>
      <c r="AB13" s="10" t="e">
        <f>IF(Suma!$B12=$A$1,Suma!BD12,NA())</f>
        <v>#REF!</v>
      </c>
    </row>
    <row r="14" spans="1:28" x14ac:dyDescent="0.3">
      <c r="A14" s="1" t="e">
        <f>IF(Suma!$B13=$A$1,Suma!C13,NA())</f>
        <v>#REF!</v>
      </c>
      <c r="B14" s="1" t="e">
        <f>IF(Suma!$B13=$A$1,Suma!D13,NA())</f>
        <v>#REF!</v>
      </c>
      <c r="C14" s="2" t="e">
        <f>IF(Suma!$B13=$A$1,Suma!E13,NA())</f>
        <v>#REF!</v>
      </c>
      <c r="D14" s="2" t="e">
        <f>IF(Suma!$B13=$A$1,Suma!F13,NA())</f>
        <v>#REF!</v>
      </c>
      <c r="E14" s="1" t="e">
        <f>IF(Suma!$B13=$A$1,Suma!P13,NA())</f>
        <v>#REF!</v>
      </c>
      <c r="F14" s="10" t="e">
        <f t="shared" si="0"/>
        <v>#N/A</v>
      </c>
      <c r="G14" s="1" t="e">
        <f>IF(Suma!$B13=$A$1,Suma!W13,NA())</f>
        <v>#REF!</v>
      </c>
      <c r="H14" s="10" t="e">
        <f t="shared" si="1"/>
        <v>#N/A</v>
      </c>
      <c r="I14" s="1" t="e">
        <f>IF(Suma!$B13=$A$1,Suma!AD13,NA())</f>
        <v>#REF!</v>
      </c>
      <c r="J14" s="1" t="e">
        <f>IF(Suma!$B13=$A$1,Suma!AK13,NA())</f>
        <v>#REF!</v>
      </c>
      <c r="K14" s="10" t="e">
        <f>IF(Suma!$B13=$A$1,Suma!AS13,NA())</f>
        <v>#REF!</v>
      </c>
      <c r="L14" s="1" t="e">
        <f>IF(Suma!$B13=$A$1,Suma!G13,NA())</f>
        <v>#REF!</v>
      </c>
      <c r="M14" s="1" t="e">
        <f>IF(Suma!$B13=$A$1,Suma!H13,NA())</f>
        <v>#REF!</v>
      </c>
      <c r="N14" s="1" t="e">
        <f>IF(Suma!$B13=$A$1,Suma!AT13,NA())</f>
        <v>#REF!</v>
      </c>
      <c r="O14" s="1" t="e">
        <f>IF(Suma!$B13=$A$1,Suma!AU13,NA())</f>
        <v>#REF!</v>
      </c>
      <c r="P14" s="1" t="e">
        <f>IF(Suma!$B13=$A$1,Suma!AV13,NA())</f>
        <v>#REF!</v>
      </c>
      <c r="Q14" s="1" t="e">
        <f>IF(Suma!$B13=$A$1,Suma!AW13,NA())</f>
        <v>#REF!</v>
      </c>
      <c r="R14" s="10" t="e">
        <f>IF(Suma!$B13=$A$1,Suma!AX13,NA())</f>
        <v>#REF!</v>
      </c>
      <c r="S14" s="10" t="e">
        <f>IF(Suma!$B13=$A$1,Suma!AY13,NA())</f>
        <v>#REF!</v>
      </c>
      <c r="T14" s="10" t="e">
        <f>IF(Suma!$B13=$A$1,Suma!AZ13,NA())</f>
        <v>#REF!</v>
      </c>
      <c r="U14" s="10" t="e">
        <f>IF(Suma!$B13=$A$1,Suma!J13,NA())</f>
        <v>#REF!</v>
      </c>
      <c r="V14" s="10" t="e">
        <f>IF(Suma!$B13=$A$1,Suma!K13,NA())</f>
        <v>#REF!</v>
      </c>
      <c r="W14" s="10" t="e">
        <f>IF(Suma!$B13=$A$1,Suma!L13,NA())</f>
        <v>#REF!</v>
      </c>
      <c r="X14" s="10" t="e">
        <f>IF(Suma!$B13=$A$1,Suma!M13,NA())</f>
        <v>#REF!</v>
      </c>
      <c r="Y14" s="10" t="e">
        <f>IF(Suma!$B13=$A$1,Suma!N13,NA())</f>
        <v>#REF!</v>
      </c>
      <c r="Z14" s="10" t="e">
        <f>IF(Suma!$B13=$A$1,Suma!O13,NA())</f>
        <v>#REF!</v>
      </c>
      <c r="AA14" s="10" t="e">
        <f>IF(Suma!$B13=$A$1,Suma!BC13,NA())</f>
        <v>#REF!</v>
      </c>
      <c r="AB14" s="10" t="e">
        <f>IF(Suma!$B13=$A$1,Suma!BD13,NA())</f>
        <v>#REF!</v>
      </c>
    </row>
    <row r="15" spans="1:28" x14ac:dyDescent="0.3">
      <c r="A15" s="1" t="e">
        <f>IF(Suma!$B14=$A$1,Suma!C14,NA())</f>
        <v>#REF!</v>
      </c>
      <c r="B15" s="1" t="e">
        <f>IF(Suma!$B14=$A$1,Suma!D14,NA())</f>
        <v>#REF!</v>
      </c>
      <c r="C15" s="2" t="e">
        <f>IF(Suma!$B14=$A$1,Suma!E14,NA())</f>
        <v>#REF!</v>
      </c>
      <c r="D15" s="2" t="e">
        <f>IF(Suma!$B14=$A$1,Suma!F14,NA())</f>
        <v>#REF!</v>
      </c>
      <c r="E15" s="1" t="e">
        <f>IF(Suma!$B14=$A$1,Suma!P14,NA())</f>
        <v>#REF!</v>
      </c>
      <c r="F15" s="10" t="e">
        <f t="shared" si="0"/>
        <v>#N/A</v>
      </c>
      <c r="G15" s="1" t="e">
        <f>IF(Suma!$B14=$A$1,Suma!W14,NA())</f>
        <v>#REF!</v>
      </c>
      <c r="H15" s="10" t="e">
        <f t="shared" si="1"/>
        <v>#N/A</v>
      </c>
      <c r="I15" s="1" t="e">
        <f>IF(Suma!$B14=$A$1,Suma!AD14,NA())</f>
        <v>#REF!</v>
      </c>
      <c r="J15" s="1" t="e">
        <f>IF(Suma!$B14=$A$1,Suma!AK14,NA())</f>
        <v>#REF!</v>
      </c>
      <c r="K15" s="10" t="e">
        <f>IF(Suma!$B14=$A$1,Suma!AS14,NA())</f>
        <v>#REF!</v>
      </c>
      <c r="L15" s="1" t="e">
        <f>IF(Suma!$B14=$A$1,Suma!G14,NA())</f>
        <v>#REF!</v>
      </c>
      <c r="M15" s="1" t="e">
        <f>IF(Suma!$B14=$A$1,Suma!H14,NA())</f>
        <v>#REF!</v>
      </c>
      <c r="N15" s="1" t="e">
        <f>IF(Suma!$B14=$A$1,Suma!AT14,NA())</f>
        <v>#REF!</v>
      </c>
      <c r="O15" s="1" t="e">
        <f>IF(Suma!$B14=$A$1,Suma!AU14,NA())</f>
        <v>#REF!</v>
      </c>
      <c r="P15" s="1" t="e">
        <f>IF(Suma!$B14=$A$1,Suma!AV14,NA())</f>
        <v>#REF!</v>
      </c>
      <c r="Q15" s="1" t="e">
        <f>IF(Suma!$B14=$A$1,Suma!AW14,NA())</f>
        <v>#REF!</v>
      </c>
      <c r="R15" s="10" t="e">
        <f>IF(Suma!$B14=$A$1,Suma!AX14,NA())</f>
        <v>#REF!</v>
      </c>
      <c r="S15" s="10" t="e">
        <f>IF(Suma!$B14=$A$1,Suma!AY14,NA())</f>
        <v>#REF!</v>
      </c>
      <c r="T15" s="10" t="e">
        <f>IF(Suma!$B14=$A$1,Suma!AZ14,NA())</f>
        <v>#REF!</v>
      </c>
      <c r="U15" s="10" t="e">
        <f>IF(Suma!$B14=$A$1,Suma!J14,NA())</f>
        <v>#REF!</v>
      </c>
      <c r="V15" s="10" t="e">
        <f>IF(Suma!$B14=$A$1,Suma!K14,NA())</f>
        <v>#REF!</v>
      </c>
      <c r="W15" s="10" t="e">
        <f>IF(Suma!$B14=$A$1,Suma!L14,NA())</f>
        <v>#REF!</v>
      </c>
      <c r="X15" s="10" t="e">
        <f>IF(Suma!$B14=$A$1,Suma!M14,NA())</f>
        <v>#REF!</v>
      </c>
      <c r="Y15" s="10" t="e">
        <f>IF(Suma!$B14=$A$1,Suma!N14,NA())</f>
        <v>#REF!</v>
      </c>
      <c r="Z15" s="10" t="e">
        <f>IF(Suma!$B14=$A$1,Suma!O14,NA())</f>
        <v>#REF!</v>
      </c>
      <c r="AA15" s="10" t="e">
        <f>IF(Suma!$B14=$A$1,Suma!BC14,NA())</f>
        <v>#REF!</v>
      </c>
      <c r="AB15" s="10" t="e">
        <f>IF(Suma!$B14=$A$1,Suma!BD14,NA())</f>
        <v>#REF!</v>
      </c>
    </row>
    <row r="16" spans="1:28" x14ac:dyDescent="0.3">
      <c r="A16" s="1" t="e">
        <f>IF(Suma!$B15=$A$1,Suma!C15,NA())</f>
        <v>#REF!</v>
      </c>
      <c r="B16" s="1" t="e">
        <f>IF(Suma!$B15=$A$1,Suma!D15,NA())</f>
        <v>#REF!</v>
      </c>
      <c r="C16" s="2" t="e">
        <f>IF(Suma!$B15=$A$1,Suma!E15,NA())</f>
        <v>#REF!</v>
      </c>
      <c r="D16" s="2" t="e">
        <f>IF(Suma!$B15=$A$1,Suma!F15,NA())</f>
        <v>#REF!</v>
      </c>
      <c r="E16" s="1" t="e">
        <f>IF(Suma!$B15=$A$1,Suma!P15,NA())</f>
        <v>#REF!</v>
      </c>
      <c r="F16" s="10" t="e">
        <f t="shared" si="0"/>
        <v>#N/A</v>
      </c>
      <c r="G16" s="1" t="e">
        <f>IF(Suma!$B15=$A$1,Suma!W15,NA())</f>
        <v>#REF!</v>
      </c>
      <c r="H16" s="10" t="e">
        <f t="shared" si="1"/>
        <v>#N/A</v>
      </c>
      <c r="I16" s="1" t="e">
        <f>IF(Suma!$B15=$A$1,Suma!AD15,NA())</f>
        <v>#REF!</v>
      </c>
      <c r="J16" s="1" t="e">
        <f>IF(Suma!$B15=$A$1,Suma!AK15,NA())</f>
        <v>#REF!</v>
      </c>
      <c r="K16" s="10" t="e">
        <f>IF(Suma!$B15=$A$1,Suma!AS15,NA())</f>
        <v>#REF!</v>
      </c>
      <c r="L16" s="1" t="e">
        <f>IF(Suma!$B15=$A$1,Suma!G15,NA())</f>
        <v>#REF!</v>
      </c>
      <c r="M16" s="1" t="e">
        <f>IF(Suma!$B15=$A$1,Suma!H15,NA())</f>
        <v>#REF!</v>
      </c>
      <c r="N16" s="1" t="e">
        <f>IF(Suma!$B15=$A$1,Suma!AT15,NA())</f>
        <v>#REF!</v>
      </c>
      <c r="O16" s="1" t="e">
        <f>IF(Suma!$B15=$A$1,Suma!AU15,NA())</f>
        <v>#REF!</v>
      </c>
      <c r="P16" s="1" t="e">
        <f>IF(Suma!$B15=$A$1,Suma!AV15,NA())</f>
        <v>#REF!</v>
      </c>
      <c r="Q16" s="1" t="e">
        <f>IF(Suma!$B15=$A$1,Suma!AW15,NA())</f>
        <v>#REF!</v>
      </c>
      <c r="R16" s="10" t="e">
        <f>IF(Suma!$B15=$A$1,Suma!AX15,NA())</f>
        <v>#REF!</v>
      </c>
      <c r="S16" s="10" t="e">
        <f>IF(Suma!$B15=$A$1,Suma!AY15,NA())</f>
        <v>#REF!</v>
      </c>
      <c r="T16" s="10" t="e">
        <f>IF(Suma!$B15=$A$1,Suma!AZ15,NA())</f>
        <v>#REF!</v>
      </c>
      <c r="U16" s="10" t="e">
        <f>IF(Suma!$B15=$A$1,Suma!J15,NA())</f>
        <v>#REF!</v>
      </c>
      <c r="V16" s="10" t="e">
        <f>IF(Suma!$B15=$A$1,Suma!K15,NA())</f>
        <v>#REF!</v>
      </c>
      <c r="W16" s="10" t="e">
        <f>IF(Suma!$B15=$A$1,Suma!L15,NA())</f>
        <v>#REF!</v>
      </c>
      <c r="X16" s="10" t="e">
        <f>IF(Suma!$B15=$A$1,Suma!M15,NA())</f>
        <v>#REF!</v>
      </c>
      <c r="Y16" s="10" t="e">
        <f>IF(Suma!$B15=$A$1,Suma!N15,NA())</f>
        <v>#REF!</v>
      </c>
      <c r="Z16" s="10" t="e">
        <f>IF(Suma!$B15=$A$1,Suma!O15,NA())</f>
        <v>#REF!</v>
      </c>
      <c r="AA16" s="10" t="e">
        <f>IF(Suma!$B15=$A$1,Suma!BC15,NA())</f>
        <v>#REF!</v>
      </c>
      <c r="AB16" s="10" t="e">
        <f>IF(Suma!$B15=$A$1,Suma!BD15,NA())</f>
        <v>#REF!</v>
      </c>
    </row>
    <row r="17" spans="1:28" x14ac:dyDescent="0.3">
      <c r="A17" s="1" t="e">
        <f>IF(Suma!$B16=$A$1,Suma!C16,NA())</f>
        <v>#REF!</v>
      </c>
      <c r="B17" s="1" t="e">
        <f>IF(Suma!$B16=$A$1,Suma!D16,NA())</f>
        <v>#REF!</v>
      </c>
      <c r="C17" s="2" t="e">
        <f>IF(Suma!$B16=$A$1,Suma!E16,NA())</f>
        <v>#REF!</v>
      </c>
      <c r="D17" s="2" t="e">
        <f>IF(Suma!$B16=$A$1,Suma!F16,NA())</f>
        <v>#REF!</v>
      </c>
      <c r="E17" s="1" t="e">
        <f>IF(Suma!$B16=$A$1,Suma!P16,NA())</f>
        <v>#REF!</v>
      </c>
      <c r="F17" s="10" t="e">
        <f t="shared" si="0"/>
        <v>#N/A</v>
      </c>
      <c r="G17" s="1" t="e">
        <f>IF(Suma!$B16=$A$1,Suma!W16,NA())</f>
        <v>#REF!</v>
      </c>
      <c r="H17" s="10" t="e">
        <f t="shared" si="1"/>
        <v>#N/A</v>
      </c>
      <c r="I17" s="1" t="e">
        <f>IF(Suma!$B16=$A$1,Suma!AD16,NA())</f>
        <v>#REF!</v>
      </c>
      <c r="J17" s="1" t="e">
        <f>IF(Suma!$B16=$A$1,Suma!AK16,NA())</f>
        <v>#REF!</v>
      </c>
      <c r="K17" s="10" t="e">
        <f>IF(Suma!$B16=$A$1,Suma!AS16,NA())</f>
        <v>#REF!</v>
      </c>
      <c r="L17" s="1" t="e">
        <f>IF(Suma!$B16=$A$1,Suma!G16,NA())</f>
        <v>#REF!</v>
      </c>
      <c r="M17" s="1" t="e">
        <f>IF(Suma!$B16=$A$1,Suma!H16,NA())</f>
        <v>#REF!</v>
      </c>
      <c r="N17" s="1" t="e">
        <f>IF(Suma!$B16=$A$1,Suma!AT16,NA())</f>
        <v>#REF!</v>
      </c>
      <c r="O17" s="1" t="e">
        <f>IF(Suma!$B16=$A$1,Suma!AU16,NA())</f>
        <v>#REF!</v>
      </c>
      <c r="P17" s="1" t="e">
        <f>IF(Suma!$B16=$A$1,Suma!AV16,NA())</f>
        <v>#REF!</v>
      </c>
      <c r="Q17" s="1" t="e">
        <f>IF(Suma!$B16=$A$1,Suma!AW16,NA())</f>
        <v>#REF!</v>
      </c>
      <c r="R17" s="10" t="e">
        <f>IF(Suma!$B16=$A$1,Suma!AX16,NA())</f>
        <v>#REF!</v>
      </c>
      <c r="S17" s="10" t="e">
        <f>IF(Suma!$B16=$A$1,Suma!AY16,NA())</f>
        <v>#REF!</v>
      </c>
      <c r="T17" s="10" t="e">
        <f>IF(Suma!$B16=$A$1,Suma!AZ16,NA())</f>
        <v>#REF!</v>
      </c>
      <c r="U17" s="10" t="e">
        <f>IF(Suma!$B16=$A$1,Suma!J16,NA())</f>
        <v>#REF!</v>
      </c>
      <c r="V17" s="10" t="e">
        <f>IF(Suma!$B16=$A$1,Suma!K16,NA())</f>
        <v>#REF!</v>
      </c>
      <c r="W17" s="10" t="e">
        <f>IF(Suma!$B16=$A$1,Suma!L16,NA())</f>
        <v>#REF!</v>
      </c>
      <c r="X17" s="10" t="e">
        <f>IF(Suma!$B16=$A$1,Suma!M16,NA())</f>
        <v>#REF!</v>
      </c>
      <c r="Y17" s="10" t="e">
        <f>IF(Suma!$B16=$A$1,Suma!N16,NA())</f>
        <v>#REF!</v>
      </c>
      <c r="Z17" s="10" t="e">
        <f>IF(Suma!$B16=$A$1,Suma!O16,NA())</f>
        <v>#REF!</v>
      </c>
      <c r="AA17" s="10" t="e">
        <f>IF(Suma!$B16=$A$1,Suma!BC16,NA())</f>
        <v>#REF!</v>
      </c>
      <c r="AB17" s="10" t="e">
        <f>IF(Suma!$B16=$A$1,Suma!BD16,NA())</f>
        <v>#REF!</v>
      </c>
    </row>
    <row r="18" spans="1:28" x14ac:dyDescent="0.3">
      <c r="A18" s="1" t="e">
        <f>IF(Suma!$B17=$A$1,Suma!C17,NA())</f>
        <v>#REF!</v>
      </c>
      <c r="B18" s="1" t="e">
        <f>IF(Suma!$B17=$A$1,Suma!D17,NA())</f>
        <v>#REF!</v>
      </c>
      <c r="C18" s="2" t="e">
        <f>IF(Suma!$B17=$A$1,Suma!E17,NA())</f>
        <v>#REF!</v>
      </c>
      <c r="D18" s="2" t="e">
        <f>IF(Suma!$B17=$A$1,Suma!F17,NA())</f>
        <v>#REF!</v>
      </c>
      <c r="E18" s="1" t="e">
        <f>IF(Suma!$B17=$A$1,Suma!P17,NA())</f>
        <v>#REF!</v>
      </c>
      <c r="F18" s="10" t="e">
        <f t="shared" si="0"/>
        <v>#N/A</v>
      </c>
      <c r="G18" s="1" t="e">
        <f>IF(Suma!$B17=$A$1,Suma!W17,NA())</f>
        <v>#REF!</v>
      </c>
      <c r="H18" s="10" t="e">
        <f t="shared" si="1"/>
        <v>#N/A</v>
      </c>
      <c r="I18" s="1" t="e">
        <f>IF(Suma!$B17=$A$1,Suma!AD17,NA())</f>
        <v>#REF!</v>
      </c>
      <c r="J18" s="1" t="e">
        <f>IF(Suma!$B17=$A$1,Suma!AK17,NA())</f>
        <v>#REF!</v>
      </c>
      <c r="K18" s="10" t="e">
        <f>IF(Suma!$B17=$A$1,Suma!AS17,NA())</f>
        <v>#REF!</v>
      </c>
      <c r="L18" s="1" t="e">
        <f>IF(Suma!$B17=$A$1,Suma!G17,NA())</f>
        <v>#REF!</v>
      </c>
      <c r="M18" s="1" t="e">
        <f>IF(Suma!$B17=$A$1,Suma!H17,NA())</f>
        <v>#REF!</v>
      </c>
      <c r="N18" s="1" t="e">
        <f>IF(Suma!$B17=$A$1,Suma!AT17,NA())</f>
        <v>#REF!</v>
      </c>
      <c r="O18" s="1" t="e">
        <f>IF(Suma!$B17=$A$1,Suma!AU17,NA())</f>
        <v>#REF!</v>
      </c>
      <c r="P18" s="1" t="e">
        <f>IF(Suma!$B17=$A$1,Suma!AV17,NA())</f>
        <v>#REF!</v>
      </c>
      <c r="Q18" s="1" t="e">
        <f>IF(Suma!$B17=$A$1,Suma!AW17,NA())</f>
        <v>#REF!</v>
      </c>
      <c r="R18" s="10" t="e">
        <f>IF(Suma!$B17=$A$1,Suma!AX17,NA())</f>
        <v>#REF!</v>
      </c>
      <c r="S18" s="10" t="e">
        <f>IF(Suma!$B17=$A$1,Suma!AY17,NA())</f>
        <v>#REF!</v>
      </c>
      <c r="T18" s="10" t="e">
        <f>IF(Suma!$B17=$A$1,Suma!AZ17,NA())</f>
        <v>#REF!</v>
      </c>
      <c r="U18" s="10" t="e">
        <f>IF(Suma!$B17=$A$1,Suma!J17,NA())</f>
        <v>#REF!</v>
      </c>
      <c r="V18" s="10" t="e">
        <f>IF(Suma!$B17=$A$1,Suma!K17,NA())</f>
        <v>#REF!</v>
      </c>
      <c r="W18" s="10" t="e">
        <f>IF(Suma!$B17=$A$1,Suma!L17,NA())</f>
        <v>#REF!</v>
      </c>
      <c r="X18" s="10" t="e">
        <f>IF(Suma!$B17=$A$1,Suma!M17,NA())</f>
        <v>#REF!</v>
      </c>
      <c r="Y18" s="10" t="e">
        <f>IF(Suma!$B17=$A$1,Suma!N17,NA())</f>
        <v>#REF!</v>
      </c>
      <c r="Z18" s="10" t="e">
        <f>IF(Suma!$B17=$A$1,Suma!O17,NA())</f>
        <v>#REF!</v>
      </c>
      <c r="AA18" s="10" t="e">
        <f>IF(Suma!$B17=$A$1,Suma!BC17,NA())</f>
        <v>#REF!</v>
      </c>
      <c r="AB18" s="10" t="e">
        <f>IF(Suma!$B17=$A$1,Suma!BD17,NA())</f>
        <v>#REF!</v>
      </c>
    </row>
    <row r="19" spans="1:28" x14ac:dyDescent="0.3">
      <c r="A19" s="1" t="e">
        <f>IF(Suma!$B18=$A$1,Suma!C18,NA())</f>
        <v>#REF!</v>
      </c>
      <c r="B19" s="1" t="e">
        <f>IF(Suma!$B18=$A$1,Suma!D18,NA())</f>
        <v>#REF!</v>
      </c>
      <c r="C19" s="2" t="e">
        <f>IF(Suma!$B18=$A$1,Suma!E18,NA())</f>
        <v>#REF!</v>
      </c>
      <c r="D19" s="2" t="e">
        <f>IF(Suma!$B18=$A$1,Suma!F18,NA())</f>
        <v>#REF!</v>
      </c>
      <c r="E19" s="1" t="e">
        <f>IF(Suma!$B18=$A$1,Suma!P18,NA())</f>
        <v>#REF!</v>
      </c>
      <c r="F19" s="10" t="e">
        <f t="shared" si="0"/>
        <v>#N/A</v>
      </c>
      <c r="G19" s="1" t="e">
        <f>IF(Suma!$B18=$A$1,Suma!W18,NA())</f>
        <v>#REF!</v>
      </c>
      <c r="H19" s="10" t="e">
        <f t="shared" si="1"/>
        <v>#N/A</v>
      </c>
      <c r="I19" s="1" t="e">
        <f>IF(Suma!$B18=$A$1,Suma!AD18,NA())</f>
        <v>#REF!</v>
      </c>
      <c r="J19" s="1" t="e">
        <f>IF(Suma!$B18=$A$1,Suma!AK18,NA())</f>
        <v>#REF!</v>
      </c>
      <c r="K19" s="10" t="e">
        <f>IF(Suma!$B18=$A$1,Suma!AS18,NA())</f>
        <v>#REF!</v>
      </c>
      <c r="L19" s="1" t="e">
        <f>IF(Suma!$B18=$A$1,Suma!G18,NA())</f>
        <v>#REF!</v>
      </c>
      <c r="M19" s="1" t="e">
        <f>IF(Suma!$B18=$A$1,Suma!H18,NA())</f>
        <v>#REF!</v>
      </c>
      <c r="N19" s="1" t="e">
        <f>IF(Suma!$B18=$A$1,Suma!AT18,NA())</f>
        <v>#REF!</v>
      </c>
      <c r="O19" s="1" t="e">
        <f>IF(Suma!$B18=$A$1,Suma!AU18,NA())</f>
        <v>#REF!</v>
      </c>
      <c r="P19" s="1" t="e">
        <f>IF(Suma!$B18=$A$1,Suma!AV18,NA())</f>
        <v>#REF!</v>
      </c>
      <c r="Q19" s="1" t="e">
        <f>IF(Suma!$B18=$A$1,Suma!AW18,NA())</f>
        <v>#REF!</v>
      </c>
      <c r="R19" s="10" t="e">
        <f>IF(Suma!$B18=$A$1,Suma!AX18,NA())</f>
        <v>#REF!</v>
      </c>
      <c r="S19" s="10" t="e">
        <f>IF(Suma!$B18=$A$1,Suma!AY18,NA())</f>
        <v>#REF!</v>
      </c>
      <c r="T19" s="10" t="e">
        <f>IF(Suma!$B18=$A$1,Suma!AZ18,NA())</f>
        <v>#REF!</v>
      </c>
      <c r="U19" s="10" t="e">
        <f>IF(Suma!$B18=$A$1,Suma!J18,NA())</f>
        <v>#REF!</v>
      </c>
      <c r="V19" s="10" t="e">
        <f>IF(Suma!$B18=$A$1,Suma!K18,NA())</f>
        <v>#REF!</v>
      </c>
      <c r="W19" s="10" t="e">
        <f>IF(Suma!$B18=$A$1,Suma!L18,NA())</f>
        <v>#REF!</v>
      </c>
      <c r="X19" s="10" t="e">
        <f>IF(Suma!$B18=$A$1,Suma!M18,NA())</f>
        <v>#REF!</v>
      </c>
      <c r="Y19" s="10" t="e">
        <f>IF(Suma!$B18=$A$1,Suma!N18,NA())</f>
        <v>#REF!</v>
      </c>
      <c r="Z19" s="10" t="e">
        <f>IF(Suma!$B18=$A$1,Suma!O18,NA())</f>
        <v>#REF!</v>
      </c>
      <c r="AA19" s="10" t="e">
        <f>IF(Suma!$B18=$A$1,Suma!BC18,NA())</f>
        <v>#REF!</v>
      </c>
      <c r="AB19" s="10" t="e">
        <f>IF(Suma!$B18=$A$1,Suma!BD18,NA())</f>
        <v>#REF!</v>
      </c>
    </row>
    <row r="20" spans="1:28" x14ac:dyDescent="0.3">
      <c r="A20" s="1" t="e">
        <f>IF(Suma!$B19=$A$1,Suma!C19,NA())</f>
        <v>#REF!</v>
      </c>
      <c r="B20" s="1" t="e">
        <f>IF(Suma!$B19=$A$1,Suma!D19,NA())</f>
        <v>#REF!</v>
      </c>
      <c r="C20" s="2" t="e">
        <f>IF(Suma!$B19=$A$1,Suma!E19,NA())</f>
        <v>#REF!</v>
      </c>
      <c r="D20" s="2" t="e">
        <f>IF(Suma!$B19=$A$1,Suma!F19,NA())</f>
        <v>#REF!</v>
      </c>
      <c r="E20" s="1" t="e">
        <f>IF(Suma!$B19=$A$1,Suma!P19,NA())</f>
        <v>#REF!</v>
      </c>
      <c r="F20" s="10" t="e">
        <f t="shared" si="0"/>
        <v>#N/A</v>
      </c>
      <c r="G20" s="1" t="e">
        <f>IF(Suma!$B19=$A$1,Suma!W19,NA())</f>
        <v>#REF!</v>
      </c>
      <c r="H20" s="10" t="e">
        <f t="shared" si="1"/>
        <v>#N/A</v>
      </c>
      <c r="I20" s="1" t="e">
        <f>IF(Suma!$B19=$A$1,Suma!AD19,NA())</f>
        <v>#REF!</v>
      </c>
      <c r="J20" s="1" t="e">
        <f>IF(Suma!$B19=$A$1,Suma!AK19,NA())</f>
        <v>#REF!</v>
      </c>
      <c r="K20" s="10" t="e">
        <f>IF(Suma!$B19=$A$1,Suma!AS19,NA())</f>
        <v>#REF!</v>
      </c>
      <c r="L20" s="1" t="e">
        <f>IF(Suma!$B19=$A$1,Suma!G19,NA())</f>
        <v>#REF!</v>
      </c>
      <c r="M20" s="1" t="e">
        <f>IF(Suma!$B19=$A$1,Suma!H19,NA())</f>
        <v>#REF!</v>
      </c>
      <c r="N20" s="1" t="e">
        <f>IF(Suma!$B19=$A$1,Suma!AT19,NA())</f>
        <v>#REF!</v>
      </c>
      <c r="O20" s="1" t="e">
        <f>IF(Suma!$B19=$A$1,Suma!AU19,NA())</f>
        <v>#REF!</v>
      </c>
      <c r="P20" s="1" t="e">
        <f>IF(Suma!$B19=$A$1,Suma!AV19,NA())</f>
        <v>#REF!</v>
      </c>
      <c r="Q20" s="1" t="e">
        <f>IF(Suma!$B19=$A$1,Suma!AW19,NA())</f>
        <v>#REF!</v>
      </c>
      <c r="R20" s="10" t="e">
        <f>IF(Suma!$B19=$A$1,Suma!AX19,NA())</f>
        <v>#REF!</v>
      </c>
      <c r="S20" s="10" t="e">
        <f>IF(Suma!$B19=$A$1,Suma!AY19,NA())</f>
        <v>#REF!</v>
      </c>
      <c r="T20" s="10" t="e">
        <f>IF(Suma!$B19=$A$1,Suma!AZ19,NA())</f>
        <v>#REF!</v>
      </c>
      <c r="U20" s="10" t="e">
        <f>IF(Suma!$B19=$A$1,Suma!J19,NA())</f>
        <v>#REF!</v>
      </c>
      <c r="V20" s="10" t="e">
        <f>IF(Suma!$B19=$A$1,Suma!K19,NA())</f>
        <v>#REF!</v>
      </c>
      <c r="W20" s="10" t="e">
        <f>IF(Suma!$B19=$A$1,Suma!L19,NA())</f>
        <v>#REF!</v>
      </c>
      <c r="X20" s="10" t="e">
        <f>IF(Suma!$B19=$A$1,Suma!M19,NA())</f>
        <v>#REF!</v>
      </c>
      <c r="Y20" s="10" t="e">
        <f>IF(Suma!$B19=$A$1,Suma!N19,NA())</f>
        <v>#REF!</v>
      </c>
      <c r="Z20" s="10" t="e">
        <f>IF(Suma!$B19=$A$1,Suma!O19,NA())</f>
        <v>#REF!</v>
      </c>
      <c r="AA20" s="10" t="e">
        <f>IF(Suma!$B19=$A$1,Suma!BC19,NA())</f>
        <v>#REF!</v>
      </c>
      <c r="AB20" s="10" t="e">
        <f>IF(Suma!$B19=$A$1,Suma!BD19,NA())</f>
        <v>#REF!</v>
      </c>
    </row>
    <row r="21" spans="1:28" x14ac:dyDescent="0.3">
      <c r="A21" s="1" t="e">
        <f>IF(Suma!$B20=$A$1,Suma!C20,NA())</f>
        <v>#REF!</v>
      </c>
      <c r="B21" s="1" t="e">
        <f>IF(Suma!$B20=$A$1,Suma!D20,NA())</f>
        <v>#REF!</v>
      </c>
      <c r="C21" s="2" t="e">
        <f>IF(Suma!$B20=$A$1,Suma!E20,NA())</f>
        <v>#REF!</v>
      </c>
      <c r="D21" s="2" t="e">
        <f>IF(Suma!$B20=$A$1,Suma!F20,NA())</f>
        <v>#REF!</v>
      </c>
      <c r="E21" s="1" t="e">
        <f>IF(Suma!$B20=$A$1,Suma!P20,NA())</f>
        <v>#REF!</v>
      </c>
      <c r="F21" s="10" t="e">
        <f t="shared" si="0"/>
        <v>#N/A</v>
      </c>
      <c r="G21" s="1" t="e">
        <f>IF(Suma!$B20=$A$1,Suma!W20,NA())</f>
        <v>#REF!</v>
      </c>
      <c r="H21" s="10" t="e">
        <f t="shared" si="1"/>
        <v>#N/A</v>
      </c>
      <c r="I21" s="1" t="e">
        <f>IF(Suma!$B20=$A$1,Suma!AD20,NA())</f>
        <v>#REF!</v>
      </c>
      <c r="J21" s="1" t="e">
        <f>IF(Suma!$B20=$A$1,Suma!AK20,NA())</f>
        <v>#REF!</v>
      </c>
      <c r="K21" s="10" t="e">
        <f>IF(Suma!$B20=$A$1,Suma!AS20,NA())</f>
        <v>#REF!</v>
      </c>
      <c r="L21" s="1" t="e">
        <f>IF(Suma!$B20=$A$1,Suma!G20,NA())</f>
        <v>#REF!</v>
      </c>
      <c r="M21" s="1" t="e">
        <f>IF(Suma!$B20=$A$1,Suma!H20,NA())</f>
        <v>#REF!</v>
      </c>
      <c r="N21" s="1" t="e">
        <f>IF(Suma!$B20=$A$1,Suma!AT20,NA())</f>
        <v>#REF!</v>
      </c>
      <c r="O21" s="1" t="e">
        <f>IF(Suma!$B20=$A$1,Suma!AU20,NA())</f>
        <v>#REF!</v>
      </c>
      <c r="P21" s="1" t="e">
        <f>IF(Suma!$B20=$A$1,Suma!AV20,NA())</f>
        <v>#REF!</v>
      </c>
      <c r="Q21" s="1" t="e">
        <f>IF(Suma!$B20=$A$1,Suma!AW20,NA())</f>
        <v>#REF!</v>
      </c>
      <c r="R21" s="10" t="e">
        <f>IF(Suma!$B20=$A$1,Suma!AX20,NA())</f>
        <v>#REF!</v>
      </c>
      <c r="S21" s="10" t="e">
        <f>IF(Suma!$B20=$A$1,Suma!AY20,NA())</f>
        <v>#REF!</v>
      </c>
      <c r="T21" s="10" t="e">
        <f>IF(Suma!$B20=$A$1,Suma!AZ20,NA())</f>
        <v>#REF!</v>
      </c>
      <c r="U21" s="10" t="e">
        <f>IF(Suma!$B20=$A$1,Suma!J20,NA())</f>
        <v>#REF!</v>
      </c>
      <c r="V21" s="10" t="e">
        <f>IF(Suma!$B20=$A$1,Suma!K20,NA())</f>
        <v>#REF!</v>
      </c>
      <c r="W21" s="10" t="e">
        <f>IF(Suma!$B20=$A$1,Suma!L20,NA())</f>
        <v>#REF!</v>
      </c>
      <c r="X21" s="10" t="e">
        <f>IF(Suma!$B20=$A$1,Suma!M20,NA())</f>
        <v>#REF!</v>
      </c>
      <c r="Y21" s="10" t="e">
        <f>IF(Suma!$B20=$A$1,Suma!N20,NA())</f>
        <v>#REF!</v>
      </c>
      <c r="Z21" s="10" t="e">
        <f>IF(Suma!$B20=$A$1,Suma!O20,NA())</f>
        <v>#REF!</v>
      </c>
      <c r="AA21" s="10" t="e">
        <f>IF(Suma!$B20=$A$1,Suma!BC20,NA())</f>
        <v>#REF!</v>
      </c>
      <c r="AB21" s="10" t="e">
        <f>IF(Suma!$B20=$A$1,Suma!BD20,NA())</f>
        <v>#REF!</v>
      </c>
    </row>
    <row r="22" spans="1:28" x14ac:dyDescent="0.3">
      <c r="A22" s="1" t="e">
        <f>IF(Suma!$B21=$A$1,Suma!C21,NA())</f>
        <v>#REF!</v>
      </c>
      <c r="B22" s="1" t="e">
        <f>IF(Suma!$B21=$A$1,Suma!D21,NA())</f>
        <v>#REF!</v>
      </c>
      <c r="C22" s="2" t="e">
        <f>IF(Suma!$B21=$A$1,Suma!E21,NA())</f>
        <v>#REF!</v>
      </c>
      <c r="D22" s="2" t="e">
        <f>IF(Suma!$B21=$A$1,Suma!F21,NA())</f>
        <v>#REF!</v>
      </c>
      <c r="E22" s="1" t="e">
        <f>IF(Suma!$B21=$A$1,Suma!P21,NA())</f>
        <v>#REF!</v>
      </c>
      <c r="F22" s="10" t="e">
        <f t="shared" si="0"/>
        <v>#N/A</v>
      </c>
      <c r="G22" s="1" t="e">
        <f>IF(Suma!$B21=$A$1,Suma!W21,NA())</f>
        <v>#REF!</v>
      </c>
      <c r="H22" s="10" t="e">
        <f t="shared" si="1"/>
        <v>#N/A</v>
      </c>
      <c r="I22" s="1" t="e">
        <f>IF(Suma!$B21=$A$1,Suma!AD21,NA())</f>
        <v>#REF!</v>
      </c>
      <c r="J22" s="1" t="e">
        <f>IF(Suma!$B21=$A$1,Suma!AK21,NA())</f>
        <v>#REF!</v>
      </c>
      <c r="K22" s="10" t="e">
        <f>IF(Suma!$B21=$A$1,Suma!AS21,NA())</f>
        <v>#REF!</v>
      </c>
      <c r="L22" s="1" t="e">
        <f>IF(Suma!$B21=$A$1,Suma!G21,NA())</f>
        <v>#REF!</v>
      </c>
      <c r="M22" s="1" t="e">
        <f>IF(Suma!$B21=$A$1,Suma!H21,NA())</f>
        <v>#REF!</v>
      </c>
      <c r="N22" s="1" t="e">
        <f>IF(Suma!$B21=$A$1,Suma!AT21,NA())</f>
        <v>#REF!</v>
      </c>
      <c r="O22" s="1" t="e">
        <f>IF(Suma!$B21=$A$1,Suma!AU21,NA())</f>
        <v>#REF!</v>
      </c>
      <c r="P22" s="1" t="e">
        <f>IF(Suma!$B21=$A$1,Suma!AV21,NA())</f>
        <v>#REF!</v>
      </c>
      <c r="Q22" s="1" t="e">
        <f>IF(Suma!$B21=$A$1,Suma!AW21,NA())</f>
        <v>#REF!</v>
      </c>
      <c r="R22" s="10" t="e">
        <f>IF(Suma!$B21=$A$1,Suma!AX21,NA())</f>
        <v>#REF!</v>
      </c>
      <c r="S22" s="10" t="e">
        <f>IF(Suma!$B21=$A$1,Suma!AY21,NA())</f>
        <v>#REF!</v>
      </c>
      <c r="T22" s="10" t="e">
        <f>IF(Suma!$B21=$A$1,Suma!AZ21,NA())</f>
        <v>#REF!</v>
      </c>
      <c r="U22" s="10" t="e">
        <f>IF(Suma!$B21=$A$1,Suma!J21,NA())</f>
        <v>#REF!</v>
      </c>
      <c r="V22" s="10" t="e">
        <f>IF(Suma!$B21=$A$1,Suma!K21,NA())</f>
        <v>#REF!</v>
      </c>
      <c r="W22" s="10" t="e">
        <f>IF(Suma!$B21=$A$1,Suma!L21,NA())</f>
        <v>#REF!</v>
      </c>
      <c r="X22" s="10" t="e">
        <f>IF(Suma!$B21=$A$1,Suma!M21,NA())</f>
        <v>#REF!</v>
      </c>
      <c r="Y22" s="10" t="e">
        <f>IF(Suma!$B21=$A$1,Suma!N21,NA())</f>
        <v>#REF!</v>
      </c>
      <c r="Z22" s="10" t="e">
        <f>IF(Suma!$B21=$A$1,Suma!O21,NA())</f>
        <v>#REF!</v>
      </c>
      <c r="AA22" s="10" t="e">
        <f>IF(Suma!$B21=$A$1,Suma!BC21,NA())</f>
        <v>#REF!</v>
      </c>
      <c r="AB22" s="10" t="e">
        <f>IF(Suma!$B21=$A$1,Suma!BD21,NA())</f>
        <v>#REF!</v>
      </c>
    </row>
    <row r="23" spans="1:28" x14ac:dyDescent="0.3">
      <c r="A23" s="1" t="e">
        <f>IF(Suma!$B22=$A$1,Suma!C22,NA())</f>
        <v>#REF!</v>
      </c>
      <c r="B23" s="1" t="e">
        <f>IF(Suma!$B22=$A$1,Suma!D22,NA())</f>
        <v>#REF!</v>
      </c>
      <c r="C23" s="2" t="e">
        <f>IF(Suma!$B22=$A$1,Suma!E22,NA())</f>
        <v>#REF!</v>
      </c>
      <c r="D23" s="2" t="e">
        <f>IF(Suma!$B22=$A$1,Suma!F22,NA())</f>
        <v>#REF!</v>
      </c>
      <c r="E23" s="1" t="e">
        <f>IF(Suma!$B22=$A$1,Suma!P22,NA())</f>
        <v>#REF!</v>
      </c>
      <c r="F23" s="10" t="e">
        <f t="shared" si="0"/>
        <v>#N/A</v>
      </c>
      <c r="G23" s="1" t="e">
        <f>IF(Suma!$B22=$A$1,Suma!W22,NA())</f>
        <v>#REF!</v>
      </c>
      <c r="H23" s="10" t="e">
        <f t="shared" si="1"/>
        <v>#N/A</v>
      </c>
      <c r="I23" s="1" t="e">
        <f>IF(Suma!$B22=$A$1,Suma!AD22,NA())</f>
        <v>#REF!</v>
      </c>
      <c r="J23" s="1" t="e">
        <f>IF(Suma!$B22=$A$1,Suma!AK22,NA())</f>
        <v>#REF!</v>
      </c>
      <c r="K23" s="10" t="e">
        <f>IF(Suma!$B22=$A$1,Suma!AS22,NA())</f>
        <v>#REF!</v>
      </c>
      <c r="L23" s="1" t="e">
        <f>IF(Suma!$B22=$A$1,Suma!G22,NA())</f>
        <v>#REF!</v>
      </c>
      <c r="M23" s="1" t="e">
        <f>IF(Suma!$B22=$A$1,Suma!H22,NA())</f>
        <v>#REF!</v>
      </c>
      <c r="N23" s="1" t="e">
        <f>IF(Suma!$B22=$A$1,Suma!AT22,NA())</f>
        <v>#REF!</v>
      </c>
      <c r="O23" s="1" t="e">
        <f>IF(Suma!$B22=$A$1,Suma!AU22,NA())</f>
        <v>#REF!</v>
      </c>
      <c r="P23" s="1" t="e">
        <f>IF(Suma!$B22=$A$1,Suma!AV22,NA())</f>
        <v>#REF!</v>
      </c>
      <c r="Q23" s="1" t="e">
        <f>IF(Suma!$B22=$A$1,Suma!AW22,NA())</f>
        <v>#REF!</v>
      </c>
      <c r="R23" s="10" t="e">
        <f>IF(Suma!$B22=$A$1,Suma!AX22,NA())</f>
        <v>#REF!</v>
      </c>
      <c r="S23" s="10" t="e">
        <f>IF(Suma!$B22=$A$1,Suma!AY22,NA())</f>
        <v>#REF!</v>
      </c>
      <c r="T23" s="10" t="e">
        <f>IF(Suma!$B22=$A$1,Suma!AZ22,NA())</f>
        <v>#REF!</v>
      </c>
      <c r="U23" s="10" t="e">
        <f>IF(Suma!$B22=$A$1,Suma!J22,NA())</f>
        <v>#REF!</v>
      </c>
      <c r="V23" s="10" t="e">
        <f>IF(Suma!$B22=$A$1,Suma!K22,NA())</f>
        <v>#REF!</v>
      </c>
      <c r="W23" s="10" t="e">
        <f>IF(Suma!$B22=$A$1,Suma!L22,NA())</f>
        <v>#REF!</v>
      </c>
      <c r="X23" s="10" t="e">
        <f>IF(Suma!$B22=$A$1,Suma!M22,NA())</f>
        <v>#REF!</v>
      </c>
      <c r="Y23" s="10" t="e">
        <f>IF(Suma!$B22=$A$1,Suma!N22,NA())</f>
        <v>#REF!</v>
      </c>
      <c r="Z23" s="10" t="e">
        <f>IF(Suma!$B22=$A$1,Suma!O22,NA())</f>
        <v>#REF!</v>
      </c>
      <c r="AA23" s="10" t="e">
        <f>IF(Suma!$B22=$A$1,Suma!BC22,NA())</f>
        <v>#REF!</v>
      </c>
      <c r="AB23" s="10" t="e">
        <f>IF(Suma!$B22=$A$1,Suma!BD22,NA())</f>
        <v>#REF!</v>
      </c>
    </row>
    <row r="24" spans="1:28" x14ac:dyDescent="0.3">
      <c r="A24" s="1" t="e">
        <f>IF(Suma!$B23=$A$1,Suma!C23,NA())</f>
        <v>#REF!</v>
      </c>
      <c r="B24" s="1" t="e">
        <f>IF(Suma!$B23=$A$1,Suma!D23,NA())</f>
        <v>#REF!</v>
      </c>
      <c r="C24" s="2" t="e">
        <f>IF(Suma!$B23=$A$1,Suma!E23,NA())</f>
        <v>#REF!</v>
      </c>
      <c r="D24" s="2" t="e">
        <f>IF(Suma!$B23=$A$1,Suma!F23,NA())</f>
        <v>#REF!</v>
      </c>
      <c r="E24" s="1" t="e">
        <f>IF(Suma!$B23=$A$1,Suma!P23,NA())</f>
        <v>#REF!</v>
      </c>
      <c r="F24" s="10" t="e">
        <f t="shared" si="0"/>
        <v>#N/A</v>
      </c>
      <c r="G24" s="1" t="e">
        <f>IF(Suma!$B23=$A$1,Suma!W23,NA())</f>
        <v>#REF!</v>
      </c>
      <c r="H24" s="10" t="e">
        <f t="shared" si="1"/>
        <v>#N/A</v>
      </c>
      <c r="I24" s="1" t="e">
        <f>IF(Suma!$B23=$A$1,Suma!AD23,NA())</f>
        <v>#REF!</v>
      </c>
      <c r="J24" s="1" t="e">
        <f>IF(Suma!$B23=$A$1,Suma!AK23,NA())</f>
        <v>#REF!</v>
      </c>
      <c r="K24" s="10" t="e">
        <f>IF(Suma!$B23=$A$1,Suma!AS23,NA())</f>
        <v>#REF!</v>
      </c>
      <c r="L24" s="1" t="e">
        <f>IF(Suma!$B23=$A$1,Suma!G23,NA())</f>
        <v>#REF!</v>
      </c>
      <c r="M24" s="1" t="e">
        <f>IF(Suma!$B23=$A$1,Suma!H23,NA())</f>
        <v>#REF!</v>
      </c>
      <c r="N24" s="1" t="e">
        <f>IF(Suma!$B23=$A$1,Suma!AT23,NA())</f>
        <v>#REF!</v>
      </c>
      <c r="O24" s="1" t="e">
        <f>IF(Suma!$B23=$A$1,Suma!AU23,NA())</f>
        <v>#REF!</v>
      </c>
      <c r="P24" s="1" t="e">
        <f>IF(Suma!$B23=$A$1,Suma!AV23,NA())</f>
        <v>#REF!</v>
      </c>
      <c r="Q24" s="1" t="e">
        <f>IF(Suma!$B23=$A$1,Suma!AW23,NA())</f>
        <v>#REF!</v>
      </c>
      <c r="R24" s="10" t="e">
        <f>IF(Suma!$B23=$A$1,Suma!AX23,NA())</f>
        <v>#REF!</v>
      </c>
      <c r="S24" s="10" t="e">
        <f>IF(Suma!$B23=$A$1,Suma!AY23,NA())</f>
        <v>#REF!</v>
      </c>
      <c r="T24" s="10" t="e">
        <f>IF(Suma!$B23=$A$1,Suma!AZ23,NA())</f>
        <v>#REF!</v>
      </c>
      <c r="U24" s="10" t="e">
        <f>IF(Suma!$B23=$A$1,Suma!J23,NA())</f>
        <v>#REF!</v>
      </c>
      <c r="V24" s="10" t="e">
        <f>IF(Suma!$B23=$A$1,Suma!K23,NA())</f>
        <v>#REF!</v>
      </c>
      <c r="W24" s="10" t="e">
        <f>IF(Suma!$B23=$A$1,Suma!L23,NA())</f>
        <v>#REF!</v>
      </c>
      <c r="X24" s="10" t="e">
        <f>IF(Suma!$B23=$A$1,Suma!M23,NA())</f>
        <v>#REF!</v>
      </c>
      <c r="Y24" s="10" t="e">
        <f>IF(Suma!$B23=$A$1,Suma!N23,NA())</f>
        <v>#REF!</v>
      </c>
      <c r="Z24" s="10" t="e">
        <f>IF(Suma!$B23=$A$1,Suma!O23,NA())</f>
        <v>#REF!</v>
      </c>
      <c r="AA24" s="10" t="e">
        <f>IF(Suma!$B23=$A$1,Suma!BC23,NA())</f>
        <v>#REF!</v>
      </c>
      <c r="AB24" s="10" t="e">
        <f>IF(Suma!$B23=$A$1,Suma!BD23,NA())</f>
        <v>#REF!</v>
      </c>
    </row>
    <row r="25" spans="1:28" x14ac:dyDescent="0.3">
      <c r="A25" s="1" t="e">
        <f>IF(Suma!$B24=$A$1,Suma!C24,NA())</f>
        <v>#REF!</v>
      </c>
      <c r="B25" s="1" t="e">
        <f>IF(Suma!$B24=$A$1,Suma!D24,NA())</f>
        <v>#REF!</v>
      </c>
      <c r="C25" s="2" t="e">
        <f>IF(Suma!$B24=$A$1,Suma!E24,NA())</f>
        <v>#REF!</v>
      </c>
      <c r="D25" s="2" t="e">
        <f>IF(Suma!$B24=$A$1,Suma!F24,NA())</f>
        <v>#REF!</v>
      </c>
      <c r="E25" s="1" t="e">
        <f>IF(Suma!$B24=$A$1,Suma!P24,NA())</f>
        <v>#REF!</v>
      </c>
      <c r="F25" s="10" t="e">
        <f t="shared" si="0"/>
        <v>#N/A</v>
      </c>
      <c r="G25" s="1" t="e">
        <f>IF(Suma!$B24=$A$1,Suma!W24,NA())</f>
        <v>#REF!</v>
      </c>
      <c r="H25" s="10" t="e">
        <f t="shared" si="1"/>
        <v>#N/A</v>
      </c>
      <c r="I25" s="1" t="e">
        <f>IF(Suma!$B24=$A$1,Suma!AD24,NA())</f>
        <v>#REF!</v>
      </c>
      <c r="J25" s="1" t="e">
        <f>IF(Suma!$B24=$A$1,Suma!AK24,NA())</f>
        <v>#REF!</v>
      </c>
      <c r="K25" s="10" t="e">
        <f>IF(Suma!$B24=$A$1,Suma!AS24,NA())</f>
        <v>#REF!</v>
      </c>
      <c r="L25" s="1" t="e">
        <f>IF(Suma!$B24=$A$1,Suma!G24,NA())</f>
        <v>#REF!</v>
      </c>
      <c r="M25" s="1" t="e">
        <f>IF(Suma!$B24=$A$1,Suma!H24,NA())</f>
        <v>#REF!</v>
      </c>
      <c r="N25" s="1" t="e">
        <f>IF(Suma!$B24=$A$1,Suma!AT24,NA())</f>
        <v>#REF!</v>
      </c>
      <c r="O25" s="1" t="e">
        <f>IF(Suma!$B24=$A$1,Suma!AU24,NA())</f>
        <v>#REF!</v>
      </c>
      <c r="P25" s="1" t="e">
        <f>IF(Suma!$B24=$A$1,Suma!AV24,NA())</f>
        <v>#REF!</v>
      </c>
      <c r="Q25" s="1" t="e">
        <f>IF(Suma!$B24=$A$1,Suma!AW24,NA())</f>
        <v>#REF!</v>
      </c>
      <c r="R25" s="10" t="e">
        <f>IF(Suma!$B24=$A$1,Suma!AX24,NA())</f>
        <v>#REF!</v>
      </c>
      <c r="S25" s="10" t="e">
        <f>IF(Suma!$B24=$A$1,Suma!AY24,NA())</f>
        <v>#REF!</v>
      </c>
      <c r="T25" s="10" t="e">
        <f>IF(Suma!$B24=$A$1,Suma!AZ24,NA())</f>
        <v>#REF!</v>
      </c>
      <c r="U25" s="10" t="e">
        <f>IF(Suma!$B24=$A$1,Suma!J24,NA())</f>
        <v>#REF!</v>
      </c>
      <c r="V25" s="10" t="e">
        <f>IF(Suma!$B24=$A$1,Suma!K24,NA())</f>
        <v>#REF!</v>
      </c>
      <c r="W25" s="10" t="e">
        <f>IF(Suma!$B24=$A$1,Suma!L24,NA())</f>
        <v>#REF!</v>
      </c>
      <c r="X25" s="10" t="e">
        <f>IF(Suma!$B24=$A$1,Suma!M24,NA())</f>
        <v>#REF!</v>
      </c>
      <c r="Y25" s="10" t="e">
        <f>IF(Suma!$B24=$A$1,Suma!N24,NA())</f>
        <v>#REF!</v>
      </c>
      <c r="Z25" s="10" t="e">
        <f>IF(Suma!$B24=$A$1,Suma!O24,NA())</f>
        <v>#REF!</v>
      </c>
      <c r="AA25" s="10" t="e">
        <f>IF(Suma!$B24=$A$1,Suma!BC24,NA())</f>
        <v>#REF!</v>
      </c>
      <c r="AB25" s="10" t="e">
        <f>IF(Suma!$B24=$A$1,Suma!BD24,NA())</f>
        <v>#REF!</v>
      </c>
    </row>
    <row r="26" spans="1:28" x14ac:dyDescent="0.3">
      <c r="A26" s="1" t="e">
        <f>IF(Suma!$B25=$A$1,Suma!C25,NA())</f>
        <v>#REF!</v>
      </c>
      <c r="B26" s="1" t="e">
        <f>IF(Suma!$B25=$A$1,Suma!D25,NA())</f>
        <v>#REF!</v>
      </c>
      <c r="C26" s="2" t="e">
        <f>IF(Suma!$B25=$A$1,Suma!E25,NA())</f>
        <v>#REF!</v>
      </c>
      <c r="D26" s="2" t="e">
        <f>IF(Suma!$B25=$A$1,Suma!F25,NA())</f>
        <v>#REF!</v>
      </c>
      <c r="E26" s="1" t="e">
        <f>IF(Suma!$B25=$A$1,Suma!P25,NA())</f>
        <v>#REF!</v>
      </c>
      <c r="F26" s="10" t="e">
        <f t="shared" si="0"/>
        <v>#N/A</v>
      </c>
      <c r="G26" s="1" t="e">
        <f>IF(Suma!$B25=$A$1,Suma!W25,NA())</f>
        <v>#REF!</v>
      </c>
      <c r="H26" s="10" t="e">
        <f t="shared" si="1"/>
        <v>#N/A</v>
      </c>
      <c r="I26" s="1" t="e">
        <f>IF(Suma!$B25=$A$1,Suma!AD25,NA())</f>
        <v>#REF!</v>
      </c>
      <c r="J26" s="1" t="e">
        <f>IF(Suma!$B25=$A$1,Suma!AK25,NA())</f>
        <v>#REF!</v>
      </c>
      <c r="K26" s="10" t="e">
        <f>IF(Suma!$B25=$A$1,Suma!AS25,NA())</f>
        <v>#REF!</v>
      </c>
      <c r="L26" s="1" t="e">
        <f>IF(Suma!$B25=$A$1,Suma!G25,NA())</f>
        <v>#REF!</v>
      </c>
      <c r="M26" s="1" t="e">
        <f>IF(Suma!$B25=$A$1,Suma!H25,NA())</f>
        <v>#REF!</v>
      </c>
      <c r="N26" s="1" t="e">
        <f>IF(Suma!$B25=$A$1,Suma!AT25,NA())</f>
        <v>#REF!</v>
      </c>
      <c r="O26" s="1" t="e">
        <f>IF(Suma!$B25=$A$1,Suma!AU25,NA())</f>
        <v>#REF!</v>
      </c>
      <c r="P26" s="1" t="e">
        <f>IF(Suma!$B25=$A$1,Suma!AV25,NA())</f>
        <v>#REF!</v>
      </c>
      <c r="Q26" s="1" t="e">
        <f>IF(Suma!$B25=$A$1,Suma!AW25,NA())</f>
        <v>#REF!</v>
      </c>
      <c r="R26" s="10" t="e">
        <f>IF(Suma!$B25=$A$1,Suma!AX25,NA())</f>
        <v>#REF!</v>
      </c>
      <c r="S26" s="10" t="e">
        <f>IF(Suma!$B25=$A$1,Suma!AY25,NA())</f>
        <v>#REF!</v>
      </c>
      <c r="T26" s="10" t="e">
        <f>IF(Suma!$B25=$A$1,Suma!AZ25,NA())</f>
        <v>#REF!</v>
      </c>
      <c r="U26" s="10" t="e">
        <f>IF(Suma!$B25=$A$1,Suma!J25,NA())</f>
        <v>#REF!</v>
      </c>
      <c r="V26" s="10" t="e">
        <f>IF(Suma!$B25=$A$1,Suma!K25,NA())</f>
        <v>#REF!</v>
      </c>
      <c r="W26" s="10" t="e">
        <f>IF(Suma!$B25=$A$1,Suma!L25,NA())</f>
        <v>#REF!</v>
      </c>
      <c r="X26" s="10" t="e">
        <f>IF(Suma!$B25=$A$1,Suma!M25,NA())</f>
        <v>#REF!</v>
      </c>
      <c r="Y26" s="10" t="e">
        <f>IF(Suma!$B25=$A$1,Suma!N25,NA())</f>
        <v>#REF!</v>
      </c>
      <c r="Z26" s="10" t="e">
        <f>IF(Suma!$B25=$A$1,Suma!O25,NA())</f>
        <v>#REF!</v>
      </c>
      <c r="AA26" s="10" t="e">
        <f>IF(Suma!$B25=$A$1,Suma!BC25,NA())</f>
        <v>#REF!</v>
      </c>
      <c r="AB26" s="10" t="e">
        <f>IF(Suma!$B25=$A$1,Suma!BD25,NA())</f>
        <v>#REF!</v>
      </c>
    </row>
    <row r="27" spans="1:28" x14ac:dyDescent="0.3">
      <c r="A27" s="1" t="e">
        <f>IF(Suma!$B26=$A$1,Suma!C26,NA())</f>
        <v>#REF!</v>
      </c>
      <c r="B27" s="1" t="e">
        <f>IF(Suma!$B26=$A$1,Suma!D26,NA())</f>
        <v>#REF!</v>
      </c>
      <c r="C27" s="2" t="e">
        <f>IF(Suma!$B26=$A$1,Suma!E26,NA())</f>
        <v>#REF!</v>
      </c>
      <c r="D27" s="2" t="e">
        <f>IF(Suma!$B26=$A$1,Suma!F26,NA())</f>
        <v>#REF!</v>
      </c>
      <c r="E27" s="1" t="e">
        <f>IF(Suma!$B26=$A$1,Suma!P26,NA())</f>
        <v>#REF!</v>
      </c>
      <c r="F27" s="10" t="e">
        <f t="shared" si="0"/>
        <v>#N/A</v>
      </c>
      <c r="G27" s="1" t="e">
        <f>IF(Suma!$B26=$A$1,Suma!W26,NA())</f>
        <v>#REF!</v>
      </c>
      <c r="H27" s="10" t="e">
        <f t="shared" si="1"/>
        <v>#N/A</v>
      </c>
      <c r="I27" s="1" t="e">
        <f>IF(Suma!$B26=$A$1,Suma!AD26,NA())</f>
        <v>#REF!</v>
      </c>
      <c r="J27" s="1" t="e">
        <f>IF(Suma!$B26=$A$1,Suma!AK26,NA())</f>
        <v>#REF!</v>
      </c>
      <c r="K27" s="10" t="e">
        <f>IF(Suma!$B26=$A$1,Suma!AS26,NA())</f>
        <v>#REF!</v>
      </c>
      <c r="L27" s="1" t="e">
        <f>IF(Suma!$B26=$A$1,Suma!G26,NA())</f>
        <v>#REF!</v>
      </c>
      <c r="M27" s="1" t="e">
        <f>IF(Suma!$B26=$A$1,Suma!H26,NA())</f>
        <v>#REF!</v>
      </c>
      <c r="N27" s="1" t="e">
        <f>IF(Suma!$B26=$A$1,Suma!AT26,NA())</f>
        <v>#REF!</v>
      </c>
      <c r="O27" s="1" t="e">
        <f>IF(Suma!$B26=$A$1,Suma!AU26,NA())</f>
        <v>#REF!</v>
      </c>
      <c r="P27" s="1" t="e">
        <f>IF(Suma!$B26=$A$1,Suma!AV26,NA())</f>
        <v>#REF!</v>
      </c>
      <c r="Q27" s="1" t="e">
        <f>IF(Suma!$B26=$A$1,Suma!AW26,NA())</f>
        <v>#REF!</v>
      </c>
      <c r="R27" s="10" t="e">
        <f>IF(Suma!$B26=$A$1,Suma!AX26,NA())</f>
        <v>#REF!</v>
      </c>
      <c r="S27" s="10" t="e">
        <f>IF(Suma!$B26=$A$1,Suma!AY26,NA())</f>
        <v>#REF!</v>
      </c>
      <c r="T27" s="10" t="e">
        <f>IF(Suma!$B26=$A$1,Suma!AZ26,NA())</f>
        <v>#REF!</v>
      </c>
      <c r="U27" s="10" t="e">
        <f>IF(Suma!$B26=$A$1,Suma!J26,NA())</f>
        <v>#REF!</v>
      </c>
      <c r="V27" s="10" t="e">
        <f>IF(Suma!$B26=$A$1,Suma!K26,NA())</f>
        <v>#REF!</v>
      </c>
      <c r="W27" s="10" t="e">
        <f>IF(Suma!$B26=$A$1,Suma!L26,NA())</f>
        <v>#REF!</v>
      </c>
      <c r="X27" s="10" t="e">
        <f>IF(Suma!$B26=$A$1,Suma!M26,NA())</f>
        <v>#REF!</v>
      </c>
      <c r="Y27" s="10" t="e">
        <f>IF(Suma!$B26=$A$1,Suma!N26,NA())</f>
        <v>#REF!</v>
      </c>
      <c r="Z27" s="10" t="e">
        <f>IF(Suma!$B26=$A$1,Suma!O26,NA())</f>
        <v>#REF!</v>
      </c>
      <c r="AA27" s="10" t="e">
        <f>IF(Suma!$B26=$A$1,Suma!BC26,NA())</f>
        <v>#REF!</v>
      </c>
      <c r="AB27" s="10" t="e">
        <f>IF(Suma!$B26=$A$1,Suma!BD26,NA())</f>
        <v>#REF!</v>
      </c>
    </row>
    <row r="28" spans="1:28" x14ac:dyDescent="0.3">
      <c r="A28" s="1" t="e">
        <f>IF(Suma!$B27=$A$1,Suma!C27,NA())</f>
        <v>#REF!</v>
      </c>
      <c r="B28" s="1" t="e">
        <f>IF(Suma!$B27=$A$1,Suma!D27,NA())</f>
        <v>#REF!</v>
      </c>
      <c r="C28" s="2" t="e">
        <f>IF(Suma!$B27=$A$1,Suma!E27,NA())</f>
        <v>#REF!</v>
      </c>
      <c r="D28" s="2" t="e">
        <f>IF(Suma!$B27=$A$1,Suma!F27,NA())</f>
        <v>#REF!</v>
      </c>
      <c r="E28" s="1" t="e">
        <f>IF(Suma!$B27=$A$1,Suma!P27,NA())</f>
        <v>#REF!</v>
      </c>
      <c r="F28" s="10" t="e">
        <f t="shared" si="0"/>
        <v>#N/A</v>
      </c>
      <c r="G28" s="1" t="e">
        <f>IF(Suma!$B27=$A$1,Suma!W27,NA())</f>
        <v>#REF!</v>
      </c>
      <c r="H28" s="10" t="e">
        <f t="shared" si="1"/>
        <v>#N/A</v>
      </c>
      <c r="I28" s="1" t="e">
        <f>IF(Suma!$B27=$A$1,Suma!AD27,NA())</f>
        <v>#REF!</v>
      </c>
      <c r="J28" s="1" t="e">
        <f>IF(Suma!$B27=$A$1,Suma!AK27,NA())</f>
        <v>#REF!</v>
      </c>
      <c r="K28" s="10" t="e">
        <f>IF(Suma!$B27=$A$1,Suma!AS27,NA())</f>
        <v>#REF!</v>
      </c>
      <c r="L28" s="1" t="e">
        <f>IF(Suma!$B27=$A$1,Suma!G27,NA())</f>
        <v>#REF!</v>
      </c>
      <c r="M28" s="1" t="e">
        <f>IF(Suma!$B27=$A$1,Suma!H27,NA())</f>
        <v>#REF!</v>
      </c>
      <c r="N28" s="1" t="e">
        <f>IF(Suma!$B27=$A$1,Suma!AT27,NA())</f>
        <v>#REF!</v>
      </c>
      <c r="O28" s="1" t="e">
        <f>IF(Suma!$B27=$A$1,Suma!AU27,NA())</f>
        <v>#REF!</v>
      </c>
      <c r="P28" s="1" t="e">
        <f>IF(Suma!$B27=$A$1,Suma!AV27,NA())</f>
        <v>#REF!</v>
      </c>
      <c r="Q28" s="1" t="e">
        <f>IF(Suma!$B27=$A$1,Suma!AW27,NA())</f>
        <v>#REF!</v>
      </c>
      <c r="R28" s="10" t="e">
        <f>IF(Suma!$B27=$A$1,Suma!AX27,NA())</f>
        <v>#REF!</v>
      </c>
      <c r="S28" s="10" t="e">
        <f>IF(Suma!$B27=$A$1,Suma!AY27,NA())</f>
        <v>#REF!</v>
      </c>
      <c r="T28" s="10" t="e">
        <f>IF(Suma!$B27=$A$1,Suma!AZ27,NA())</f>
        <v>#REF!</v>
      </c>
      <c r="U28" s="10" t="e">
        <f>IF(Suma!$B27=$A$1,Suma!J27,NA())</f>
        <v>#REF!</v>
      </c>
      <c r="V28" s="10" t="e">
        <f>IF(Suma!$B27=$A$1,Suma!K27,NA())</f>
        <v>#REF!</v>
      </c>
      <c r="W28" s="10" t="e">
        <f>IF(Suma!$B27=$A$1,Suma!L27,NA())</f>
        <v>#REF!</v>
      </c>
      <c r="X28" s="10" t="e">
        <f>IF(Suma!$B27=$A$1,Suma!M27,NA())</f>
        <v>#REF!</v>
      </c>
      <c r="Y28" s="10" t="e">
        <f>IF(Suma!$B27=$A$1,Suma!N27,NA())</f>
        <v>#REF!</v>
      </c>
      <c r="Z28" s="10" t="e">
        <f>IF(Suma!$B27=$A$1,Suma!O27,NA())</f>
        <v>#REF!</v>
      </c>
      <c r="AA28" s="10" t="e">
        <f>IF(Suma!$B27=$A$1,Suma!BC27,NA())</f>
        <v>#REF!</v>
      </c>
      <c r="AB28" s="10" t="e">
        <f>IF(Suma!$B27=$A$1,Suma!BD27,NA())</f>
        <v>#REF!</v>
      </c>
    </row>
    <row r="29" spans="1:28" x14ac:dyDescent="0.3">
      <c r="A29" s="1" t="e">
        <f>IF(Suma!$B28=$A$1,Suma!C28,NA())</f>
        <v>#REF!</v>
      </c>
      <c r="B29" s="1" t="e">
        <f>IF(Suma!$B28=$A$1,Suma!D28,NA())</f>
        <v>#REF!</v>
      </c>
      <c r="C29" s="2" t="e">
        <f>IF(Suma!$B28=$A$1,Suma!E28,NA())</f>
        <v>#REF!</v>
      </c>
      <c r="D29" s="2" t="e">
        <f>IF(Suma!$B28=$A$1,Suma!F28,NA())</f>
        <v>#REF!</v>
      </c>
      <c r="E29" s="1" t="e">
        <f>IF(Suma!$B28=$A$1,Suma!P28,NA())</f>
        <v>#REF!</v>
      </c>
      <c r="F29" s="10" t="e">
        <f t="shared" si="0"/>
        <v>#N/A</v>
      </c>
      <c r="G29" s="1" t="e">
        <f>IF(Suma!$B28=$A$1,Suma!W28,NA())</f>
        <v>#REF!</v>
      </c>
      <c r="H29" s="10" t="e">
        <f t="shared" si="1"/>
        <v>#N/A</v>
      </c>
      <c r="I29" s="1" t="e">
        <f>IF(Suma!$B28=$A$1,Suma!AD28,NA())</f>
        <v>#REF!</v>
      </c>
      <c r="J29" s="1" t="e">
        <f>IF(Suma!$B28=$A$1,Suma!AK28,NA())</f>
        <v>#REF!</v>
      </c>
      <c r="K29" s="10" t="e">
        <f>IF(Suma!$B28=$A$1,Suma!AS28,NA())</f>
        <v>#REF!</v>
      </c>
      <c r="L29" s="1" t="e">
        <f>IF(Suma!$B28=$A$1,Suma!G28,NA())</f>
        <v>#REF!</v>
      </c>
      <c r="M29" s="1" t="e">
        <f>IF(Suma!$B28=$A$1,Suma!H28,NA())</f>
        <v>#REF!</v>
      </c>
      <c r="N29" s="1" t="e">
        <f>IF(Suma!$B28=$A$1,Suma!AT28,NA())</f>
        <v>#REF!</v>
      </c>
      <c r="O29" s="1" t="e">
        <f>IF(Suma!$B28=$A$1,Suma!AU28,NA())</f>
        <v>#REF!</v>
      </c>
      <c r="P29" s="1" t="e">
        <f>IF(Suma!$B28=$A$1,Suma!AV28,NA())</f>
        <v>#REF!</v>
      </c>
      <c r="Q29" s="1" t="e">
        <f>IF(Suma!$B28=$A$1,Suma!AW28,NA())</f>
        <v>#REF!</v>
      </c>
      <c r="R29" s="10" t="e">
        <f>IF(Suma!$B28=$A$1,Suma!AX28,NA())</f>
        <v>#REF!</v>
      </c>
      <c r="S29" s="10" t="e">
        <f>IF(Suma!$B28=$A$1,Suma!AY28,NA())</f>
        <v>#REF!</v>
      </c>
      <c r="T29" s="10" t="e">
        <f>IF(Suma!$B28=$A$1,Suma!AZ28,NA())</f>
        <v>#REF!</v>
      </c>
      <c r="U29" s="10" t="e">
        <f>IF(Suma!$B28=$A$1,Suma!J28,NA())</f>
        <v>#REF!</v>
      </c>
      <c r="V29" s="10" t="e">
        <f>IF(Suma!$B28=$A$1,Suma!K28,NA())</f>
        <v>#REF!</v>
      </c>
      <c r="W29" s="10" t="e">
        <f>IF(Suma!$B28=$A$1,Suma!L28,NA())</f>
        <v>#REF!</v>
      </c>
      <c r="X29" s="10" t="e">
        <f>IF(Suma!$B28=$A$1,Suma!M28,NA())</f>
        <v>#REF!</v>
      </c>
      <c r="Y29" s="10" t="e">
        <f>IF(Suma!$B28=$A$1,Suma!N28,NA())</f>
        <v>#REF!</v>
      </c>
      <c r="Z29" s="10" t="e">
        <f>IF(Suma!$B28=$A$1,Suma!O28,NA())</f>
        <v>#REF!</v>
      </c>
      <c r="AA29" s="10" t="e">
        <f>IF(Suma!$B28=$A$1,Suma!BC28,NA())</f>
        <v>#REF!</v>
      </c>
      <c r="AB29" s="10" t="e">
        <f>IF(Suma!$B28=$A$1,Suma!BD28,NA())</f>
        <v>#REF!</v>
      </c>
    </row>
    <row r="30" spans="1:28" x14ac:dyDescent="0.3">
      <c r="A30" s="1" t="e">
        <f>IF(Suma!$B29=$A$1,Suma!C29,NA())</f>
        <v>#REF!</v>
      </c>
      <c r="B30" s="1" t="e">
        <f>IF(Suma!$B29=$A$1,Suma!D29,NA())</f>
        <v>#REF!</v>
      </c>
      <c r="C30" s="2" t="e">
        <f>IF(Suma!$B29=$A$1,Suma!E29,NA())</f>
        <v>#REF!</v>
      </c>
      <c r="D30" s="2" t="e">
        <f>IF(Suma!$B29=$A$1,Suma!F29,NA())</f>
        <v>#REF!</v>
      </c>
      <c r="E30" s="1" t="e">
        <f>IF(Suma!$B29=$A$1,Suma!P29,NA())</f>
        <v>#REF!</v>
      </c>
      <c r="F30" s="10" t="e">
        <f t="shared" si="0"/>
        <v>#N/A</v>
      </c>
      <c r="G30" s="1" t="e">
        <f>IF(Suma!$B29=$A$1,Suma!W29,NA())</f>
        <v>#REF!</v>
      </c>
      <c r="H30" s="10" t="e">
        <f t="shared" si="1"/>
        <v>#N/A</v>
      </c>
      <c r="I30" s="1" t="e">
        <f>IF(Suma!$B29=$A$1,Suma!AD29,NA())</f>
        <v>#REF!</v>
      </c>
      <c r="J30" s="1" t="e">
        <f>IF(Suma!$B29=$A$1,Suma!AK29,NA())</f>
        <v>#REF!</v>
      </c>
      <c r="K30" s="10" t="e">
        <f>IF(Suma!$B29=$A$1,Suma!AS29,NA())</f>
        <v>#REF!</v>
      </c>
      <c r="L30" s="1" t="e">
        <f>IF(Suma!$B29=$A$1,Suma!G29,NA())</f>
        <v>#REF!</v>
      </c>
      <c r="M30" s="1" t="e">
        <f>IF(Suma!$B29=$A$1,Suma!H29,NA())</f>
        <v>#REF!</v>
      </c>
      <c r="N30" s="1" t="e">
        <f>IF(Suma!$B29=$A$1,Suma!AT29,NA())</f>
        <v>#REF!</v>
      </c>
      <c r="O30" s="1" t="e">
        <f>IF(Suma!$B29=$A$1,Suma!AU29,NA())</f>
        <v>#REF!</v>
      </c>
      <c r="P30" s="1" t="e">
        <f>IF(Suma!$B29=$A$1,Suma!AV29,NA())</f>
        <v>#REF!</v>
      </c>
      <c r="Q30" s="1" t="e">
        <f>IF(Suma!$B29=$A$1,Suma!AW29,NA())</f>
        <v>#REF!</v>
      </c>
      <c r="R30" s="10" t="e">
        <f>IF(Suma!$B29=$A$1,Suma!AX29,NA())</f>
        <v>#REF!</v>
      </c>
      <c r="S30" s="10" t="e">
        <f>IF(Suma!$B29=$A$1,Suma!AY29,NA())</f>
        <v>#REF!</v>
      </c>
      <c r="T30" s="10" t="e">
        <f>IF(Suma!$B29=$A$1,Suma!AZ29,NA())</f>
        <v>#REF!</v>
      </c>
      <c r="U30" s="10" t="e">
        <f>IF(Suma!$B29=$A$1,Suma!J29,NA())</f>
        <v>#REF!</v>
      </c>
      <c r="V30" s="10" t="e">
        <f>IF(Suma!$B29=$A$1,Suma!K29,NA())</f>
        <v>#REF!</v>
      </c>
      <c r="W30" s="10" t="e">
        <f>IF(Suma!$B29=$A$1,Suma!L29,NA())</f>
        <v>#REF!</v>
      </c>
      <c r="X30" s="10" t="e">
        <f>IF(Suma!$B29=$A$1,Suma!M29,NA())</f>
        <v>#REF!</v>
      </c>
      <c r="Y30" s="10" t="e">
        <f>IF(Suma!$B29=$A$1,Suma!N29,NA())</f>
        <v>#REF!</v>
      </c>
      <c r="Z30" s="10" t="e">
        <f>IF(Suma!$B29=$A$1,Suma!O29,NA())</f>
        <v>#REF!</v>
      </c>
      <c r="AA30" s="10" t="e">
        <f>IF(Suma!$B29=$A$1,Suma!BC29,NA())</f>
        <v>#REF!</v>
      </c>
      <c r="AB30" s="10" t="e">
        <f>IF(Suma!$B29=$A$1,Suma!BD29,NA())</f>
        <v>#REF!</v>
      </c>
    </row>
    <row r="31" spans="1:28" x14ac:dyDescent="0.3">
      <c r="A31" s="1" t="e">
        <f>IF(Suma!$B30=$A$1,Suma!C30,NA())</f>
        <v>#REF!</v>
      </c>
      <c r="B31" s="1" t="e">
        <f>IF(Suma!$B30=$A$1,Suma!D30,NA())</f>
        <v>#REF!</v>
      </c>
      <c r="C31" s="2" t="e">
        <f>IF(Suma!$B30=$A$1,Suma!E30,NA())</f>
        <v>#REF!</v>
      </c>
      <c r="D31" s="2" t="e">
        <f>IF(Suma!$B30=$A$1,Suma!F30,NA())</f>
        <v>#REF!</v>
      </c>
      <c r="E31" s="1" t="e">
        <f>IF(Suma!$B30=$A$1,Suma!P30,NA())</f>
        <v>#REF!</v>
      </c>
      <c r="F31" s="10" t="e">
        <f t="shared" si="0"/>
        <v>#N/A</v>
      </c>
      <c r="G31" s="1" t="e">
        <f>IF(Suma!$B30=$A$1,Suma!W30,NA())</f>
        <v>#REF!</v>
      </c>
      <c r="H31" s="10" t="e">
        <f t="shared" si="1"/>
        <v>#N/A</v>
      </c>
      <c r="I31" s="1" t="e">
        <f>IF(Suma!$B30=$A$1,Suma!AD30,NA())</f>
        <v>#REF!</v>
      </c>
      <c r="J31" s="1" t="e">
        <f>IF(Suma!$B30=$A$1,Suma!AK30,NA())</f>
        <v>#REF!</v>
      </c>
      <c r="K31" s="10" t="e">
        <f>IF(Suma!$B30=$A$1,Suma!AS30,NA())</f>
        <v>#REF!</v>
      </c>
      <c r="L31" s="1" t="e">
        <f>IF(Suma!$B30=$A$1,Suma!G30,NA())</f>
        <v>#REF!</v>
      </c>
      <c r="M31" s="1" t="e">
        <f>IF(Suma!$B30=$A$1,Suma!H30,NA())</f>
        <v>#REF!</v>
      </c>
      <c r="N31" s="1" t="e">
        <f>IF(Suma!$B30=$A$1,Suma!AT30,NA())</f>
        <v>#REF!</v>
      </c>
      <c r="O31" s="1" t="e">
        <f>IF(Suma!$B30=$A$1,Suma!AU30,NA())</f>
        <v>#REF!</v>
      </c>
      <c r="P31" s="1" t="e">
        <f>IF(Suma!$B30=$A$1,Suma!AV30,NA())</f>
        <v>#REF!</v>
      </c>
      <c r="Q31" s="1" t="e">
        <f>IF(Suma!$B30=$A$1,Suma!AW30,NA())</f>
        <v>#REF!</v>
      </c>
      <c r="R31" s="10" t="e">
        <f>IF(Suma!$B30=$A$1,Suma!AX30,NA())</f>
        <v>#REF!</v>
      </c>
      <c r="S31" s="10" t="e">
        <f>IF(Suma!$B30=$A$1,Suma!AY30,NA())</f>
        <v>#REF!</v>
      </c>
      <c r="T31" s="10" t="e">
        <f>IF(Suma!$B30=$A$1,Suma!AZ30,NA())</f>
        <v>#REF!</v>
      </c>
      <c r="U31" s="10" t="e">
        <f>IF(Suma!$B30=$A$1,Suma!J30,NA())</f>
        <v>#REF!</v>
      </c>
      <c r="V31" s="10" t="e">
        <f>IF(Suma!$B30=$A$1,Suma!K30,NA())</f>
        <v>#REF!</v>
      </c>
      <c r="W31" s="10" t="e">
        <f>IF(Suma!$B30=$A$1,Suma!L30,NA())</f>
        <v>#REF!</v>
      </c>
      <c r="X31" s="10" t="e">
        <f>IF(Suma!$B30=$A$1,Suma!M30,NA())</f>
        <v>#REF!</v>
      </c>
      <c r="Y31" s="10" t="e">
        <f>IF(Suma!$B30=$A$1,Suma!N30,NA())</f>
        <v>#REF!</v>
      </c>
      <c r="Z31" s="10" t="e">
        <f>IF(Suma!$B30=$A$1,Suma!O30,NA())</f>
        <v>#REF!</v>
      </c>
      <c r="AA31" s="10" t="e">
        <f>IF(Suma!$B30=$A$1,Suma!BC30,NA())</f>
        <v>#REF!</v>
      </c>
      <c r="AB31" s="10" t="e">
        <f>IF(Suma!$B30=$A$1,Suma!BD30,NA())</f>
        <v>#REF!</v>
      </c>
    </row>
    <row r="32" spans="1:28" x14ac:dyDescent="0.3">
      <c r="A32" s="1" t="e">
        <f>IF(Suma!$B31=$A$1,Suma!C31,NA())</f>
        <v>#REF!</v>
      </c>
      <c r="B32" s="1" t="e">
        <f>IF(Suma!$B31=$A$1,Suma!D31,NA())</f>
        <v>#REF!</v>
      </c>
      <c r="C32" s="2" t="e">
        <f>IF(Suma!$B31=$A$1,Suma!E31,NA())</f>
        <v>#REF!</v>
      </c>
      <c r="D32" s="2" t="e">
        <f>IF(Suma!$B31=$A$1,Suma!F31,NA())</f>
        <v>#REF!</v>
      </c>
      <c r="E32" s="1" t="e">
        <f>IF(Suma!$B31=$A$1,Suma!P31,NA())</f>
        <v>#REF!</v>
      </c>
      <c r="F32" s="10" t="e">
        <f t="shared" si="0"/>
        <v>#N/A</v>
      </c>
      <c r="G32" s="1" t="e">
        <f>IF(Suma!$B31=$A$1,Suma!W31,NA())</f>
        <v>#REF!</v>
      </c>
      <c r="H32" s="10" t="e">
        <f t="shared" si="1"/>
        <v>#N/A</v>
      </c>
      <c r="I32" s="1" t="e">
        <f>IF(Suma!$B31=$A$1,Suma!AD31,NA())</f>
        <v>#REF!</v>
      </c>
      <c r="J32" s="1" t="e">
        <f>IF(Suma!$B31=$A$1,Suma!AK31,NA())</f>
        <v>#REF!</v>
      </c>
      <c r="K32" s="10" t="e">
        <f>IF(Suma!$B31=$A$1,Suma!AS31,NA())</f>
        <v>#REF!</v>
      </c>
      <c r="L32" s="1" t="e">
        <f>IF(Suma!$B31=$A$1,Suma!G31,NA())</f>
        <v>#REF!</v>
      </c>
      <c r="M32" s="1" t="e">
        <f>IF(Suma!$B31=$A$1,Suma!H31,NA())</f>
        <v>#REF!</v>
      </c>
      <c r="N32" s="1" t="e">
        <f>IF(Suma!$B31=$A$1,Suma!AT31,NA())</f>
        <v>#REF!</v>
      </c>
      <c r="O32" s="1" t="e">
        <f>IF(Suma!$B31=$A$1,Suma!AU31,NA())</f>
        <v>#REF!</v>
      </c>
      <c r="P32" s="1" t="e">
        <f>IF(Suma!$B31=$A$1,Suma!AV31,NA())</f>
        <v>#REF!</v>
      </c>
      <c r="Q32" s="1" t="e">
        <f>IF(Suma!$B31=$A$1,Suma!AW31,NA())</f>
        <v>#REF!</v>
      </c>
      <c r="R32" s="10" t="e">
        <f>IF(Suma!$B31=$A$1,Suma!AX31,NA())</f>
        <v>#REF!</v>
      </c>
      <c r="S32" s="10" t="e">
        <f>IF(Suma!$B31=$A$1,Suma!AY31,NA())</f>
        <v>#REF!</v>
      </c>
      <c r="T32" s="10" t="e">
        <f>IF(Suma!$B31=$A$1,Suma!AZ31,NA())</f>
        <v>#REF!</v>
      </c>
      <c r="U32" s="10" t="e">
        <f>IF(Suma!$B31=$A$1,Suma!J31,NA())</f>
        <v>#REF!</v>
      </c>
      <c r="V32" s="10" t="e">
        <f>IF(Suma!$B31=$A$1,Suma!K31,NA())</f>
        <v>#REF!</v>
      </c>
      <c r="W32" s="10" t="e">
        <f>IF(Suma!$B31=$A$1,Suma!L31,NA())</f>
        <v>#REF!</v>
      </c>
      <c r="X32" s="10" t="e">
        <f>IF(Suma!$B31=$A$1,Suma!M31,NA())</f>
        <v>#REF!</v>
      </c>
      <c r="Y32" s="10" t="e">
        <f>IF(Suma!$B31=$A$1,Suma!N31,NA())</f>
        <v>#REF!</v>
      </c>
      <c r="Z32" s="10" t="e">
        <f>IF(Suma!$B31=$A$1,Suma!O31,NA())</f>
        <v>#REF!</v>
      </c>
      <c r="AA32" s="10" t="e">
        <f>IF(Suma!$B31=$A$1,Suma!BC31,NA())</f>
        <v>#REF!</v>
      </c>
      <c r="AB32" s="10" t="e">
        <f>IF(Suma!$B31=$A$1,Suma!BD31,NA())</f>
        <v>#REF!</v>
      </c>
    </row>
    <row r="33" spans="1:28" x14ac:dyDescent="0.3">
      <c r="A33" s="1" t="e">
        <f>IF(Suma!$B32=$A$1,Suma!C32,NA())</f>
        <v>#REF!</v>
      </c>
      <c r="B33" s="1" t="e">
        <f>IF(Suma!$B32=$A$1,Suma!D32,NA())</f>
        <v>#REF!</v>
      </c>
      <c r="C33" s="2" t="e">
        <f>IF(Suma!$B32=$A$1,Suma!E32,NA())</f>
        <v>#REF!</v>
      </c>
      <c r="D33" s="2" t="e">
        <f>IF(Suma!$B32=$A$1,Suma!F32,NA())</f>
        <v>#REF!</v>
      </c>
      <c r="E33" s="1" t="e">
        <f>IF(Suma!$B32=$A$1,Suma!P32,NA())</f>
        <v>#REF!</v>
      </c>
      <c r="F33" s="10" t="e">
        <f t="shared" si="0"/>
        <v>#N/A</v>
      </c>
      <c r="G33" s="1" t="e">
        <f>IF(Suma!$B32=$A$1,Suma!W32,NA())</f>
        <v>#REF!</v>
      </c>
      <c r="H33" s="10" t="e">
        <f t="shared" si="1"/>
        <v>#N/A</v>
      </c>
      <c r="I33" s="1" t="e">
        <f>IF(Suma!$B32=$A$1,Suma!AD32,NA())</f>
        <v>#REF!</v>
      </c>
      <c r="J33" s="1" t="e">
        <f>IF(Suma!$B32=$A$1,Suma!AK32,NA())</f>
        <v>#REF!</v>
      </c>
      <c r="K33" s="10" t="e">
        <f>IF(Suma!$B32=$A$1,Suma!AS32,NA())</f>
        <v>#REF!</v>
      </c>
      <c r="L33" s="1" t="e">
        <f>IF(Suma!$B32=$A$1,Suma!G32,NA())</f>
        <v>#REF!</v>
      </c>
      <c r="M33" s="1" t="e">
        <f>IF(Suma!$B32=$A$1,Suma!H32,NA())</f>
        <v>#REF!</v>
      </c>
      <c r="N33" s="1" t="e">
        <f>IF(Suma!$B32=$A$1,Suma!AT32,NA())</f>
        <v>#REF!</v>
      </c>
      <c r="O33" s="1" t="e">
        <f>IF(Suma!$B32=$A$1,Suma!AU32,NA())</f>
        <v>#REF!</v>
      </c>
      <c r="P33" s="1" t="e">
        <f>IF(Suma!$B32=$A$1,Suma!AV32,NA())</f>
        <v>#REF!</v>
      </c>
      <c r="Q33" s="1" t="e">
        <f>IF(Suma!$B32=$A$1,Suma!AW32,NA())</f>
        <v>#REF!</v>
      </c>
      <c r="R33" s="10" t="e">
        <f>IF(Suma!$B32=$A$1,Suma!AX32,NA())</f>
        <v>#REF!</v>
      </c>
      <c r="S33" s="10" t="e">
        <f>IF(Suma!$B32=$A$1,Suma!AY32,NA())</f>
        <v>#REF!</v>
      </c>
      <c r="T33" s="10" t="e">
        <f>IF(Suma!$B32=$A$1,Suma!AZ32,NA())</f>
        <v>#REF!</v>
      </c>
      <c r="U33" s="10" t="e">
        <f>IF(Suma!$B32=$A$1,Suma!J32,NA())</f>
        <v>#REF!</v>
      </c>
      <c r="V33" s="10" t="e">
        <f>IF(Suma!$B32=$A$1,Suma!K32,NA())</f>
        <v>#REF!</v>
      </c>
      <c r="W33" s="10" t="e">
        <f>IF(Suma!$B32=$A$1,Suma!L32,NA())</f>
        <v>#REF!</v>
      </c>
      <c r="X33" s="10" t="e">
        <f>IF(Suma!$B32=$A$1,Suma!M32,NA())</f>
        <v>#REF!</v>
      </c>
      <c r="Y33" s="10" t="e">
        <f>IF(Suma!$B32=$A$1,Suma!N32,NA())</f>
        <v>#REF!</v>
      </c>
      <c r="Z33" s="10" t="e">
        <f>IF(Suma!$B32=$A$1,Suma!O32,NA())</f>
        <v>#REF!</v>
      </c>
      <c r="AA33" s="10" t="e">
        <f>IF(Suma!$B32=$A$1,Suma!BC32,NA())</f>
        <v>#REF!</v>
      </c>
      <c r="AB33" s="10" t="e">
        <f>IF(Suma!$B32=$A$1,Suma!BD32,NA())</f>
        <v>#REF!</v>
      </c>
    </row>
    <row r="34" spans="1:28" x14ac:dyDescent="0.3">
      <c r="A34" s="1" t="e">
        <f>IF(Suma!$B33=$A$1,Suma!C33,NA())</f>
        <v>#REF!</v>
      </c>
      <c r="B34" s="1" t="e">
        <f>IF(Suma!$B33=$A$1,Suma!D33,NA())</f>
        <v>#REF!</v>
      </c>
      <c r="C34" s="2" t="e">
        <f>IF(Suma!$B33=$A$1,Suma!E33,NA())</f>
        <v>#REF!</v>
      </c>
      <c r="D34" s="2" t="e">
        <f>IF(Suma!$B33=$A$1,Suma!F33,NA())</f>
        <v>#REF!</v>
      </c>
      <c r="E34" s="1" t="e">
        <f>IF(Suma!$B33=$A$1,Suma!P33,NA())</f>
        <v>#REF!</v>
      </c>
      <c r="F34" s="10" t="e">
        <f t="shared" si="0"/>
        <v>#N/A</v>
      </c>
      <c r="G34" s="1" t="e">
        <f>IF(Suma!$B33=$A$1,Suma!W33,NA())</f>
        <v>#REF!</v>
      </c>
      <c r="H34" s="10" t="e">
        <f t="shared" si="1"/>
        <v>#N/A</v>
      </c>
      <c r="I34" s="1" t="e">
        <f>IF(Suma!$B33=$A$1,Suma!AD33,NA())</f>
        <v>#REF!</v>
      </c>
      <c r="J34" s="1" t="e">
        <f>IF(Suma!$B33=$A$1,Suma!AK33,NA())</f>
        <v>#REF!</v>
      </c>
      <c r="K34" s="10" t="e">
        <f>IF(Suma!$B33=$A$1,Suma!AS33,NA())</f>
        <v>#REF!</v>
      </c>
      <c r="L34" s="1" t="e">
        <f>IF(Suma!$B33=$A$1,Suma!G33,NA())</f>
        <v>#REF!</v>
      </c>
      <c r="M34" s="1" t="e">
        <f>IF(Suma!$B33=$A$1,Suma!H33,NA())</f>
        <v>#REF!</v>
      </c>
      <c r="N34" s="1" t="e">
        <f>IF(Suma!$B33=$A$1,Suma!AT33,NA())</f>
        <v>#REF!</v>
      </c>
      <c r="O34" s="1" t="e">
        <f>IF(Suma!$B33=$A$1,Suma!AU33,NA())</f>
        <v>#REF!</v>
      </c>
      <c r="P34" s="1" t="e">
        <f>IF(Suma!$B33=$A$1,Suma!AV33,NA())</f>
        <v>#REF!</v>
      </c>
      <c r="Q34" s="1" t="e">
        <f>IF(Suma!$B33=$A$1,Suma!AW33,NA())</f>
        <v>#REF!</v>
      </c>
      <c r="R34" s="10" t="e">
        <f>IF(Suma!$B33=$A$1,Suma!AX33,NA())</f>
        <v>#REF!</v>
      </c>
      <c r="S34" s="10" t="e">
        <f>IF(Suma!$B33=$A$1,Suma!AY33,NA())</f>
        <v>#REF!</v>
      </c>
      <c r="T34" s="10" t="e">
        <f>IF(Suma!$B33=$A$1,Suma!AZ33,NA())</f>
        <v>#REF!</v>
      </c>
      <c r="U34" s="10" t="e">
        <f>IF(Suma!$B33=$A$1,Suma!J33,NA())</f>
        <v>#REF!</v>
      </c>
      <c r="V34" s="10" t="e">
        <f>IF(Suma!$B33=$A$1,Suma!K33,NA())</f>
        <v>#REF!</v>
      </c>
      <c r="W34" s="10" t="e">
        <f>IF(Suma!$B33=$A$1,Suma!L33,NA())</f>
        <v>#REF!</v>
      </c>
      <c r="X34" s="10" t="e">
        <f>IF(Suma!$B33=$A$1,Suma!M33,NA())</f>
        <v>#REF!</v>
      </c>
      <c r="Y34" s="10" t="e">
        <f>IF(Suma!$B33=$A$1,Suma!N33,NA())</f>
        <v>#REF!</v>
      </c>
      <c r="Z34" s="10" t="e">
        <f>IF(Suma!$B33=$A$1,Suma!O33,NA())</f>
        <v>#REF!</v>
      </c>
      <c r="AA34" s="10" t="e">
        <f>IF(Suma!$B33=$A$1,Suma!BC33,NA())</f>
        <v>#REF!</v>
      </c>
      <c r="AB34" s="10" t="e">
        <f>IF(Suma!$B33=$A$1,Suma!BD33,NA())</f>
        <v>#REF!</v>
      </c>
    </row>
    <row r="35" spans="1:28" x14ac:dyDescent="0.3">
      <c r="A35" s="1" t="e">
        <f>IF(Suma!$B34=$A$1,Suma!C34,NA())</f>
        <v>#REF!</v>
      </c>
      <c r="B35" s="1" t="e">
        <f>IF(Suma!$B34=$A$1,Suma!D34,NA())</f>
        <v>#REF!</v>
      </c>
      <c r="C35" s="2" t="e">
        <f>IF(Suma!$B34=$A$1,Suma!E34,NA())</f>
        <v>#REF!</v>
      </c>
      <c r="D35" s="2" t="e">
        <f>IF(Suma!$B34=$A$1,Suma!F34,NA())</f>
        <v>#REF!</v>
      </c>
      <c r="E35" s="1" t="e">
        <f>IF(Suma!$B34=$A$1,Suma!P34,NA())</f>
        <v>#REF!</v>
      </c>
      <c r="F35" s="10" t="e">
        <f t="shared" si="0"/>
        <v>#N/A</v>
      </c>
      <c r="G35" s="1" t="e">
        <f>IF(Suma!$B34=$A$1,Suma!W34,NA())</f>
        <v>#REF!</v>
      </c>
      <c r="H35" s="10" t="e">
        <f t="shared" si="1"/>
        <v>#N/A</v>
      </c>
      <c r="I35" s="1" t="e">
        <f>IF(Suma!$B34=$A$1,Suma!AD34,NA())</f>
        <v>#REF!</v>
      </c>
      <c r="J35" s="1" t="e">
        <f>IF(Suma!$B34=$A$1,Suma!AK34,NA())</f>
        <v>#REF!</v>
      </c>
      <c r="K35" s="10" t="e">
        <f>IF(Suma!$B34=$A$1,Suma!AS34,NA())</f>
        <v>#REF!</v>
      </c>
      <c r="L35" s="1" t="e">
        <f>IF(Suma!$B34=$A$1,Suma!G34,NA())</f>
        <v>#REF!</v>
      </c>
      <c r="M35" s="1" t="e">
        <f>IF(Suma!$B34=$A$1,Suma!H34,NA())</f>
        <v>#REF!</v>
      </c>
      <c r="N35" s="1" t="e">
        <f>IF(Suma!$B34=$A$1,Suma!AT34,NA())</f>
        <v>#REF!</v>
      </c>
      <c r="O35" s="1" t="e">
        <f>IF(Suma!$B34=$A$1,Suma!AU34,NA())</f>
        <v>#REF!</v>
      </c>
      <c r="P35" s="1" t="e">
        <f>IF(Suma!$B34=$A$1,Suma!AV34,NA())</f>
        <v>#REF!</v>
      </c>
      <c r="Q35" s="1" t="e">
        <f>IF(Suma!$B34=$A$1,Suma!AW34,NA())</f>
        <v>#REF!</v>
      </c>
      <c r="R35" s="10" t="e">
        <f>IF(Suma!$B34=$A$1,Suma!AX34,NA())</f>
        <v>#REF!</v>
      </c>
      <c r="S35" s="10" t="e">
        <f>IF(Suma!$B34=$A$1,Suma!AY34,NA())</f>
        <v>#REF!</v>
      </c>
      <c r="T35" s="10" t="e">
        <f>IF(Suma!$B34=$A$1,Suma!AZ34,NA())</f>
        <v>#REF!</v>
      </c>
      <c r="U35" s="10" t="e">
        <f>IF(Suma!$B34=$A$1,Suma!J34,NA())</f>
        <v>#REF!</v>
      </c>
      <c r="V35" s="10" t="e">
        <f>IF(Suma!$B34=$A$1,Suma!K34,NA())</f>
        <v>#REF!</v>
      </c>
      <c r="W35" s="10" t="e">
        <f>IF(Suma!$B34=$A$1,Suma!L34,NA())</f>
        <v>#REF!</v>
      </c>
      <c r="X35" s="10" t="e">
        <f>IF(Suma!$B34=$A$1,Suma!M34,NA())</f>
        <v>#REF!</v>
      </c>
      <c r="Y35" s="10" t="e">
        <f>IF(Suma!$B34=$A$1,Suma!N34,NA())</f>
        <v>#REF!</v>
      </c>
      <c r="Z35" s="10" t="e">
        <f>IF(Suma!$B34=$A$1,Suma!O34,NA())</f>
        <v>#REF!</v>
      </c>
      <c r="AA35" s="10" t="e">
        <f>IF(Suma!$B34=$A$1,Suma!BC34,NA())</f>
        <v>#REF!</v>
      </c>
      <c r="AB35" s="10" t="e">
        <f>IF(Suma!$B34=$A$1,Suma!BD34,NA())</f>
        <v>#REF!</v>
      </c>
    </row>
    <row r="36" spans="1:28" x14ac:dyDescent="0.3">
      <c r="A36" s="1" t="e">
        <f>IF(Suma!$B35=$A$1,Suma!C35,NA())</f>
        <v>#REF!</v>
      </c>
      <c r="B36" s="1" t="e">
        <f>IF(Suma!$B35=$A$1,Suma!D35,NA())</f>
        <v>#REF!</v>
      </c>
      <c r="C36" s="2" t="e">
        <f>IF(Suma!$B35=$A$1,Suma!E35,NA())</f>
        <v>#REF!</v>
      </c>
      <c r="D36" s="2" t="e">
        <f>IF(Suma!$B35=$A$1,Suma!F35,NA())</f>
        <v>#REF!</v>
      </c>
      <c r="E36" s="1" t="e">
        <f>IF(Suma!$B35=$A$1,Suma!P35,NA())</f>
        <v>#REF!</v>
      </c>
      <c r="F36" s="10" t="e">
        <f t="shared" si="0"/>
        <v>#N/A</v>
      </c>
      <c r="G36" s="1" t="e">
        <f>IF(Suma!$B35=$A$1,Suma!W35,NA())</f>
        <v>#REF!</v>
      </c>
      <c r="H36" s="10" t="e">
        <f t="shared" si="1"/>
        <v>#N/A</v>
      </c>
      <c r="I36" s="1" t="e">
        <f>IF(Suma!$B35=$A$1,Suma!AD35,NA())</f>
        <v>#REF!</v>
      </c>
      <c r="J36" s="1" t="e">
        <f>IF(Suma!$B35=$A$1,Suma!AK35,NA())</f>
        <v>#REF!</v>
      </c>
      <c r="K36" s="10" t="e">
        <f>IF(Suma!$B35=$A$1,Suma!AS35,NA())</f>
        <v>#REF!</v>
      </c>
      <c r="L36" s="1" t="e">
        <f>IF(Suma!$B35=$A$1,Suma!G35,NA())</f>
        <v>#REF!</v>
      </c>
      <c r="M36" s="1" t="e">
        <f>IF(Suma!$B35=$A$1,Suma!H35,NA())</f>
        <v>#REF!</v>
      </c>
      <c r="N36" s="1" t="e">
        <f>IF(Suma!$B35=$A$1,Suma!AT35,NA())</f>
        <v>#REF!</v>
      </c>
      <c r="O36" s="1" t="e">
        <f>IF(Suma!$B35=$A$1,Suma!AU35,NA())</f>
        <v>#REF!</v>
      </c>
      <c r="P36" s="1" t="e">
        <f>IF(Suma!$B35=$A$1,Suma!AV35,NA())</f>
        <v>#REF!</v>
      </c>
      <c r="Q36" s="1" t="e">
        <f>IF(Suma!$B35=$A$1,Suma!AW35,NA())</f>
        <v>#REF!</v>
      </c>
      <c r="R36" s="10" t="e">
        <f>IF(Suma!$B35=$A$1,Suma!AX35,NA())</f>
        <v>#REF!</v>
      </c>
      <c r="S36" s="10" t="e">
        <f>IF(Suma!$B35=$A$1,Suma!AY35,NA())</f>
        <v>#REF!</v>
      </c>
      <c r="T36" s="10" t="e">
        <f>IF(Suma!$B35=$A$1,Suma!AZ35,NA())</f>
        <v>#REF!</v>
      </c>
      <c r="U36" s="10" t="e">
        <f>IF(Suma!$B35=$A$1,Suma!J35,NA())</f>
        <v>#REF!</v>
      </c>
      <c r="V36" s="10" t="e">
        <f>IF(Suma!$B35=$A$1,Suma!K35,NA())</f>
        <v>#REF!</v>
      </c>
      <c r="W36" s="10" t="e">
        <f>IF(Suma!$B35=$A$1,Suma!L35,NA())</f>
        <v>#REF!</v>
      </c>
      <c r="X36" s="10" t="e">
        <f>IF(Suma!$B35=$A$1,Suma!M35,NA())</f>
        <v>#REF!</v>
      </c>
      <c r="Y36" s="10" t="e">
        <f>IF(Suma!$B35=$A$1,Suma!N35,NA())</f>
        <v>#REF!</v>
      </c>
      <c r="Z36" s="10" t="e">
        <f>IF(Suma!$B35=$A$1,Suma!O35,NA())</f>
        <v>#REF!</v>
      </c>
      <c r="AA36" s="10" t="e">
        <f>IF(Suma!$B35=$A$1,Suma!BC35,NA())</f>
        <v>#REF!</v>
      </c>
      <c r="AB36" s="10" t="e">
        <f>IF(Suma!$B35=$A$1,Suma!BD35,NA())</f>
        <v>#REF!</v>
      </c>
    </row>
    <row r="37" spans="1:28" x14ac:dyDescent="0.3">
      <c r="A37" s="1" t="e">
        <f>IF(Suma!$B36=$A$1,Suma!C36,NA())</f>
        <v>#REF!</v>
      </c>
      <c r="B37" s="1" t="e">
        <f>IF(Suma!$B36=$A$1,Suma!D36,NA())</f>
        <v>#REF!</v>
      </c>
      <c r="C37" s="2" t="e">
        <f>IF(Suma!$B36=$A$1,Suma!E36,NA())</f>
        <v>#REF!</v>
      </c>
      <c r="D37" s="2" t="e">
        <f>IF(Suma!$B36=$A$1,Suma!F36,NA())</f>
        <v>#REF!</v>
      </c>
      <c r="E37" s="1" t="e">
        <f>IF(Suma!$B36=$A$1,Suma!P36,NA())</f>
        <v>#REF!</v>
      </c>
      <c r="F37" s="10" t="e">
        <f t="shared" si="0"/>
        <v>#N/A</v>
      </c>
      <c r="G37" s="1" t="e">
        <f>IF(Suma!$B36=$A$1,Suma!W36,NA())</f>
        <v>#REF!</v>
      </c>
      <c r="H37" s="10" t="e">
        <f t="shared" si="1"/>
        <v>#N/A</v>
      </c>
      <c r="I37" s="1" t="e">
        <f>IF(Suma!$B36=$A$1,Suma!AD36,NA())</f>
        <v>#REF!</v>
      </c>
      <c r="J37" s="1" t="e">
        <f>IF(Suma!$B36=$A$1,Suma!AK36,NA())</f>
        <v>#REF!</v>
      </c>
      <c r="K37" s="10" t="e">
        <f>IF(Suma!$B36=$A$1,Suma!AS36,NA())</f>
        <v>#REF!</v>
      </c>
      <c r="L37" s="1" t="e">
        <f>IF(Suma!$B36=$A$1,Suma!G36,NA())</f>
        <v>#REF!</v>
      </c>
      <c r="M37" s="1" t="e">
        <f>IF(Suma!$B36=$A$1,Suma!H36,NA())</f>
        <v>#REF!</v>
      </c>
      <c r="N37" s="1" t="e">
        <f>IF(Suma!$B36=$A$1,Suma!AT36,NA())</f>
        <v>#REF!</v>
      </c>
      <c r="O37" s="1" t="e">
        <f>IF(Suma!$B36=$A$1,Suma!AU36,NA())</f>
        <v>#REF!</v>
      </c>
      <c r="P37" s="1" t="e">
        <f>IF(Suma!$B36=$A$1,Suma!AV36,NA())</f>
        <v>#REF!</v>
      </c>
      <c r="Q37" s="1" t="e">
        <f>IF(Suma!$B36=$A$1,Suma!AW36,NA())</f>
        <v>#REF!</v>
      </c>
      <c r="R37" s="10" t="e">
        <f>IF(Suma!$B36=$A$1,Suma!AX36,NA())</f>
        <v>#REF!</v>
      </c>
      <c r="S37" s="10" t="e">
        <f>IF(Suma!$B36=$A$1,Suma!AY36,NA())</f>
        <v>#REF!</v>
      </c>
      <c r="T37" s="10" t="e">
        <f>IF(Suma!$B36=$A$1,Suma!AZ36,NA())</f>
        <v>#REF!</v>
      </c>
      <c r="U37" s="10" t="e">
        <f>IF(Suma!$B36=$A$1,Suma!J36,NA())</f>
        <v>#REF!</v>
      </c>
      <c r="V37" s="10" t="e">
        <f>IF(Suma!$B36=$A$1,Suma!K36,NA())</f>
        <v>#REF!</v>
      </c>
      <c r="W37" s="10" t="e">
        <f>IF(Suma!$B36=$A$1,Suma!L36,NA())</f>
        <v>#REF!</v>
      </c>
      <c r="X37" s="10" t="e">
        <f>IF(Suma!$B36=$A$1,Suma!M36,NA())</f>
        <v>#REF!</v>
      </c>
      <c r="Y37" s="10" t="e">
        <f>IF(Suma!$B36=$A$1,Suma!N36,NA())</f>
        <v>#REF!</v>
      </c>
      <c r="Z37" s="10" t="e">
        <f>IF(Suma!$B36=$A$1,Suma!O36,NA())</f>
        <v>#REF!</v>
      </c>
      <c r="AA37" s="10" t="e">
        <f>IF(Suma!$B36=$A$1,Suma!BC36,NA())</f>
        <v>#REF!</v>
      </c>
      <c r="AB37" s="10" t="e">
        <f>IF(Suma!$B36=$A$1,Suma!BD36,NA())</f>
        <v>#REF!</v>
      </c>
    </row>
    <row r="38" spans="1:28" x14ac:dyDescent="0.3">
      <c r="A38" s="1" t="e">
        <f>IF(Suma!$B37=$A$1,Suma!C37,NA())</f>
        <v>#REF!</v>
      </c>
      <c r="B38" s="1" t="e">
        <f>IF(Suma!$B37=$A$1,Suma!D37,NA())</f>
        <v>#REF!</v>
      </c>
      <c r="C38" s="2" t="e">
        <f>IF(Suma!$B37=$A$1,Suma!E37,NA())</f>
        <v>#REF!</v>
      </c>
      <c r="D38" s="2" t="e">
        <f>IF(Suma!$B37=$A$1,Suma!F37,NA())</f>
        <v>#REF!</v>
      </c>
      <c r="E38" s="1" t="e">
        <f>IF(Suma!$B37=$A$1,Suma!P37,NA())</f>
        <v>#REF!</v>
      </c>
      <c r="F38" s="10" t="e">
        <f t="shared" si="0"/>
        <v>#N/A</v>
      </c>
      <c r="G38" s="1" t="e">
        <f>IF(Suma!$B37=$A$1,Suma!W37,NA())</f>
        <v>#REF!</v>
      </c>
      <c r="H38" s="10" t="e">
        <f t="shared" si="1"/>
        <v>#N/A</v>
      </c>
      <c r="I38" s="1" t="e">
        <f>IF(Suma!$B37=$A$1,Suma!AD37,NA())</f>
        <v>#REF!</v>
      </c>
      <c r="J38" s="1" t="e">
        <f>IF(Suma!$B37=$A$1,Suma!AK37,NA())</f>
        <v>#REF!</v>
      </c>
      <c r="K38" s="10" t="e">
        <f>IF(Suma!$B37=$A$1,Suma!AS37,NA())</f>
        <v>#REF!</v>
      </c>
      <c r="L38" s="1" t="e">
        <f>IF(Suma!$B37=$A$1,Suma!G37,NA())</f>
        <v>#REF!</v>
      </c>
      <c r="M38" s="1" t="e">
        <f>IF(Suma!$B37=$A$1,Suma!H37,NA())</f>
        <v>#REF!</v>
      </c>
      <c r="N38" s="1" t="e">
        <f>IF(Suma!$B37=$A$1,Suma!AT37,NA())</f>
        <v>#REF!</v>
      </c>
      <c r="O38" s="1" t="e">
        <f>IF(Suma!$B37=$A$1,Suma!AU37,NA())</f>
        <v>#REF!</v>
      </c>
      <c r="P38" s="1" t="e">
        <f>IF(Suma!$B37=$A$1,Suma!AV37,NA())</f>
        <v>#REF!</v>
      </c>
      <c r="Q38" s="1" t="e">
        <f>IF(Suma!$B37=$A$1,Suma!AW37,NA())</f>
        <v>#REF!</v>
      </c>
      <c r="R38" s="10" t="e">
        <f>IF(Suma!$B37=$A$1,Suma!AX37,NA())</f>
        <v>#REF!</v>
      </c>
      <c r="S38" s="10" t="e">
        <f>IF(Suma!$B37=$A$1,Suma!AY37,NA())</f>
        <v>#REF!</v>
      </c>
      <c r="T38" s="10" t="e">
        <f>IF(Suma!$B37=$A$1,Suma!AZ37,NA())</f>
        <v>#REF!</v>
      </c>
      <c r="U38" s="10" t="e">
        <f>IF(Suma!$B37=$A$1,Suma!J37,NA())</f>
        <v>#REF!</v>
      </c>
      <c r="V38" s="10" t="e">
        <f>IF(Suma!$B37=$A$1,Suma!K37,NA())</f>
        <v>#REF!</v>
      </c>
      <c r="W38" s="10" t="e">
        <f>IF(Suma!$B37=$A$1,Suma!L37,NA())</f>
        <v>#REF!</v>
      </c>
      <c r="X38" s="10" t="e">
        <f>IF(Suma!$B37=$A$1,Suma!M37,NA())</f>
        <v>#REF!</v>
      </c>
      <c r="Y38" s="10" t="e">
        <f>IF(Suma!$B37=$A$1,Suma!N37,NA())</f>
        <v>#REF!</v>
      </c>
      <c r="Z38" s="10" t="e">
        <f>IF(Suma!$B37=$A$1,Suma!O37,NA())</f>
        <v>#REF!</v>
      </c>
      <c r="AA38" s="10" t="e">
        <f>IF(Suma!$B37=$A$1,Suma!BC37,NA())</f>
        <v>#REF!</v>
      </c>
      <c r="AB38" s="10" t="e">
        <f>IF(Suma!$B37=$A$1,Suma!BD37,NA())</f>
        <v>#REF!</v>
      </c>
    </row>
    <row r="39" spans="1:28" x14ac:dyDescent="0.3">
      <c r="A39" s="1" t="e">
        <f>IF(Suma!$B38=$A$1,Suma!C38,NA())</f>
        <v>#REF!</v>
      </c>
      <c r="B39" s="1" t="e">
        <f>IF(Suma!$B38=$A$1,Suma!D38,NA())</f>
        <v>#REF!</v>
      </c>
      <c r="C39" s="2" t="e">
        <f>IF(Suma!$B38=$A$1,Suma!E38,NA())</f>
        <v>#REF!</v>
      </c>
      <c r="D39" s="2" t="e">
        <f>IF(Suma!$B38=$A$1,Suma!F38,NA())</f>
        <v>#REF!</v>
      </c>
      <c r="E39" s="1" t="e">
        <f>IF(Suma!$B38=$A$1,Suma!P38,NA())</f>
        <v>#REF!</v>
      </c>
      <c r="F39" s="10" t="e">
        <f t="shared" si="0"/>
        <v>#N/A</v>
      </c>
      <c r="G39" s="1" t="e">
        <f>IF(Suma!$B38=$A$1,Suma!W38,NA())</f>
        <v>#REF!</v>
      </c>
      <c r="H39" s="10" t="e">
        <f t="shared" si="1"/>
        <v>#N/A</v>
      </c>
      <c r="I39" s="1" t="e">
        <f>IF(Suma!$B38=$A$1,Suma!AD38,NA())</f>
        <v>#REF!</v>
      </c>
      <c r="J39" s="1" t="e">
        <f>IF(Suma!$B38=$A$1,Suma!AK38,NA())</f>
        <v>#REF!</v>
      </c>
      <c r="K39" s="10" t="e">
        <f>IF(Suma!$B38=$A$1,Suma!AS38,NA())</f>
        <v>#REF!</v>
      </c>
      <c r="L39" s="1" t="e">
        <f>IF(Suma!$B38=$A$1,Suma!G38,NA())</f>
        <v>#REF!</v>
      </c>
      <c r="M39" s="1" t="e">
        <f>IF(Suma!$B38=$A$1,Suma!H38,NA())</f>
        <v>#REF!</v>
      </c>
      <c r="N39" s="1" t="e">
        <f>IF(Suma!$B38=$A$1,Suma!AT38,NA())</f>
        <v>#REF!</v>
      </c>
      <c r="O39" s="1" t="e">
        <f>IF(Suma!$B38=$A$1,Suma!AU38,NA())</f>
        <v>#REF!</v>
      </c>
      <c r="P39" s="1" t="e">
        <f>IF(Suma!$B38=$A$1,Suma!AV38,NA())</f>
        <v>#REF!</v>
      </c>
      <c r="Q39" s="1" t="e">
        <f>IF(Suma!$B38=$A$1,Suma!AW38,NA())</f>
        <v>#REF!</v>
      </c>
      <c r="R39" s="10" t="e">
        <f>IF(Suma!$B38=$A$1,Suma!AX38,NA())</f>
        <v>#REF!</v>
      </c>
      <c r="S39" s="10" t="e">
        <f>IF(Suma!$B38=$A$1,Suma!AY38,NA())</f>
        <v>#REF!</v>
      </c>
      <c r="T39" s="10" t="e">
        <f>IF(Suma!$B38=$A$1,Suma!AZ38,NA())</f>
        <v>#REF!</v>
      </c>
      <c r="U39" s="10" t="e">
        <f>IF(Suma!$B38=$A$1,Suma!J38,NA())</f>
        <v>#REF!</v>
      </c>
      <c r="V39" s="10" t="e">
        <f>IF(Suma!$B38=$A$1,Suma!K38,NA())</f>
        <v>#REF!</v>
      </c>
      <c r="W39" s="10" t="e">
        <f>IF(Suma!$B38=$A$1,Suma!L38,NA())</f>
        <v>#REF!</v>
      </c>
      <c r="X39" s="10" t="e">
        <f>IF(Suma!$B38=$A$1,Suma!M38,NA())</f>
        <v>#REF!</v>
      </c>
      <c r="Y39" s="10" t="e">
        <f>IF(Suma!$B38=$A$1,Suma!N38,NA())</f>
        <v>#REF!</v>
      </c>
      <c r="Z39" s="10" t="e">
        <f>IF(Suma!$B38=$A$1,Suma!O38,NA())</f>
        <v>#REF!</v>
      </c>
      <c r="AA39" s="10" t="e">
        <f>IF(Suma!$B38=$A$1,Suma!BC38,NA())</f>
        <v>#REF!</v>
      </c>
      <c r="AB39" s="10" t="e">
        <f>IF(Suma!$B38=$A$1,Suma!BD38,NA())</f>
        <v>#REF!</v>
      </c>
    </row>
    <row r="40" spans="1:28" x14ac:dyDescent="0.3">
      <c r="A40" s="1" t="e">
        <f>IF(Suma!$B39=$A$1,Suma!C39,NA())</f>
        <v>#REF!</v>
      </c>
      <c r="B40" s="1" t="e">
        <f>IF(Suma!$B39=$A$1,Suma!D39,NA())</f>
        <v>#REF!</v>
      </c>
      <c r="C40" s="2" t="e">
        <f>IF(Suma!$B39=$A$1,Suma!E39,NA())</f>
        <v>#REF!</v>
      </c>
      <c r="D40" s="2" t="e">
        <f>IF(Suma!$B39=$A$1,Suma!F39,NA())</f>
        <v>#REF!</v>
      </c>
      <c r="E40" s="1" t="e">
        <f>IF(Suma!$B39=$A$1,Suma!P39,NA())</f>
        <v>#REF!</v>
      </c>
      <c r="F40" s="10" t="e">
        <f t="shared" si="0"/>
        <v>#N/A</v>
      </c>
      <c r="G40" s="1" t="e">
        <f>IF(Suma!$B39=$A$1,Suma!W39,NA())</f>
        <v>#REF!</v>
      </c>
      <c r="H40" s="10" t="e">
        <f t="shared" si="1"/>
        <v>#N/A</v>
      </c>
      <c r="I40" s="1" t="e">
        <f>IF(Suma!$B39=$A$1,Suma!AD39,NA())</f>
        <v>#REF!</v>
      </c>
      <c r="J40" s="1" t="e">
        <f>IF(Suma!$B39=$A$1,Suma!AK39,NA())</f>
        <v>#REF!</v>
      </c>
      <c r="K40" s="10" t="e">
        <f>IF(Suma!$B39=$A$1,Suma!AS39,NA())</f>
        <v>#REF!</v>
      </c>
      <c r="L40" s="1" t="e">
        <f>IF(Suma!$B39=$A$1,Suma!G39,NA())</f>
        <v>#REF!</v>
      </c>
      <c r="M40" s="1" t="e">
        <f>IF(Suma!$B39=$A$1,Suma!H39,NA())</f>
        <v>#REF!</v>
      </c>
      <c r="N40" s="1" t="e">
        <f>IF(Suma!$B39=$A$1,Suma!AT39,NA())</f>
        <v>#REF!</v>
      </c>
      <c r="O40" s="1" t="e">
        <f>IF(Suma!$B39=$A$1,Suma!AU39,NA())</f>
        <v>#REF!</v>
      </c>
      <c r="P40" s="1" t="e">
        <f>IF(Suma!$B39=$A$1,Suma!AV39,NA())</f>
        <v>#REF!</v>
      </c>
      <c r="Q40" s="1" t="e">
        <f>IF(Suma!$B39=$A$1,Suma!AW39,NA())</f>
        <v>#REF!</v>
      </c>
      <c r="R40" s="10" t="e">
        <f>IF(Suma!$B39=$A$1,Suma!AX39,NA())</f>
        <v>#REF!</v>
      </c>
      <c r="S40" s="10" t="e">
        <f>IF(Suma!$B39=$A$1,Suma!AY39,NA())</f>
        <v>#REF!</v>
      </c>
      <c r="T40" s="10" t="e">
        <f>IF(Suma!$B39=$A$1,Suma!AZ39,NA())</f>
        <v>#REF!</v>
      </c>
      <c r="U40" s="10" t="e">
        <f>IF(Suma!$B39=$A$1,Suma!J39,NA())</f>
        <v>#REF!</v>
      </c>
      <c r="V40" s="10" t="e">
        <f>IF(Suma!$B39=$A$1,Suma!K39,NA())</f>
        <v>#REF!</v>
      </c>
      <c r="W40" s="10" t="e">
        <f>IF(Suma!$B39=$A$1,Suma!L39,NA())</f>
        <v>#REF!</v>
      </c>
      <c r="X40" s="10" t="e">
        <f>IF(Suma!$B39=$A$1,Suma!M39,NA())</f>
        <v>#REF!</v>
      </c>
      <c r="Y40" s="10" t="e">
        <f>IF(Suma!$B39=$A$1,Suma!N39,NA())</f>
        <v>#REF!</v>
      </c>
      <c r="Z40" s="10" t="e">
        <f>IF(Suma!$B39=$A$1,Suma!O39,NA())</f>
        <v>#REF!</v>
      </c>
      <c r="AA40" s="10" t="e">
        <f>IF(Suma!$B39=$A$1,Suma!BC39,NA())</f>
        <v>#REF!</v>
      </c>
      <c r="AB40" s="10" t="e">
        <f>IF(Suma!$B39=$A$1,Suma!BD39,NA())</f>
        <v>#REF!</v>
      </c>
    </row>
    <row r="41" spans="1:28" x14ac:dyDescent="0.3">
      <c r="A41" s="1" t="e">
        <f>IF(Suma!$B40=$A$1,Suma!C40,NA())</f>
        <v>#REF!</v>
      </c>
      <c r="B41" s="1" t="e">
        <f>IF(Suma!$B40=$A$1,Suma!D40,NA())</f>
        <v>#REF!</v>
      </c>
      <c r="C41" s="2" t="e">
        <f>IF(Suma!$B40=$A$1,Suma!E40,NA())</f>
        <v>#REF!</v>
      </c>
      <c r="D41" s="2" t="e">
        <f>IF(Suma!$B40=$A$1,Suma!F40,NA())</f>
        <v>#REF!</v>
      </c>
      <c r="E41" s="1" t="e">
        <f>IF(Suma!$B40=$A$1,Suma!P40,NA())</f>
        <v>#REF!</v>
      </c>
      <c r="F41" s="10" t="e">
        <f t="shared" si="0"/>
        <v>#N/A</v>
      </c>
      <c r="G41" s="1" t="e">
        <f>IF(Suma!$B40=$A$1,Suma!W40,NA())</f>
        <v>#REF!</v>
      </c>
      <c r="H41" s="10" t="e">
        <f t="shared" si="1"/>
        <v>#N/A</v>
      </c>
      <c r="I41" s="1" t="e">
        <f>IF(Suma!$B40=$A$1,Suma!AD40,NA())</f>
        <v>#REF!</v>
      </c>
      <c r="J41" s="1" t="e">
        <f>IF(Suma!$B40=$A$1,Suma!AK40,NA())</f>
        <v>#REF!</v>
      </c>
      <c r="K41" s="10" t="e">
        <f>IF(Suma!$B40=$A$1,Suma!AS40,NA())</f>
        <v>#REF!</v>
      </c>
      <c r="L41" s="1" t="e">
        <f>IF(Suma!$B40=$A$1,Suma!G40,NA())</f>
        <v>#REF!</v>
      </c>
      <c r="M41" s="1" t="e">
        <f>IF(Suma!$B40=$A$1,Suma!H40,NA())</f>
        <v>#REF!</v>
      </c>
      <c r="N41" s="1" t="e">
        <f>IF(Suma!$B40=$A$1,Suma!AT40,NA())</f>
        <v>#REF!</v>
      </c>
      <c r="O41" s="1" t="e">
        <f>IF(Suma!$B40=$A$1,Suma!AU40,NA())</f>
        <v>#REF!</v>
      </c>
      <c r="P41" s="1" t="e">
        <f>IF(Suma!$B40=$A$1,Suma!AV40,NA())</f>
        <v>#REF!</v>
      </c>
      <c r="Q41" s="1" t="e">
        <f>IF(Suma!$B40=$A$1,Suma!AW40,NA())</f>
        <v>#REF!</v>
      </c>
      <c r="R41" s="10" t="e">
        <f>IF(Suma!$B40=$A$1,Suma!AX40,NA())</f>
        <v>#REF!</v>
      </c>
      <c r="S41" s="10" t="e">
        <f>IF(Suma!$B40=$A$1,Suma!AY40,NA())</f>
        <v>#REF!</v>
      </c>
      <c r="T41" s="10" t="e">
        <f>IF(Suma!$B40=$A$1,Suma!AZ40,NA())</f>
        <v>#REF!</v>
      </c>
      <c r="U41" s="10" t="e">
        <f>IF(Suma!$B40=$A$1,Suma!J40,NA())</f>
        <v>#REF!</v>
      </c>
      <c r="V41" s="10" t="e">
        <f>IF(Suma!$B40=$A$1,Suma!K40,NA())</f>
        <v>#REF!</v>
      </c>
      <c r="W41" s="10" t="e">
        <f>IF(Suma!$B40=$A$1,Suma!L40,NA())</f>
        <v>#REF!</v>
      </c>
      <c r="X41" s="10" t="e">
        <f>IF(Suma!$B40=$A$1,Suma!M40,NA())</f>
        <v>#REF!</v>
      </c>
      <c r="Y41" s="10" t="e">
        <f>IF(Suma!$B40=$A$1,Suma!N40,NA())</f>
        <v>#REF!</v>
      </c>
      <c r="Z41" s="10" t="e">
        <f>IF(Suma!$B40=$A$1,Suma!O40,NA())</f>
        <v>#REF!</v>
      </c>
      <c r="AA41" s="10" t="e">
        <f>IF(Suma!$B40=$A$1,Suma!BC40,NA())</f>
        <v>#REF!</v>
      </c>
      <c r="AB41" s="10" t="e">
        <f>IF(Suma!$B40=$A$1,Suma!BD40,NA())</f>
        <v>#REF!</v>
      </c>
    </row>
    <row r="42" spans="1:28" x14ac:dyDescent="0.3">
      <c r="A42" s="1" t="e">
        <f>IF(Suma!$B41=$A$1,Suma!C41,NA())</f>
        <v>#REF!</v>
      </c>
      <c r="B42" s="1" t="e">
        <f>IF(Suma!$B41=$A$1,Suma!D41,NA())</f>
        <v>#REF!</v>
      </c>
      <c r="C42" s="2" t="e">
        <f>IF(Suma!$B41=$A$1,Suma!E41,NA())</f>
        <v>#REF!</v>
      </c>
      <c r="D42" s="2" t="e">
        <f>IF(Suma!$B41=$A$1,Suma!F41,NA())</f>
        <v>#REF!</v>
      </c>
      <c r="E42" s="1" t="e">
        <f>IF(Suma!$B41=$A$1,Suma!P41,NA())</f>
        <v>#REF!</v>
      </c>
      <c r="F42" s="10" t="e">
        <f t="shared" si="0"/>
        <v>#N/A</v>
      </c>
      <c r="G42" s="1" t="e">
        <f>IF(Suma!$B41=$A$1,Suma!W41,NA())</f>
        <v>#REF!</v>
      </c>
      <c r="H42" s="10" t="e">
        <f t="shared" si="1"/>
        <v>#N/A</v>
      </c>
      <c r="I42" s="1" t="e">
        <f>IF(Suma!$B41=$A$1,Suma!AD41,NA())</f>
        <v>#REF!</v>
      </c>
      <c r="J42" s="1" t="e">
        <f>IF(Suma!$B41=$A$1,Suma!AK41,NA())</f>
        <v>#REF!</v>
      </c>
      <c r="K42" s="10" t="e">
        <f>IF(Suma!$B41=$A$1,Suma!AS41,NA())</f>
        <v>#REF!</v>
      </c>
      <c r="L42" s="1" t="e">
        <f>IF(Suma!$B41=$A$1,Suma!G41,NA())</f>
        <v>#REF!</v>
      </c>
      <c r="M42" s="1" t="e">
        <f>IF(Suma!$B41=$A$1,Suma!H41,NA())</f>
        <v>#REF!</v>
      </c>
      <c r="N42" s="1" t="e">
        <f>IF(Suma!$B41=$A$1,Suma!AT41,NA())</f>
        <v>#REF!</v>
      </c>
      <c r="O42" s="1" t="e">
        <f>IF(Suma!$B41=$A$1,Suma!AU41,NA())</f>
        <v>#REF!</v>
      </c>
      <c r="P42" s="1" t="e">
        <f>IF(Suma!$B41=$A$1,Suma!AV41,NA())</f>
        <v>#REF!</v>
      </c>
      <c r="Q42" s="1" t="e">
        <f>IF(Suma!$B41=$A$1,Suma!AW41,NA())</f>
        <v>#REF!</v>
      </c>
      <c r="R42" s="10" t="e">
        <f>IF(Suma!$B41=$A$1,Suma!AX41,NA())</f>
        <v>#REF!</v>
      </c>
      <c r="S42" s="10" t="e">
        <f>IF(Suma!$B41=$A$1,Suma!AY41,NA())</f>
        <v>#REF!</v>
      </c>
      <c r="T42" s="10" t="e">
        <f>IF(Suma!$B41=$A$1,Suma!AZ41,NA())</f>
        <v>#REF!</v>
      </c>
      <c r="U42" s="10" t="e">
        <f>IF(Suma!$B41=$A$1,Suma!J41,NA())</f>
        <v>#REF!</v>
      </c>
      <c r="V42" s="10" t="e">
        <f>IF(Suma!$B41=$A$1,Suma!K41,NA())</f>
        <v>#REF!</v>
      </c>
      <c r="W42" s="10" t="e">
        <f>IF(Suma!$B41=$A$1,Suma!L41,NA())</f>
        <v>#REF!</v>
      </c>
      <c r="X42" s="10" t="e">
        <f>IF(Suma!$B41=$A$1,Suma!M41,NA())</f>
        <v>#REF!</v>
      </c>
      <c r="Y42" s="10" t="e">
        <f>IF(Suma!$B41=$A$1,Suma!N41,NA())</f>
        <v>#REF!</v>
      </c>
      <c r="Z42" s="10" t="e">
        <f>IF(Suma!$B41=$A$1,Suma!O41,NA())</f>
        <v>#REF!</v>
      </c>
      <c r="AA42" s="10" t="e">
        <f>IF(Suma!$B41=$A$1,Suma!BC41,NA())</f>
        <v>#REF!</v>
      </c>
      <c r="AB42" s="10" t="e">
        <f>IF(Suma!$B41=$A$1,Suma!BD41,NA())</f>
        <v>#REF!</v>
      </c>
    </row>
    <row r="43" spans="1:28" x14ac:dyDescent="0.3">
      <c r="A43" s="1" t="e">
        <f>IF(Suma!$B42=$A$1,Suma!C42,NA())</f>
        <v>#REF!</v>
      </c>
      <c r="B43" s="1" t="e">
        <f>IF(Suma!$B42=$A$1,Suma!D42,NA())</f>
        <v>#REF!</v>
      </c>
      <c r="C43" s="2" t="e">
        <f>IF(Suma!$B42=$A$1,Suma!E42,NA())</f>
        <v>#REF!</v>
      </c>
      <c r="D43" s="2" t="e">
        <f>IF(Suma!$B42=$A$1,Suma!F42,NA())</f>
        <v>#REF!</v>
      </c>
      <c r="E43" s="1" t="e">
        <f>IF(Suma!$B42=$A$1,Suma!P42,NA())</f>
        <v>#REF!</v>
      </c>
      <c r="F43" s="10" t="e">
        <f t="shared" si="0"/>
        <v>#N/A</v>
      </c>
      <c r="G43" s="1" t="e">
        <f>IF(Suma!$B42=$A$1,Suma!W42,NA())</f>
        <v>#REF!</v>
      </c>
      <c r="H43" s="10" t="e">
        <f t="shared" si="1"/>
        <v>#N/A</v>
      </c>
      <c r="I43" s="1" t="e">
        <f>IF(Suma!$B42=$A$1,Suma!AD42,NA())</f>
        <v>#REF!</v>
      </c>
      <c r="J43" s="1" t="e">
        <f>IF(Suma!$B42=$A$1,Suma!AK42,NA())</f>
        <v>#REF!</v>
      </c>
      <c r="K43" s="10" t="e">
        <f>IF(Suma!$B42=$A$1,Suma!AS42,NA())</f>
        <v>#REF!</v>
      </c>
      <c r="L43" s="1" t="e">
        <f>IF(Suma!$B42=$A$1,Suma!G42,NA())</f>
        <v>#REF!</v>
      </c>
      <c r="M43" s="1" t="e">
        <f>IF(Suma!$B42=$A$1,Suma!H42,NA())</f>
        <v>#REF!</v>
      </c>
      <c r="N43" s="1" t="e">
        <f>IF(Suma!$B42=$A$1,Suma!AT42,NA())</f>
        <v>#REF!</v>
      </c>
      <c r="O43" s="1" t="e">
        <f>IF(Suma!$B42=$A$1,Suma!AU42,NA())</f>
        <v>#REF!</v>
      </c>
      <c r="P43" s="1" t="e">
        <f>IF(Suma!$B42=$A$1,Suma!AV42,NA())</f>
        <v>#REF!</v>
      </c>
      <c r="Q43" s="1" t="e">
        <f>IF(Suma!$B42=$A$1,Suma!AW42,NA())</f>
        <v>#REF!</v>
      </c>
      <c r="R43" s="10" t="e">
        <f>IF(Suma!$B42=$A$1,Suma!AX42,NA())</f>
        <v>#REF!</v>
      </c>
      <c r="S43" s="10" t="e">
        <f>IF(Suma!$B42=$A$1,Suma!AY42,NA())</f>
        <v>#REF!</v>
      </c>
      <c r="T43" s="10" t="e">
        <f>IF(Suma!$B42=$A$1,Suma!AZ42,NA())</f>
        <v>#REF!</v>
      </c>
      <c r="U43" s="10" t="e">
        <f>IF(Suma!$B42=$A$1,Suma!J42,NA())</f>
        <v>#REF!</v>
      </c>
      <c r="V43" s="10" t="e">
        <f>IF(Suma!$B42=$A$1,Suma!K42,NA())</f>
        <v>#REF!</v>
      </c>
      <c r="W43" s="10" t="e">
        <f>IF(Suma!$B42=$A$1,Suma!L42,NA())</f>
        <v>#REF!</v>
      </c>
      <c r="X43" s="10" t="e">
        <f>IF(Suma!$B42=$A$1,Suma!M42,NA())</f>
        <v>#REF!</v>
      </c>
      <c r="Y43" s="10" t="e">
        <f>IF(Suma!$B42=$A$1,Suma!N42,NA())</f>
        <v>#REF!</v>
      </c>
      <c r="Z43" s="10" t="e">
        <f>IF(Suma!$B42=$A$1,Suma!O42,NA())</f>
        <v>#REF!</v>
      </c>
      <c r="AA43" s="10" t="e">
        <f>IF(Suma!$B42=$A$1,Suma!BC42,NA())</f>
        <v>#REF!</v>
      </c>
      <c r="AB43" s="10" t="e">
        <f>IF(Suma!$B42=$A$1,Suma!BD42,NA())</f>
        <v>#REF!</v>
      </c>
    </row>
    <row r="44" spans="1:28" x14ac:dyDescent="0.3">
      <c r="A44" s="1" t="e">
        <f>IF(Suma!$B43=$A$1,Suma!C43,NA())</f>
        <v>#REF!</v>
      </c>
      <c r="B44" s="1" t="e">
        <f>IF(Suma!$B43=$A$1,Suma!D43,NA())</f>
        <v>#REF!</v>
      </c>
      <c r="C44" s="2" t="e">
        <f>IF(Suma!$B43=$A$1,Suma!E43,NA())</f>
        <v>#REF!</v>
      </c>
      <c r="D44" s="2" t="e">
        <f>IF(Suma!$B43=$A$1,Suma!F43,NA())</f>
        <v>#REF!</v>
      </c>
      <c r="E44" s="1" t="e">
        <f>IF(Suma!$B43=$A$1,Suma!P43,NA())</f>
        <v>#REF!</v>
      </c>
      <c r="F44" s="10" t="e">
        <f t="shared" si="0"/>
        <v>#N/A</v>
      </c>
      <c r="G44" s="1" t="e">
        <f>IF(Suma!$B43=$A$1,Suma!W43,NA())</f>
        <v>#REF!</v>
      </c>
      <c r="H44" s="10" t="e">
        <f t="shared" si="1"/>
        <v>#N/A</v>
      </c>
      <c r="I44" s="1" t="e">
        <f>IF(Suma!$B43=$A$1,Suma!AD43,NA())</f>
        <v>#REF!</v>
      </c>
      <c r="J44" s="1" t="e">
        <f>IF(Suma!$B43=$A$1,Suma!AK43,NA())</f>
        <v>#REF!</v>
      </c>
      <c r="K44" s="10" t="e">
        <f>IF(Suma!$B43=$A$1,Suma!AS43,NA())</f>
        <v>#REF!</v>
      </c>
      <c r="L44" s="1" t="e">
        <f>IF(Suma!$B43=$A$1,Suma!G43,NA())</f>
        <v>#REF!</v>
      </c>
      <c r="M44" s="1" t="e">
        <f>IF(Suma!$B43=$A$1,Suma!H43,NA())</f>
        <v>#REF!</v>
      </c>
      <c r="N44" s="1" t="e">
        <f>IF(Suma!$B43=$A$1,Suma!AT43,NA())</f>
        <v>#REF!</v>
      </c>
      <c r="O44" s="1" t="e">
        <f>IF(Suma!$B43=$A$1,Suma!AU43,NA())</f>
        <v>#REF!</v>
      </c>
      <c r="P44" s="1" t="e">
        <f>IF(Suma!$B43=$A$1,Suma!AV43,NA())</f>
        <v>#REF!</v>
      </c>
      <c r="Q44" s="1" t="e">
        <f>IF(Suma!$B43=$A$1,Suma!AW43,NA())</f>
        <v>#REF!</v>
      </c>
      <c r="R44" s="10" t="e">
        <f>IF(Suma!$B43=$A$1,Suma!AX43,NA())</f>
        <v>#REF!</v>
      </c>
      <c r="S44" s="10" t="e">
        <f>IF(Suma!$B43=$A$1,Suma!AY43,NA())</f>
        <v>#REF!</v>
      </c>
      <c r="T44" s="10" t="e">
        <f>IF(Suma!$B43=$A$1,Suma!AZ43,NA())</f>
        <v>#REF!</v>
      </c>
      <c r="U44" s="10" t="e">
        <f>IF(Suma!$B43=$A$1,Suma!J43,NA())</f>
        <v>#REF!</v>
      </c>
      <c r="V44" s="10" t="e">
        <f>IF(Suma!$B43=$A$1,Suma!K43,NA())</f>
        <v>#REF!</v>
      </c>
      <c r="W44" s="10" t="e">
        <f>IF(Suma!$B43=$A$1,Suma!L43,NA())</f>
        <v>#REF!</v>
      </c>
      <c r="X44" s="10" t="e">
        <f>IF(Suma!$B43=$A$1,Suma!M43,NA())</f>
        <v>#REF!</v>
      </c>
      <c r="Y44" s="10" t="e">
        <f>IF(Suma!$B43=$A$1,Suma!N43,NA())</f>
        <v>#REF!</v>
      </c>
      <c r="Z44" s="10" t="e">
        <f>IF(Suma!$B43=$A$1,Suma!O43,NA())</f>
        <v>#REF!</v>
      </c>
      <c r="AA44" s="10" t="e">
        <f>IF(Suma!$B43=$A$1,Suma!BC43,NA())</f>
        <v>#REF!</v>
      </c>
      <c r="AB44" s="10" t="e">
        <f>IF(Suma!$B43=$A$1,Suma!BD43,NA())</f>
        <v>#REF!</v>
      </c>
    </row>
    <row r="45" spans="1:28" x14ac:dyDescent="0.3">
      <c r="A45" s="1" t="e">
        <f>IF(Suma!$B44=$A$1,Suma!C44,NA())</f>
        <v>#REF!</v>
      </c>
      <c r="B45" s="1" t="e">
        <f>IF(Suma!$B44=$A$1,Suma!D44,NA())</f>
        <v>#REF!</v>
      </c>
      <c r="C45" s="2" t="e">
        <f>IF(Suma!$B44=$A$1,Suma!E44,NA())</f>
        <v>#REF!</v>
      </c>
      <c r="D45" s="2" t="e">
        <f>IF(Suma!$B44=$A$1,Suma!F44,NA())</f>
        <v>#REF!</v>
      </c>
      <c r="E45" s="1" t="e">
        <f>IF(Suma!$B44=$A$1,Suma!P44,NA())</f>
        <v>#REF!</v>
      </c>
      <c r="F45" s="10" t="e">
        <f t="shared" si="0"/>
        <v>#N/A</v>
      </c>
      <c r="G45" s="1" t="e">
        <f>IF(Suma!$B44=$A$1,Suma!W44,NA())</f>
        <v>#REF!</v>
      </c>
      <c r="H45" s="10" t="e">
        <f t="shared" si="1"/>
        <v>#N/A</v>
      </c>
      <c r="I45" s="1" t="e">
        <f>IF(Suma!$B44=$A$1,Suma!AD44,NA())</f>
        <v>#REF!</v>
      </c>
      <c r="J45" s="1" t="e">
        <f>IF(Suma!$B44=$A$1,Suma!AK44,NA())</f>
        <v>#REF!</v>
      </c>
      <c r="K45" s="10" t="e">
        <f>IF(Suma!$B44=$A$1,Suma!AS44,NA())</f>
        <v>#REF!</v>
      </c>
      <c r="L45" s="1" t="e">
        <f>IF(Suma!$B44=$A$1,Suma!G44,NA())</f>
        <v>#REF!</v>
      </c>
      <c r="M45" s="1" t="e">
        <f>IF(Suma!$B44=$A$1,Suma!H44,NA())</f>
        <v>#REF!</v>
      </c>
      <c r="N45" s="1" t="e">
        <f>IF(Suma!$B44=$A$1,Suma!AT44,NA())</f>
        <v>#REF!</v>
      </c>
      <c r="O45" s="1" t="e">
        <f>IF(Suma!$B44=$A$1,Suma!AU44,NA())</f>
        <v>#REF!</v>
      </c>
      <c r="P45" s="1" t="e">
        <f>IF(Suma!$B44=$A$1,Suma!AV44,NA())</f>
        <v>#REF!</v>
      </c>
      <c r="Q45" s="1" t="e">
        <f>IF(Suma!$B44=$A$1,Suma!AW44,NA())</f>
        <v>#REF!</v>
      </c>
      <c r="R45" s="10" t="e">
        <f>IF(Suma!$B44=$A$1,Suma!AX44,NA())</f>
        <v>#REF!</v>
      </c>
      <c r="S45" s="10" t="e">
        <f>IF(Suma!$B44=$A$1,Suma!AY44,NA())</f>
        <v>#REF!</v>
      </c>
      <c r="T45" s="10" t="e">
        <f>IF(Suma!$B44=$A$1,Suma!AZ44,NA())</f>
        <v>#REF!</v>
      </c>
      <c r="U45" s="10" t="e">
        <f>IF(Suma!$B44=$A$1,Suma!J44,NA())</f>
        <v>#REF!</v>
      </c>
      <c r="V45" s="10" t="e">
        <f>IF(Suma!$B44=$A$1,Suma!K44,NA())</f>
        <v>#REF!</v>
      </c>
      <c r="W45" s="10" t="e">
        <f>IF(Suma!$B44=$A$1,Suma!L44,NA())</f>
        <v>#REF!</v>
      </c>
      <c r="X45" s="10" t="e">
        <f>IF(Suma!$B44=$A$1,Suma!M44,NA())</f>
        <v>#REF!</v>
      </c>
      <c r="Y45" s="10" t="e">
        <f>IF(Suma!$B44=$A$1,Suma!N44,NA())</f>
        <v>#REF!</v>
      </c>
      <c r="Z45" s="10" t="e">
        <f>IF(Suma!$B44=$A$1,Suma!O44,NA())</f>
        <v>#REF!</v>
      </c>
      <c r="AA45" s="10" t="e">
        <f>IF(Suma!$B44=$A$1,Suma!BC44,NA())</f>
        <v>#REF!</v>
      </c>
      <c r="AB45" s="10" t="e">
        <f>IF(Suma!$B44=$A$1,Suma!BD44,NA())</f>
        <v>#REF!</v>
      </c>
    </row>
    <row r="46" spans="1:28" x14ac:dyDescent="0.3">
      <c r="A46" s="1" t="e">
        <f>IF(Suma!$B45=$A$1,Suma!C45,NA())</f>
        <v>#REF!</v>
      </c>
      <c r="B46" s="1" t="e">
        <f>IF(Suma!$B45=$A$1,Suma!D45,NA())</f>
        <v>#REF!</v>
      </c>
      <c r="C46" s="2" t="e">
        <f>IF(Suma!$B45=$A$1,Suma!E45,NA())</f>
        <v>#REF!</v>
      </c>
      <c r="D46" s="2" t="e">
        <f>IF(Suma!$B45=$A$1,Suma!F45,NA())</f>
        <v>#REF!</v>
      </c>
      <c r="E46" s="1" t="e">
        <f>IF(Suma!$B45=$A$1,Suma!P45,NA())</f>
        <v>#REF!</v>
      </c>
      <c r="F46" s="10" t="e">
        <f t="shared" si="0"/>
        <v>#N/A</v>
      </c>
      <c r="G46" s="1" t="e">
        <f>IF(Suma!$B45=$A$1,Suma!W45,NA())</f>
        <v>#REF!</v>
      </c>
      <c r="H46" s="10" t="e">
        <f t="shared" si="1"/>
        <v>#N/A</v>
      </c>
      <c r="I46" s="1" t="e">
        <f>IF(Suma!$B45=$A$1,Suma!AD45,NA())</f>
        <v>#REF!</v>
      </c>
      <c r="J46" s="1" t="e">
        <f>IF(Suma!$B45=$A$1,Suma!AK45,NA())</f>
        <v>#REF!</v>
      </c>
      <c r="K46" s="10" t="e">
        <f>IF(Suma!$B45=$A$1,Suma!AS45,NA())</f>
        <v>#REF!</v>
      </c>
      <c r="L46" s="1" t="e">
        <f>IF(Suma!$B45=$A$1,Suma!G45,NA())</f>
        <v>#REF!</v>
      </c>
      <c r="M46" s="1" t="e">
        <f>IF(Suma!$B45=$A$1,Suma!H45,NA())</f>
        <v>#REF!</v>
      </c>
      <c r="N46" s="1" t="e">
        <f>IF(Suma!$B45=$A$1,Suma!AT45,NA())</f>
        <v>#REF!</v>
      </c>
      <c r="O46" s="1" t="e">
        <f>IF(Suma!$B45=$A$1,Suma!AU45,NA())</f>
        <v>#REF!</v>
      </c>
      <c r="P46" s="1" t="e">
        <f>IF(Suma!$B45=$A$1,Suma!AV45,NA())</f>
        <v>#REF!</v>
      </c>
      <c r="Q46" s="1" t="e">
        <f>IF(Suma!$B45=$A$1,Suma!AW45,NA())</f>
        <v>#REF!</v>
      </c>
      <c r="R46" s="10" t="e">
        <f>IF(Suma!$B45=$A$1,Suma!AX45,NA())</f>
        <v>#REF!</v>
      </c>
      <c r="S46" s="10" t="e">
        <f>IF(Suma!$B45=$A$1,Suma!AY45,NA())</f>
        <v>#REF!</v>
      </c>
      <c r="T46" s="10" t="e">
        <f>IF(Suma!$B45=$A$1,Suma!AZ45,NA())</f>
        <v>#REF!</v>
      </c>
      <c r="U46" s="10" t="e">
        <f>IF(Suma!$B45=$A$1,Suma!J45,NA())</f>
        <v>#REF!</v>
      </c>
      <c r="V46" s="10" t="e">
        <f>IF(Suma!$B45=$A$1,Suma!K45,NA())</f>
        <v>#REF!</v>
      </c>
      <c r="W46" s="10" t="e">
        <f>IF(Suma!$B45=$A$1,Suma!L45,NA())</f>
        <v>#REF!</v>
      </c>
      <c r="X46" s="10" t="e">
        <f>IF(Suma!$B45=$A$1,Suma!M45,NA())</f>
        <v>#REF!</v>
      </c>
      <c r="Y46" s="10" t="e">
        <f>IF(Suma!$B45=$A$1,Suma!N45,NA())</f>
        <v>#REF!</v>
      </c>
      <c r="Z46" s="10" t="e">
        <f>IF(Suma!$B45=$A$1,Suma!O45,NA())</f>
        <v>#REF!</v>
      </c>
      <c r="AA46" s="10" t="e">
        <f>IF(Suma!$B45=$A$1,Suma!BC45,NA())</f>
        <v>#REF!</v>
      </c>
      <c r="AB46" s="10" t="e">
        <f>IF(Suma!$B45=$A$1,Suma!BD45,NA())</f>
        <v>#REF!</v>
      </c>
    </row>
    <row r="47" spans="1:28" x14ac:dyDescent="0.3">
      <c r="A47" s="1" t="e">
        <f>IF(Suma!$B46=$A$1,Suma!C46,NA())</f>
        <v>#REF!</v>
      </c>
      <c r="B47" s="1" t="e">
        <f>IF(Suma!$B46=$A$1,Suma!D46,NA())</f>
        <v>#REF!</v>
      </c>
      <c r="C47" s="2" t="e">
        <f>IF(Suma!$B46=$A$1,Suma!E46,NA())</f>
        <v>#REF!</v>
      </c>
      <c r="D47" s="2" t="e">
        <f>IF(Suma!$B46=$A$1,Suma!F46,NA())</f>
        <v>#REF!</v>
      </c>
      <c r="E47" s="1" t="e">
        <f>IF(Suma!$B46=$A$1,Suma!P46,NA())</f>
        <v>#REF!</v>
      </c>
      <c r="F47" s="10" t="e">
        <f t="shared" si="0"/>
        <v>#N/A</v>
      </c>
      <c r="G47" s="1" t="e">
        <f>IF(Suma!$B46=$A$1,Suma!W46,NA())</f>
        <v>#REF!</v>
      </c>
      <c r="H47" s="10" t="e">
        <f t="shared" si="1"/>
        <v>#N/A</v>
      </c>
      <c r="I47" s="1" t="e">
        <f>IF(Suma!$B46=$A$1,Suma!AD46,NA())</f>
        <v>#REF!</v>
      </c>
      <c r="J47" s="1" t="e">
        <f>IF(Suma!$B46=$A$1,Suma!AK46,NA())</f>
        <v>#REF!</v>
      </c>
      <c r="K47" s="10" t="e">
        <f>IF(Suma!$B46=$A$1,Suma!AS46,NA())</f>
        <v>#REF!</v>
      </c>
      <c r="L47" s="1" t="e">
        <f>IF(Suma!$B46=$A$1,Suma!G46,NA())</f>
        <v>#REF!</v>
      </c>
      <c r="M47" s="1" t="e">
        <f>IF(Suma!$B46=$A$1,Suma!H46,NA())</f>
        <v>#REF!</v>
      </c>
      <c r="N47" s="1" t="e">
        <f>IF(Suma!$B46=$A$1,Suma!AT46,NA())</f>
        <v>#REF!</v>
      </c>
      <c r="O47" s="1" t="e">
        <f>IF(Suma!$B46=$A$1,Suma!AU46,NA())</f>
        <v>#REF!</v>
      </c>
      <c r="P47" s="1" t="e">
        <f>IF(Suma!$B46=$A$1,Suma!AV46,NA())</f>
        <v>#REF!</v>
      </c>
      <c r="Q47" s="1" t="e">
        <f>IF(Suma!$B46=$A$1,Suma!AW46,NA())</f>
        <v>#REF!</v>
      </c>
      <c r="R47" s="10" t="e">
        <f>IF(Suma!$B46=$A$1,Suma!AX46,NA())</f>
        <v>#REF!</v>
      </c>
      <c r="S47" s="10" t="e">
        <f>IF(Suma!$B46=$A$1,Suma!AY46,NA())</f>
        <v>#REF!</v>
      </c>
      <c r="T47" s="10" t="e">
        <f>IF(Suma!$B46=$A$1,Suma!AZ46,NA())</f>
        <v>#REF!</v>
      </c>
      <c r="U47" s="10" t="e">
        <f>IF(Suma!$B46=$A$1,Suma!J46,NA())</f>
        <v>#REF!</v>
      </c>
      <c r="V47" s="10" t="e">
        <f>IF(Suma!$B46=$A$1,Suma!K46,NA())</f>
        <v>#REF!</v>
      </c>
      <c r="W47" s="10" t="e">
        <f>IF(Suma!$B46=$A$1,Suma!L46,NA())</f>
        <v>#REF!</v>
      </c>
      <c r="X47" s="10" t="e">
        <f>IF(Suma!$B46=$A$1,Suma!M46,NA())</f>
        <v>#REF!</v>
      </c>
      <c r="Y47" s="10" t="e">
        <f>IF(Suma!$B46=$A$1,Suma!N46,NA())</f>
        <v>#REF!</v>
      </c>
      <c r="Z47" s="10" t="e">
        <f>IF(Suma!$B46=$A$1,Suma!O46,NA())</f>
        <v>#REF!</v>
      </c>
      <c r="AA47" s="10" t="e">
        <f>IF(Suma!$B46=$A$1,Suma!BC46,NA())</f>
        <v>#REF!</v>
      </c>
      <c r="AB47" s="10" t="e">
        <f>IF(Suma!$B46=$A$1,Suma!BD46,NA())</f>
        <v>#REF!</v>
      </c>
    </row>
    <row r="48" spans="1:28" x14ac:dyDescent="0.3">
      <c r="A48" s="1" t="e">
        <f>IF(Suma!$B47=$A$1,Suma!C47,NA())</f>
        <v>#REF!</v>
      </c>
      <c r="B48" s="1" t="e">
        <f>IF(Suma!$B47=$A$1,Suma!D47,NA())</f>
        <v>#REF!</v>
      </c>
      <c r="C48" s="2" t="e">
        <f>IF(Suma!$B47=$A$1,Suma!E47,NA())</f>
        <v>#REF!</v>
      </c>
      <c r="D48" s="2" t="e">
        <f>IF(Suma!$B47=$A$1,Suma!F47,NA())</f>
        <v>#REF!</v>
      </c>
      <c r="E48" s="1" t="e">
        <f>IF(Suma!$B47=$A$1,Suma!P47,NA())</f>
        <v>#REF!</v>
      </c>
      <c r="F48" s="10" t="e">
        <f t="shared" si="0"/>
        <v>#N/A</v>
      </c>
      <c r="G48" s="1" t="e">
        <f>IF(Suma!$B47=$A$1,Suma!W47,NA())</f>
        <v>#REF!</v>
      </c>
      <c r="H48" s="10" t="e">
        <f t="shared" si="1"/>
        <v>#N/A</v>
      </c>
      <c r="I48" s="1" t="e">
        <f>IF(Suma!$B47=$A$1,Suma!AD47,NA())</f>
        <v>#REF!</v>
      </c>
      <c r="J48" s="1" t="e">
        <f>IF(Suma!$B47=$A$1,Suma!AK47,NA())</f>
        <v>#REF!</v>
      </c>
      <c r="K48" s="10" t="e">
        <f>IF(Suma!$B47=$A$1,Suma!AS47,NA())</f>
        <v>#REF!</v>
      </c>
      <c r="L48" s="1" t="e">
        <f>IF(Suma!$B47=$A$1,Suma!G47,NA())</f>
        <v>#REF!</v>
      </c>
      <c r="M48" s="1" t="e">
        <f>IF(Suma!$B47=$A$1,Suma!H47,NA())</f>
        <v>#REF!</v>
      </c>
      <c r="N48" s="1" t="e">
        <f>IF(Suma!$B47=$A$1,Suma!AT47,NA())</f>
        <v>#REF!</v>
      </c>
      <c r="O48" s="1" t="e">
        <f>IF(Suma!$B47=$A$1,Suma!AU47,NA())</f>
        <v>#REF!</v>
      </c>
      <c r="P48" s="1" t="e">
        <f>IF(Suma!$B47=$A$1,Suma!AV47,NA())</f>
        <v>#REF!</v>
      </c>
      <c r="Q48" s="1" t="e">
        <f>IF(Suma!$B47=$A$1,Suma!AW47,NA())</f>
        <v>#REF!</v>
      </c>
      <c r="R48" s="10" t="e">
        <f>IF(Suma!$B47=$A$1,Suma!AX47,NA())</f>
        <v>#REF!</v>
      </c>
      <c r="S48" s="10" t="e">
        <f>IF(Suma!$B47=$A$1,Suma!AY47,NA())</f>
        <v>#REF!</v>
      </c>
      <c r="T48" s="10" t="e">
        <f>IF(Suma!$B47=$A$1,Suma!AZ47,NA())</f>
        <v>#REF!</v>
      </c>
      <c r="U48" s="10" t="e">
        <f>IF(Suma!$B47=$A$1,Suma!J47,NA())</f>
        <v>#REF!</v>
      </c>
      <c r="V48" s="10" t="e">
        <f>IF(Suma!$B47=$A$1,Suma!K47,NA())</f>
        <v>#REF!</v>
      </c>
      <c r="W48" s="10" t="e">
        <f>IF(Suma!$B47=$A$1,Suma!L47,NA())</f>
        <v>#REF!</v>
      </c>
      <c r="X48" s="10" t="e">
        <f>IF(Suma!$B47=$A$1,Suma!M47,NA())</f>
        <v>#REF!</v>
      </c>
      <c r="Y48" s="10" t="e">
        <f>IF(Suma!$B47=$A$1,Suma!N47,NA())</f>
        <v>#REF!</v>
      </c>
      <c r="Z48" s="10" t="e">
        <f>IF(Suma!$B47=$A$1,Suma!O47,NA())</f>
        <v>#REF!</v>
      </c>
      <c r="AA48" s="10" t="e">
        <f>IF(Suma!$B47=$A$1,Suma!BC47,NA())</f>
        <v>#REF!</v>
      </c>
      <c r="AB48" s="10" t="e">
        <f>IF(Suma!$B47=$A$1,Suma!BD47,NA())</f>
        <v>#REF!</v>
      </c>
    </row>
    <row r="49" spans="1:28" x14ac:dyDescent="0.3">
      <c r="A49" s="1" t="e">
        <f>IF(Suma!$B48=$A$1,Suma!C48,NA())</f>
        <v>#REF!</v>
      </c>
      <c r="B49" s="1" t="e">
        <f>IF(Suma!$B48=$A$1,Suma!D48,NA())</f>
        <v>#REF!</v>
      </c>
      <c r="C49" s="2" t="e">
        <f>IF(Suma!$B48=$A$1,Suma!E48,NA())</f>
        <v>#REF!</v>
      </c>
      <c r="D49" s="2" t="e">
        <f>IF(Suma!$B48=$A$1,Suma!F48,NA())</f>
        <v>#REF!</v>
      </c>
      <c r="E49" s="1" t="e">
        <f>IF(Suma!$B48=$A$1,Suma!P48,NA())</f>
        <v>#REF!</v>
      </c>
      <c r="F49" s="10" t="e">
        <f t="shared" si="0"/>
        <v>#N/A</v>
      </c>
      <c r="G49" s="1" t="e">
        <f>IF(Suma!$B48=$A$1,Suma!W48,NA())</f>
        <v>#REF!</v>
      </c>
      <c r="H49" s="10" t="e">
        <f t="shared" si="1"/>
        <v>#N/A</v>
      </c>
      <c r="I49" s="1" t="e">
        <f>IF(Suma!$B48=$A$1,Suma!AD48,NA())</f>
        <v>#REF!</v>
      </c>
      <c r="J49" s="1" t="e">
        <f>IF(Suma!$B48=$A$1,Suma!AK48,NA())</f>
        <v>#REF!</v>
      </c>
      <c r="K49" s="10" t="e">
        <f>IF(Suma!$B48=$A$1,Suma!AS48,NA())</f>
        <v>#REF!</v>
      </c>
      <c r="L49" s="1" t="e">
        <f>IF(Suma!$B48=$A$1,Suma!G48,NA())</f>
        <v>#REF!</v>
      </c>
      <c r="M49" s="1" t="e">
        <f>IF(Suma!$B48=$A$1,Suma!H48,NA())</f>
        <v>#REF!</v>
      </c>
      <c r="N49" s="1" t="e">
        <f>IF(Suma!$B48=$A$1,Suma!AT48,NA())</f>
        <v>#REF!</v>
      </c>
      <c r="O49" s="1" t="e">
        <f>IF(Suma!$B48=$A$1,Suma!AU48,NA())</f>
        <v>#REF!</v>
      </c>
      <c r="P49" s="1" t="e">
        <f>IF(Suma!$B48=$A$1,Suma!AV48,NA())</f>
        <v>#REF!</v>
      </c>
      <c r="Q49" s="1" t="e">
        <f>IF(Suma!$B48=$A$1,Suma!AW48,NA())</f>
        <v>#REF!</v>
      </c>
      <c r="R49" s="10" t="e">
        <f>IF(Suma!$B48=$A$1,Suma!AX48,NA())</f>
        <v>#REF!</v>
      </c>
      <c r="S49" s="10" t="e">
        <f>IF(Suma!$B48=$A$1,Suma!AY48,NA())</f>
        <v>#REF!</v>
      </c>
      <c r="T49" s="10" t="e">
        <f>IF(Suma!$B48=$A$1,Suma!AZ48,NA())</f>
        <v>#REF!</v>
      </c>
      <c r="U49" s="10" t="e">
        <f>IF(Suma!$B48=$A$1,Suma!J48,NA())</f>
        <v>#REF!</v>
      </c>
      <c r="V49" s="10" t="e">
        <f>IF(Suma!$B48=$A$1,Suma!K48,NA())</f>
        <v>#REF!</v>
      </c>
      <c r="W49" s="10" t="e">
        <f>IF(Suma!$B48=$A$1,Suma!L48,NA())</f>
        <v>#REF!</v>
      </c>
      <c r="X49" s="10" t="e">
        <f>IF(Suma!$B48=$A$1,Suma!M48,NA())</f>
        <v>#REF!</v>
      </c>
      <c r="Y49" s="10" t="e">
        <f>IF(Suma!$B48=$A$1,Suma!N48,NA())</f>
        <v>#REF!</v>
      </c>
      <c r="Z49" s="10" t="e">
        <f>IF(Suma!$B48=$A$1,Suma!O48,NA())</f>
        <v>#REF!</v>
      </c>
      <c r="AA49" s="10" t="e">
        <f>IF(Suma!$B48=$A$1,Suma!BC48,NA())</f>
        <v>#REF!</v>
      </c>
      <c r="AB49" s="10" t="e">
        <f>IF(Suma!$B48=$A$1,Suma!BD48,NA())</f>
        <v>#REF!</v>
      </c>
    </row>
    <row r="50" spans="1:28" x14ac:dyDescent="0.3">
      <c r="A50" s="1" t="e">
        <f>IF(Suma!$B49=$A$1,Suma!C49,NA())</f>
        <v>#REF!</v>
      </c>
      <c r="B50" s="1" t="e">
        <f>IF(Suma!$B49=$A$1,Suma!D49,NA())</f>
        <v>#REF!</v>
      </c>
      <c r="C50" s="2" t="e">
        <f>IF(Suma!$B49=$A$1,Suma!E49,NA())</f>
        <v>#REF!</v>
      </c>
      <c r="D50" s="2" t="e">
        <f>IF(Suma!$B49=$A$1,Suma!F49,NA())</f>
        <v>#REF!</v>
      </c>
      <c r="E50" s="1" t="e">
        <f>IF(Suma!$B49=$A$1,Suma!P49,NA())</f>
        <v>#REF!</v>
      </c>
      <c r="F50" s="10" t="e">
        <f t="shared" si="0"/>
        <v>#N/A</v>
      </c>
      <c r="G50" s="1" t="e">
        <f>IF(Suma!$B49=$A$1,Suma!W49,NA())</f>
        <v>#REF!</v>
      </c>
      <c r="H50" s="10" t="e">
        <f t="shared" si="1"/>
        <v>#N/A</v>
      </c>
      <c r="I50" s="1" t="e">
        <f>IF(Suma!$B49=$A$1,Suma!AD49,NA())</f>
        <v>#REF!</v>
      </c>
      <c r="J50" s="1" t="e">
        <f>IF(Suma!$B49=$A$1,Suma!AK49,NA())</f>
        <v>#REF!</v>
      </c>
      <c r="K50" s="10" t="e">
        <f>IF(Suma!$B49=$A$1,Suma!AS49,NA())</f>
        <v>#REF!</v>
      </c>
      <c r="L50" s="1" t="e">
        <f>IF(Suma!$B49=$A$1,Suma!G49,NA())</f>
        <v>#REF!</v>
      </c>
      <c r="M50" s="1" t="e">
        <f>IF(Suma!$B49=$A$1,Suma!H49,NA())</f>
        <v>#REF!</v>
      </c>
      <c r="N50" s="1" t="e">
        <f>IF(Suma!$B49=$A$1,Suma!AT49,NA())</f>
        <v>#REF!</v>
      </c>
      <c r="O50" s="1" t="e">
        <f>IF(Suma!$B49=$A$1,Suma!AU49,NA())</f>
        <v>#REF!</v>
      </c>
      <c r="P50" s="1" t="e">
        <f>IF(Suma!$B49=$A$1,Suma!AV49,NA())</f>
        <v>#REF!</v>
      </c>
      <c r="Q50" s="1" t="e">
        <f>IF(Suma!$B49=$A$1,Suma!AW49,NA())</f>
        <v>#REF!</v>
      </c>
      <c r="R50" s="10" t="e">
        <f>IF(Suma!$B49=$A$1,Suma!AX49,NA())</f>
        <v>#REF!</v>
      </c>
      <c r="S50" s="10" t="e">
        <f>IF(Suma!$B49=$A$1,Suma!AY49,NA())</f>
        <v>#REF!</v>
      </c>
      <c r="T50" s="10" t="e">
        <f>IF(Suma!$B49=$A$1,Suma!AZ49,NA())</f>
        <v>#REF!</v>
      </c>
      <c r="U50" s="10" t="e">
        <f>IF(Suma!$B49=$A$1,Suma!J49,NA())</f>
        <v>#REF!</v>
      </c>
      <c r="V50" s="10" t="e">
        <f>IF(Suma!$B49=$A$1,Suma!K49,NA())</f>
        <v>#REF!</v>
      </c>
      <c r="W50" s="10" t="e">
        <f>IF(Suma!$B49=$A$1,Suma!L49,NA())</f>
        <v>#REF!</v>
      </c>
      <c r="X50" s="10" t="e">
        <f>IF(Suma!$B49=$A$1,Suma!M49,NA())</f>
        <v>#REF!</v>
      </c>
      <c r="Y50" s="10" t="e">
        <f>IF(Suma!$B49=$A$1,Suma!N49,NA())</f>
        <v>#REF!</v>
      </c>
      <c r="Z50" s="10" t="e">
        <f>IF(Suma!$B49=$A$1,Suma!O49,NA())</f>
        <v>#REF!</v>
      </c>
      <c r="AA50" s="10" t="e">
        <f>IF(Suma!$B49=$A$1,Suma!BC49,NA())</f>
        <v>#REF!</v>
      </c>
      <c r="AB50" s="10" t="e">
        <f>IF(Suma!$B49=$A$1,Suma!BD49,NA())</f>
        <v>#REF!</v>
      </c>
    </row>
    <row r="51" spans="1:28" x14ac:dyDescent="0.3">
      <c r="A51" s="1" t="e">
        <f>IF(Suma!$B50=$A$1,Suma!C50,NA())</f>
        <v>#REF!</v>
      </c>
      <c r="B51" s="1" t="e">
        <f>IF(Suma!$B50=$A$1,Suma!D50,NA())</f>
        <v>#REF!</v>
      </c>
      <c r="C51" s="2" t="e">
        <f>IF(Suma!$B50=$A$1,Suma!E50,NA())</f>
        <v>#REF!</v>
      </c>
      <c r="D51" s="2" t="e">
        <f>IF(Suma!$B50=$A$1,Suma!F50,NA())</f>
        <v>#REF!</v>
      </c>
      <c r="E51" s="1" t="e">
        <f>IF(Suma!$B50=$A$1,Suma!P50,NA())</f>
        <v>#REF!</v>
      </c>
      <c r="F51" s="10" t="e">
        <f t="shared" si="0"/>
        <v>#N/A</v>
      </c>
      <c r="G51" s="1" t="e">
        <f>IF(Suma!$B50=$A$1,Suma!W50,NA())</f>
        <v>#REF!</v>
      </c>
      <c r="H51" s="10" t="e">
        <f t="shared" si="1"/>
        <v>#N/A</v>
      </c>
      <c r="I51" s="1" t="e">
        <f>IF(Suma!$B50=$A$1,Suma!AD50,NA())</f>
        <v>#REF!</v>
      </c>
      <c r="J51" s="1" t="e">
        <f>IF(Suma!$B50=$A$1,Suma!AK50,NA())</f>
        <v>#REF!</v>
      </c>
      <c r="K51" s="10" t="e">
        <f>IF(Suma!$B50=$A$1,Suma!AS50,NA())</f>
        <v>#REF!</v>
      </c>
      <c r="L51" s="1" t="e">
        <f>IF(Suma!$B50=$A$1,Suma!G50,NA())</f>
        <v>#REF!</v>
      </c>
      <c r="M51" s="1" t="e">
        <f>IF(Suma!$B50=$A$1,Suma!H50,NA())</f>
        <v>#REF!</v>
      </c>
      <c r="N51" s="1" t="e">
        <f>IF(Suma!$B50=$A$1,Suma!AT50,NA())</f>
        <v>#REF!</v>
      </c>
      <c r="O51" s="1" t="e">
        <f>IF(Suma!$B50=$A$1,Suma!AU50,NA())</f>
        <v>#REF!</v>
      </c>
      <c r="P51" s="1" t="e">
        <f>IF(Suma!$B50=$A$1,Suma!AV50,NA())</f>
        <v>#REF!</v>
      </c>
      <c r="Q51" s="1" t="e">
        <f>IF(Suma!$B50=$A$1,Suma!AW50,NA())</f>
        <v>#REF!</v>
      </c>
      <c r="R51" s="10" t="e">
        <f>IF(Suma!$B50=$A$1,Suma!AX50,NA())</f>
        <v>#REF!</v>
      </c>
      <c r="S51" s="10" t="e">
        <f>IF(Suma!$B50=$A$1,Suma!AY50,NA())</f>
        <v>#REF!</v>
      </c>
      <c r="T51" s="10" t="e">
        <f>IF(Suma!$B50=$A$1,Suma!AZ50,NA())</f>
        <v>#REF!</v>
      </c>
      <c r="U51" s="10" t="e">
        <f>IF(Suma!$B50=$A$1,Suma!J50,NA())</f>
        <v>#REF!</v>
      </c>
      <c r="V51" s="10" t="e">
        <f>IF(Suma!$B50=$A$1,Suma!K50,NA())</f>
        <v>#REF!</v>
      </c>
      <c r="W51" s="10" t="e">
        <f>IF(Suma!$B50=$A$1,Suma!L50,NA())</f>
        <v>#REF!</v>
      </c>
      <c r="X51" s="10" t="e">
        <f>IF(Suma!$B50=$A$1,Suma!M50,NA())</f>
        <v>#REF!</v>
      </c>
      <c r="Y51" s="10" t="e">
        <f>IF(Suma!$B50=$A$1,Suma!N50,NA())</f>
        <v>#REF!</v>
      </c>
      <c r="Z51" s="10" t="e">
        <f>IF(Suma!$B50=$A$1,Suma!O50,NA())</f>
        <v>#REF!</v>
      </c>
      <c r="AA51" s="10" t="e">
        <f>IF(Suma!$B50=$A$1,Suma!BC50,NA())</f>
        <v>#REF!</v>
      </c>
      <c r="AB51" s="10" t="e">
        <f>IF(Suma!$B50=$A$1,Suma!BD50,NA())</f>
        <v>#REF!</v>
      </c>
    </row>
    <row r="52" spans="1:28" x14ac:dyDescent="0.3">
      <c r="A52" s="1" t="e">
        <f>IF(Suma!$B51=$A$1,Suma!C51,NA())</f>
        <v>#REF!</v>
      </c>
      <c r="B52" s="1" t="e">
        <f>IF(Suma!$B51=$A$1,Suma!D51,NA())</f>
        <v>#REF!</v>
      </c>
      <c r="C52" s="2" t="e">
        <f>IF(Suma!$B51=$A$1,Suma!E51,NA())</f>
        <v>#REF!</v>
      </c>
      <c r="D52" s="2" t="e">
        <f>IF(Suma!$B51=$A$1,Suma!F51,NA())</f>
        <v>#REF!</v>
      </c>
      <c r="E52" s="1" t="e">
        <f>IF(Suma!$B51=$A$1,Suma!P51,NA())</f>
        <v>#REF!</v>
      </c>
      <c r="F52" s="10" t="e">
        <f t="shared" si="0"/>
        <v>#N/A</v>
      </c>
      <c r="G52" s="1" t="e">
        <f>IF(Suma!$B51=$A$1,Suma!W51,NA())</f>
        <v>#REF!</v>
      </c>
      <c r="H52" s="10" t="e">
        <f t="shared" si="1"/>
        <v>#N/A</v>
      </c>
      <c r="I52" s="1" t="e">
        <f>IF(Suma!$B51=$A$1,Suma!AD51,NA())</f>
        <v>#REF!</v>
      </c>
      <c r="J52" s="1" t="e">
        <f>IF(Suma!$B51=$A$1,Suma!AK51,NA())</f>
        <v>#REF!</v>
      </c>
      <c r="K52" s="10" t="e">
        <f>IF(Suma!$B51=$A$1,Suma!AS51,NA())</f>
        <v>#REF!</v>
      </c>
      <c r="L52" s="1" t="e">
        <f>IF(Suma!$B51=$A$1,Suma!G51,NA())</f>
        <v>#REF!</v>
      </c>
      <c r="M52" s="1" t="e">
        <f>IF(Suma!$B51=$A$1,Suma!H51,NA())</f>
        <v>#REF!</v>
      </c>
      <c r="N52" s="1" t="e">
        <f>IF(Suma!$B51=$A$1,Suma!AT51,NA())</f>
        <v>#REF!</v>
      </c>
      <c r="O52" s="1" t="e">
        <f>IF(Suma!$B51=$A$1,Suma!AU51,NA())</f>
        <v>#REF!</v>
      </c>
      <c r="P52" s="1" t="e">
        <f>IF(Suma!$B51=$A$1,Suma!AV51,NA())</f>
        <v>#REF!</v>
      </c>
      <c r="Q52" s="1" t="e">
        <f>IF(Suma!$B51=$A$1,Suma!AW51,NA())</f>
        <v>#REF!</v>
      </c>
      <c r="R52" s="10" t="e">
        <f>IF(Suma!$B51=$A$1,Suma!AX51,NA())</f>
        <v>#REF!</v>
      </c>
      <c r="S52" s="10" t="e">
        <f>IF(Suma!$B51=$A$1,Suma!AY51,NA())</f>
        <v>#REF!</v>
      </c>
      <c r="T52" s="10" t="e">
        <f>IF(Suma!$B51=$A$1,Suma!AZ51,NA())</f>
        <v>#REF!</v>
      </c>
      <c r="U52" s="10" t="e">
        <f>IF(Suma!$B51=$A$1,Suma!J51,NA())</f>
        <v>#REF!</v>
      </c>
      <c r="V52" s="10" t="e">
        <f>IF(Suma!$B51=$A$1,Suma!K51,NA())</f>
        <v>#REF!</v>
      </c>
      <c r="W52" s="10" t="e">
        <f>IF(Suma!$B51=$A$1,Suma!L51,NA())</f>
        <v>#REF!</v>
      </c>
      <c r="X52" s="10" t="e">
        <f>IF(Suma!$B51=$A$1,Suma!M51,NA())</f>
        <v>#REF!</v>
      </c>
      <c r="Y52" s="10" t="e">
        <f>IF(Suma!$B51=$A$1,Suma!N51,NA())</f>
        <v>#REF!</v>
      </c>
      <c r="Z52" s="10" t="e">
        <f>IF(Suma!$B51=$A$1,Suma!O51,NA())</f>
        <v>#REF!</v>
      </c>
      <c r="AA52" s="10" t="e">
        <f>IF(Suma!$B51=$A$1,Suma!BC51,NA())</f>
        <v>#REF!</v>
      </c>
      <c r="AB52" s="10" t="e">
        <f>IF(Suma!$B51=$A$1,Suma!BD51,NA())</f>
        <v>#REF!</v>
      </c>
    </row>
    <row r="53" spans="1:28" x14ac:dyDescent="0.3">
      <c r="A53" s="1" t="e">
        <f>IF(Suma!$B52=$A$1,Suma!C52,NA())</f>
        <v>#REF!</v>
      </c>
      <c r="B53" s="1" t="e">
        <f>IF(Suma!$B52=$A$1,Suma!D52,NA())</f>
        <v>#REF!</v>
      </c>
      <c r="C53" s="2" t="e">
        <f>IF(Suma!$B52=$A$1,Suma!E52,NA())</f>
        <v>#REF!</v>
      </c>
      <c r="D53" s="2" t="e">
        <f>IF(Suma!$B52=$A$1,Suma!F52,NA())</f>
        <v>#REF!</v>
      </c>
      <c r="E53" s="1" t="e">
        <f>IF(Suma!$B52=$A$1,Suma!P52,NA())</f>
        <v>#REF!</v>
      </c>
      <c r="F53" s="10" t="e">
        <f t="shared" si="0"/>
        <v>#N/A</v>
      </c>
      <c r="G53" s="1" t="e">
        <f>IF(Suma!$B52=$A$1,Suma!W52,NA())</f>
        <v>#REF!</v>
      </c>
      <c r="H53" s="10" t="e">
        <f t="shared" si="1"/>
        <v>#N/A</v>
      </c>
      <c r="I53" s="1" t="e">
        <f>IF(Suma!$B52=$A$1,Suma!AD52,NA())</f>
        <v>#REF!</v>
      </c>
      <c r="J53" s="1" t="e">
        <f>IF(Suma!$B52=$A$1,Suma!AK52,NA())</f>
        <v>#REF!</v>
      </c>
      <c r="K53" s="10" t="e">
        <f>IF(Suma!$B52=$A$1,Suma!AS52,NA())</f>
        <v>#REF!</v>
      </c>
      <c r="L53" s="1" t="e">
        <f>IF(Suma!$B52=$A$1,Suma!G52,NA())</f>
        <v>#REF!</v>
      </c>
      <c r="M53" s="1" t="e">
        <f>IF(Suma!$B52=$A$1,Suma!H52,NA())</f>
        <v>#REF!</v>
      </c>
      <c r="N53" s="1" t="e">
        <f>IF(Suma!$B52=$A$1,Suma!AT52,NA())</f>
        <v>#REF!</v>
      </c>
      <c r="O53" s="1" t="e">
        <f>IF(Suma!$B52=$A$1,Suma!AU52,NA())</f>
        <v>#REF!</v>
      </c>
      <c r="P53" s="1" t="e">
        <f>IF(Suma!$B52=$A$1,Suma!AV52,NA())</f>
        <v>#REF!</v>
      </c>
      <c r="Q53" s="1" t="e">
        <f>IF(Suma!$B52=$A$1,Suma!AW52,NA())</f>
        <v>#REF!</v>
      </c>
      <c r="R53" s="10" t="e">
        <f>IF(Suma!$B52=$A$1,Suma!AX52,NA())</f>
        <v>#REF!</v>
      </c>
      <c r="S53" s="10" t="e">
        <f>IF(Suma!$B52=$A$1,Suma!AY52,NA())</f>
        <v>#REF!</v>
      </c>
      <c r="T53" s="10" t="e">
        <f>IF(Suma!$B52=$A$1,Suma!AZ52,NA())</f>
        <v>#REF!</v>
      </c>
      <c r="U53" s="10" t="e">
        <f>IF(Suma!$B52=$A$1,Suma!J52,NA())</f>
        <v>#REF!</v>
      </c>
      <c r="V53" s="10" t="e">
        <f>IF(Suma!$B52=$A$1,Suma!K52,NA())</f>
        <v>#REF!</v>
      </c>
      <c r="W53" s="10" t="e">
        <f>IF(Suma!$B52=$A$1,Suma!L52,NA())</f>
        <v>#REF!</v>
      </c>
      <c r="X53" s="10" t="e">
        <f>IF(Suma!$B52=$A$1,Suma!M52,NA())</f>
        <v>#REF!</v>
      </c>
      <c r="Y53" s="10" t="e">
        <f>IF(Suma!$B52=$A$1,Suma!N52,NA())</f>
        <v>#REF!</v>
      </c>
      <c r="Z53" s="10" t="e">
        <f>IF(Suma!$B52=$A$1,Suma!O52,NA())</f>
        <v>#REF!</v>
      </c>
      <c r="AA53" s="10" t="e">
        <f>IF(Suma!$B52=$A$1,Suma!BC52,NA())</f>
        <v>#REF!</v>
      </c>
      <c r="AB53" s="10" t="e">
        <f>IF(Suma!$B52=$A$1,Suma!BD52,NA())</f>
        <v>#REF!</v>
      </c>
    </row>
    <row r="54" spans="1:28" x14ac:dyDescent="0.3">
      <c r="A54" s="1" t="e">
        <f>IF(Suma!$B53=$A$1,Suma!C53,NA())</f>
        <v>#REF!</v>
      </c>
      <c r="B54" s="1" t="e">
        <f>IF(Suma!$B53=$A$1,Suma!D53,NA())</f>
        <v>#REF!</v>
      </c>
      <c r="C54" s="2" t="e">
        <f>IF(Suma!$B53=$A$1,Suma!E53,NA())</f>
        <v>#REF!</v>
      </c>
      <c r="D54" s="2" t="e">
        <f>IF(Suma!$B53=$A$1,Suma!F53,NA())</f>
        <v>#REF!</v>
      </c>
      <c r="E54" s="1" t="e">
        <f>IF(Suma!$B53=$A$1,Suma!P53,NA())</f>
        <v>#REF!</v>
      </c>
      <c r="F54" s="10" t="e">
        <f t="shared" si="0"/>
        <v>#N/A</v>
      </c>
      <c r="G54" s="1" t="e">
        <f>IF(Suma!$B53=$A$1,Suma!W53,NA())</f>
        <v>#REF!</v>
      </c>
      <c r="H54" s="10" t="e">
        <f t="shared" si="1"/>
        <v>#N/A</v>
      </c>
      <c r="I54" s="1" t="e">
        <f>IF(Suma!$B53=$A$1,Suma!AD53,NA())</f>
        <v>#REF!</v>
      </c>
      <c r="J54" s="1" t="e">
        <f>IF(Suma!$B53=$A$1,Suma!AK53,NA())</f>
        <v>#REF!</v>
      </c>
      <c r="K54" s="10" t="e">
        <f>IF(Suma!$B53=$A$1,Suma!AS53,NA())</f>
        <v>#REF!</v>
      </c>
      <c r="L54" s="1" t="e">
        <f>IF(Suma!$B53=$A$1,Suma!G53,NA())</f>
        <v>#REF!</v>
      </c>
      <c r="M54" s="1" t="e">
        <f>IF(Suma!$B53=$A$1,Suma!H53,NA())</f>
        <v>#REF!</v>
      </c>
      <c r="N54" s="1" t="e">
        <f>IF(Suma!$B53=$A$1,Suma!AT53,NA())</f>
        <v>#REF!</v>
      </c>
      <c r="O54" s="1" t="e">
        <f>IF(Suma!$B53=$A$1,Suma!AU53,NA())</f>
        <v>#REF!</v>
      </c>
      <c r="P54" s="1" t="e">
        <f>IF(Suma!$B53=$A$1,Suma!AV53,NA())</f>
        <v>#REF!</v>
      </c>
      <c r="Q54" s="1" t="e">
        <f>IF(Suma!$B53=$A$1,Suma!AW53,NA())</f>
        <v>#REF!</v>
      </c>
      <c r="R54" s="10" t="e">
        <f>IF(Suma!$B53=$A$1,Suma!AX53,NA())</f>
        <v>#REF!</v>
      </c>
      <c r="S54" s="10" t="e">
        <f>IF(Suma!$B53=$A$1,Suma!AY53,NA())</f>
        <v>#REF!</v>
      </c>
      <c r="T54" s="10" t="e">
        <f>IF(Suma!$B53=$A$1,Suma!AZ53,NA())</f>
        <v>#REF!</v>
      </c>
      <c r="U54" s="10" t="e">
        <f>IF(Suma!$B53=$A$1,Suma!J53,NA())</f>
        <v>#REF!</v>
      </c>
      <c r="V54" s="10" t="e">
        <f>IF(Suma!$B53=$A$1,Suma!K53,NA())</f>
        <v>#REF!</v>
      </c>
      <c r="W54" s="10" t="e">
        <f>IF(Suma!$B53=$A$1,Suma!L53,NA())</f>
        <v>#REF!</v>
      </c>
      <c r="X54" s="10" t="e">
        <f>IF(Suma!$B53=$A$1,Suma!M53,NA())</f>
        <v>#REF!</v>
      </c>
      <c r="Y54" s="10" t="e">
        <f>IF(Suma!$B53=$A$1,Suma!N53,NA())</f>
        <v>#REF!</v>
      </c>
      <c r="Z54" s="10" t="e">
        <f>IF(Suma!$B53=$A$1,Suma!O53,NA())</f>
        <v>#REF!</v>
      </c>
      <c r="AA54" s="10" t="e">
        <f>IF(Suma!$B53=$A$1,Suma!BC53,NA())</f>
        <v>#REF!</v>
      </c>
      <c r="AB54" s="10" t="e">
        <f>IF(Suma!$B53=$A$1,Suma!BD53,NA())</f>
        <v>#REF!</v>
      </c>
    </row>
    <row r="55" spans="1:28" x14ac:dyDescent="0.3">
      <c r="A55" s="1" t="e">
        <f>IF(Suma!$B54=$A$1,Suma!C54,NA())</f>
        <v>#REF!</v>
      </c>
      <c r="B55" s="1" t="e">
        <f>IF(Suma!$B54=$A$1,Suma!D54,NA())</f>
        <v>#REF!</v>
      </c>
      <c r="C55" s="2" t="e">
        <f>IF(Suma!$B54=$A$1,Suma!E54,NA())</f>
        <v>#REF!</v>
      </c>
      <c r="D55" s="2" t="e">
        <f>IF(Suma!$B54=$A$1,Suma!F54,NA())</f>
        <v>#REF!</v>
      </c>
      <c r="E55" s="1" t="e">
        <f>IF(Suma!$B54=$A$1,Suma!P54,NA())</f>
        <v>#REF!</v>
      </c>
      <c r="F55" s="10" t="e">
        <f t="shared" si="0"/>
        <v>#N/A</v>
      </c>
      <c r="G55" s="1" t="e">
        <f>IF(Suma!$B54=$A$1,Suma!W54,NA())</f>
        <v>#REF!</v>
      </c>
      <c r="H55" s="10" t="e">
        <f t="shared" si="1"/>
        <v>#N/A</v>
      </c>
      <c r="I55" s="1" t="e">
        <f>IF(Suma!$B54=$A$1,Suma!AD54,NA())</f>
        <v>#REF!</v>
      </c>
      <c r="J55" s="1" t="e">
        <f>IF(Suma!$B54=$A$1,Suma!AK54,NA())</f>
        <v>#REF!</v>
      </c>
      <c r="K55" s="10" t="e">
        <f>IF(Suma!$B54=$A$1,Suma!AS54,NA())</f>
        <v>#REF!</v>
      </c>
      <c r="L55" s="1" t="e">
        <f>IF(Suma!$B54=$A$1,Suma!G54,NA())</f>
        <v>#REF!</v>
      </c>
      <c r="M55" s="1" t="e">
        <f>IF(Suma!$B54=$A$1,Suma!H54,NA())</f>
        <v>#REF!</v>
      </c>
      <c r="N55" s="1" t="e">
        <f>IF(Suma!$B54=$A$1,Suma!AT54,NA())</f>
        <v>#REF!</v>
      </c>
      <c r="O55" s="1" t="e">
        <f>IF(Suma!$B54=$A$1,Suma!AU54,NA())</f>
        <v>#REF!</v>
      </c>
      <c r="P55" s="1" t="e">
        <f>IF(Suma!$B54=$A$1,Suma!AV54,NA())</f>
        <v>#REF!</v>
      </c>
      <c r="Q55" s="1" t="e">
        <f>IF(Suma!$B54=$A$1,Suma!AW54,NA())</f>
        <v>#REF!</v>
      </c>
      <c r="R55" s="10" t="e">
        <f>IF(Suma!$B54=$A$1,Suma!AX54,NA())</f>
        <v>#REF!</v>
      </c>
      <c r="S55" s="10" t="e">
        <f>IF(Suma!$B54=$A$1,Suma!AY54,NA())</f>
        <v>#REF!</v>
      </c>
      <c r="T55" s="10" t="e">
        <f>IF(Suma!$B54=$A$1,Suma!AZ54,NA())</f>
        <v>#REF!</v>
      </c>
      <c r="U55" s="10" t="e">
        <f>IF(Suma!$B54=$A$1,Suma!J54,NA())</f>
        <v>#REF!</v>
      </c>
      <c r="V55" s="10" t="e">
        <f>IF(Suma!$B54=$A$1,Suma!K54,NA())</f>
        <v>#REF!</v>
      </c>
      <c r="W55" s="10" t="e">
        <f>IF(Suma!$B54=$A$1,Suma!L54,NA())</f>
        <v>#REF!</v>
      </c>
      <c r="X55" s="10" t="e">
        <f>IF(Suma!$B54=$A$1,Suma!M54,NA())</f>
        <v>#REF!</v>
      </c>
      <c r="Y55" s="10" t="e">
        <f>IF(Suma!$B54=$A$1,Suma!N54,NA())</f>
        <v>#REF!</v>
      </c>
      <c r="Z55" s="10" t="e">
        <f>IF(Suma!$B54=$A$1,Suma!O54,NA())</f>
        <v>#REF!</v>
      </c>
      <c r="AA55" s="10" t="e">
        <f>IF(Suma!$B54=$A$1,Suma!BC54,NA())</f>
        <v>#REF!</v>
      </c>
      <c r="AB55" s="10" t="e">
        <f>IF(Suma!$B54=$A$1,Suma!BD54,NA())</f>
        <v>#REF!</v>
      </c>
    </row>
    <row r="56" spans="1:28" x14ac:dyDescent="0.3">
      <c r="A56" s="1" t="e">
        <f>IF(Suma!$B55=$A$1,Suma!C55,NA())</f>
        <v>#REF!</v>
      </c>
      <c r="B56" s="1" t="e">
        <f>IF(Suma!$B55=$A$1,Suma!D55,NA())</f>
        <v>#REF!</v>
      </c>
      <c r="C56" s="2" t="e">
        <f>IF(Suma!$B55=$A$1,Suma!E55,NA())</f>
        <v>#REF!</v>
      </c>
      <c r="D56" s="2" t="e">
        <f>IF(Suma!$B55=$A$1,Suma!F55,NA())</f>
        <v>#REF!</v>
      </c>
      <c r="E56" s="1" t="e">
        <f>IF(Suma!$B55=$A$1,Suma!P55,NA())</f>
        <v>#REF!</v>
      </c>
      <c r="F56" s="10" t="e">
        <f t="shared" si="0"/>
        <v>#N/A</v>
      </c>
      <c r="G56" s="1" t="e">
        <f>IF(Suma!$B55=$A$1,Suma!W55,NA())</f>
        <v>#REF!</v>
      </c>
      <c r="H56" s="10" t="e">
        <f t="shared" si="1"/>
        <v>#N/A</v>
      </c>
      <c r="I56" s="1" t="e">
        <f>IF(Suma!$B55=$A$1,Suma!AD55,NA())</f>
        <v>#REF!</v>
      </c>
      <c r="J56" s="1" t="e">
        <f>IF(Suma!$B55=$A$1,Suma!AK55,NA())</f>
        <v>#REF!</v>
      </c>
      <c r="K56" s="10" t="e">
        <f>IF(Suma!$B55=$A$1,Suma!AS55,NA())</f>
        <v>#REF!</v>
      </c>
      <c r="L56" s="1" t="e">
        <f>IF(Suma!$B55=$A$1,Suma!G55,NA())</f>
        <v>#REF!</v>
      </c>
      <c r="M56" s="1" t="e">
        <f>IF(Suma!$B55=$A$1,Suma!H55,NA())</f>
        <v>#REF!</v>
      </c>
      <c r="N56" s="1" t="e">
        <f>IF(Suma!$B55=$A$1,Suma!AT55,NA())</f>
        <v>#REF!</v>
      </c>
      <c r="O56" s="1" t="e">
        <f>IF(Suma!$B55=$A$1,Suma!AU55,NA())</f>
        <v>#REF!</v>
      </c>
      <c r="P56" s="1" t="e">
        <f>IF(Suma!$B55=$A$1,Suma!AV55,NA())</f>
        <v>#REF!</v>
      </c>
      <c r="Q56" s="1" t="e">
        <f>IF(Suma!$B55=$A$1,Suma!AW55,NA())</f>
        <v>#REF!</v>
      </c>
      <c r="R56" s="10" t="e">
        <f>IF(Suma!$B55=$A$1,Suma!AX55,NA())</f>
        <v>#REF!</v>
      </c>
      <c r="S56" s="10" t="e">
        <f>IF(Suma!$B55=$A$1,Suma!AY55,NA())</f>
        <v>#REF!</v>
      </c>
      <c r="T56" s="10" t="e">
        <f>IF(Suma!$B55=$A$1,Suma!AZ55,NA())</f>
        <v>#REF!</v>
      </c>
      <c r="U56" s="10" t="e">
        <f>IF(Suma!$B55=$A$1,Suma!J55,NA())</f>
        <v>#REF!</v>
      </c>
      <c r="V56" s="10" t="e">
        <f>IF(Suma!$B55=$A$1,Suma!K55,NA())</f>
        <v>#REF!</v>
      </c>
      <c r="W56" s="10" t="e">
        <f>IF(Suma!$B55=$A$1,Suma!L55,NA())</f>
        <v>#REF!</v>
      </c>
      <c r="X56" s="10" t="e">
        <f>IF(Suma!$B55=$A$1,Suma!M55,NA())</f>
        <v>#REF!</v>
      </c>
      <c r="Y56" s="10" t="e">
        <f>IF(Suma!$B55=$A$1,Suma!N55,NA())</f>
        <v>#REF!</v>
      </c>
      <c r="Z56" s="10" t="e">
        <f>IF(Suma!$B55=$A$1,Suma!O55,NA())</f>
        <v>#REF!</v>
      </c>
      <c r="AA56" s="10" t="e">
        <f>IF(Suma!$B55=$A$1,Suma!BC55,NA())</f>
        <v>#REF!</v>
      </c>
      <c r="AB56" s="10" t="e">
        <f>IF(Suma!$B55=$A$1,Suma!BD55,NA())</f>
        <v>#REF!</v>
      </c>
    </row>
    <row r="57" spans="1:28" x14ac:dyDescent="0.3">
      <c r="A57" s="1" t="e">
        <f>IF(Suma!$B56=$A$1,Suma!C56,NA())</f>
        <v>#REF!</v>
      </c>
      <c r="B57" s="1" t="e">
        <f>IF(Suma!$B56=$A$1,Suma!D56,NA())</f>
        <v>#REF!</v>
      </c>
      <c r="C57" s="2" t="e">
        <f>IF(Suma!$B56=$A$1,Suma!E56,NA())</f>
        <v>#REF!</v>
      </c>
      <c r="D57" s="2" t="e">
        <f>IF(Suma!$B56=$A$1,Suma!F56,NA())</f>
        <v>#REF!</v>
      </c>
      <c r="E57" s="1" t="e">
        <f>IF(Suma!$B56=$A$1,Suma!P56,NA())</f>
        <v>#REF!</v>
      </c>
      <c r="F57" s="10" t="e">
        <f t="shared" si="0"/>
        <v>#N/A</v>
      </c>
      <c r="G57" s="1" t="e">
        <f>IF(Suma!$B56=$A$1,Suma!W56,NA())</f>
        <v>#REF!</v>
      </c>
      <c r="H57" s="10" t="e">
        <f t="shared" si="1"/>
        <v>#N/A</v>
      </c>
      <c r="I57" s="1" t="e">
        <f>IF(Suma!$B56=$A$1,Suma!AD56,NA())</f>
        <v>#REF!</v>
      </c>
      <c r="J57" s="1" t="e">
        <f>IF(Suma!$B56=$A$1,Suma!AK56,NA())</f>
        <v>#REF!</v>
      </c>
      <c r="K57" s="10" t="e">
        <f>IF(Suma!$B56=$A$1,Suma!AS56,NA())</f>
        <v>#REF!</v>
      </c>
      <c r="L57" s="1" t="e">
        <f>IF(Suma!$B56=$A$1,Suma!G56,NA())</f>
        <v>#REF!</v>
      </c>
      <c r="M57" s="1" t="e">
        <f>IF(Suma!$B56=$A$1,Suma!H56,NA())</f>
        <v>#REF!</v>
      </c>
      <c r="N57" s="1" t="e">
        <f>IF(Suma!$B56=$A$1,Suma!AT56,NA())</f>
        <v>#REF!</v>
      </c>
      <c r="O57" s="1" t="e">
        <f>IF(Suma!$B56=$A$1,Suma!AU56,NA())</f>
        <v>#REF!</v>
      </c>
      <c r="P57" s="1" t="e">
        <f>IF(Suma!$B56=$A$1,Suma!AV56,NA())</f>
        <v>#REF!</v>
      </c>
      <c r="Q57" s="1" t="e">
        <f>IF(Suma!$B56=$A$1,Suma!AW56,NA())</f>
        <v>#REF!</v>
      </c>
      <c r="R57" s="10" t="e">
        <f>IF(Suma!$B56=$A$1,Suma!AX56,NA())</f>
        <v>#REF!</v>
      </c>
      <c r="S57" s="10" t="e">
        <f>IF(Suma!$B56=$A$1,Suma!AY56,NA())</f>
        <v>#REF!</v>
      </c>
      <c r="T57" s="10" t="e">
        <f>IF(Suma!$B56=$A$1,Suma!AZ56,NA())</f>
        <v>#REF!</v>
      </c>
      <c r="U57" s="10" t="e">
        <f>IF(Suma!$B56=$A$1,Suma!J56,NA())</f>
        <v>#REF!</v>
      </c>
      <c r="V57" s="10" t="e">
        <f>IF(Suma!$B56=$A$1,Suma!K56,NA())</f>
        <v>#REF!</v>
      </c>
      <c r="W57" s="10" t="e">
        <f>IF(Suma!$B56=$A$1,Suma!L56,NA())</f>
        <v>#REF!</v>
      </c>
      <c r="X57" s="10" t="e">
        <f>IF(Suma!$B56=$A$1,Suma!M56,NA())</f>
        <v>#REF!</v>
      </c>
      <c r="Y57" s="10" t="e">
        <f>IF(Suma!$B56=$A$1,Suma!N56,NA())</f>
        <v>#REF!</v>
      </c>
      <c r="Z57" s="10" t="e">
        <f>IF(Suma!$B56=$A$1,Suma!O56,NA())</f>
        <v>#REF!</v>
      </c>
      <c r="AA57" s="10" t="e">
        <f>IF(Suma!$B56=$A$1,Suma!BC56,NA())</f>
        <v>#REF!</v>
      </c>
      <c r="AB57" s="10" t="e">
        <f>IF(Suma!$B56=$A$1,Suma!BD56,NA())</f>
        <v>#REF!</v>
      </c>
    </row>
    <row r="58" spans="1:28" x14ac:dyDescent="0.3">
      <c r="A58" s="1" t="e">
        <f>IF(Suma!$B57=$A$1,Suma!C57,NA())</f>
        <v>#REF!</v>
      </c>
      <c r="B58" s="1" t="e">
        <f>IF(Suma!$B57=$A$1,Suma!D57,NA())</f>
        <v>#REF!</v>
      </c>
      <c r="C58" s="2" t="e">
        <f>IF(Suma!$B57=$A$1,Suma!E57,NA())</f>
        <v>#REF!</v>
      </c>
      <c r="D58" s="2" t="e">
        <f>IF(Suma!$B57=$A$1,Suma!F57,NA())</f>
        <v>#REF!</v>
      </c>
      <c r="E58" s="1" t="e">
        <f>IF(Suma!$B57=$A$1,Suma!P57,NA())</f>
        <v>#REF!</v>
      </c>
      <c r="F58" s="10" t="e">
        <f t="shared" si="0"/>
        <v>#N/A</v>
      </c>
      <c r="G58" s="1" t="e">
        <f>IF(Suma!$B57=$A$1,Suma!W57,NA())</f>
        <v>#REF!</v>
      </c>
      <c r="H58" s="10" t="e">
        <f t="shared" si="1"/>
        <v>#N/A</v>
      </c>
      <c r="I58" s="1" t="e">
        <f>IF(Suma!$B57=$A$1,Suma!AD57,NA())</f>
        <v>#REF!</v>
      </c>
      <c r="J58" s="1" t="e">
        <f>IF(Suma!$B57=$A$1,Suma!AK57,NA())</f>
        <v>#REF!</v>
      </c>
      <c r="K58" s="10" t="e">
        <f>IF(Suma!$B57=$A$1,Suma!AS57,NA())</f>
        <v>#REF!</v>
      </c>
      <c r="L58" s="1" t="e">
        <f>IF(Suma!$B57=$A$1,Suma!G57,NA())</f>
        <v>#REF!</v>
      </c>
      <c r="M58" s="1" t="e">
        <f>IF(Suma!$B57=$A$1,Suma!H57,NA())</f>
        <v>#REF!</v>
      </c>
      <c r="N58" s="1" t="e">
        <f>IF(Suma!$B57=$A$1,Suma!AT57,NA())</f>
        <v>#REF!</v>
      </c>
      <c r="O58" s="1" t="e">
        <f>IF(Suma!$B57=$A$1,Suma!AU57,NA())</f>
        <v>#REF!</v>
      </c>
      <c r="P58" s="1" t="e">
        <f>IF(Suma!$B57=$A$1,Suma!AV57,NA())</f>
        <v>#REF!</v>
      </c>
      <c r="Q58" s="1" t="e">
        <f>IF(Suma!$B57=$A$1,Suma!AW57,NA())</f>
        <v>#REF!</v>
      </c>
      <c r="R58" s="10" t="e">
        <f>IF(Suma!$B57=$A$1,Suma!AX57,NA())</f>
        <v>#REF!</v>
      </c>
      <c r="S58" s="10" t="e">
        <f>IF(Suma!$B57=$A$1,Suma!AY57,NA())</f>
        <v>#REF!</v>
      </c>
      <c r="T58" s="10" t="e">
        <f>IF(Suma!$B57=$A$1,Suma!AZ57,NA())</f>
        <v>#REF!</v>
      </c>
      <c r="U58" s="10" t="e">
        <f>IF(Suma!$B57=$A$1,Suma!J57,NA())</f>
        <v>#REF!</v>
      </c>
      <c r="V58" s="10" t="e">
        <f>IF(Suma!$B57=$A$1,Suma!K57,NA())</f>
        <v>#REF!</v>
      </c>
      <c r="W58" s="10" t="e">
        <f>IF(Suma!$B57=$A$1,Suma!L57,NA())</f>
        <v>#REF!</v>
      </c>
      <c r="X58" s="10" t="e">
        <f>IF(Suma!$B57=$A$1,Suma!M57,NA())</f>
        <v>#REF!</v>
      </c>
      <c r="Y58" s="10" t="e">
        <f>IF(Suma!$B57=$A$1,Suma!N57,NA())</f>
        <v>#REF!</v>
      </c>
      <c r="Z58" s="10" t="e">
        <f>IF(Suma!$B57=$A$1,Suma!O57,NA())</f>
        <v>#REF!</v>
      </c>
      <c r="AA58" s="10" t="e">
        <f>IF(Suma!$B57=$A$1,Suma!BC57,NA())</f>
        <v>#REF!</v>
      </c>
      <c r="AB58" s="10" t="e">
        <f>IF(Suma!$B57=$A$1,Suma!BD57,NA())</f>
        <v>#REF!</v>
      </c>
    </row>
    <row r="59" spans="1:28" x14ac:dyDescent="0.3">
      <c r="A59" s="1" t="e">
        <f>IF(Suma!$B58=$A$1,Suma!C58,NA())</f>
        <v>#REF!</v>
      </c>
      <c r="B59" s="1" t="e">
        <f>IF(Suma!$B58=$A$1,Suma!D58,NA())</f>
        <v>#REF!</v>
      </c>
      <c r="C59" s="2" t="e">
        <f>IF(Suma!$B58=$A$1,Suma!E58,NA())</f>
        <v>#REF!</v>
      </c>
      <c r="D59" s="2" t="e">
        <f>IF(Suma!$B58=$A$1,Suma!F58,NA())</f>
        <v>#REF!</v>
      </c>
      <c r="E59" s="1" t="e">
        <f>IF(Suma!$B58=$A$1,Suma!P58,NA())</f>
        <v>#REF!</v>
      </c>
      <c r="F59" s="10" t="e">
        <f t="shared" si="0"/>
        <v>#N/A</v>
      </c>
      <c r="G59" s="1" t="e">
        <f>IF(Suma!$B58=$A$1,Suma!W58,NA())</f>
        <v>#REF!</v>
      </c>
      <c r="H59" s="10" t="e">
        <f t="shared" si="1"/>
        <v>#N/A</v>
      </c>
      <c r="I59" s="1" t="e">
        <f>IF(Suma!$B58=$A$1,Suma!AD58,NA())</f>
        <v>#REF!</v>
      </c>
      <c r="J59" s="1" t="e">
        <f>IF(Suma!$B58=$A$1,Suma!AK58,NA())</f>
        <v>#REF!</v>
      </c>
      <c r="K59" s="10" t="e">
        <f>IF(Suma!$B58=$A$1,Suma!AS58,NA())</f>
        <v>#REF!</v>
      </c>
      <c r="L59" s="1" t="e">
        <f>IF(Suma!$B58=$A$1,Suma!G58,NA())</f>
        <v>#REF!</v>
      </c>
      <c r="M59" s="1" t="e">
        <f>IF(Suma!$B58=$A$1,Suma!H58,NA())</f>
        <v>#REF!</v>
      </c>
      <c r="N59" s="1" t="e">
        <f>IF(Suma!$B58=$A$1,Suma!AT58,NA())</f>
        <v>#REF!</v>
      </c>
      <c r="O59" s="1" t="e">
        <f>IF(Suma!$B58=$A$1,Suma!AU58,NA())</f>
        <v>#REF!</v>
      </c>
      <c r="P59" s="1" t="e">
        <f>IF(Suma!$B58=$A$1,Suma!AV58,NA())</f>
        <v>#REF!</v>
      </c>
      <c r="Q59" s="1" t="e">
        <f>IF(Suma!$B58=$A$1,Suma!AW58,NA())</f>
        <v>#REF!</v>
      </c>
      <c r="R59" s="10" t="e">
        <f>IF(Suma!$B58=$A$1,Suma!AX58,NA())</f>
        <v>#REF!</v>
      </c>
      <c r="S59" s="10" t="e">
        <f>IF(Suma!$B58=$A$1,Suma!AY58,NA())</f>
        <v>#REF!</v>
      </c>
      <c r="T59" s="10" t="e">
        <f>IF(Suma!$B58=$A$1,Suma!AZ58,NA())</f>
        <v>#REF!</v>
      </c>
      <c r="U59" s="10" t="e">
        <f>IF(Suma!$B58=$A$1,Suma!J58,NA())</f>
        <v>#REF!</v>
      </c>
      <c r="V59" s="10" t="e">
        <f>IF(Suma!$B58=$A$1,Suma!K58,NA())</f>
        <v>#REF!</v>
      </c>
      <c r="W59" s="10" t="e">
        <f>IF(Suma!$B58=$A$1,Suma!L58,NA())</f>
        <v>#REF!</v>
      </c>
      <c r="X59" s="10" t="e">
        <f>IF(Suma!$B58=$A$1,Suma!M58,NA())</f>
        <v>#REF!</v>
      </c>
      <c r="Y59" s="10" t="e">
        <f>IF(Suma!$B58=$A$1,Suma!N58,NA())</f>
        <v>#REF!</v>
      </c>
      <c r="Z59" s="10" t="e">
        <f>IF(Suma!$B58=$A$1,Suma!O58,NA())</f>
        <v>#REF!</v>
      </c>
      <c r="AA59" s="10" t="e">
        <f>IF(Suma!$B58=$A$1,Suma!BC58,NA())</f>
        <v>#REF!</v>
      </c>
      <c r="AB59" s="10" t="e">
        <f>IF(Suma!$B58=$A$1,Suma!BD58,NA())</f>
        <v>#REF!</v>
      </c>
    </row>
    <row r="60" spans="1:28" x14ac:dyDescent="0.3">
      <c r="A60" s="1" t="e">
        <f>IF(Suma!$B59=$A$1,Suma!C59,NA())</f>
        <v>#REF!</v>
      </c>
      <c r="B60" s="1" t="e">
        <f>IF(Suma!$B59=$A$1,Suma!D59,NA())</f>
        <v>#REF!</v>
      </c>
      <c r="C60" s="2" t="e">
        <f>IF(Suma!$B59=$A$1,Suma!E59,NA())</f>
        <v>#REF!</v>
      </c>
      <c r="D60" s="2" t="e">
        <f>IF(Suma!$B59=$A$1,Suma!F59,NA())</f>
        <v>#REF!</v>
      </c>
      <c r="E60" s="1" t="e">
        <f>IF(Suma!$B59=$A$1,Suma!P59,NA())</f>
        <v>#REF!</v>
      </c>
      <c r="F60" s="10" t="e">
        <f t="shared" si="0"/>
        <v>#N/A</v>
      </c>
      <c r="G60" s="1" t="e">
        <f>IF(Suma!$B59=$A$1,Suma!W59,NA())</f>
        <v>#REF!</v>
      </c>
      <c r="H60" s="10" t="e">
        <f t="shared" si="1"/>
        <v>#N/A</v>
      </c>
      <c r="I60" s="1" t="e">
        <f>IF(Suma!$B59=$A$1,Suma!AD59,NA())</f>
        <v>#REF!</v>
      </c>
      <c r="J60" s="1" t="e">
        <f>IF(Suma!$B59=$A$1,Suma!AK59,NA())</f>
        <v>#REF!</v>
      </c>
      <c r="K60" s="10" t="e">
        <f>IF(Suma!$B59=$A$1,Suma!AS59,NA())</f>
        <v>#REF!</v>
      </c>
      <c r="L60" s="1" t="e">
        <f>IF(Suma!$B59=$A$1,Suma!G59,NA())</f>
        <v>#REF!</v>
      </c>
      <c r="M60" s="1" t="e">
        <f>IF(Suma!$B59=$A$1,Suma!H59,NA())</f>
        <v>#REF!</v>
      </c>
      <c r="N60" s="1" t="e">
        <f>IF(Suma!$B59=$A$1,Suma!AT59,NA())</f>
        <v>#REF!</v>
      </c>
      <c r="O60" s="1" t="e">
        <f>IF(Suma!$B59=$A$1,Suma!AU59,NA())</f>
        <v>#REF!</v>
      </c>
      <c r="P60" s="1" t="e">
        <f>IF(Suma!$B59=$A$1,Suma!AV59,NA())</f>
        <v>#REF!</v>
      </c>
      <c r="Q60" s="1" t="e">
        <f>IF(Suma!$B59=$A$1,Suma!AW59,NA())</f>
        <v>#REF!</v>
      </c>
      <c r="R60" s="10" t="e">
        <f>IF(Suma!$B59=$A$1,Suma!AX59,NA())</f>
        <v>#REF!</v>
      </c>
      <c r="S60" s="10" t="e">
        <f>IF(Suma!$B59=$A$1,Suma!AY59,NA())</f>
        <v>#REF!</v>
      </c>
      <c r="T60" s="10" t="e">
        <f>IF(Suma!$B59=$A$1,Suma!AZ59,NA())</f>
        <v>#REF!</v>
      </c>
      <c r="U60" s="10" t="e">
        <f>IF(Suma!$B59=$A$1,Suma!J59,NA())</f>
        <v>#REF!</v>
      </c>
      <c r="V60" s="10" t="e">
        <f>IF(Suma!$B59=$A$1,Suma!K59,NA())</f>
        <v>#REF!</v>
      </c>
      <c r="W60" s="10" t="e">
        <f>IF(Suma!$B59=$A$1,Suma!L59,NA())</f>
        <v>#REF!</v>
      </c>
      <c r="X60" s="10" t="e">
        <f>IF(Suma!$B59=$A$1,Suma!M59,NA())</f>
        <v>#REF!</v>
      </c>
      <c r="Y60" s="10" t="e">
        <f>IF(Suma!$B59=$A$1,Suma!N59,NA())</f>
        <v>#REF!</v>
      </c>
      <c r="Z60" s="10" t="e">
        <f>IF(Suma!$B59=$A$1,Suma!O59,NA())</f>
        <v>#REF!</v>
      </c>
      <c r="AA60" s="10" t="e">
        <f>IF(Suma!$B59=$A$1,Suma!BC59,NA())</f>
        <v>#REF!</v>
      </c>
      <c r="AB60" s="10" t="e">
        <f>IF(Suma!$B59=$A$1,Suma!BD59,NA())</f>
        <v>#REF!</v>
      </c>
    </row>
    <row r="61" spans="1:28" x14ac:dyDescent="0.3">
      <c r="A61" s="1" t="e">
        <f>IF(Suma!$B60=$A$1,Suma!C60,NA())</f>
        <v>#REF!</v>
      </c>
      <c r="B61" s="1" t="e">
        <f>IF(Suma!$B60=$A$1,Suma!D60,NA())</f>
        <v>#REF!</v>
      </c>
      <c r="C61" s="2" t="e">
        <f>IF(Suma!$B60=$A$1,Suma!E60,NA())</f>
        <v>#REF!</v>
      </c>
      <c r="D61" s="2" t="e">
        <f>IF(Suma!$B60=$A$1,Suma!F60,NA())</f>
        <v>#REF!</v>
      </c>
      <c r="E61" s="1" t="e">
        <f>IF(Suma!$B60=$A$1,Suma!P60,NA())</f>
        <v>#REF!</v>
      </c>
      <c r="F61" s="10" t="e">
        <f t="shared" si="0"/>
        <v>#N/A</v>
      </c>
      <c r="G61" s="1" t="e">
        <f>IF(Suma!$B60=$A$1,Suma!W60,NA())</f>
        <v>#REF!</v>
      </c>
      <c r="H61" s="10" t="e">
        <f t="shared" si="1"/>
        <v>#N/A</v>
      </c>
      <c r="I61" s="1" t="e">
        <f>IF(Suma!$B60=$A$1,Suma!AD60,NA())</f>
        <v>#REF!</v>
      </c>
      <c r="J61" s="1" t="e">
        <f>IF(Suma!$B60=$A$1,Suma!AK60,NA())</f>
        <v>#REF!</v>
      </c>
      <c r="K61" s="10" t="e">
        <f>IF(Suma!$B60=$A$1,Suma!AS60,NA())</f>
        <v>#REF!</v>
      </c>
      <c r="L61" s="1" t="e">
        <f>IF(Suma!$B60=$A$1,Suma!G60,NA())</f>
        <v>#REF!</v>
      </c>
      <c r="M61" s="1" t="e">
        <f>IF(Suma!$B60=$A$1,Suma!H60,NA())</f>
        <v>#REF!</v>
      </c>
      <c r="N61" s="1" t="e">
        <f>IF(Suma!$B60=$A$1,Suma!AT60,NA())</f>
        <v>#REF!</v>
      </c>
      <c r="O61" s="1" t="e">
        <f>IF(Suma!$B60=$A$1,Suma!AU60,NA())</f>
        <v>#REF!</v>
      </c>
      <c r="P61" s="1" t="e">
        <f>IF(Suma!$B60=$A$1,Suma!AV60,NA())</f>
        <v>#REF!</v>
      </c>
      <c r="Q61" s="1" t="e">
        <f>IF(Suma!$B60=$A$1,Suma!AW60,NA())</f>
        <v>#REF!</v>
      </c>
      <c r="R61" s="10" t="e">
        <f>IF(Suma!$B60=$A$1,Suma!AX60,NA())</f>
        <v>#REF!</v>
      </c>
      <c r="S61" s="10" t="e">
        <f>IF(Suma!$B60=$A$1,Suma!AY60,NA())</f>
        <v>#REF!</v>
      </c>
      <c r="T61" s="10" t="e">
        <f>IF(Suma!$B60=$A$1,Suma!AZ60,NA())</f>
        <v>#REF!</v>
      </c>
      <c r="U61" s="10" t="e">
        <f>IF(Suma!$B60=$A$1,Suma!J60,NA())</f>
        <v>#REF!</v>
      </c>
      <c r="V61" s="10" t="e">
        <f>IF(Suma!$B60=$A$1,Suma!K60,NA())</f>
        <v>#REF!</v>
      </c>
      <c r="W61" s="10" t="e">
        <f>IF(Suma!$B60=$A$1,Suma!L60,NA())</f>
        <v>#REF!</v>
      </c>
      <c r="X61" s="10" t="e">
        <f>IF(Suma!$B60=$A$1,Suma!M60,NA())</f>
        <v>#REF!</v>
      </c>
      <c r="Y61" s="10" t="e">
        <f>IF(Suma!$B60=$A$1,Suma!N60,NA())</f>
        <v>#REF!</v>
      </c>
      <c r="Z61" s="10" t="e">
        <f>IF(Suma!$B60=$A$1,Suma!O60,NA())</f>
        <v>#REF!</v>
      </c>
      <c r="AA61" s="10" t="e">
        <f>IF(Suma!$B60=$A$1,Suma!BC60,NA())</f>
        <v>#REF!</v>
      </c>
      <c r="AB61" s="10" t="e">
        <f>IF(Suma!$B60=$A$1,Suma!BD60,NA())</f>
        <v>#REF!</v>
      </c>
    </row>
    <row r="62" spans="1:28" x14ac:dyDescent="0.3">
      <c r="A62" s="1" t="e">
        <f>IF(Suma!$B61=$A$1,Suma!C61,NA())</f>
        <v>#REF!</v>
      </c>
      <c r="B62" s="1" t="e">
        <f>IF(Suma!$B61=$A$1,Suma!D61,NA())</f>
        <v>#REF!</v>
      </c>
      <c r="C62" s="2" t="e">
        <f>IF(Suma!$B61=$A$1,Suma!E61,NA())</f>
        <v>#REF!</v>
      </c>
      <c r="D62" s="2" t="e">
        <f>IF(Suma!$B61=$A$1,Suma!F61,NA())</f>
        <v>#REF!</v>
      </c>
      <c r="E62" s="1" t="e">
        <f>IF(Suma!$B61=$A$1,Suma!P61,NA())</f>
        <v>#REF!</v>
      </c>
      <c r="F62" s="10" t="e">
        <f t="shared" si="0"/>
        <v>#N/A</v>
      </c>
      <c r="G62" s="1" t="e">
        <f>IF(Suma!$B61=$A$1,Suma!W61,NA())</f>
        <v>#REF!</v>
      </c>
      <c r="H62" s="10" t="e">
        <f t="shared" si="1"/>
        <v>#N/A</v>
      </c>
      <c r="I62" s="1" t="e">
        <f>IF(Suma!$B61=$A$1,Suma!AD61,NA())</f>
        <v>#REF!</v>
      </c>
      <c r="J62" s="1" t="e">
        <f>IF(Suma!$B61=$A$1,Suma!AK61,NA())</f>
        <v>#REF!</v>
      </c>
      <c r="K62" s="10" t="e">
        <f>IF(Suma!$B61=$A$1,Suma!AS61,NA())</f>
        <v>#REF!</v>
      </c>
      <c r="L62" s="1" t="e">
        <f>IF(Suma!$B61=$A$1,Suma!G61,NA())</f>
        <v>#REF!</v>
      </c>
      <c r="M62" s="1" t="e">
        <f>IF(Suma!$B61=$A$1,Suma!H61,NA())</f>
        <v>#REF!</v>
      </c>
      <c r="N62" s="1" t="e">
        <f>IF(Suma!$B61=$A$1,Suma!AT61,NA())</f>
        <v>#REF!</v>
      </c>
      <c r="O62" s="1" t="e">
        <f>IF(Suma!$B61=$A$1,Suma!AU61,NA())</f>
        <v>#REF!</v>
      </c>
      <c r="P62" s="1" t="e">
        <f>IF(Suma!$B61=$A$1,Suma!AV61,NA())</f>
        <v>#REF!</v>
      </c>
      <c r="Q62" s="1" t="e">
        <f>IF(Suma!$B61=$A$1,Suma!AW61,NA())</f>
        <v>#REF!</v>
      </c>
      <c r="R62" s="10" t="e">
        <f>IF(Suma!$B61=$A$1,Suma!AX61,NA())</f>
        <v>#REF!</v>
      </c>
      <c r="S62" s="10" t="e">
        <f>IF(Suma!$B61=$A$1,Suma!AY61,NA())</f>
        <v>#REF!</v>
      </c>
      <c r="T62" s="10" t="e">
        <f>IF(Suma!$B61=$A$1,Suma!AZ61,NA())</f>
        <v>#REF!</v>
      </c>
      <c r="U62" s="10" t="e">
        <f>IF(Suma!$B61=$A$1,Suma!J61,NA())</f>
        <v>#REF!</v>
      </c>
      <c r="V62" s="10" t="e">
        <f>IF(Suma!$B61=$A$1,Suma!K61,NA())</f>
        <v>#REF!</v>
      </c>
      <c r="W62" s="10" t="e">
        <f>IF(Suma!$B61=$A$1,Suma!L61,NA())</f>
        <v>#REF!</v>
      </c>
      <c r="X62" s="10" t="e">
        <f>IF(Suma!$B61=$A$1,Suma!M61,NA())</f>
        <v>#REF!</v>
      </c>
      <c r="Y62" s="10" t="e">
        <f>IF(Suma!$B61=$A$1,Suma!N61,NA())</f>
        <v>#REF!</v>
      </c>
      <c r="Z62" s="10" t="e">
        <f>IF(Suma!$B61=$A$1,Suma!O61,NA())</f>
        <v>#REF!</v>
      </c>
      <c r="AA62" s="10" t="e">
        <f>IF(Suma!$B61=$A$1,Suma!BC61,NA())</f>
        <v>#REF!</v>
      </c>
      <c r="AB62" s="10" t="e">
        <f>IF(Suma!$B61=$A$1,Suma!BD61,NA())</f>
        <v>#REF!</v>
      </c>
    </row>
    <row r="63" spans="1:28" x14ac:dyDescent="0.3">
      <c r="A63" s="1" t="e">
        <f>IF(Suma!$B62=$A$1,Suma!C62,NA())</f>
        <v>#REF!</v>
      </c>
      <c r="B63" s="1" t="e">
        <f>IF(Suma!$B62=$A$1,Suma!D62,NA())</f>
        <v>#REF!</v>
      </c>
      <c r="C63" s="2" t="e">
        <f>IF(Suma!$B62=$A$1,Suma!E62,NA())</f>
        <v>#REF!</v>
      </c>
      <c r="D63" s="2" t="e">
        <f>IF(Suma!$B62=$A$1,Suma!F62,NA())</f>
        <v>#REF!</v>
      </c>
      <c r="E63" s="1" t="e">
        <f>IF(Suma!$B62=$A$1,Suma!P62,NA())</f>
        <v>#REF!</v>
      </c>
      <c r="F63" s="10" t="e">
        <f t="shared" si="0"/>
        <v>#N/A</v>
      </c>
      <c r="G63" s="1" t="e">
        <f>IF(Suma!$B62=$A$1,Suma!W62,NA())</f>
        <v>#REF!</v>
      </c>
      <c r="H63" s="10" t="e">
        <f t="shared" si="1"/>
        <v>#N/A</v>
      </c>
      <c r="I63" s="1" t="e">
        <f>IF(Suma!$B62=$A$1,Suma!AD62,NA())</f>
        <v>#REF!</v>
      </c>
      <c r="J63" s="1" t="e">
        <f>IF(Suma!$B62=$A$1,Suma!AK62,NA())</f>
        <v>#REF!</v>
      </c>
      <c r="K63" s="10" t="e">
        <f>IF(Suma!$B62=$A$1,Suma!AS62,NA())</f>
        <v>#REF!</v>
      </c>
      <c r="L63" s="1" t="e">
        <f>IF(Suma!$B62=$A$1,Suma!G62,NA())</f>
        <v>#REF!</v>
      </c>
      <c r="M63" s="1" t="e">
        <f>IF(Suma!$B62=$A$1,Suma!H62,NA())</f>
        <v>#REF!</v>
      </c>
      <c r="N63" s="1" t="e">
        <f>IF(Suma!$B62=$A$1,Suma!AT62,NA())</f>
        <v>#REF!</v>
      </c>
      <c r="O63" s="1" t="e">
        <f>IF(Suma!$B62=$A$1,Suma!AU62,NA())</f>
        <v>#REF!</v>
      </c>
      <c r="P63" s="1" t="e">
        <f>IF(Suma!$B62=$A$1,Suma!AV62,NA())</f>
        <v>#REF!</v>
      </c>
      <c r="Q63" s="1" t="e">
        <f>IF(Suma!$B62=$A$1,Suma!AW62,NA())</f>
        <v>#REF!</v>
      </c>
      <c r="R63" s="10" t="e">
        <f>IF(Suma!$B62=$A$1,Suma!AX62,NA())</f>
        <v>#REF!</v>
      </c>
      <c r="S63" s="10" t="e">
        <f>IF(Suma!$B62=$A$1,Suma!AY62,NA())</f>
        <v>#REF!</v>
      </c>
      <c r="T63" s="10" t="e">
        <f>IF(Suma!$B62=$A$1,Suma!AZ62,NA())</f>
        <v>#REF!</v>
      </c>
      <c r="U63" s="10" t="e">
        <f>IF(Suma!$B62=$A$1,Suma!J62,NA())</f>
        <v>#REF!</v>
      </c>
      <c r="V63" s="10" t="e">
        <f>IF(Suma!$B62=$A$1,Suma!K62,NA())</f>
        <v>#REF!</v>
      </c>
      <c r="W63" s="10" t="e">
        <f>IF(Suma!$B62=$A$1,Suma!L62,NA())</f>
        <v>#REF!</v>
      </c>
      <c r="X63" s="10" t="e">
        <f>IF(Suma!$B62=$A$1,Suma!M62,NA())</f>
        <v>#REF!</v>
      </c>
      <c r="Y63" s="10" t="e">
        <f>IF(Suma!$B62=$A$1,Suma!N62,NA())</f>
        <v>#REF!</v>
      </c>
      <c r="Z63" s="10" t="e">
        <f>IF(Suma!$B62=$A$1,Suma!O62,NA())</f>
        <v>#REF!</v>
      </c>
      <c r="AA63" s="10" t="e">
        <f>IF(Suma!$B62=$A$1,Suma!BC62,NA())</f>
        <v>#REF!</v>
      </c>
      <c r="AB63" s="10" t="e">
        <f>IF(Suma!$B62=$A$1,Suma!BD62,NA())</f>
        <v>#REF!</v>
      </c>
    </row>
    <row r="64" spans="1:28" x14ac:dyDescent="0.3">
      <c r="A64" s="1" t="e">
        <f>IF(Suma!$B63=$A$1,Suma!C63,NA())</f>
        <v>#REF!</v>
      </c>
      <c r="B64" s="1" t="e">
        <f>IF(Suma!$B63=$A$1,Suma!D63,NA())</f>
        <v>#REF!</v>
      </c>
      <c r="C64" s="2" t="e">
        <f>IF(Suma!$B63=$A$1,Suma!E63,NA())</f>
        <v>#REF!</v>
      </c>
      <c r="D64" s="2" t="e">
        <f>IF(Suma!$B63=$A$1,Suma!F63,NA())</f>
        <v>#REF!</v>
      </c>
      <c r="E64" s="1" t="e">
        <f>IF(Suma!$B63=$A$1,Suma!P63,NA())</f>
        <v>#REF!</v>
      </c>
      <c r="F64" s="10" t="e">
        <f t="shared" si="0"/>
        <v>#N/A</v>
      </c>
      <c r="G64" s="1" t="e">
        <f>IF(Suma!$B63=$A$1,Suma!W63,NA())</f>
        <v>#REF!</v>
      </c>
      <c r="H64" s="10" t="e">
        <f t="shared" si="1"/>
        <v>#N/A</v>
      </c>
      <c r="I64" s="1" t="e">
        <f>IF(Suma!$B63=$A$1,Suma!AD63,NA())</f>
        <v>#REF!</v>
      </c>
      <c r="J64" s="1" t="e">
        <f>IF(Suma!$B63=$A$1,Suma!AK63,NA())</f>
        <v>#REF!</v>
      </c>
      <c r="K64" s="10" t="e">
        <f>IF(Suma!$B63=$A$1,Suma!AS63,NA())</f>
        <v>#REF!</v>
      </c>
      <c r="L64" s="1" t="e">
        <f>IF(Suma!$B63=$A$1,Suma!G63,NA())</f>
        <v>#REF!</v>
      </c>
      <c r="M64" s="1" t="e">
        <f>IF(Suma!$B63=$A$1,Suma!H63,NA())</f>
        <v>#REF!</v>
      </c>
      <c r="N64" s="1" t="e">
        <f>IF(Suma!$B63=$A$1,Suma!AT63,NA())</f>
        <v>#REF!</v>
      </c>
      <c r="O64" s="1" t="e">
        <f>IF(Suma!$B63=$A$1,Suma!AU63,NA())</f>
        <v>#REF!</v>
      </c>
      <c r="P64" s="1" t="e">
        <f>IF(Suma!$B63=$A$1,Suma!AV63,NA())</f>
        <v>#REF!</v>
      </c>
      <c r="Q64" s="1" t="e">
        <f>IF(Suma!$B63=$A$1,Suma!AW63,NA())</f>
        <v>#REF!</v>
      </c>
      <c r="R64" s="10" t="e">
        <f>IF(Suma!$B63=$A$1,Suma!AX63,NA())</f>
        <v>#REF!</v>
      </c>
      <c r="S64" s="10" t="e">
        <f>IF(Suma!$B63=$A$1,Suma!AY63,NA())</f>
        <v>#REF!</v>
      </c>
      <c r="T64" s="10" t="e">
        <f>IF(Suma!$B63=$A$1,Suma!AZ63,NA())</f>
        <v>#REF!</v>
      </c>
      <c r="U64" s="10" t="e">
        <f>IF(Suma!$B63=$A$1,Suma!J63,NA())</f>
        <v>#REF!</v>
      </c>
      <c r="V64" s="10" t="e">
        <f>IF(Suma!$B63=$A$1,Suma!K63,NA())</f>
        <v>#REF!</v>
      </c>
      <c r="W64" s="10" t="e">
        <f>IF(Suma!$B63=$A$1,Suma!L63,NA())</f>
        <v>#REF!</v>
      </c>
      <c r="X64" s="10" t="e">
        <f>IF(Suma!$B63=$A$1,Suma!M63,NA())</f>
        <v>#REF!</v>
      </c>
      <c r="Y64" s="10" t="e">
        <f>IF(Suma!$B63=$A$1,Suma!N63,NA())</f>
        <v>#REF!</v>
      </c>
      <c r="Z64" s="10" t="e">
        <f>IF(Suma!$B63=$A$1,Suma!O63,NA())</f>
        <v>#REF!</v>
      </c>
      <c r="AA64" s="10" t="e">
        <f>IF(Suma!$B63=$A$1,Suma!BC63,NA())</f>
        <v>#REF!</v>
      </c>
      <c r="AB64" s="10" t="e">
        <f>IF(Suma!$B63=$A$1,Suma!BD63,NA())</f>
        <v>#REF!</v>
      </c>
    </row>
    <row r="65" spans="1:28" x14ac:dyDescent="0.3">
      <c r="A65" s="1" t="e">
        <f>IF(Suma!$B64=$A$1,Suma!C64,NA())</f>
        <v>#REF!</v>
      </c>
      <c r="B65" s="1" t="e">
        <f>IF(Suma!$B64=$A$1,Suma!D64,NA())</f>
        <v>#REF!</v>
      </c>
      <c r="C65" s="2" t="e">
        <f>IF(Suma!$B64=$A$1,Suma!E64,NA())</f>
        <v>#REF!</v>
      </c>
      <c r="D65" s="2" t="e">
        <f>IF(Suma!$B64=$A$1,Suma!F64,NA())</f>
        <v>#REF!</v>
      </c>
      <c r="E65" s="1" t="e">
        <f>IF(Suma!$B64=$A$1,Suma!P64,NA())</f>
        <v>#REF!</v>
      </c>
      <c r="F65" s="10" t="e">
        <f t="shared" si="0"/>
        <v>#N/A</v>
      </c>
      <c r="G65" s="1" t="e">
        <f>IF(Suma!$B64=$A$1,Suma!W64,NA())</f>
        <v>#REF!</v>
      </c>
      <c r="H65" s="10" t="e">
        <f t="shared" si="1"/>
        <v>#N/A</v>
      </c>
      <c r="I65" s="1" t="e">
        <f>IF(Suma!$B64=$A$1,Suma!AD64,NA())</f>
        <v>#REF!</v>
      </c>
      <c r="J65" s="1" t="e">
        <f>IF(Suma!$B64=$A$1,Suma!AK64,NA())</f>
        <v>#REF!</v>
      </c>
      <c r="K65" s="10" t="e">
        <f>IF(Suma!$B64=$A$1,Suma!AS64,NA())</f>
        <v>#REF!</v>
      </c>
      <c r="L65" s="1" t="e">
        <f>IF(Suma!$B64=$A$1,Suma!G64,NA())</f>
        <v>#REF!</v>
      </c>
      <c r="M65" s="1" t="e">
        <f>IF(Suma!$B64=$A$1,Suma!H64,NA())</f>
        <v>#REF!</v>
      </c>
      <c r="N65" s="1" t="e">
        <f>IF(Suma!$B64=$A$1,Suma!AT64,NA())</f>
        <v>#REF!</v>
      </c>
      <c r="O65" s="1" t="e">
        <f>IF(Suma!$B64=$A$1,Suma!AU64,NA())</f>
        <v>#REF!</v>
      </c>
      <c r="P65" s="1" t="e">
        <f>IF(Suma!$B64=$A$1,Suma!AV64,NA())</f>
        <v>#REF!</v>
      </c>
      <c r="Q65" s="1" t="e">
        <f>IF(Suma!$B64=$A$1,Suma!AW64,NA())</f>
        <v>#REF!</v>
      </c>
      <c r="R65" s="10" t="e">
        <f>IF(Suma!$B64=$A$1,Suma!AX64,NA())</f>
        <v>#REF!</v>
      </c>
      <c r="S65" s="10" t="e">
        <f>IF(Suma!$B64=$A$1,Suma!AY64,NA())</f>
        <v>#REF!</v>
      </c>
      <c r="T65" s="10" t="e">
        <f>IF(Suma!$B64=$A$1,Suma!AZ64,NA())</f>
        <v>#REF!</v>
      </c>
      <c r="U65" s="10" t="e">
        <f>IF(Suma!$B64=$A$1,Suma!J64,NA())</f>
        <v>#REF!</v>
      </c>
      <c r="V65" s="10" t="e">
        <f>IF(Suma!$B64=$A$1,Suma!K64,NA())</f>
        <v>#REF!</v>
      </c>
      <c r="W65" s="10" t="e">
        <f>IF(Suma!$B64=$A$1,Suma!L64,NA())</f>
        <v>#REF!</v>
      </c>
      <c r="X65" s="10" t="e">
        <f>IF(Suma!$B64=$A$1,Suma!M64,NA())</f>
        <v>#REF!</v>
      </c>
      <c r="Y65" s="10" t="e">
        <f>IF(Suma!$B64=$A$1,Suma!N64,NA())</f>
        <v>#REF!</v>
      </c>
      <c r="Z65" s="10" t="e">
        <f>IF(Suma!$B64=$A$1,Suma!O64,NA())</f>
        <v>#REF!</v>
      </c>
      <c r="AA65" s="10" t="e">
        <f>IF(Suma!$B64=$A$1,Suma!BC64,NA())</f>
        <v>#REF!</v>
      </c>
      <c r="AB65" s="10" t="e">
        <f>IF(Suma!$B64=$A$1,Suma!BD64,NA())</f>
        <v>#REF!</v>
      </c>
    </row>
    <row r="66" spans="1:28" x14ac:dyDescent="0.3">
      <c r="A66" s="1" t="e">
        <f>IF(Suma!$B65=$A$1,Suma!C65,NA())</f>
        <v>#REF!</v>
      </c>
      <c r="B66" s="1" t="e">
        <f>IF(Suma!$B65=$A$1,Suma!D65,NA())</f>
        <v>#REF!</v>
      </c>
      <c r="C66" s="2" t="e">
        <f>IF(Suma!$B65=$A$1,Suma!E65,NA())</f>
        <v>#REF!</v>
      </c>
      <c r="D66" s="2" t="e">
        <f>IF(Suma!$B65=$A$1,Suma!F65,NA())</f>
        <v>#REF!</v>
      </c>
      <c r="E66" s="1" t="e">
        <f>IF(Suma!$B65=$A$1,Suma!P65,NA())</f>
        <v>#REF!</v>
      </c>
      <c r="F66" s="10" t="e">
        <f t="shared" si="0"/>
        <v>#N/A</v>
      </c>
      <c r="G66" s="1" t="e">
        <f>IF(Suma!$B65=$A$1,Suma!W65,NA())</f>
        <v>#REF!</v>
      </c>
      <c r="H66" s="10" t="e">
        <f t="shared" si="1"/>
        <v>#N/A</v>
      </c>
      <c r="I66" s="1" t="e">
        <f>IF(Suma!$B65=$A$1,Suma!AD65,NA())</f>
        <v>#REF!</v>
      </c>
      <c r="J66" s="1" t="e">
        <f>IF(Suma!$B65=$A$1,Suma!AK65,NA())</f>
        <v>#REF!</v>
      </c>
      <c r="K66" s="10" t="e">
        <f>IF(Suma!$B65=$A$1,Suma!AS65,NA())</f>
        <v>#REF!</v>
      </c>
      <c r="L66" s="1" t="e">
        <f>IF(Suma!$B65=$A$1,Suma!G65,NA())</f>
        <v>#REF!</v>
      </c>
      <c r="M66" s="1" t="e">
        <f>IF(Suma!$B65=$A$1,Suma!H65,NA())</f>
        <v>#REF!</v>
      </c>
      <c r="N66" s="1" t="e">
        <f>IF(Suma!$B65=$A$1,Suma!AT65,NA())</f>
        <v>#REF!</v>
      </c>
      <c r="O66" s="1" t="e">
        <f>IF(Suma!$B65=$A$1,Suma!AU65,NA())</f>
        <v>#REF!</v>
      </c>
      <c r="P66" s="1" t="e">
        <f>IF(Suma!$B65=$A$1,Suma!AV65,NA())</f>
        <v>#REF!</v>
      </c>
      <c r="Q66" s="1" t="e">
        <f>IF(Suma!$B65=$A$1,Suma!AW65,NA())</f>
        <v>#REF!</v>
      </c>
      <c r="R66" s="10" t="e">
        <f>IF(Suma!$B65=$A$1,Suma!AX65,NA())</f>
        <v>#REF!</v>
      </c>
      <c r="S66" s="10" t="e">
        <f>IF(Suma!$B65=$A$1,Suma!AY65,NA())</f>
        <v>#REF!</v>
      </c>
      <c r="T66" s="10" t="e">
        <f>IF(Suma!$B65=$A$1,Suma!AZ65,NA())</f>
        <v>#REF!</v>
      </c>
      <c r="U66" s="10" t="e">
        <f>IF(Suma!$B65=$A$1,Suma!J65,NA())</f>
        <v>#REF!</v>
      </c>
      <c r="V66" s="10" t="e">
        <f>IF(Suma!$B65=$A$1,Suma!K65,NA())</f>
        <v>#REF!</v>
      </c>
      <c r="W66" s="10" t="e">
        <f>IF(Suma!$B65=$A$1,Suma!L65,NA())</f>
        <v>#REF!</v>
      </c>
      <c r="X66" s="10" t="e">
        <f>IF(Suma!$B65=$A$1,Suma!M65,NA())</f>
        <v>#REF!</v>
      </c>
      <c r="Y66" s="10" t="e">
        <f>IF(Suma!$B65=$A$1,Suma!N65,NA())</f>
        <v>#REF!</v>
      </c>
      <c r="Z66" s="10" t="e">
        <f>IF(Suma!$B65=$A$1,Suma!O65,NA())</f>
        <v>#REF!</v>
      </c>
      <c r="AA66" s="10" t="e">
        <f>IF(Suma!$B65=$A$1,Suma!BC65,NA())</f>
        <v>#REF!</v>
      </c>
      <c r="AB66" s="10" t="e">
        <f>IF(Suma!$B65=$A$1,Suma!BD65,NA())</f>
        <v>#REF!</v>
      </c>
    </row>
    <row r="67" spans="1:28" x14ac:dyDescent="0.3">
      <c r="A67" s="1" t="e">
        <f>IF(Suma!$B66=$A$1,Suma!C66,NA())</f>
        <v>#REF!</v>
      </c>
      <c r="B67" s="1" t="e">
        <f>IF(Suma!$B66=$A$1,Suma!D66,NA())</f>
        <v>#REF!</v>
      </c>
      <c r="C67" s="2" t="e">
        <f>IF(Suma!$B66=$A$1,Suma!E66,NA())</f>
        <v>#REF!</v>
      </c>
      <c r="D67" s="2" t="e">
        <f>IF(Suma!$B66=$A$1,Suma!F66,NA())</f>
        <v>#REF!</v>
      </c>
      <c r="E67" s="1" t="e">
        <f>IF(Suma!$B66=$A$1,Suma!P66,NA())</f>
        <v>#REF!</v>
      </c>
      <c r="F67" s="10" t="e">
        <f t="shared" si="0"/>
        <v>#N/A</v>
      </c>
      <c r="G67" s="1" t="e">
        <f>IF(Suma!$B66=$A$1,Suma!W66,NA())</f>
        <v>#REF!</v>
      </c>
      <c r="H67" s="10" t="e">
        <f t="shared" si="1"/>
        <v>#N/A</v>
      </c>
      <c r="I67" s="1" t="e">
        <f>IF(Suma!$B66=$A$1,Suma!AD66,NA())</f>
        <v>#REF!</v>
      </c>
      <c r="J67" s="1" t="e">
        <f>IF(Suma!$B66=$A$1,Suma!AK66,NA())</f>
        <v>#REF!</v>
      </c>
      <c r="K67" s="10" t="e">
        <f>IF(Suma!$B66=$A$1,Suma!AS66,NA())</f>
        <v>#REF!</v>
      </c>
      <c r="L67" s="1" t="e">
        <f>IF(Suma!$B66=$A$1,Suma!G66,NA())</f>
        <v>#REF!</v>
      </c>
      <c r="M67" s="1" t="e">
        <f>IF(Suma!$B66=$A$1,Suma!H66,NA())</f>
        <v>#REF!</v>
      </c>
      <c r="N67" s="1" t="e">
        <f>IF(Suma!$B66=$A$1,Suma!AT66,NA())</f>
        <v>#REF!</v>
      </c>
      <c r="O67" s="1" t="e">
        <f>IF(Suma!$B66=$A$1,Suma!AU66,NA())</f>
        <v>#REF!</v>
      </c>
      <c r="P67" s="1" t="e">
        <f>IF(Suma!$B66=$A$1,Suma!AV66,NA())</f>
        <v>#REF!</v>
      </c>
      <c r="Q67" s="1" t="e">
        <f>IF(Suma!$B66=$A$1,Suma!AW66,NA())</f>
        <v>#REF!</v>
      </c>
      <c r="R67" s="10" t="e">
        <f>IF(Suma!$B66=$A$1,Suma!AX66,NA())</f>
        <v>#REF!</v>
      </c>
      <c r="S67" s="10" t="e">
        <f>IF(Suma!$B66=$A$1,Suma!AY66,NA())</f>
        <v>#REF!</v>
      </c>
      <c r="T67" s="10" t="e">
        <f>IF(Suma!$B66=$A$1,Suma!AZ66,NA())</f>
        <v>#REF!</v>
      </c>
      <c r="U67" s="10" t="e">
        <f>IF(Suma!$B66=$A$1,Suma!J66,NA())</f>
        <v>#REF!</v>
      </c>
      <c r="V67" s="10" t="e">
        <f>IF(Suma!$B66=$A$1,Suma!K66,NA())</f>
        <v>#REF!</v>
      </c>
      <c r="W67" s="10" t="e">
        <f>IF(Suma!$B66=$A$1,Suma!L66,NA())</f>
        <v>#REF!</v>
      </c>
      <c r="X67" s="10" t="e">
        <f>IF(Suma!$B66=$A$1,Suma!M66,NA())</f>
        <v>#REF!</v>
      </c>
      <c r="Y67" s="10" t="e">
        <f>IF(Suma!$B66=$A$1,Suma!N66,NA())</f>
        <v>#REF!</v>
      </c>
      <c r="Z67" s="10" t="e">
        <f>IF(Suma!$B66=$A$1,Suma!O66,NA())</f>
        <v>#REF!</v>
      </c>
      <c r="AA67" s="10" t="e">
        <f>IF(Suma!$B66=$A$1,Suma!BC66,NA())</f>
        <v>#REF!</v>
      </c>
      <c r="AB67" s="10" t="e">
        <f>IF(Suma!$B66=$A$1,Suma!BD66,NA())</f>
        <v>#REF!</v>
      </c>
    </row>
    <row r="68" spans="1:28" x14ac:dyDescent="0.3">
      <c r="A68" s="1" t="e">
        <f>IF(Suma!$B67=$A$1,Suma!C67,NA())</f>
        <v>#REF!</v>
      </c>
      <c r="B68" s="1" t="e">
        <f>IF(Suma!$B67=$A$1,Suma!D67,NA())</f>
        <v>#REF!</v>
      </c>
      <c r="C68" s="2" t="e">
        <f>IF(Suma!$B67=$A$1,Suma!E67,NA())</f>
        <v>#REF!</v>
      </c>
      <c r="D68" s="2" t="e">
        <f>IF(Suma!$B67=$A$1,Suma!F67,NA())</f>
        <v>#REF!</v>
      </c>
      <c r="E68" s="1" t="e">
        <f>IF(Suma!$B67=$A$1,Suma!P67,NA())</f>
        <v>#REF!</v>
      </c>
      <c r="F68" s="10" t="e">
        <f t="shared" ref="F68:F131" si="2">IFERROR(E68/(($D68-$C68)+1),NA())</f>
        <v>#N/A</v>
      </c>
      <c r="G68" s="1" t="e">
        <f>IF(Suma!$B67=$A$1,Suma!W67,NA())</f>
        <v>#REF!</v>
      </c>
      <c r="H68" s="10" t="e">
        <f t="shared" ref="H68:H131" si="3">IFERROR((G68/($D68-$C68+1)),NA())</f>
        <v>#N/A</v>
      </c>
      <c r="I68" s="1" t="e">
        <f>IF(Suma!$B67=$A$1,Suma!AD67,NA())</f>
        <v>#REF!</v>
      </c>
      <c r="J68" s="1" t="e">
        <f>IF(Suma!$B67=$A$1,Suma!AK67,NA())</f>
        <v>#REF!</v>
      </c>
      <c r="K68" s="10" t="e">
        <f>IF(Suma!$B67=$A$1,Suma!AS67,NA())</f>
        <v>#REF!</v>
      </c>
      <c r="L68" s="1" t="e">
        <f>IF(Suma!$B67=$A$1,Suma!G67,NA())</f>
        <v>#REF!</v>
      </c>
      <c r="M68" s="1" t="e">
        <f>IF(Suma!$B67=$A$1,Suma!H67,NA())</f>
        <v>#REF!</v>
      </c>
      <c r="N68" s="1" t="e">
        <f>IF(Suma!$B67=$A$1,Suma!AT67,NA())</f>
        <v>#REF!</v>
      </c>
      <c r="O68" s="1" t="e">
        <f>IF(Suma!$B67=$A$1,Suma!AU67,NA())</f>
        <v>#REF!</v>
      </c>
      <c r="P68" s="1" t="e">
        <f>IF(Suma!$B67=$A$1,Suma!AV67,NA())</f>
        <v>#REF!</v>
      </c>
      <c r="Q68" s="1" t="e">
        <f>IF(Suma!$B67=$A$1,Suma!AW67,NA())</f>
        <v>#REF!</v>
      </c>
      <c r="R68" s="10" t="e">
        <f>IF(Suma!$B67=$A$1,Suma!AX67,NA())</f>
        <v>#REF!</v>
      </c>
      <c r="S68" s="10" t="e">
        <f>IF(Suma!$B67=$A$1,Suma!AY67,NA())</f>
        <v>#REF!</v>
      </c>
      <c r="T68" s="10" t="e">
        <f>IF(Suma!$B67=$A$1,Suma!AZ67,NA())</f>
        <v>#REF!</v>
      </c>
      <c r="U68" s="10" t="e">
        <f>IF(Suma!$B67=$A$1,Suma!J67,NA())</f>
        <v>#REF!</v>
      </c>
      <c r="V68" s="10" t="e">
        <f>IF(Suma!$B67=$A$1,Suma!K67,NA())</f>
        <v>#REF!</v>
      </c>
      <c r="W68" s="10" t="e">
        <f>IF(Suma!$B67=$A$1,Suma!L67,NA())</f>
        <v>#REF!</v>
      </c>
      <c r="X68" s="10" t="e">
        <f>IF(Suma!$B67=$A$1,Suma!M67,NA())</f>
        <v>#REF!</v>
      </c>
      <c r="Y68" s="10" t="e">
        <f>IF(Suma!$B67=$A$1,Suma!N67,NA())</f>
        <v>#REF!</v>
      </c>
      <c r="Z68" s="10" t="e">
        <f>IF(Suma!$B67=$A$1,Suma!O67,NA())</f>
        <v>#REF!</v>
      </c>
      <c r="AA68" s="10" t="e">
        <f>IF(Suma!$B67=$A$1,Suma!BC67,NA())</f>
        <v>#REF!</v>
      </c>
      <c r="AB68" s="10" t="e">
        <f>IF(Suma!$B67=$A$1,Suma!BD67,NA())</f>
        <v>#REF!</v>
      </c>
    </row>
    <row r="69" spans="1:28" x14ac:dyDescent="0.3">
      <c r="A69" s="1" t="e">
        <f>IF(Suma!$B68=$A$1,Suma!C68,NA())</f>
        <v>#REF!</v>
      </c>
      <c r="B69" s="1" t="e">
        <f>IF(Suma!$B68=$A$1,Suma!D68,NA())</f>
        <v>#REF!</v>
      </c>
      <c r="C69" s="2" t="e">
        <f>IF(Suma!$B68=$A$1,Suma!E68,NA())</f>
        <v>#REF!</v>
      </c>
      <c r="D69" s="2" t="e">
        <f>IF(Suma!$B68=$A$1,Suma!F68,NA())</f>
        <v>#REF!</v>
      </c>
      <c r="E69" s="1" t="e">
        <f>IF(Suma!$B68=$A$1,Suma!P68,NA())</f>
        <v>#REF!</v>
      </c>
      <c r="F69" s="10" t="e">
        <f t="shared" si="2"/>
        <v>#N/A</v>
      </c>
      <c r="G69" s="1" t="e">
        <f>IF(Suma!$B68=$A$1,Suma!W68,NA())</f>
        <v>#REF!</v>
      </c>
      <c r="H69" s="10" t="e">
        <f t="shared" si="3"/>
        <v>#N/A</v>
      </c>
      <c r="I69" s="1" t="e">
        <f>IF(Suma!$B68=$A$1,Suma!AD68,NA())</f>
        <v>#REF!</v>
      </c>
      <c r="J69" s="1" t="e">
        <f>IF(Suma!$B68=$A$1,Suma!AK68,NA())</f>
        <v>#REF!</v>
      </c>
      <c r="K69" s="10" t="e">
        <f>IF(Suma!$B68=$A$1,Suma!AS68,NA())</f>
        <v>#REF!</v>
      </c>
      <c r="L69" s="1" t="e">
        <f>IF(Suma!$B68=$A$1,Suma!G68,NA())</f>
        <v>#REF!</v>
      </c>
      <c r="M69" s="1" t="e">
        <f>IF(Suma!$B68=$A$1,Suma!H68,NA())</f>
        <v>#REF!</v>
      </c>
      <c r="N69" s="1" t="e">
        <f>IF(Suma!$B68=$A$1,Suma!AT68,NA())</f>
        <v>#REF!</v>
      </c>
      <c r="O69" s="1" t="e">
        <f>IF(Suma!$B68=$A$1,Suma!AU68,NA())</f>
        <v>#REF!</v>
      </c>
      <c r="P69" s="1" t="e">
        <f>IF(Suma!$B68=$A$1,Suma!AV68,NA())</f>
        <v>#REF!</v>
      </c>
      <c r="Q69" s="1" t="e">
        <f>IF(Suma!$B68=$A$1,Suma!AW68,NA())</f>
        <v>#REF!</v>
      </c>
      <c r="R69" s="10" t="e">
        <f>IF(Suma!$B68=$A$1,Suma!AX68,NA())</f>
        <v>#REF!</v>
      </c>
      <c r="S69" s="10" t="e">
        <f>IF(Suma!$B68=$A$1,Suma!AY68,NA())</f>
        <v>#REF!</v>
      </c>
      <c r="T69" s="10" t="e">
        <f>IF(Suma!$B68=$A$1,Suma!AZ68,NA())</f>
        <v>#REF!</v>
      </c>
      <c r="U69" s="10" t="e">
        <f>IF(Suma!$B68=$A$1,Suma!J68,NA())</f>
        <v>#REF!</v>
      </c>
      <c r="V69" s="10" t="e">
        <f>IF(Suma!$B68=$A$1,Suma!K68,NA())</f>
        <v>#REF!</v>
      </c>
      <c r="W69" s="10" t="e">
        <f>IF(Suma!$B68=$A$1,Suma!L68,NA())</f>
        <v>#REF!</v>
      </c>
      <c r="X69" s="10" t="e">
        <f>IF(Suma!$B68=$A$1,Suma!M68,NA())</f>
        <v>#REF!</v>
      </c>
      <c r="Y69" s="10" t="e">
        <f>IF(Suma!$B68=$A$1,Suma!N68,NA())</f>
        <v>#REF!</v>
      </c>
      <c r="Z69" s="10" t="e">
        <f>IF(Suma!$B68=$A$1,Suma!O68,NA())</f>
        <v>#REF!</v>
      </c>
      <c r="AA69" s="10" t="e">
        <f>IF(Suma!$B68=$A$1,Suma!BC68,NA())</f>
        <v>#REF!</v>
      </c>
      <c r="AB69" s="10" t="e">
        <f>IF(Suma!$B68=$A$1,Suma!BD68,NA())</f>
        <v>#REF!</v>
      </c>
    </row>
    <row r="70" spans="1:28" x14ac:dyDescent="0.3">
      <c r="A70" s="1" t="e">
        <f>IF(Suma!$B69=$A$1,Suma!C69,NA())</f>
        <v>#REF!</v>
      </c>
      <c r="B70" s="1" t="e">
        <f>IF(Suma!$B69=$A$1,Suma!D69,NA())</f>
        <v>#REF!</v>
      </c>
      <c r="C70" s="2" t="e">
        <f>IF(Suma!$B69=$A$1,Suma!E69,NA())</f>
        <v>#REF!</v>
      </c>
      <c r="D70" s="2" t="e">
        <f>IF(Suma!$B69=$A$1,Suma!F69,NA())</f>
        <v>#REF!</v>
      </c>
      <c r="E70" s="1" t="e">
        <f>IF(Suma!$B69=$A$1,Suma!P69,NA())</f>
        <v>#REF!</v>
      </c>
      <c r="F70" s="10" t="e">
        <f t="shared" si="2"/>
        <v>#N/A</v>
      </c>
      <c r="G70" s="1" t="e">
        <f>IF(Suma!$B69=$A$1,Suma!W69,NA())</f>
        <v>#REF!</v>
      </c>
      <c r="H70" s="10" t="e">
        <f t="shared" si="3"/>
        <v>#N/A</v>
      </c>
      <c r="I70" s="1" t="e">
        <f>IF(Suma!$B69=$A$1,Suma!AD69,NA())</f>
        <v>#REF!</v>
      </c>
      <c r="J70" s="1" t="e">
        <f>IF(Suma!$B69=$A$1,Suma!AK69,NA())</f>
        <v>#REF!</v>
      </c>
      <c r="K70" s="10" t="e">
        <f>IF(Suma!$B69=$A$1,Suma!AS69,NA())</f>
        <v>#REF!</v>
      </c>
      <c r="L70" s="1" t="e">
        <f>IF(Suma!$B69=$A$1,Suma!G69,NA())</f>
        <v>#REF!</v>
      </c>
      <c r="M70" s="1" t="e">
        <f>IF(Suma!$B69=$A$1,Suma!H69,NA())</f>
        <v>#REF!</v>
      </c>
      <c r="N70" s="1" t="e">
        <f>IF(Suma!$B69=$A$1,Suma!AT69,NA())</f>
        <v>#REF!</v>
      </c>
      <c r="O70" s="1" t="e">
        <f>IF(Suma!$B69=$A$1,Suma!AU69,NA())</f>
        <v>#REF!</v>
      </c>
      <c r="P70" s="1" t="e">
        <f>IF(Suma!$B69=$A$1,Suma!AV69,NA())</f>
        <v>#REF!</v>
      </c>
      <c r="Q70" s="1" t="e">
        <f>IF(Suma!$B69=$A$1,Suma!AW69,NA())</f>
        <v>#REF!</v>
      </c>
      <c r="R70" s="10" t="e">
        <f>IF(Suma!$B69=$A$1,Suma!AX69,NA())</f>
        <v>#REF!</v>
      </c>
      <c r="S70" s="10" t="e">
        <f>IF(Suma!$B69=$A$1,Suma!AY69,NA())</f>
        <v>#REF!</v>
      </c>
      <c r="T70" s="10" t="e">
        <f>IF(Suma!$B69=$A$1,Suma!AZ69,NA())</f>
        <v>#REF!</v>
      </c>
      <c r="U70" s="10" t="e">
        <f>IF(Suma!$B69=$A$1,Suma!J69,NA())</f>
        <v>#REF!</v>
      </c>
      <c r="V70" s="10" t="e">
        <f>IF(Suma!$B69=$A$1,Suma!K69,NA())</f>
        <v>#REF!</v>
      </c>
      <c r="W70" s="10" t="e">
        <f>IF(Suma!$B69=$A$1,Suma!L69,NA())</f>
        <v>#REF!</v>
      </c>
      <c r="X70" s="10" t="e">
        <f>IF(Suma!$B69=$A$1,Suma!M69,NA())</f>
        <v>#REF!</v>
      </c>
      <c r="Y70" s="10" t="e">
        <f>IF(Suma!$B69=$A$1,Suma!N69,NA())</f>
        <v>#REF!</v>
      </c>
      <c r="Z70" s="10" t="e">
        <f>IF(Suma!$B69=$A$1,Suma!O69,NA())</f>
        <v>#REF!</v>
      </c>
      <c r="AA70" s="10" t="e">
        <f>IF(Suma!$B69=$A$1,Suma!BC69,NA())</f>
        <v>#REF!</v>
      </c>
      <c r="AB70" s="10" t="e">
        <f>IF(Suma!$B69=$A$1,Suma!BD69,NA())</f>
        <v>#REF!</v>
      </c>
    </row>
    <row r="71" spans="1:28" x14ac:dyDescent="0.3">
      <c r="A71" s="1" t="e">
        <f>IF(Suma!$B70=$A$1,Suma!C70,NA())</f>
        <v>#REF!</v>
      </c>
      <c r="B71" s="1" t="e">
        <f>IF(Suma!$B70=$A$1,Suma!D70,NA())</f>
        <v>#REF!</v>
      </c>
      <c r="C71" s="2" t="e">
        <f>IF(Suma!$B70=$A$1,Suma!E70,NA())</f>
        <v>#REF!</v>
      </c>
      <c r="D71" s="2" t="e">
        <f>IF(Suma!$B70=$A$1,Suma!F70,NA())</f>
        <v>#REF!</v>
      </c>
      <c r="E71" s="1" t="e">
        <f>IF(Suma!$B70=$A$1,Suma!P70,NA())</f>
        <v>#REF!</v>
      </c>
      <c r="F71" s="10" t="e">
        <f t="shared" si="2"/>
        <v>#N/A</v>
      </c>
      <c r="G71" s="1" t="e">
        <f>IF(Suma!$B70=$A$1,Suma!W70,NA())</f>
        <v>#REF!</v>
      </c>
      <c r="H71" s="10" t="e">
        <f t="shared" si="3"/>
        <v>#N/A</v>
      </c>
      <c r="I71" s="1" t="e">
        <f>IF(Suma!$B70=$A$1,Suma!AD70,NA())</f>
        <v>#REF!</v>
      </c>
      <c r="J71" s="1" t="e">
        <f>IF(Suma!$B70=$A$1,Suma!AK70,NA())</f>
        <v>#REF!</v>
      </c>
      <c r="K71" s="10" t="e">
        <f>IF(Suma!$B70=$A$1,Suma!AS70,NA())</f>
        <v>#REF!</v>
      </c>
      <c r="L71" s="1" t="e">
        <f>IF(Suma!$B70=$A$1,Suma!G70,NA())</f>
        <v>#REF!</v>
      </c>
      <c r="M71" s="1" t="e">
        <f>IF(Suma!$B70=$A$1,Suma!H70,NA())</f>
        <v>#REF!</v>
      </c>
      <c r="N71" s="1" t="e">
        <f>IF(Suma!$B70=$A$1,Suma!AT70,NA())</f>
        <v>#REF!</v>
      </c>
      <c r="O71" s="1" t="e">
        <f>IF(Suma!$B70=$A$1,Suma!AU70,NA())</f>
        <v>#REF!</v>
      </c>
      <c r="P71" s="1" t="e">
        <f>IF(Suma!$B70=$A$1,Suma!AV70,NA())</f>
        <v>#REF!</v>
      </c>
      <c r="Q71" s="1" t="e">
        <f>IF(Suma!$B70=$A$1,Suma!AW70,NA())</f>
        <v>#REF!</v>
      </c>
      <c r="R71" s="10" t="e">
        <f>IF(Suma!$B70=$A$1,Suma!AX70,NA())</f>
        <v>#REF!</v>
      </c>
      <c r="S71" s="10" t="e">
        <f>IF(Suma!$B70=$A$1,Suma!AY70,NA())</f>
        <v>#REF!</v>
      </c>
      <c r="T71" s="10" t="e">
        <f>IF(Suma!$B70=$A$1,Suma!AZ70,NA())</f>
        <v>#REF!</v>
      </c>
      <c r="U71" s="10" t="e">
        <f>IF(Suma!$B70=$A$1,Suma!J70,NA())</f>
        <v>#REF!</v>
      </c>
      <c r="V71" s="10" t="e">
        <f>IF(Suma!$B70=$A$1,Suma!K70,NA())</f>
        <v>#REF!</v>
      </c>
      <c r="W71" s="10" t="e">
        <f>IF(Suma!$B70=$A$1,Suma!L70,NA())</f>
        <v>#REF!</v>
      </c>
      <c r="X71" s="10" t="e">
        <f>IF(Suma!$B70=$A$1,Suma!M70,NA())</f>
        <v>#REF!</v>
      </c>
      <c r="Y71" s="10" t="e">
        <f>IF(Suma!$B70=$A$1,Suma!N70,NA())</f>
        <v>#REF!</v>
      </c>
      <c r="Z71" s="10" t="e">
        <f>IF(Suma!$B70=$A$1,Suma!O70,NA())</f>
        <v>#REF!</v>
      </c>
      <c r="AA71" s="10" t="e">
        <f>IF(Suma!$B70=$A$1,Suma!BC70,NA())</f>
        <v>#REF!</v>
      </c>
      <c r="AB71" s="10" t="e">
        <f>IF(Suma!$B70=$A$1,Suma!BD70,NA())</f>
        <v>#REF!</v>
      </c>
    </row>
    <row r="72" spans="1:28" x14ac:dyDescent="0.3">
      <c r="A72" s="1" t="e">
        <f>IF(Suma!$B71=$A$1,Suma!C71,NA())</f>
        <v>#REF!</v>
      </c>
      <c r="B72" s="1" t="e">
        <f>IF(Suma!$B71=$A$1,Suma!D71,NA())</f>
        <v>#REF!</v>
      </c>
      <c r="C72" s="2" t="e">
        <f>IF(Suma!$B71=$A$1,Suma!E71,NA())</f>
        <v>#REF!</v>
      </c>
      <c r="D72" s="2" t="e">
        <f>IF(Suma!$B71=$A$1,Suma!F71,NA())</f>
        <v>#REF!</v>
      </c>
      <c r="E72" s="1" t="e">
        <f>IF(Suma!$B71=$A$1,Suma!P71,NA())</f>
        <v>#REF!</v>
      </c>
      <c r="F72" s="10" t="e">
        <f t="shared" si="2"/>
        <v>#N/A</v>
      </c>
      <c r="G72" s="1" t="e">
        <f>IF(Suma!$B71=$A$1,Suma!W71,NA())</f>
        <v>#REF!</v>
      </c>
      <c r="H72" s="10" t="e">
        <f t="shared" si="3"/>
        <v>#N/A</v>
      </c>
      <c r="I72" s="1" t="e">
        <f>IF(Suma!$B71=$A$1,Suma!AD71,NA())</f>
        <v>#REF!</v>
      </c>
      <c r="J72" s="1" t="e">
        <f>IF(Suma!$B71=$A$1,Suma!AK71,NA())</f>
        <v>#REF!</v>
      </c>
      <c r="K72" s="10" t="e">
        <f>IF(Suma!$B71=$A$1,Suma!AS71,NA())</f>
        <v>#REF!</v>
      </c>
      <c r="L72" s="1" t="e">
        <f>IF(Suma!$B71=$A$1,Suma!G71,NA())</f>
        <v>#REF!</v>
      </c>
      <c r="M72" s="1" t="e">
        <f>IF(Suma!$B71=$A$1,Suma!H71,NA())</f>
        <v>#REF!</v>
      </c>
      <c r="N72" s="1" t="e">
        <f>IF(Suma!$B71=$A$1,Suma!AT71,NA())</f>
        <v>#REF!</v>
      </c>
      <c r="O72" s="1" t="e">
        <f>IF(Suma!$B71=$A$1,Suma!AU71,NA())</f>
        <v>#REF!</v>
      </c>
      <c r="P72" s="1" t="e">
        <f>IF(Suma!$B71=$A$1,Suma!AV71,NA())</f>
        <v>#REF!</v>
      </c>
      <c r="Q72" s="1" t="e">
        <f>IF(Suma!$B71=$A$1,Suma!AW71,NA())</f>
        <v>#REF!</v>
      </c>
      <c r="R72" s="10" t="e">
        <f>IF(Suma!$B71=$A$1,Suma!AX71,NA())</f>
        <v>#REF!</v>
      </c>
      <c r="S72" s="10" t="e">
        <f>IF(Suma!$B71=$A$1,Suma!AY71,NA())</f>
        <v>#REF!</v>
      </c>
      <c r="T72" s="10" t="e">
        <f>IF(Suma!$B71=$A$1,Suma!AZ71,NA())</f>
        <v>#REF!</v>
      </c>
      <c r="U72" s="10" t="e">
        <f>IF(Suma!$B71=$A$1,Suma!J71,NA())</f>
        <v>#REF!</v>
      </c>
      <c r="V72" s="10" t="e">
        <f>IF(Suma!$B71=$A$1,Suma!K71,NA())</f>
        <v>#REF!</v>
      </c>
      <c r="W72" s="10" t="e">
        <f>IF(Suma!$B71=$A$1,Suma!L71,NA())</f>
        <v>#REF!</v>
      </c>
      <c r="X72" s="10" t="e">
        <f>IF(Suma!$B71=$A$1,Suma!M71,NA())</f>
        <v>#REF!</v>
      </c>
      <c r="Y72" s="10" t="e">
        <f>IF(Suma!$B71=$A$1,Suma!N71,NA())</f>
        <v>#REF!</v>
      </c>
      <c r="Z72" s="10" t="e">
        <f>IF(Suma!$B71=$A$1,Suma!O71,NA())</f>
        <v>#REF!</v>
      </c>
      <c r="AA72" s="10" t="e">
        <f>IF(Suma!$B71=$A$1,Suma!BC71,NA())</f>
        <v>#REF!</v>
      </c>
      <c r="AB72" s="10" t="e">
        <f>IF(Suma!$B71=$A$1,Suma!BD71,NA())</f>
        <v>#REF!</v>
      </c>
    </row>
    <row r="73" spans="1:28" x14ac:dyDescent="0.3">
      <c r="A73" s="1" t="e">
        <f>IF(Suma!$B72=$A$1,Suma!C72,NA())</f>
        <v>#REF!</v>
      </c>
      <c r="B73" s="1" t="e">
        <f>IF(Suma!$B72=$A$1,Suma!D72,NA())</f>
        <v>#REF!</v>
      </c>
      <c r="C73" s="2" t="e">
        <f>IF(Suma!$B72=$A$1,Suma!E72,NA())</f>
        <v>#REF!</v>
      </c>
      <c r="D73" s="2" t="e">
        <f>IF(Suma!$B72=$A$1,Suma!F72,NA())</f>
        <v>#REF!</v>
      </c>
      <c r="E73" s="1" t="e">
        <f>IF(Suma!$B72=$A$1,Suma!P72,NA())</f>
        <v>#REF!</v>
      </c>
      <c r="F73" s="10" t="e">
        <f t="shared" si="2"/>
        <v>#N/A</v>
      </c>
      <c r="G73" s="1" t="e">
        <f>IF(Suma!$B72=$A$1,Suma!W72,NA())</f>
        <v>#REF!</v>
      </c>
      <c r="H73" s="10" t="e">
        <f t="shared" si="3"/>
        <v>#N/A</v>
      </c>
      <c r="I73" s="1" t="e">
        <f>IF(Suma!$B72=$A$1,Suma!AD72,NA())</f>
        <v>#REF!</v>
      </c>
      <c r="J73" s="1" t="e">
        <f>IF(Suma!$B72=$A$1,Suma!AK72,NA())</f>
        <v>#REF!</v>
      </c>
      <c r="K73" s="10" t="e">
        <f>IF(Suma!$B72=$A$1,Suma!AS72,NA())</f>
        <v>#REF!</v>
      </c>
      <c r="L73" s="1" t="e">
        <f>IF(Suma!$B72=$A$1,Suma!G72,NA())</f>
        <v>#REF!</v>
      </c>
      <c r="M73" s="1" t="e">
        <f>IF(Suma!$B72=$A$1,Suma!H72,NA())</f>
        <v>#REF!</v>
      </c>
      <c r="N73" s="1" t="e">
        <f>IF(Suma!$B72=$A$1,Suma!AT72,NA())</f>
        <v>#REF!</v>
      </c>
      <c r="O73" s="1" t="e">
        <f>IF(Suma!$B72=$A$1,Suma!AU72,NA())</f>
        <v>#REF!</v>
      </c>
      <c r="P73" s="1" t="e">
        <f>IF(Suma!$B72=$A$1,Suma!AV72,NA())</f>
        <v>#REF!</v>
      </c>
      <c r="Q73" s="1" t="e">
        <f>IF(Suma!$B72=$A$1,Suma!AW72,NA())</f>
        <v>#REF!</v>
      </c>
      <c r="R73" s="10" t="e">
        <f>IF(Suma!$B72=$A$1,Suma!AX72,NA())</f>
        <v>#REF!</v>
      </c>
      <c r="S73" s="10" t="e">
        <f>IF(Suma!$B72=$A$1,Suma!AY72,NA())</f>
        <v>#REF!</v>
      </c>
      <c r="T73" s="10" t="e">
        <f>IF(Suma!$B72=$A$1,Suma!AZ72,NA())</f>
        <v>#REF!</v>
      </c>
      <c r="U73" s="10" t="e">
        <f>IF(Suma!$B72=$A$1,Suma!J72,NA())</f>
        <v>#REF!</v>
      </c>
      <c r="V73" s="10" t="e">
        <f>IF(Suma!$B72=$A$1,Suma!K72,NA())</f>
        <v>#REF!</v>
      </c>
      <c r="W73" s="10" t="e">
        <f>IF(Suma!$B72=$A$1,Suma!L72,NA())</f>
        <v>#REF!</v>
      </c>
      <c r="X73" s="10" t="e">
        <f>IF(Suma!$B72=$A$1,Suma!M72,NA())</f>
        <v>#REF!</v>
      </c>
      <c r="Y73" s="10" t="e">
        <f>IF(Suma!$B72=$A$1,Suma!N72,NA())</f>
        <v>#REF!</v>
      </c>
      <c r="Z73" s="10" t="e">
        <f>IF(Suma!$B72=$A$1,Suma!O72,NA())</f>
        <v>#REF!</v>
      </c>
      <c r="AA73" s="10" t="e">
        <f>IF(Suma!$B72=$A$1,Suma!BC72,NA())</f>
        <v>#REF!</v>
      </c>
      <c r="AB73" s="10" t="e">
        <f>IF(Suma!$B72=$A$1,Suma!BD72,NA())</f>
        <v>#REF!</v>
      </c>
    </row>
    <row r="74" spans="1:28" x14ac:dyDescent="0.3">
      <c r="A74" s="1" t="e">
        <f>IF(Suma!$B73=$A$1,Suma!C73,NA())</f>
        <v>#REF!</v>
      </c>
      <c r="B74" s="1" t="e">
        <f>IF(Suma!$B73=$A$1,Suma!D73,NA())</f>
        <v>#REF!</v>
      </c>
      <c r="C74" s="2" t="e">
        <f>IF(Suma!$B73=$A$1,Suma!E73,NA())</f>
        <v>#REF!</v>
      </c>
      <c r="D74" s="2" t="e">
        <f>IF(Suma!$B73=$A$1,Suma!F73,NA())</f>
        <v>#REF!</v>
      </c>
      <c r="E74" s="1" t="e">
        <f>IF(Suma!$B73=$A$1,Suma!P73,NA())</f>
        <v>#REF!</v>
      </c>
      <c r="F74" s="10" t="e">
        <f t="shared" si="2"/>
        <v>#N/A</v>
      </c>
      <c r="G74" s="1" t="e">
        <f>IF(Suma!$B73=$A$1,Suma!W73,NA())</f>
        <v>#REF!</v>
      </c>
      <c r="H74" s="10" t="e">
        <f t="shared" si="3"/>
        <v>#N/A</v>
      </c>
      <c r="I74" s="1" t="e">
        <f>IF(Suma!$B73=$A$1,Suma!AD73,NA())</f>
        <v>#REF!</v>
      </c>
      <c r="J74" s="1" t="e">
        <f>IF(Suma!$B73=$A$1,Suma!AK73,NA())</f>
        <v>#REF!</v>
      </c>
      <c r="K74" s="10" t="e">
        <f>IF(Suma!$B73=$A$1,Suma!AS73,NA())</f>
        <v>#REF!</v>
      </c>
      <c r="L74" s="1" t="e">
        <f>IF(Suma!$B73=$A$1,Suma!G73,NA())</f>
        <v>#REF!</v>
      </c>
      <c r="M74" s="1" t="e">
        <f>IF(Suma!$B73=$A$1,Suma!H73,NA())</f>
        <v>#REF!</v>
      </c>
      <c r="N74" s="1" t="e">
        <f>IF(Suma!$B73=$A$1,Suma!AT73,NA())</f>
        <v>#REF!</v>
      </c>
      <c r="O74" s="1" t="e">
        <f>IF(Suma!$B73=$A$1,Suma!AU73,NA())</f>
        <v>#REF!</v>
      </c>
      <c r="P74" s="1" t="e">
        <f>IF(Suma!$B73=$A$1,Suma!AV73,NA())</f>
        <v>#REF!</v>
      </c>
      <c r="Q74" s="1" t="e">
        <f>IF(Suma!$B73=$A$1,Suma!AW73,NA())</f>
        <v>#REF!</v>
      </c>
      <c r="R74" s="10" t="e">
        <f>IF(Suma!$B73=$A$1,Suma!AX73,NA())</f>
        <v>#REF!</v>
      </c>
      <c r="S74" s="10" t="e">
        <f>IF(Suma!$B73=$A$1,Suma!AY73,NA())</f>
        <v>#REF!</v>
      </c>
      <c r="T74" s="10" t="e">
        <f>IF(Suma!$B73=$A$1,Suma!AZ73,NA())</f>
        <v>#REF!</v>
      </c>
      <c r="U74" s="10" t="e">
        <f>IF(Suma!$B73=$A$1,Suma!J73,NA())</f>
        <v>#REF!</v>
      </c>
      <c r="V74" s="10" t="e">
        <f>IF(Suma!$B73=$A$1,Suma!K73,NA())</f>
        <v>#REF!</v>
      </c>
      <c r="W74" s="10" t="e">
        <f>IF(Suma!$B73=$A$1,Suma!L73,NA())</f>
        <v>#REF!</v>
      </c>
      <c r="X74" s="10" t="e">
        <f>IF(Suma!$B73=$A$1,Suma!M73,NA())</f>
        <v>#REF!</v>
      </c>
      <c r="Y74" s="10" t="e">
        <f>IF(Suma!$B73=$A$1,Suma!N73,NA())</f>
        <v>#REF!</v>
      </c>
      <c r="Z74" s="10" t="e">
        <f>IF(Suma!$B73=$A$1,Suma!O73,NA())</f>
        <v>#REF!</v>
      </c>
      <c r="AA74" s="10" t="e">
        <f>IF(Suma!$B73=$A$1,Suma!BC73,NA())</f>
        <v>#REF!</v>
      </c>
      <c r="AB74" s="10" t="e">
        <f>IF(Suma!$B73=$A$1,Suma!BD73,NA())</f>
        <v>#REF!</v>
      </c>
    </row>
    <row r="75" spans="1:28" x14ac:dyDescent="0.3">
      <c r="A75" s="1" t="e">
        <f>IF(Suma!$B74=$A$1,Suma!C74,NA())</f>
        <v>#REF!</v>
      </c>
      <c r="B75" s="1" t="e">
        <f>IF(Suma!$B74=$A$1,Suma!D74,NA())</f>
        <v>#REF!</v>
      </c>
      <c r="C75" s="2" t="e">
        <f>IF(Suma!$B74=$A$1,Suma!E74,NA())</f>
        <v>#REF!</v>
      </c>
      <c r="D75" s="2" t="e">
        <f>IF(Suma!$B74=$A$1,Suma!F74,NA())</f>
        <v>#REF!</v>
      </c>
      <c r="E75" s="1" t="e">
        <f>IF(Suma!$B74=$A$1,Suma!P74,NA())</f>
        <v>#REF!</v>
      </c>
      <c r="F75" s="10" t="e">
        <f t="shared" si="2"/>
        <v>#N/A</v>
      </c>
      <c r="G75" s="1" t="e">
        <f>IF(Suma!$B74=$A$1,Suma!W74,NA())</f>
        <v>#REF!</v>
      </c>
      <c r="H75" s="10" t="e">
        <f t="shared" si="3"/>
        <v>#N/A</v>
      </c>
      <c r="I75" s="1" t="e">
        <f>IF(Suma!$B74=$A$1,Suma!AD74,NA())</f>
        <v>#REF!</v>
      </c>
      <c r="J75" s="1" t="e">
        <f>IF(Suma!$B74=$A$1,Suma!AK74,NA())</f>
        <v>#REF!</v>
      </c>
      <c r="K75" s="10" t="e">
        <f>IF(Suma!$B74=$A$1,Suma!AS74,NA())</f>
        <v>#REF!</v>
      </c>
      <c r="L75" s="1" t="e">
        <f>IF(Suma!$B74=$A$1,Suma!G74,NA())</f>
        <v>#REF!</v>
      </c>
      <c r="M75" s="1" t="e">
        <f>IF(Suma!$B74=$A$1,Suma!H74,NA())</f>
        <v>#REF!</v>
      </c>
      <c r="N75" s="1" t="e">
        <f>IF(Suma!$B74=$A$1,Suma!AT74,NA())</f>
        <v>#REF!</v>
      </c>
      <c r="O75" s="1" t="e">
        <f>IF(Suma!$B74=$A$1,Suma!AU74,NA())</f>
        <v>#REF!</v>
      </c>
      <c r="P75" s="1" t="e">
        <f>IF(Suma!$B74=$A$1,Suma!AV74,NA())</f>
        <v>#REF!</v>
      </c>
      <c r="Q75" s="1" t="e">
        <f>IF(Suma!$B74=$A$1,Suma!AW74,NA())</f>
        <v>#REF!</v>
      </c>
      <c r="R75" s="10" t="e">
        <f>IF(Suma!$B74=$A$1,Suma!AX74,NA())</f>
        <v>#REF!</v>
      </c>
      <c r="S75" s="10" t="e">
        <f>IF(Suma!$B74=$A$1,Suma!AY74,NA())</f>
        <v>#REF!</v>
      </c>
      <c r="T75" s="10" t="e">
        <f>IF(Suma!$B74=$A$1,Suma!AZ74,NA())</f>
        <v>#REF!</v>
      </c>
      <c r="U75" s="10" t="e">
        <f>IF(Suma!$B74=$A$1,Suma!J74,NA())</f>
        <v>#REF!</v>
      </c>
      <c r="V75" s="10" t="e">
        <f>IF(Suma!$B74=$A$1,Suma!K74,NA())</f>
        <v>#REF!</v>
      </c>
      <c r="W75" s="10" t="e">
        <f>IF(Suma!$B74=$A$1,Suma!L74,NA())</f>
        <v>#REF!</v>
      </c>
      <c r="X75" s="10" t="e">
        <f>IF(Suma!$B74=$A$1,Suma!M74,NA())</f>
        <v>#REF!</v>
      </c>
      <c r="Y75" s="10" t="e">
        <f>IF(Suma!$B74=$A$1,Suma!N74,NA())</f>
        <v>#REF!</v>
      </c>
      <c r="Z75" s="10" t="e">
        <f>IF(Suma!$B74=$A$1,Suma!O74,NA())</f>
        <v>#REF!</v>
      </c>
      <c r="AA75" s="10" t="e">
        <f>IF(Suma!$B74=$A$1,Suma!BC74,NA())</f>
        <v>#REF!</v>
      </c>
      <c r="AB75" s="10" t="e">
        <f>IF(Suma!$B74=$A$1,Suma!BD74,NA())</f>
        <v>#REF!</v>
      </c>
    </row>
    <row r="76" spans="1:28" x14ac:dyDescent="0.3">
      <c r="A76" s="1" t="e">
        <f>IF(Suma!$B75=$A$1,Suma!C75,NA())</f>
        <v>#REF!</v>
      </c>
      <c r="B76" s="1" t="e">
        <f>IF(Suma!$B75=$A$1,Suma!D75,NA())</f>
        <v>#REF!</v>
      </c>
      <c r="C76" s="2" t="e">
        <f>IF(Suma!$B75=$A$1,Suma!E75,NA())</f>
        <v>#REF!</v>
      </c>
      <c r="D76" s="2" t="e">
        <f>IF(Suma!$B75=$A$1,Suma!F75,NA())</f>
        <v>#REF!</v>
      </c>
      <c r="E76" s="1" t="e">
        <f>IF(Suma!$B75=$A$1,Suma!P75,NA())</f>
        <v>#REF!</v>
      </c>
      <c r="F76" s="10" t="e">
        <f t="shared" si="2"/>
        <v>#N/A</v>
      </c>
      <c r="G76" s="1" t="e">
        <f>IF(Suma!$B75=$A$1,Suma!W75,NA())</f>
        <v>#REF!</v>
      </c>
      <c r="H76" s="10" t="e">
        <f t="shared" si="3"/>
        <v>#N/A</v>
      </c>
      <c r="I76" s="1" t="e">
        <f>IF(Suma!$B75=$A$1,Suma!AD75,NA())</f>
        <v>#REF!</v>
      </c>
      <c r="J76" s="1" t="e">
        <f>IF(Suma!$B75=$A$1,Suma!AK75,NA())</f>
        <v>#REF!</v>
      </c>
      <c r="K76" s="10" t="e">
        <f>IF(Suma!$B75=$A$1,Suma!AS75,NA())</f>
        <v>#REF!</v>
      </c>
      <c r="L76" s="1" t="e">
        <f>IF(Suma!$B75=$A$1,Suma!G75,NA())</f>
        <v>#REF!</v>
      </c>
      <c r="M76" s="1" t="e">
        <f>IF(Suma!$B75=$A$1,Suma!H75,NA())</f>
        <v>#REF!</v>
      </c>
      <c r="N76" s="1" t="e">
        <f>IF(Suma!$B75=$A$1,Suma!AT75,NA())</f>
        <v>#REF!</v>
      </c>
      <c r="O76" s="1" t="e">
        <f>IF(Suma!$B75=$A$1,Suma!AU75,NA())</f>
        <v>#REF!</v>
      </c>
      <c r="P76" s="1" t="e">
        <f>IF(Suma!$B75=$A$1,Suma!AV75,NA())</f>
        <v>#REF!</v>
      </c>
      <c r="Q76" s="1" t="e">
        <f>IF(Suma!$B75=$A$1,Suma!AW75,NA())</f>
        <v>#REF!</v>
      </c>
      <c r="R76" s="10" t="e">
        <f>IF(Suma!$B75=$A$1,Suma!AX75,NA())</f>
        <v>#REF!</v>
      </c>
      <c r="S76" s="10" t="e">
        <f>IF(Suma!$B75=$A$1,Suma!AY75,NA())</f>
        <v>#REF!</v>
      </c>
      <c r="T76" s="10" t="e">
        <f>IF(Suma!$B75=$A$1,Suma!AZ75,NA())</f>
        <v>#REF!</v>
      </c>
      <c r="U76" s="10" t="e">
        <f>IF(Suma!$B75=$A$1,Suma!J75,NA())</f>
        <v>#REF!</v>
      </c>
      <c r="V76" s="10" t="e">
        <f>IF(Suma!$B75=$A$1,Suma!K75,NA())</f>
        <v>#REF!</v>
      </c>
      <c r="W76" s="10" t="e">
        <f>IF(Suma!$B75=$A$1,Suma!L75,NA())</f>
        <v>#REF!</v>
      </c>
      <c r="X76" s="10" t="e">
        <f>IF(Suma!$B75=$A$1,Suma!M75,NA())</f>
        <v>#REF!</v>
      </c>
      <c r="Y76" s="10" t="e">
        <f>IF(Suma!$B75=$A$1,Suma!N75,NA())</f>
        <v>#REF!</v>
      </c>
      <c r="Z76" s="10" t="e">
        <f>IF(Suma!$B75=$A$1,Suma!O75,NA())</f>
        <v>#REF!</v>
      </c>
      <c r="AA76" s="10" t="e">
        <f>IF(Suma!$B75=$A$1,Suma!BC75,NA())</f>
        <v>#REF!</v>
      </c>
      <c r="AB76" s="10" t="e">
        <f>IF(Suma!$B75=$A$1,Suma!BD75,NA())</f>
        <v>#REF!</v>
      </c>
    </row>
    <row r="77" spans="1:28" x14ac:dyDescent="0.3">
      <c r="A77" s="1" t="e">
        <f>IF(Suma!$B76=$A$1,Suma!C76,NA())</f>
        <v>#REF!</v>
      </c>
      <c r="B77" s="1" t="e">
        <f>IF(Suma!$B76=$A$1,Suma!D76,NA())</f>
        <v>#REF!</v>
      </c>
      <c r="C77" s="2" t="e">
        <f>IF(Suma!$B76=$A$1,Suma!E76,NA())</f>
        <v>#REF!</v>
      </c>
      <c r="D77" s="2" t="e">
        <f>IF(Suma!$B76=$A$1,Suma!F76,NA())</f>
        <v>#REF!</v>
      </c>
      <c r="E77" s="1" t="e">
        <f>IF(Suma!$B76=$A$1,Suma!P76,NA())</f>
        <v>#REF!</v>
      </c>
      <c r="F77" s="10" t="e">
        <f t="shared" si="2"/>
        <v>#N/A</v>
      </c>
      <c r="G77" s="1" t="e">
        <f>IF(Suma!$B76=$A$1,Suma!W76,NA())</f>
        <v>#REF!</v>
      </c>
      <c r="H77" s="10" t="e">
        <f t="shared" si="3"/>
        <v>#N/A</v>
      </c>
      <c r="I77" s="1" t="e">
        <f>IF(Suma!$B76=$A$1,Suma!AD76,NA())</f>
        <v>#REF!</v>
      </c>
      <c r="J77" s="1" t="e">
        <f>IF(Suma!$B76=$A$1,Suma!AK76,NA())</f>
        <v>#REF!</v>
      </c>
      <c r="K77" s="10" t="e">
        <f>IF(Suma!$B76=$A$1,Suma!AS76,NA())</f>
        <v>#REF!</v>
      </c>
      <c r="L77" s="1" t="e">
        <f>IF(Suma!$B76=$A$1,Suma!G76,NA())</f>
        <v>#REF!</v>
      </c>
      <c r="M77" s="1" t="e">
        <f>IF(Suma!$B76=$A$1,Suma!H76,NA())</f>
        <v>#REF!</v>
      </c>
      <c r="N77" s="1" t="e">
        <f>IF(Suma!$B76=$A$1,Suma!AT76,NA())</f>
        <v>#REF!</v>
      </c>
      <c r="O77" s="1" t="e">
        <f>IF(Suma!$B76=$A$1,Suma!AU76,NA())</f>
        <v>#REF!</v>
      </c>
      <c r="P77" s="1" t="e">
        <f>IF(Suma!$B76=$A$1,Suma!AV76,NA())</f>
        <v>#REF!</v>
      </c>
      <c r="Q77" s="1" t="e">
        <f>IF(Suma!$B76=$A$1,Suma!AW76,NA())</f>
        <v>#REF!</v>
      </c>
      <c r="R77" s="10" t="e">
        <f>IF(Suma!$B76=$A$1,Suma!AX76,NA())</f>
        <v>#REF!</v>
      </c>
      <c r="S77" s="10" t="e">
        <f>IF(Suma!$B76=$A$1,Suma!AY76,NA())</f>
        <v>#REF!</v>
      </c>
      <c r="T77" s="10" t="e">
        <f>IF(Suma!$B76=$A$1,Suma!AZ76,NA())</f>
        <v>#REF!</v>
      </c>
      <c r="U77" s="10" t="e">
        <f>IF(Suma!$B76=$A$1,Suma!J76,NA())</f>
        <v>#REF!</v>
      </c>
      <c r="V77" s="10" t="e">
        <f>IF(Suma!$B76=$A$1,Suma!K76,NA())</f>
        <v>#REF!</v>
      </c>
      <c r="W77" s="10" t="e">
        <f>IF(Suma!$B76=$A$1,Suma!L76,NA())</f>
        <v>#REF!</v>
      </c>
      <c r="X77" s="10" t="e">
        <f>IF(Suma!$B76=$A$1,Suma!M76,NA())</f>
        <v>#REF!</v>
      </c>
      <c r="Y77" s="10" t="e">
        <f>IF(Suma!$B76=$A$1,Suma!N76,NA())</f>
        <v>#REF!</v>
      </c>
      <c r="Z77" s="10" t="e">
        <f>IF(Suma!$B76=$A$1,Suma!O76,NA())</f>
        <v>#REF!</v>
      </c>
      <c r="AA77" s="10" t="e">
        <f>IF(Suma!$B76=$A$1,Suma!BC76,NA())</f>
        <v>#REF!</v>
      </c>
      <c r="AB77" s="10" t="e">
        <f>IF(Suma!$B76=$A$1,Suma!BD76,NA())</f>
        <v>#REF!</v>
      </c>
    </row>
    <row r="78" spans="1:28" x14ac:dyDescent="0.3">
      <c r="A78" s="1" t="e">
        <f>IF(Suma!$B77=$A$1,Suma!C77,NA())</f>
        <v>#REF!</v>
      </c>
      <c r="B78" s="1" t="e">
        <f>IF(Suma!$B77=$A$1,Suma!D77,NA())</f>
        <v>#REF!</v>
      </c>
      <c r="C78" s="2" t="e">
        <f>IF(Suma!$B77=$A$1,Suma!E77,NA())</f>
        <v>#REF!</v>
      </c>
      <c r="D78" s="2" t="e">
        <f>IF(Suma!$B77=$A$1,Suma!F77,NA())</f>
        <v>#REF!</v>
      </c>
      <c r="E78" s="1" t="e">
        <f>IF(Suma!$B77=$A$1,Suma!P77,NA())</f>
        <v>#REF!</v>
      </c>
      <c r="F78" s="10" t="e">
        <f t="shared" si="2"/>
        <v>#N/A</v>
      </c>
      <c r="G78" s="1" t="e">
        <f>IF(Suma!$B77=$A$1,Suma!W77,NA())</f>
        <v>#REF!</v>
      </c>
      <c r="H78" s="10" t="e">
        <f t="shared" si="3"/>
        <v>#N/A</v>
      </c>
      <c r="I78" s="1" t="e">
        <f>IF(Suma!$B77=$A$1,Suma!AD77,NA())</f>
        <v>#REF!</v>
      </c>
      <c r="J78" s="1" t="e">
        <f>IF(Suma!$B77=$A$1,Suma!AK77,NA())</f>
        <v>#REF!</v>
      </c>
      <c r="K78" s="10" t="e">
        <f>IF(Suma!$B77=$A$1,Suma!AS77,NA())</f>
        <v>#REF!</v>
      </c>
      <c r="L78" s="1" t="e">
        <f>IF(Suma!$B77=$A$1,Suma!G77,NA())</f>
        <v>#REF!</v>
      </c>
      <c r="M78" s="1" t="e">
        <f>IF(Suma!$B77=$A$1,Suma!H77,NA())</f>
        <v>#REF!</v>
      </c>
      <c r="N78" s="1" t="e">
        <f>IF(Suma!$B77=$A$1,Suma!AT77,NA())</f>
        <v>#REF!</v>
      </c>
      <c r="O78" s="1" t="e">
        <f>IF(Suma!$B77=$A$1,Suma!AU77,NA())</f>
        <v>#REF!</v>
      </c>
      <c r="P78" s="1" t="e">
        <f>IF(Suma!$B77=$A$1,Suma!AV77,NA())</f>
        <v>#REF!</v>
      </c>
      <c r="Q78" s="1" t="e">
        <f>IF(Suma!$B77=$A$1,Suma!AW77,NA())</f>
        <v>#REF!</v>
      </c>
      <c r="R78" s="10" t="e">
        <f>IF(Suma!$B77=$A$1,Suma!AX77,NA())</f>
        <v>#REF!</v>
      </c>
      <c r="S78" s="10" t="e">
        <f>IF(Suma!$B77=$A$1,Suma!AY77,NA())</f>
        <v>#REF!</v>
      </c>
      <c r="T78" s="10" t="e">
        <f>IF(Suma!$B77=$A$1,Suma!AZ77,NA())</f>
        <v>#REF!</v>
      </c>
      <c r="U78" s="10" t="e">
        <f>IF(Suma!$B77=$A$1,Suma!J77,NA())</f>
        <v>#REF!</v>
      </c>
      <c r="V78" s="10" t="e">
        <f>IF(Suma!$B77=$A$1,Suma!K77,NA())</f>
        <v>#REF!</v>
      </c>
      <c r="W78" s="10" t="e">
        <f>IF(Suma!$B77=$A$1,Suma!L77,NA())</f>
        <v>#REF!</v>
      </c>
      <c r="X78" s="10" t="e">
        <f>IF(Suma!$B77=$A$1,Suma!M77,NA())</f>
        <v>#REF!</v>
      </c>
      <c r="Y78" s="10" t="e">
        <f>IF(Suma!$B77=$A$1,Suma!N77,NA())</f>
        <v>#REF!</v>
      </c>
      <c r="Z78" s="10" t="e">
        <f>IF(Suma!$B77=$A$1,Suma!O77,NA())</f>
        <v>#REF!</v>
      </c>
      <c r="AA78" s="10" t="e">
        <f>IF(Suma!$B77=$A$1,Suma!BC77,NA())</f>
        <v>#REF!</v>
      </c>
      <c r="AB78" s="10" t="e">
        <f>IF(Suma!$B77=$A$1,Suma!BD77,NA())</f>
        <v>#REF!</v>
      </c>
    </row>
    <row r="79" spans="1:28" x14ac:dyDescent="0.3">
      <c r="A79" s="1" t="e">
        <f>IF(Suma!$B78=$A$1,Suma!C78,NA())</f>
        <v>#REF!</v>
      </c>
      <c r="B79" s="1" t="e">
        <f>IF(Suma!$B78=$A$1,Suma!D78,NA())</f>
        <v>#REF!</v>
      </c>
      <c r="C79" s="2" t="e">
        <f>IF(Suma!$B78=$A$1,Suma!E78,NA())</f>
        <v>#REF!</v>
      </c>
      <c r="D79" s="2" t="e">
        <f>IF(Suma!$B78=$A$1,Suma!F78,NA())</f>
        <v>#REF!</v>
      </c>
      <c r="E79" s="1" t="e">
        <f>IF(Suma!$B78=$A$1,Suma!P78,NA())</f>
        <v>#REF!</v>
      </c>
      <c r="F79" s="10" t="e">
        <f t="shared" si="2"/>
        <v>#N/A</v>
      </c>
      <c r="G79" s="1" t="e">
        <f>IF(Suma!$B78=$A$1,Suma!W78,NA())</f>
        <v>#REF!</v>
      </c>
      <c r="H79" s="10" t="e">
        <f t="shared" si="3"/>
        <v>#N/A</v>
      </c>
      <c r="I79" s="1" t="e">
        <f>IF(Suma!$B78=$A$1,Suma!AD78,NA())</f>
        <v>#REF!</v>
      </c>
      <c r="J79" s="1" t="e">
        <f>IF(Suma!$B78=$A$1,Suma!AK78,NA())</f>
        <v>#REF!</v>
      </c>
      <c r="K79" s="10" t="e">
        <f>IF(Suma!$B78=$A$1,Suma!AS78,NA())</f>
        <v>#REF!</v>
      </c>
      <c r="L79" s="1" t="e">
        <f>IF(Suma!$B78=$A$1,Suma!G78,NA())</f>
        <v>#REF!</v>
      </c>
      <c r="M79" s="1" t="e">
        <f>IF(Suma!$B78=$A$1,Suma!H78,NA())</f>
        <v>#REF!</v>
      </c>
      <c r="N79" s="1" t="e">
        <f>IF(Suma!$B78=$A$1,Suma!AT78,NA())</f>
        <v>#REF!</v>
      </c>
      <c r="O79" s="1" t="e">
        <f>IF(Suma!$B78=$A$1,Suma!AU78,NA())</f>
        <v>#REF!</v>
      </c>
      <c r="P79" s="1" t="e">
        <f>IF(Suma!$B78=$A$1,Suma!AV78,NA())</f>
        <v>#REF!</v>
      </c>
      <c r="Q79" s="1" t="e">
        <f>IF(Suma!$B78=$A$1,Suma!AW78,NA())</f>
        <v>#REF!</v>
      </c>
      <c r="R79" s="10" t="e">
        <f>IF(Suma!$B78=$A$1,Suma!AX78,NA())</f>
        <v>#REF!</v>
      </c>
      <c r="S79" s="10" t="e">
        <f>IF(Suma!$B78=$A$1,Suma!AY78,NA())</f>
        <v>#REF!</v>
      </c>
      <c r="T79" s="10" t="e">
        <f>IF(Suma!$B78=$A$1,Suma!AZ78,NA())</f>
        <v>#REF!</v>
      </c>
      <c r="U79" s="10" t="e">
        <f>IF(Suma!$B78=$A$1,Suma!J78,NA())</f>
        <v>#REF!</v>
      </c>
      <c r="V79" s="10" t="e">
        <f>IF(Suma!$B78=$A$1,Suma!K78,NA())</f>
        <v>#REF!</v>
      </c>
      <c r="W79" s="10" t="e">
        <f>IF(Suma!$B78=$A$1,Suma!L78,NA())</f>
        <v>#REF!</v>
      </c>
      <c r="X79" s="10" t="e">
        <f>IF(Suma!$B78=$A$1,Suma!M78,NA())</f>
        <v>#REF!</v>
      </c>
      <c r="Y79" s="10" t="e">
        <f>IF(Suma!$B78=$A$1,Suma!N78,NA())</f>
        <v>#REF!</v>
      </c>
      <c r="Z79" s="10" t="e">
        <f>IF(Suma!$B78=$A$1,Suma!O78,NA())</f>
        <v>#REF!</v>
      </c>
      <c r="AA79" s="10" t="e">
        <f>IF(Suma!$B78=$A$1,Suma!BC78,NA())</f>
        <v>#REF!</v>
      </c>
      <c r="AB79" s="10" t="e">
        <f>IF(Suma!$B78=$A$1,Suma!BD78,NA())</f>
        <v>#REF!</v>
      </c>
    </row>
    <row r="80" spans="1:28" x14ac:dyDescent="0.3">
      <c r="A80" s="1" t="e">
        <f>IF(Suma!$B79=$A$1,Suma!C79,NA())</f>
        <v>#REF!</v>
      </c>
      <c r="B80" s="1" t="e">
        <f>IF(Suma!$B79=$A$1,Suma!D79,NA())</f>
        <v>#REF!</v>
      </c>
      <c r="C80" s="2" t="e">
        <f>IF(Suma!$B79=$A$1,Suma!E79,NA())</f>
        <v>#REF!</v>
      </c>
      <c r="D80" s="2" t="e">
        <f>IF(Suma!$B79=$A$1,Suma!F79,NA())</f>
        <v>#REF!</v>
      </c>
      <c r="E80" s="1" t="e">
        <f>IF(Suma!$B79=$A$1,Suma!P79,NA())</f>
        <v>#REF!</v>
      </c>
      <c r="F80" s="10" t="e">
        <f t="shared" si="2"/>
        <v>#N/A</v>
      </c>
      <c r="G80" s="1" t="e">
        <f>IF(Suma!$B79=$A$1,Suma!W79,NA())</f>
        <v>#REF!</v>
      </c>
      <c r="H80" s="10" t="e">
        <f t="shared" si="3"/>
        <v>#N/A</v>
      </c>
      <c r="I80" s="1" t="e">
        <f>IF(Suma!$B79=$A$1,Suma!AD79,NA())</f>
        <v>#REF!</v>
      </c>
      <c r="J80" s="1" t="e">
        <f>IF(Suma!$B79=$A$1,Suma!AK79,NA())</f>
        <v>#REF!</v>
      </c>
      <c r="K80" s="10" t="e">
        <f>IF(Suma!$B79=$A$1,Suma!AS79,NA())</f>
        <v>#REF!</v>
      </c>
      <c r="L80" s="1" t="e">
        <f>IF(Suma!$B79=$A$1,Suma!G79,NA())</f>
        <v>#REF!</v>
      </c>
      <c r="M80" s="1" t="e">
        <f>IF(Suma!$B79=$A$1,Suma!H79,NA())</f>
        <v>#REF!</v>
      </c>
      <c r="N80" s="1" t="e">
        <f>IF(Suma!$B79=$A$1,Suma!AT79,NA())</f>
        <v>#REF!</v>
      </c>
      <c r="O80" s="1" t="e">
        <f>IF(Suma!$B79=$A$1,Suma!AU79,NA())</f>
        <v>#REF!</v>
      </c>
      <c r="P80" s="1" t="e">
        <f>IF(Suma!$B79=$A$1,Suma!AV79,NA())</f>
        <v>#REF!</v>
      </c>
      <c r="Q80" s="1" t="e">
        <f>IF(Suma!$B79=$A$1,Suma!AW79,NA())</f>
        <v>#REF!</v>
      </c>
      <c r="R80" s="10" t="e">
        <f>IF(Suma!$B79=$A$1,Suma!AX79,NA())</f>
        <v>#REF!</v>
      </c>
      <c r="S80" s="10" t="e">
        <f>IF(Suma!$B79=$A$1,Suma!AY79,NA())</f>
        <v>#REF!</v>
      </c>
      <c r="T80" s="10" t="e">
        <f>IF(Suma!$B79=$A$1,Suma!AZ79,NA())</f>
        <v>#REF!</v>
      </c>
      <c r="U80" s="10" t="e">
        <f>IF(Suma!$B79=$A$1,Suma!J79,NA())</f>
        <v>#REF!</v>
      </c>
      <c r="V80" s="10" t="e">
        <f>IF(Suma!$B79=$A$1,Suma!K79,NA())</f>
        <v>#REF!</v>
      </c>
      <c r="W80" s="10" t="e">
        <f>IF(Suma!$B79=$A$1,Suma!L79,NA())</f>
        <v>#REF!</v>
      </c>
      <c r="X80" s="10" t="e">
        <f>IF(Suma!$B79=$A$1,Suma!M79,NA())</f>
        <v>#REF!</v>
      </c>
      <c r="Y80" s="10" t="e">
        <f>IF(Suma!$B79=$A$1,Suma!N79,NA())</f>
        <v>#REF!</v>
      </c>
      <c r="Z80" s="10" t="e">
        <f>IF(Suma!$B79=$A$1,Suma!O79,NA())</f>
        <v>#REF!</v>
      </c>
      <c r="AA80" s="10" t="e">
        <f>IF(Suma!$B79=$A$1,Suma!BC79,NA())</f>
        <v>#REF!</v>
      </c>
      <c r="AB80" s="10" t="e">
        <f>IF(Suma!$B79=$A$1,Suma!BD79,NA())</f>
        <v>#REF!</v>
      </c>
    </row>
    <row r="81" spans="1:28" x14ac:dyDescent="0.3">
      <c r="A81" s="1" t="e">
        <f>IF(Suma!$B80=$A$1,Suma!C80,NA())</f>
        <v>#REF!</v>
      </c>
      <c r="B81" s="1" t="e">
        <f>IF(Suma!$B80=$A$1,Suma!D80,NA())</f>
        <v>#REF!</v>
      </c>
      <c r="C81" s="2" t="e">
        <f>IF(Suma!$B80=$A$1,Suma!E80,NA())</f>
        <v>#REF!</v>
      </c>
      <c r="D81" s="2" t="e">
        <f>IF(Suma!$B80=$A$1,Suma!F80,NA())</f>
        <v>#REF!</v>
      </c>
      <c r="E81" s="1" t="e">
        <f>IF(Suma!$B80=$A$1,Suma!P80,NA())</f>
        <v>#REF!</v>
      </c>
      <c r="F81" s="10" t="e">
        <f t="shared" si="2"/>
        <v>#N/A</v>
      </c>
      <c r="G81" s="1" t="e">
        <f>IF(Suma!$B80=$A$1,Suma!W80,NA())</f>
        <v>#REF!</v>
      </c>
      <c r="H81" s="10" t="e">
        <f t="shared" si="3"/>
        <v>#N/A</v>
      </c>
      <c r="I81" s="1" t="e">
        <f>IF(Suma!$B80=$A$1,Suma!AD80,NA())</f>
        <v>#REF!</v>
      </c>
      <c r="J81" s="1" t="e">
        <f>IF(Suma!$B80=$A$1,Suma!AK80,NA())</f>
        <v>#REF!</v>
      </c>
      <c r="K81" s="10" t="e">
        <f>IF(Suma!$B80=$A$1,Suma!AS80,NA())</f>
        <v>#REF!</v>
      </c>
      <c r="L81" s="1" t="e">
        <f>IF(Suma!$B80=$A$1,Suma!G80,NA())</f>
        <v>#REF!</v>
      </c>
      <c r="M81" s="1" t="e">
        <f>IF(Suma!$B80=$A$1,Suma!H80,NA())</f>
        <v>#REF!</v>
      </c>
      <c r="N81" s="1" t="e">
        <f>IF(Suma!$B80=$A$1,Suma!AT80,NA())</f>
        <v>#REF!</v>
      </c>
      <c r="O81" s="1" t="e">
        <f>IF(Suma!$B80=$A$1,Suma!AU80,NA())</f>
        <v>#REF!</v>
      </c>
      <c r="P81" s="1" t="e">
        <f>IF(Suma!$B80=$A$1,Suma!AV80,NA())</f>
        <v>#REF!</v>
      </c>
      <c r="Q81" s="1" t="e">
        <f>IF(Suma!$B80=$A$1,Suma!AW80,NA())</f>
        <v>#REF!</v>
      </c>
      <c r="R81" s="10" t="e">
        <f>IF(Suma!$B80=$A$1,Suma!AX80,NA())</f>
        <v>#REF!</v>
      </c>
      <c r="S81" s="10" t="e">
        <f>IF(Suma!$B80=$A$1,Suma!AY80,NA())</f>
        <v>#REF!</v>
      </c>
      <c r="T81" s="10" t="e">
        <f>IF(Suma!$B80=$A$1,Suma!AZ80,NA())</f>
        <v>#REF!</v>
      </c>
      <c r="U81" s="10" t="e">
        <f>IF(Suma!$B80=$A$1,Suma!J80,NA())</f>
        <v>#REF!</v>
      </c>
      <c r="V81" s="10" t="e">
        <f>IF(Suma!$B80=$A$1,Suma!K80,NA())</f>
        <v>#REF!</v>
      </c>
      <c r="W81" s="10" t="e">
        <f>IF(Suma!$B80=$A$1,Suma!L80,NA())</f>
        <v>#REF!</v>
      </c>
      <c r="X81" s="10" t="e">
        <f>IF(Suma!$B80=$A$1,Suma!M80,NA())</f>
        <v>#REF!</v>
      </c>
      <c r="Y81" s="10" t="e">
        <f>IF(Suma!$B80=$A$1,Suma!N80,NA())</f>
        <v>#REF!</v>
      </c>
      <c r="Z81" s="10" t="e">
        <f>IF(Suma!$B80=$A$1,Suma!O80,NA())</f>
        <v>#REF!</v>
      </c>
      <c r="AA81" s="10" t="e">
        <f>IF(Suma!$B80=$A$1,Suma!BC80,NA())</f>
        <v>#REF!</v>
      </c>
      <c r="AB81" s="10" t="e">
        <f>IF(Suma!$B80=$A$1,Suma!BD80,NA())</f>
        <v>#REF!</v>
      </c>
    </row>
    <row r="82" spans="1:28" x14ac:dyDescent="0.3">
      <c r="A82" s="1" t="e">
        <f>IF(Suma!$B81=$A$1,Suma!C81,NA())</f>
        <v>#REF!</v>
      </c>
      <c r="B82" s="1" t="e">
        <f>IF(Suma!$B81=$A$1,Suma!D81,NA())</f>
        <v>#REF!</v>
      </c>
      <c r="C82" s="2" t="e">
        <f>IF(Suma!$B81=$A$1,Suma!E81,NA())</f>
        <v>#REF!</v>
      </c>
      <c r="D82" s="2" t="e">
        <f>IF(Suma!$B81=$A$1,Suma!F81,NA())</f>
        <v>#REF!</v>
      </c>
      <c r="E82" s="1" t="e">
        <f>IF(Suma!$B81=$A$1,Suma!P81,NA())</f>
        <v>#REF!</v>
      </c>
      <c r="F82" s="10" t="e">
        <f t="shared" si="2"/>
        <v>#N/A</v>
      </c>
      <c r="G82" s="1" t="e">
        <f>IF(Suma!$B81=$A$1,Suma!W81,NA())</f>
        <v>#REF!</v>
      </c>
      <c r="H82" s="10" t="e">
        <f t="shared" si="3"/>
        <v>#N/A</v>
      </c>
      <c r="I82" s="1" t="e">
        <f>IF(Suma!$B81=$A$1,Suma!AD81,NA())</f>
        <v>#REF!</v>
      </c>
      <c r="J82" s="1" t="e">
        <f>IF(Suma!$B81=$A$1,Suma!AK81,NA())</f>
        <v>#REF!</v>
      </c>
      <c r="K82" s="10" t="e">
        <f>IF(Suma!$B81=$A$1,Suma!AS81,NA())</f>
        <v>#REF!</v>
      </c>
      <c r="L82" s="1" t="e">
        <f>IF(Suma!$B81=$A$1,Suma!G81,NA())</f>
        <v>#REF!</v>
      </c>
      <c r="M82" s="1" t="e">
        <f>IF(Suma!$B81=$A$1,Suma!H81,NA())</f>
        <v>#REF!</v>
      </c>
      <c r="N82" s="1" t="e">
        <f>IF(Suma!$B81=$A$1,Suma!AT81,NA())</f>
        <v>#REF!</v>
      </c>
      <c r="O82" s="1" t="e">
        <f>IF(Suma!$B81=$A$1,Suma!AU81,NA())</f>
        <v>#REF!</v>
      </c>
      <c r="P82" s="1" t="e">
        <f>IF(Suma!$B81=$A$1,Suma!AV81,NA())</f>
        <v>#REF!</v>
      </c>
      <c r="Q82" s="1" t="e">
        <f>IF(Suma!$B81=$A$1,Suma!AW81,NA())</f>
        <v>#REF!</v>
      </c>
      <c r="R82" s="10" t="e">
        <f>IF(Suma!$B81=$A$1,Suma!AX81,NA())</f>
        <v>#REF!</v>
      </c>
      <c r="S82" s="10" t="e">
        <f>IF(Suma!$B81=$A$1,Suma!AY81,NA())</f>
        <v>#REF!</v>
      </c>
      <c r="T82" s="10" t="e">
        <f>IF(Suma!$B81=$A$1,Suma!AZ81,NA())</f>
        <v>#REF!</v>
      </c>
      <c r="U82" s="10" t="e">
        <f>IF(Suma!$B81=$A$1,Suma!J81,NA())</f>
        <v>#REF!</v>
      </c>
      <c r="V82" s="10" t="e">
        <f>IF(Suma!$B81=$A$1,Suma!K81,NA())</f>
        <v>#REF!</v>
      </c>
      <c r="W82" s="10" t="e">
        <f>IF(Suma!$B81=$A$1,Suma!L81,NA())</f>
        <v>#REF!</v>
      </c>
      <c r="X82" s="10" t="e">
        <f>IF(Suma!$B81=$A$1,Suma!M81,NA())</f>
        <v>#REF!</v>
      </c>
      <c r="Y82" s="10" t="e">
        <f>IF(Suma!$B81=$A$1,Suma!N81,NA())</f>
        <v>#REF!</v>
      </c>
      <c r="Z82" s="10" t="e">
        <f>IF(Suma!$B81=$A$1,Suma!O81,NA())</f>
        <v>#REF!</v>
      </c>
      <c r="AA82" s="10" t="e">
        <f>IF(Suma!$B81=$A$1,Suma!BC81,NA())</f>
        <v>#REF!</v>
      </c>
      <c r="AB82" s="10" t="e">
        <f>IF(Suma!$B81=$A$1,Suma!BD81,NA())</f>
        <v>#REF!</v>
      </c>
    </row>
    <row r="83" spans="1:28" x14ac:dyDescent="0.3">
      <c r="A83" s="1" t="e">
        <f>IF(Suma!$B82=$A$1,Suma!C82,NA())</f>
        <v>#REF!</v>
      </c>
      <c r="B83" s="1" t="e">
        <f>IF(Suma!$B82=$A$1,Suma!D82,NA())</f>
        <v>#REF!</v>
      </c>
      <c r="C83" s="2" t="e">
        <f>IF(Suma!$B82=$A$1,Suma!E82,NA())</f>
        <v>#REF!</v>
      </c>
      <c r="D83" s="2" t="e">
        <f>IF(Suma!$B82=$A$1,Suma!F82,NA())</f>
        <v>#REF!</v>
      </c>
      <c r="E83" s="1" t="e">
        <f>IF(Suma!$B82=$A$1,Suma!P82,NA())</f>
        <v>#REF!</v>
      </c>
      <c r="F83" s="10" t="e">
        <f t="shared" si="2"/>
        <v>#N/A</v>
      </c>
      <c r="G83" s="1" t="e">
        <f>IF(Suma!$B82=$A$1,Suma!W82,NA())</f>
        <v>#REF!</v>
      </c>
      <c r="H83" s="10" t="e">
        <f t="shared" si="3"/>
        <v>#N/A</v>
      </c>
      <c r="I83" s="1" t="e">
        <f>IF(Suma!$B82=$A$1,Suma!AD82,NA())</f>
        <v>#REF!</v>
      </c>
      <c r="J83" s="1" t="e">
        <f>IF(Suma!$B82=$A$1,Suma!AK82,NA())</f>
        <v>#REF!</v>
      </c>
      <c r="K83" s="10" t="e">
        <f>IF(Suma!$B82=$A$1,Suma!AS82,NA())</f>
        <v>#REF!</v>
      </c>
      <c r="L83" s="1" t="e">
        <f>IF(Suma!$B82=$A$1,Suma!G82,NA())</f>
        <v>#REF!</v>
      </c>
      <c r="M83" s="1" t="e">
        <f>IF(Suma!$B82=$A$1,Suma!H82,NA())</f>
        <v>#REF!</v>
      </c>
      <c r="N83" s="1" t="e">
        <f>IF(Suma!$B82=$A$1,Suma!AT82,NA())</f>
        <v>#REF!</v>
      </c>
      <c r="O83" s="1" t="e">
        <f>IF(Suma!$B82=$A$1,Suma!AU82,NA())</f>
        <v>#REF!</v>
      </c>
      <c r="P83" s="1" t="e">
        <f>IF(Suma!$B82=$A$1,Suma!AV82,NA())</f>
        <v>#REF!</v>
      </c>
      <c r="Q83" s="1" t="e">
        <f>IF(Suma!$B82=$A$1,Suma!AW82,NA())</f>
        <v>#REF!</v>
      </c>
      <c r="R83" s="10" t="e">
        <f>IF(Suma!$B82=$A$1,Suma!AX82,NA())</f>
        <v>#REF!</v>
      </c>
      <c r="S83" s="10" t="e">
        <f>IF(Suma!$B82=$A$1,Suma!AY82,NA())</f>
        <v>#REF!</v>
      </c>
      <c r="T83" s="10" t="e">
        <f>IF(Suma!$B82=$A$1,Suma!AZ82,NA())</f>
        <v>#REF!</v>
      </c>
      <c r="U83" s="10" t="e">
        <f>IF(Suma!$B82=$A$1,Suma!J82,NA())</f>
        <v>#REF!</v>
      </c>
      <c r="V83" s="10" t="e">
        <f>IF(Suma!$B82=$A$1,Suma!K82,NA())</f>
        <v>#REF!</v>
      </c>
      <c r="W83" s="10" t="e">
        <f>IF(Suma!$B82=$A$1,Suma!L82,NA())</f>
        <v>#REF!</v>
      </c>
      <c r="X83" s="10" t="e">
        <f>IF(Suma!$B82=$A$1,Suma!M82,NA())</f>
        <v>#REF!</v>
      </c>
      <c r="Y83" s="10" t="e">
        <f>IF(Suma!$B82=$A$1,Suma!N82,NA())</f>
        <v>#REF!</v>
      </c>
      <c r="Z83" s="10" t="e">
        <f>IF(Suma!$B82=$A$1,Suma!O82,NA())</f>
        <v>#REF!</v>
      </c>
      <c r="AA83" s="10" t="e">
        <f>IF(Suma!$B82=$A$1,Suma!BC82,NA())</f>
        <v>#REF!</v>
      </c>
      <c r="AB83" s="10" t="e">
        <f>IF(Suma!$B82=$A$1,Suma!BD82,NA())</f>
        <v>#REF!</v>
      </c>
    </row>
    <row r="84" spans="1:28" x14ac:dyDescent="0.3">
      <c r="A84" s="1" t="e">
        <f>IF(Suma!$B83=$A$1,Suma!C83,NA())</f>
        <v>#REF!</v>
      </c>
      <c r="B84" s="1" t="e">
        <f>IF(Suma!$B83=$A$1,Suma!D83,NA())</f>
        <v>#REF!</v>
      </c>
      <c r="C84" s="2" t="e">
        <f>IF(Suma!$B83=$A$1,Suma!E83,NA())</f>
        <v>#REF!</v>
      </c>
      <c r="D84" s="2" t="e">
        <f>IF(Suma!$B83=$A$1,Suma!F83,NA())</f>
        <v>#REF!</v>
      </c>
      <c r="E84" s="1" t="e">
        <f>IF(Suma!$B83=$A$1,Suma!P83,NA())</f>
        <v>#REF!</v>
      </c>
      <c r="F84" s="10" t="e">
        <f t="shared" si="2"/>
        <v>#N/A</v>
      </c>
      <c r="G84" s="1" t="e">
        <f>IF(Suma!$B83=$A$1,Suma!W83,NA())</f>
        <v>#REF!</v>
      </c>
      <c r="H84" s="10" t="e">
        <f t="shared" si="3"/>
        <v>#N/A</v>
      </c>
      <c r="I84" s="1" t="e">
        <f>IF(Suma!$B83=$A$1,Suma!AD83,NA())</f>
        <v>#REF!</v>
      </c>
      <c r="J84" s="1" t="e">
        <f>IF(Suma!$B83=$A$1,Suma!AK83,NA())</f>
        <v>#REF!</v>
      </c>
      <c r="K84" s="10" t="e">
        <f>IF(Suma!$B83=$A$1,Suma!AS83,NA())</f>
        <v>#REF!</v>
      </c>
      <c r="L84" s="1" t="e">
        <f>IF(Suma!$B83=$A$1,Suma!G83,NA())</f>
        <v>#REF!</v>
      </c>
      <c r="M84" s="1" t="e">
        <f>IF(Suma!$B83=$A$1,Suma!H83,NA())</f>
        <v>#REF!</v>
      </c>
      <c r="N84" s="1" t="e">
        <f>IF(Suma!$B83=$A$1,Suma!AT83,NA())</f>
        <v>#REF!</v>
      </c>
      <c r="O84" s="1" t="e">
        <f>IF(Suma!$B83=$A$1,Suma!AU83,NA())</f>
        <v>#REF!</v>
      </c>
      <c r="P84" s="1" t="e">
        <f>IF(Suma!$B83=$A$1,Suma!AV83,NA())</f>
        <v>#REF!</v>
      </c>
      <c r="Q84" s="1" t="e">
        <f>IF(Suma!$B83=$A$1,Suma!AW83,NA())</f>
        <v>#REF!</v>
      </c>
      <c r="R84" s="10" t="e">
        <f>IF(Suma!$B83=$A$1,Suma!AX83,NA())</f>
        <v>#REF!</v>
      </c>
      <c r="S84" s="10" t="e">
        <f>IF(Suma!$B83=$A$1,Suma!AY83,NA())</f>
        <v>#REF!</v>
      </c>
      <c r="T84" s="10" t="e">
        <f>IF(Suma!$B83=$A$1,Suma!AZ83,NA())</f>
        <v>#REF!</v>
      </c>
      <c r="U84" s="10" t="e">
        <f>IF(Suma!$B83=$A$1,Suma!J83,NA())</f>
        <v>#REF!</v>
      </c>
      <c r="V84" s="10" t="e">
        <f>IF(Suma!$B83=$A$1,Suma!K83,NA())</f>
        <v>#REF!</v>
      </c>
      <c r="W84" s="10" t="e">
        <f>IF(Suma!$B83=$A$1,Suma!L83,NA())</f>
        <v>#REF!</v>
      </c>
      <c r="X84" s="10" t="e">
        <f>IF(Suma!$B83=$A$1,Suma!M83,NA())</f>
        <v>#REF!</v>
      </c>
      <c r="Y84" s="10" t="e">
        <f>IF(Suma!$B83=$A$1,Suma!N83,NA())</f>
        <v>#REF!</v>
      </c>
      <c r="Z84" s="10" t="e">
        <f>IF(Suma!$B83=$A$1,Suma!O83,NA())</f>
        <v>#REF!</v>
      </c>
      <c r="AA84" s="10" t="e">
        <f>IF(Suma!$B83=$A$1,Suma!BC83,NA())</f>
        <v>#REF!</v>
      </c>
      <c r="AB84" s="10" t="e">
        <f>IF(Suma!$B83=$A$1,Suma!BD83,NA())</f>
        <v>#REF!</v>
      </c>
    </row>
    <row r="85" spans="1:28" x14ac:dyDescent="0.3">
      <c r="A85" s="1" t="e">
        <f>IF(Suma!$B84=$A$1,Suma!C84,NA())</f>
        <v>#REF!</v>
      </c>
      <c r="B85" s="1" t="e">
        <f>IF(Suma!$B84=$A$1,Suma!D84,NA())</f>
        <v>#REF!</v>
      </c>
      <c r="C85" s="2" t="e">
        <f>IF(Suma!$B84=$A$1,Suma!E84,NA())</f>
        <v>#REF!</v>
      </c>
      <c r="D85" s="2" t="e">
        <f>IF(Suma!$B84=$A$1,Suma!F84,NA())</f>
        <v>#REF!</v>
      </c>
      <c r="E85" s="1" t="e">
        <f>IF(Suma!$B84=$A$1,Suma!P84,NA())</f>
        <v>#REF!</v>
      </c>
      <c r="F85" s="10" t="e">
        <f t="shared" si="2"/>
        <v>#N/A</v>
      </c>
      <c r="G85" s="1" t="e">
        <f>IF(Suma!$B84=$A$1,Suma!W84,NA())</f>
        <v>#REF!</v>
      </c>
      <c r="H85" s="10" t="e">
        <f t="shared" si="3"/>
        <v>#N/A</v>
      </c>
      <c r="I85" s="1" t="e">
        <f>IF(Suma!$B84=$A$1,Suma!AD84,NA())</f>
        <v>#REF!</v>
      </c>
      <c r="J85" s="1" t="e">
        <f>IF(Suma!$B84=$A$1,Suma!AK84,NA())</f>
        <v>#REF!</v>
      </c>
      <c r="K85" s="10" t="e">
        <f>IF(Suma!$B84=$A$1,Suma!AS84,NA())</f>
        <v>#REF!</v>
      </c>
      <c r="L85" s="1" t="e">
        <f>IF(Suma!$B84=$A$1,Suma!G84,NA())</f>
        <v>#REF!</v>
      </c>
      <c r="M85" s="1" t="e">
        <f>IF(Suma!$B84=$A$1,Suma!H84,NA())</f>
        <v>#REF!</v>
      </c>
      <c r="N85" s="1" t="e">
        <f>IF(Suma!$B84=$A$1,Suma!AT84,NA())</f>
        <v>#REF!</v>
      </c>
      <c r="O85" s="1" t="e">
        <f>IF(Suma!$B84=$A$1,Suma!AU84,NA())</f>
        <v>#REF!</v>
      </c>
      <c r="P85" s="1" t="e">
        <f>IF(Suma!$B84=$A$1,Suma!AV84,NA())</f>
        <v>#REF!</v>
      </c>
      <c r="Q85" s="1" t="e">
        <f>IF(Suma!$B84=$A$1,Suma!AW84,NA())</f>
        <v>#REF!</v>
      </c>
      <c r="R85" s="10" t="e">
        <f>IF(Suma!$B84=$A$1,Suma!AX84,NA())</f>
        <v>#REF!</v>
      </c>
      <c r="S85" s="10" t="e">
        <f>IF(Suma!$B84=$A$1,Suma!AY84,NA())</f>
        <v>#REF!</v>
      </c>
      <c r="T85" s="10" t="e">
        <f>IF(Suma!$B84=$A$1,Suma!AZ84,NA())</f>
        <v>#REF!</v>
      </c>
      <c r="U85" s="10" t="e">
        <f>IF(Suma!$B84=$A$1,Suma!J84,NA())</f>
        <v>#REF!</v>
      </c>
      <c r="V85" s="10" t="e">
        <f>IF(Suma!$B84=$A$1,Suma!K84,NA())</f>
        <v>#REF!</v>
      </c>
      <c r="W85" s="10" t="e">
        <f>IF(Suma!$B84=$A$1,Suma!L84,NA())</f>
        <v>#REF!</v>
      </c>
      <c r="X85" s="10" t="e">
        <f>IF(Suma!$B84=$A$1,Suma!M84,NA())</f>
        <v>#REF!</v>
      </c>
      <c r="Y85" s="10" t="e">
        <f>IF(Suma!$B84=$A$1,Suma!N84,NA())</f>
        <v>#REF!</v>
      </c>
      <c r="Z85" s="10" t="e">
        <f>IF(Suma!$B84=$A$1,Suma!O84,NA())</f>
        <v>#REF!</v>
      </c>
      <c r="AA85" s="10" t="e">
        <f>IF(Suma!$B84=$A$1,Suma!BC84,NA())</f>
        <v>#REF!</v>
      </c>
      <c r="AB85" s="10" t="e">
        <f>IF(Suma!$B84=$A$1,Suma!BD84,NA())</f>
        <v>#REF!</v>
      </c>
    </row>
    <row r="86" spans="1:28" x14ac:dyDescent="0.3">
      <c r="A86" s="1" t="e">
        <f>IF(Suma!$B85=$A$1,Suma!C85,NA())</f>
        <v>#REF!</v>
      </c>
      <c r="B86" s="1" t="e">
        <f>IF(Suma!$B85=$A$1,Suma!D85,NA())</f>
        <v>#REF!</v>
      </c>
      <c r="C86" s="2" t="e">
        <f>IF(Suma!$B85=$A$1,Suma!E85,NA())</f>
        <v>#REF!</v>
      </c>
      <c r="D86" s="2" t="e">
        <f>IF(Suma!$B85=$A$1,Suma!F85,NA())</f>
        <v>#REF!</v>
      </c>
      <c r="E86" s="1" t="e">
        <f>IF(Suma!$B85=$A$1,Suma!P85,NA())</f>
        <v>#REF!</v>
      </c>
      <c r="F86" s="10" t="e">
        <f t="shared" si="2"/>
        <v>#N/A</v>
      </c>
      <c r="G86" s="1" t="e">
        <f>IF(Suma!$B85=$A$1,Suma!W85,NA())</f>
        <v>#REF!</v>
      </c>
      <c r="H86" s="10" t="e">
        <f t="shared" si="3"/>
        <v>#N/A</v>
      </c>
      <c r="I86" s="1" t="e">
        <f>IF(Suma!$B85=$A$1,Suma!AD85,NA())</f>
        <v>#REF!</v>
      </c>
      <c r="J86" s="1" t="e">
        <f>IF(Suma!$B85=$A$1,Suma!AK85,NA())</f>
        <v>#REF!</v>
      </c>
      <c r="K86" s="10" t="e">
        <f>IF(Suma!$B85=$A$1,Suma!AS85,NA())</f>
        <v>#REF!</v>
      </c>
      <c r="L86" s="1" t="e">
        <f>IF(Suma!$B85=$A$1,Suma!G85,NA())</f>
        <v>#REF!</v>
      </c>
      <c r="M86" s="1" t="e">
        <f>IF(Suma!$B85=$A$1,Suma!H85,NA())</f>
        <v>#REF!</v>
      </c>
      <c r="N86" s="1" t="e">
        <f>IF(Suma!$B85=$A$1,Suma!AT85,NA())</f>
        <v>#REF!</v>
      </c>
      <c r="O86" s="1" t="e">
        <f>IF(Suma!$B85=$A$1,Suma!AU85,NA())</f>
        <v>#REF!</v>
      </c>
      <c r="P86" s="1" t="e">
        <f>IF(Suma!$B85=$A$1,Suma!AV85,NA())</f>
        <v>#REF!</v>
      </c>
      <c r="Q86" s="1" t="e">
        <f>IF(Suma!$B85=$A$1,Suma!AW85,NA())</f>
        <v>#REF!</v>
      </c>
      <c r="R86" s="10" t="e">
        <f>IF(Suma!$B85=$A$1,Suma!AX85,NA())</f>
        <v>#REF!</v>
      </c>
      <c r="S86" s="10" t="e">
        <f>IF(Suma!$B85=$A$1,Suma!AY85,NA())</f>
        <v>#REF!</v>
      </c>
      <c r="T86" s="10" t="e">
        <f>IF(Suma!$B85=$A$1,Suma!AZ85,NA())</f>
        <v>#REF!</v>
      </c>
      <c r="U86" s="10" t="e">
        <f>IF(Suma!$B85=$A$1,Suma!J85,NA())</f>
        <v>#REF!</v>
      </c>
      <c r="V86" s="10" t="e">
        <f>IF(Suma!$B85=$A$1,Suma!K85,NA())</f>
        <v>#REF!</v>
      </c>
      <c r="W86" s="10" t="e">
        <f>IF(Suma!$B85=$A$1,Suma!L85,NA())</f>
        <v>#REF!</v>
      </c>
      <c r="X86" s="10" t="e">
        <f>IF(Suma!$B85=$A$1,Suma!M85,NA())</f>
        <v>#REF!</v>
      </c>
      <c r="Y86" s="10" t="e">
        <f>IF(Suma!$B85=$A$1,Suma!N85,NA())</f>
        <v>#REF!</v>
      </c>
      <c r="Z86" s="10" t="e">
        <f>IF(Suma!$B85=$A$1,Suma!O85,NA())</f>
        <v>#REF!</v>
      </c>
      <c r="AA86" s="10" t="e">
        <f>IF(Suma!$B85=$A$1,Suma!BC85,NA())</f>
        <v>#REF!</v>
      </c>
      <c r="AB86" s="10" t="e">
        <f>IF(Suma!$B85=$A$1,Suma!BD85,NA())</f>
        <v>#REF!</v>
      </c>
    </row>
    <row r="87" spans="1:28" x14ac:dyDescent="0.3">
      <c r="A87" s="1" t="e">
        <f>IF(Suma!$B86=$A$1,Suma!C86,NA())</f>
        <v>#REF!</v>
      </c>
      <c r="B87" s="1" t="e">
        <f>IF(Suma!$B86=$A$1,Suma!D86,NA())</f>
        <v>#REF!</v>
      </c>
      <c r="C87" s="2" t="e">
        <f>IF(Suma!$B86=$A$1,Suma!E86,NA())</f>
        <v>#REF!</v>
      </c>
      <c r="D87" s="2" t="e">
        <f>IF(Suma!$B86=$A$1,Suma!F86,NA())</f>
        <v>#REF!</v>
      </c>
      <c r="E87" s="1" t="e">
        <f>IF(Suma!$B86=$A$1,Suma!P86,NA())</f>
        <v>#REF!</v>
      </c>
      <c r="F87" s="10" t="e">
        <f t="shared" si="2"/>
        <v>#N/A</v>
      </c>
      <c r="G87" s="1" t="e">
        <f>IF(Suma!$B86=$A$1,Suma!W86,NA())</f>
        <v>#REF!</v>
      </c>
      <c r="H87" s="10" t="e">
        <f t="shared" si="3"/>
        <v>#N/A</v>
      </c>
      <c r="I87" s="1" t="e">
        <f>IF(Suma!$B86=$A$1,Suma!AD86,NA())</f>
        <v>#REF!</v>
      </c>
      <c r="J87" s="1" t="e">
        <f>IF(Suma!$B86=$A$1,Suma!AK86,NA())</f>
        <v>#REF!</v>
      </c>
      <c r="K87" s="10" t="e">
        <f>IF(Suma!$B86=$A$1,Suma!AS86,NA())</f>
        <v>#REF!</v>
      </c>
      <c r="L87" s="1" t="e">
        <f>IF(Suma!$B86=$A$1,Suma!G86,NA())</f>
        <v>#REF!</v>
      </c>
      <c r="M87" s="1" t="e">
        <f>IF(Suma!$B86=$A$1,Suma!H86,NA())</f>
        <v>#REF!</v>
      </c>
      <c r="N87" s="1" t="e">
        <f>IF(Suma!$B86=$A$1,Suma!AT86,NA())</f>
        <v>#REF!</v>
      </c>
      <c r="O87" s="1" t="e">
        <f>IF(Suma!$B86=$A$1,Suma!AU86,NA())</f>
        <v>#REF!</v>
      </c>
      <c r="P87" s="1" t="e">
        <f>IF(Suma!$B86=$A$1,Suma!AV86,NA())</f>
        <v>#REF!</v>
      </c>
      <c r="Q87" s="1" t="e">
        <f>IF(Suma!$B86=$A$1,Suma!AW86,NA())</f>
        <v>#REF!</v>
      </c>
      <c r="R87" s="10" t="e">
        <f>IF(Suma!$B86=$A$1,Suma!AX86,NA())</f>
        <v>#REF!</v>
      </c>
      <c r="S87" s="10" t="e">
        <f>IF(Suma!$B86=$A$1,Suma!AY86,NA())</f>
        <v>#REF!</v>
      </c>
      <c r="T87" s="10" t="e">
        <f>IF(Suma!$B86=$A$1,Suma!AZ86,NA())</f>
        <v>#REF!</v>
      </c>
      <c r="U87" s="10" t="e">
        <f>IF(Suma!$B86=$A$1,Suma!J86,NA())</f>
        <v>#REF!</v>
      </c>
      <c r="V87" s="10" t="e">
        <f>IF(Suma!$B86=$A$1,Suma!K86,NA())</f>
        <v>#REF!</v>
      </c>
      <c r="W87" s="10" t="e">
        <f>IF(Suma!$B86=$A$1,Suma!L86,NA())</f>
        <v>#REF!</v>
      </c>
      <c r="X87" s="10" t="e">
        <f>IF(Suma!$B86=$A$1,Suma!M86,NA())</f>
        <v>#REF!</v>
      </c>
      <c r="Y87" s="10" t="e">
        <f>IF(Suma!$B86=$A$1,Suma!N86,NA())</f>
        <v>#REF!</v>
      </c>
      <c r="Z87" s="10" t="e">
        <f>IF(Suma!$B86=$A$1,Suma!O86,NA())</f>
        <v>#REF!</v>
      </c>
      <c r="AA87" s="10" t="e">
        <f>IF(Suma!$B86=$A$1,Suma!BC86,NA())</f>
        <v>#REF!</v>
      </c>
      <c r="AB87" s="10" t="e">
        <f>IF(Suma!$B86=$A$1,Suma!BD86,NA())</f>
        <v>#REF!</v>
      </c>
    </row>
    <row r="88" spans="1:28" x14ac:dyDescent="0.3">
      <c r="A88" s="1" t="e">
        <f>IF(Suma!$B87=$A$1,Suma!C87,NA())</f>
        <v>#REF!</v>
      </c>
      <c r="B88" s="1" t="e">
        <f>IF(Suma!$B87=$A$1,Suma!D87,NA())</f>
        <v>#REF!</v>
      </c>
      <c r="C88" s="2" t="e">
        <f>IF(Suma!$B87=$A$1,Suma!E87,NA())</f>
        <v>#REF!</v>
      </c>
      <c r="D88" s="2" t="e">
        <f>IF(Suma!$B87=$A$1,Suma!F87,NA())</f>
        <v>#REF!</v>
      </c>
      <c r="E88" s="1" t="e">
        <f>IF(Suma!$B87=$A$1,Suma!P87,NA())</f>
        <v>#REF!</v>
      </c>
      <c r="F88" s="10" t="e">
        <f t="shared" si="2"/>
        <v>#N/A</v>
      </c>
      <c r="G88" s="1" t="e">
        <f>IF(Suma!$B87=$A$1,Suma!W87,NA())</f>
        <v>#REF!</v>
      </c>
      <c r="H88" s="10" t="e">
        <f t="shared" si="3"/>
        <v>#N/A</v>
      </c>
      <c r="I88" s="1" t="e">
        <f>IF(Suma!$B87=$A$1,Suma!AD87,NA())</f>
        <v>#REF!</v>
      </c>
      <c r="J88" s="1" t="e">
        <f>IF(Suma!$B87=$A$1,Suma!AK87,NA())</f>
        <v>#REF!</v>
      </c>
      <c r="K88" s="10" t="e">
        <f>IF(Suma!$B87=$A$1,Suma!AS87,NA())</f>
        <v>#REF!</v>
      </c>
      <c r="L88" s="1" t="e">
        <f>IF(Suma!$B87=$A$1,Suma!G87,NA())</f>
        <v>#REF!</v>
      </c>
      <c r="M88" s="1" t="e">
        <f>IF(Suma!$B87=$A$1,Suma!H87,NA())</f>
        <v>#REF!</v>
      </c>
      <c r="N88" s="1" t="e">
        <f>IF(Suma!$B87=$A$1,Suma!AT87,NA())</f>
        <v>#REF!</v>
      </c>
      <c r="O88" s="1" t="e">
        <f>IF(Suma!$B87=$A$1,Suma!AU87,NA())</f>
        <v>#REF!</v>
      </c>
      <c r="P88" s="1" t="e">
        <f>IF(Suma!$B87=$A$1,Suma!AV87,NA())</f>
        <v>#REF!</v>
      </c>
      <c r="Q88" s="1" t="e">
        <f>IF(Suma!$B87=$A$1,Suma!AW87,NA())</f>
        <v>#REF!</v>
      </c>
      <c r="R88" s="10" t="e">
        <f>IF(Suma!$B87=$A$1,Suma!AX87,NA())</f>
        <v>#REF!</v>
      </c>
      <c r="S88" s="10" t="e">
        <f>IF(Suma!$B87=$A$1,Suma!AY87,NA())</f>
        <v>#REF!</v>
      </c>
      <c r="T88" s="10" t="e">
        <f>IF(Suma!$B87=$A$1,Suma!AZ87,NA())</f>
        <v>#REF!</v>
      </c>
      <c r="U88" s="10" t="e">
        <f>IF(Suma!$B87=$A$1,Suma!J87,NA())</f>
        <v>#REF!</v>
      </c>
      <c r="V88" s="10" t="e">
        <f>IF(Suma!$B87=$A$1,Suma!K87,NA())</f>
        <v>#REF!</v>
      </c>
      <c r="W88" s="10" t="e">
        <f>IF(Suma!$B87=$A$1,Suma!L87,NA())</f>
        <v>#REF!</v>
      </c>
      <c r="X88" s="10" t="e">
        <f>IF(Suma!$B87=$A$1,Suma!M87,NA())</f>
        <v>#REF!</v>
      </c>
      <c r="Y88" s="10" t="e">
        <f>IF(Suma!$B87=$A$1,Suma!N87,NA())</f>
        <v>#REF!</v>
      </c>
      <c r="Z88" s="10" t="e">
        <f>IF(Suma!$B87=$A$1,Suma!O87,NA())</f>
        <v>#REF!</v>
      </c>
      <c r="AA88" s="10" t="e">
        <f>IF(Suma!$B87=$A$1,Suma!BC87,NA())</f>
        <v>#REF!</v>
      </c>
      <c r="AB88" s="10" t="e">
        <f>IF(Suma!$B87=$A$1,Suma!BD87,NA())</f>
        <v>#REF!</v>
      </c>
    </row>
    <row r="89" spans="1:28" x14ac:dyDescent="0.3">
      <c r="A89" s="1" t="e">
        <f>IF(Suma!$B88=$A$1,Suma!C88,NA())</f>
        <v>#REF!</v>
      </c>
      <c r="B89" s="1" t="e">
        <f>IF(Suma!$B88=$A$1,Suma!D88,NA())</f>
        <v>#REF!</v>
      </c>
      <c r="C89" s="2" t="e">
        <f>IF(Suma!$B88=$A$1,Suma!E88,NA())</f>
        <v>#REF!</v>
      </c>
      <c r="D89" s="2" t="e">
        <f>IF(Suma!$B88=$A$1,Suma!F88,NA())</f>
        <v>#REF!</v>
      </c>
      <c r="E89" s="1" t="e">
        <f>IF(Suma!$B88=$A$1,Suma!P88,NA())</f>
        <v>#REF!</v>
      </c>
      <c r="F89" s="10" t="e">
        <f t="shared" si="2"/>
        <v>#N/A</v>
      </c>
      <c r="G89" s="1" t="e">
        <f>IF(Suma!$B88=$A$1,Suma!W88,NA())</f>
        <v>#REF!</v>
      </c>
      <c r="H89" s="10" t="e">
        <f t="shared" si="3"/>
        <v>#N/A</v>
      </c>
      <c r="I89" s="1" t="e">
        <f>IF(Suma!$B88=$A$1,Suma!AD88,NA())</f>
        <v>#REF!</v>
      </c>
      <c r="J89" s="1" t="e">
        <f>IF(Suma!$B88=$A$1,Suma!AK88,NA())</f>
        <v>#REF!</v>
      </c>
      <c r="K89" s="10" t="e">
        <f>IF(Suma!$B88=$A$1,Suma!AS88,NA())</f>
        <v>#REF!</v>
      </c>
      <c r="L89" s="1" t="e">
        <f>IF(Suma!$B88=$A$1,Suma!G88,NA())</f>
        <v>#REF!</v>
      </c>
      <c r="M89" s="1" t="e">
        <f>IF(Suma!$B88=$A$1,Suma!H88,NA())</f>
        <v>#REF!</v>
      </c>
      <c r="N89" s="1" t="e">
        <f>IF(Suma!$B88=$A$1,Suma!AT88,NA())</f>
        <v>#REF!</v>
      </c>
      <c r="O89" s="1" t="e">
        <f>IF(Suma!$B88=$A$1,Suma!AU88,NA())</f>
        <v>#REF!</v>
      </c>
      <c r="P89" s="1" t="e">
        <f>IF(Suma!$B88=$A$1,Suma!AV88,NA())</f>
        <v>#REF!</v>
      </c>
      <c r="Q89" s="1" t="e">
        <f>IF(Suma!$B88=$A$1,Suma!AW88,NA())</f>
        <v>#REF!</v>
      </c>
      <c r="R89" s="10" t="e">
        <f>IF(Suma!$B88=$A$1,Suma!AX88,NA())</f>
        <v>#REF!</v>
      </c>
      <c r="S89" s="10" t="e">
        <f>IF(Suma!$B88=$A$1,Suma!AY88,NA())</f>
        <v>#REF!</v>
      </c>
      <c r="T89" s="10" t="e">
        <f>IF(Suma!$B88=$A$1,Suma!AZ88,NA())</f>
        <v>#REF!</v>
      </c>
      <c r="U89" s="10" t="e">
        <f>IF(Suma!$B88=$A$1,Suma!J88,NA())</f>
        <v>#REF!</v>
      </c>
      <c r="V89" s="10" t="e">
        <f>IF(Suma!$B88=$A$1,Suma!K88,NA())</f>
        <v>#REF!</v>
      </c>
      <c r="W89" s="10" t="e">
        <f>IF(Suma!$B88=$A$1,Suma!L88,NA())</f>
        <v>#REF!</v>
      </c>
      <c r="X89" s="10" t="e">
        <f>IF(Suma!$B88=$A$1,Suma!M88,NA())</f>
        <v>#REF!</v>
      </c>
      <c r="Y89" s="10" t="e">
        <f>IF(Suma!$B88=$A$1,Suma!N88,NA())</f>
        <v>#REF!</v>
      </c>
      <c r="Z89" s="10" t="e">
        <f>IF(Suma!$B88=$A$1,Suma!O88,NA())</f>
        <v>#REF!</v>
      </c>
      <c r="AA89" s="10" t="e">
        <f>IF(Suma!$B88=$A$1,Suma!BC88,NA())</f>
        <v>#REF!</v>
      </c>
      <c r="AB89" s="10" t="e">
        <f>IF(Suma!$B88=$A$1,Suma!BD88,NA())</f>
        <v>#REF!</v>
      </c>
    </row>
    <row r="90" spans="1:28" x14ac:dyDescent="0.3">
      <c r="A90" s="1" t="e">
        <f>IF(Suma!$B89=$A$1,Suma!C89,NA())</f>
        <v>#REF!</v>
      </c>
      <c r="B90" s="1" t="e">
        <f>IF(Suma!$B89=$A$1,Suma!D89,NA())</f>
        <v>#REF!</v>
      </c>
      <c r="C90" s="2" t="e">
        <f>IF(Suma!$B89=$A$1,Suma!E89,NA())</f>
        <v>#REF!</v>
      </c>
      <c r="D90" s="2" t="e">
        <f>IF(Suma!$B89=$A$1,Suma!F89,NA())</f>
        <v>#REF!</v>
      </c>
      <c r="E90" s="1" t="e">
        <f>IF(Suma!$B89=$A$1,Suma!P89,NA())</f>
        <v>#REF!</v>
      </c>
      <c r="F90" s="10" t="e">
        <f t="shared" si="2"/>
        <v>#N/A</v>
      </c>
      <c r="G90" s="1" t="e">
        <f>IF(Suma!$B89=$A$1,Suma!W89,NA())</f>
        <v>#REF!</v>
      </c>
      <c r="H90" s="10" t="e">
        <f t="shared" si="3"/>
        <v>#N/A</v>
      </c>
      <c r="I90" s="1" t="e">
        <f>IF(Suma!$B89=$A$1,Suma!AD89,NA())</f>
        <v>#REF!</v>
      </c>
      <c r="J90" s="1" t="e">
        <f>IF(Suma!$B89=$A$1,Suma!AK89,NA())</f>
        <v>#REF!</v>
      </c>
      <c r="K90" s="10" t="e">
        <f>IF(Suma!$B89=$A$1,Suma!AS89,NA())</f>
        <v>#REF!</v>
      </c>
      <c r="L90" s="1" t="e">
        <f>IF(Suma!$B89=$A$1,Suma!G89,NA())</f>
        <v>#REF!</v>
      </c>
      <c r="M90" s="1" t="e">
        <f>IF(Suma!$B89=$A$1,Suma!H89,NA())</f>
        <v>#REF!</v>
      </c>
      <c r="N90" s="1" t="e">
        <f>IF(Suma!$B89=$A$1,Suma!AT89,NA())</f>
        <v>#REF!</v>
      </c>
      <c r="O90" s="1" t="e">
        <f>IF(Suma!$B89=$A$1,Suma!AU89,NA())</f>
        <v>#REF!</v>
      </c>
      <c r="P90" s="1" t="e">
        <f>IF(Suma!$B89=$A$1,Suma!AV89,NA())</f>
        <v>#REF!</v>
      </c>
      <c r="Q90" s="1" t="e">
        <f>IF(Suma!$B89=$A$1,Suma!AW89,NA())</f>
        <v>#REF!</v>
      </c>
      <c r="R90" s="10" t="e">
        <f>IF(Suma!$B89=$A$1,Suma!AX89,NA())</f>
        <v>#REF!</v>
      </c>
      <c r="S90" s="10" t="e">
        <f>IF(Suma!$B89=$A$1,Suma!AY89,NA())</f>
        <v>#REF!</v>
      </c>
      <c r="T90" s="10" t="e">
        <f>IF(Suma!$B89=$A$1,Suma!AZ89,NA())</f>
        <v>#REF!</v>
      </c>
      <c r="U90" s="10" t="e">
        <f>IF(Suma!$B89=$A$1,Suma!J89,NA())</f>
        <v>#REF!</v>
      </c>
      <c r="V90" s="10" t="e">
        <f>IF(Suma!$B89=$A$1,Suma!K89,NA())</f>
        <v>#REF!</v>
      </c>
      <c r="W90" s="10" t="e">
        <f>IF(Suma!$B89=$A$1,Suma!L89,NA())</f>
        <v>#REF!</v>
      </c>
      <c r="X90" s="10" t="e">
        <f>IF(Suma!$B89=$A$1,Suma!M89,NA())</f>
        <v>#REF!</v>
      </c>
      <c r="Y90" s="10" t="e">
        <f>IF(Suma!$B89=$A$1,Suma!N89,NA())</f>
        <v>#REF!</v>
      </c>
      <c r="Z90" s="10" t="e">
        <f>IF(Suma!$B89=$A$1,Suma!O89,NA())</f>
        <v>#REF!</v>
      </c>
      <c r="AA90" s="10" t="e">
        <f>IF(Suma!$B89=$A$1,Suma!BC89,NA())</f>
        <v>#REF!</v>
      </c>
      <c r="AB90" s="10" t="e">
        <f>IF(Suma!$B89=$A$1,Suma!BD89,NA())</f>
        <v>#REF!</v>
      </c>
    </row>
    <row r="91" spans="1:28" x14ac:dyDescent="0.3">
      <c r="A91" s="1" t="e">
        <f>IF(Suma!$B90=$A$1,Suma!C90,NA())</f>
        <v>#REF!</v>
      </c>
      <c r="B91" s="1" t="e">
        <f>IF(Suma!$B90=$A$1,Suma!D90,NA())</f>
        <v>#REF!</v>
      </c>
      <c r="C91" s="2" t="e">
        <f>IF(Suma!$B90=$A$1,Suma!E90,NA())</f>
        <v>#REF!</v>
      </c>
      <c r="D91" s="2" t="e">
        <f>IF(Suma!$B90=$A$1,Suma!F90,NA())</f>
        <v>#REF!</v>
      </c>
      <c r="E91" s="1" t="e">
        <f>IF(Suma!$B90=$A$1,Suma!P90,NA())</f>
        <v>#REF!</v>
      </c>
      <c r="F91" s="10" t="e">
        <f t="shared" si="2"/>
        <v>#N/A</v>
      </c>
      <c r="G91" s="1" t="e">
        <f>IF(Suma!$B90=$A$1,Suma!W90,NA())</f>
        <v>#REF!</v>
      </c>
      <c r="H91" s="10" t="e">
        <f t="shared" si="3"/>
        <v>#N/A</v>
      </c>
      <c r="I91" s="1" t="e">
        <f>IF(Suma!$B90=$A$1,Suma!AD90,NA())</f>
        <v>#REF!</v>
      </c>
      <c r="J91" s="1" t="e">
        <f>IF(Suma!$B90=$A$1,Suma!AK90,NA())</f>
        <v>#REF!</v>
      </c>
      <c r="K91" s="10" t="e">
        <f>IF(Suma!$B90=$A$1,Suma!AS90,NA())</f>
        <v>#REF!</v>
      </c>
      <c r="L91" s="1" t="e">
        <f>IF(Suma!$B90=$A$1,Suma!G90,NA())</f>
        <v>#REF!</v>
      </c>
      <c r="M91" s="1" t="e">
        <f>IF(Suma!$B90=$A$1,Suma!H90,NA())</f>
        <v>#REF!</v>
      </c>
      <c r="N91" s="1" t="e">
        <f>IF(Suma!$B90=$A$1,Suma!AT90,NA())</f>
        <v>#REF!</v>
      </c>
      <c r="O91" s="1" t="e">
        <f>IF(Suma!$B90=$A$1,Suma!AU90,NA())</f>
        <v>#REF!</v>
      </c>
      <c r="P91" s="1" t="e">
        <f>IF(Suma!$B90=$A$1,Suma!AV90,NA())</f>
        <v>#REF!</v>
      </c>
      <c r="Q91" s="1" t="e">
        <f>IF(Suma!$B90=$A$1,Suma!AW90,NA())</f>
        <v>#REF!</v>
      </c>
      <c r="R91" s="10" t="e">
        <f>IF(Suma!$B90=$A$1,Suma!AX90,NA())</f>
        <v>#REF!</v>
      </c>
      <c r="S91" s="10" t="e">
        <f>IF(Suma!$B90=$A$1,Suma!AY90,NA())</f>
        <v>#REF!</v>
      </c>
      <c r="T91" s="10" t="e">
        <f>IF(Suma!$B90=$A$1,Suma!AZ90,NA())</f>
        <v>#REF!</v>
      </c>
      <c r="U91" s="10" t="e">
        <f>IF(Suma!$B90=$A$1,Suma!J90,NA())</f>
        <v>#REF!</v>
      </c>
      <c r="V91" s="10" t="e">
        <f>IF(Suma!$B90=$A$1,Suma!K90,NA())</f>
        <v>#REF!</v>
      </c>
      <c r="W91" s="10" t="e">
        <f>IF(Suma!$B90=$A$1,Suma!L90,NA())</f>
        <v>#REF!</v>
      </c>
      <c r="X91" s="10" t="e">
        <f>IF(Suma!$B90=$A$1,Suma!M90,NA())</f>
        <v>#REF!</v>
      </c>
      <c r="Y91" s="10" t="e">
        <f>IF(Suma!$B90=$A$1,Suma!N90,NA())</f>
        <v>#REF!</v>
      </c>
      <c r="Z91" s="10" t="e">
        <f>IF(Suma!$B90=$A$1,Suma!O90,NA())</f>
        <v>#REF!</v>
      </c>
      <c r="AA91" s="10" t="e">
        <f>IF(Suma!$B90=$A$1,Suma!BC90,NA())</f>
        <v>#REF!</v>
      </c>
      <c r="AB91" s="10" t="e">
        <f>IF(Suma!$B90=$A$1,Suma!BD90,NA())</f>
        <v>#REF!</v>
      </c>
    </row>
    <row r="92" spans="1:28" x14ac:dyDescent="0.3">
      <c r="A92" s="1" t="e">
        <f>IF(Suma!$B91=$A$1,Suma!C91,NA())</f>
        <v>#REF!</v>
      </c>
      <c r="B92" s="1" t="e">
        <f>IF(Suma!$B91=$A$1,Suma!D91,NA())</f>
        <v>#REF!</v>
      </c>
      <c r="C92" s="2" t="e">
        <f>IF(Suma!$B91=$A$1,Suma!E91,NA())</f>
        <v>#REF!</v>
      </c>
      <c r="D92" s="2" t="e">
        <f>IF(Suma!$B91=$A$1,Suma!F91,NA())</f>
        <v>#REF!</v>
      </c>
      <c r="E92" s="1" t="e">
        <f>IF(Suma!$B91=$A$1,Suma!P91,NA())</f>
        <v>#REF!</v>
      </c>
      <c r="F92" s="10" t="e">
        <f t="shared" si="2"/>
        <v>#N/A</v>
      </c>
      <c r="G92" s="1" t="e">
        <f>IF(Suma!$B91=$A$1,Suma!W91,NA())</f>
        <v>#REF!</v>
      </c>
      <c r="H92" s="10" t="e">
        <f t="shared" si="3"/>
        <v>#N/A</v>
      </c>
      <c r="I92" s="1" t="e">
        <f>IF(Suma!$B91=$A$1,Suma!AD91,NA())</f>
        <v>#REF!</v>
      </c>
      <c r="J92" s="1" t="e">
        <f>IF(Suma!$B91=$A$1,Suma!AK91,NA())</f>
        <v>#REF!</v>
      </c>
      <c r="K92" s="10" t="e">
        <f>IF(Suma!$B91=$A$1,Suma!AS91,NA())</f>
        <v>#REF!</v>
      </c>
      <c r="L92" s="1" t="e">
        <f>IF(Suma!$B91=$A$1,Suma!G91,NA())</f>
        <v>#REF!</v>
      </c>
      <c r="M92" s="1" t="e">
        <f>IF(Suma!$B91=$A$1,Suma!H91,NA())</f>
        <v>#REF!</v>
      </c>
      <c r="N92" s="1" t="e">
        <f>IF(Suma!$B91=$A$1,Suma!AT91,NA())</f>
        <v>#REF!</v>
      </c>
      <c r="O92" s="1" t="e">
        <f>IF(Suma!$B91=$A$1,Suma!AU91,NA())</f>
        <v>#REF!</v>
      </c>
      <c r="P92" s="1" t="e">
        <f>IF(Suma!$B91=$A$1,Suma!AV91,NA())</f>
        <v>#REF!</v>
      </c>
      <c r="Q92" s="1" t="e">
        <f>IF(Suma!$B91=$A$1,Suma!AW91,NA())</f>
        <v>#REF!</v>
      </c>
      <c r="R92" s="10" t="e">
        <f>IF(Suma!$B91=$A$1,Suma!AX91,NA())</f>
        <v>#REF!</v>
      </c>
      <c r="S92" s="10" t="e">
        <f>IF(Suma!$B91=$A$1,Suma!AY91,NA())</f>
        <v>#REF!</v>
      </c>
      <c r="T92" s="10" t="e">
        <f>IF(Suma!$B91=$A$1,Suma!AZ91,NA())</f>
        <v>#REF!</v>
      </c>
      <c r="U92" s="10" t="e">
        <f>IF(Suma!$B91=$A$1,Suma!J91,NA())</f>
        <v>#REF!</v>
      </c>
      <c r="V92" s="10" t="e">
        <f>IF(Suma!$B91=$A$1,Suma!K91,NA())</f>
        <v>#REF!</v>
      </c>
      <c r="W92" s="10" t="e">
        <f>IF(Suma!$B91=$A$1,Suma!L91,NA())</f>
        <v>#REF!</v>
      </c>
      <c r="X92" s="10" t="e">
        <f>IF(Suma!$B91=$A$1,Suma!M91,NA())</f>
        <v>#REF!</v>
      </c>
      <c r="Y92" s="10" t="e">
        <f>IF(Suma!$B91=$A$1,Suma!N91,NA())</f>
        <v>#REF!</v>
      </c>
      <c r="Z92" s="10" t="e">
        <f>IF(Suma!$B91=$A$1,Suma!O91,NA())</f>
        <v>#REF!</v>
      </c>
      <c r="AA92" s="10" t="e">
        <f>IF(Suma!$B91=$A$1,Suma!BC91,NA())</f>
        <v>#REF!</v>
      </c>
      <c r="AB92" s="10" t="e">
        <f>IF(Suma!$B91=$A$1,Suma!BD91,NA())</f>
        <v>#REF!</v>
      </c>
    </row>
    <row r="93" spans="1:28" x14ac:dyDescent="0.3">
      <c r="A93" s="1">
        <f>IF(Suma!$B92=$A$1,Suma!C92,NA())</f>
        <v>0</v>
      </c>
      <c r="B93" s="1">
        <f>IF(Suma!$B92=$A$1,Suma!D92,NA())</f>
        <v>0</v>
      </c>
      <c r="C93" s="2">
        <f>IF(Suma!$B92=$A$1,Suma!E92,NA())</f>
        <v>0</v>
      </c>
      <c r="D93" s="2">
        <f>IF(Suma!$B92=$A$1,Suma!F92,NA())</f>
        <v>0</v>
      </c>
      <c r="E93" s="1">
        <f>IF(Suma!$B92=$A$1,Suma!P92,NA())</f>
        <v>0</v>
      </c>
      <c r="F93" s="10">
        <f t="shared" si="2"/>
        <v>0</v>
      </c>
      <c r="G93" s="1">
        <f>IF(Suma!$B92=$A$1,Suma!W92,NA())</f>
        <v>0</v>
      </c>
      <c r="H93" s="10">
        <f t="shared" si="3"/>
        <v>0</v>
      </c>
      <c r="I93" s="1">
        <f>IF(Suma!$B92=$A$1,Suma!AD92,NA())</f>
        <v>0</v>
      </c>
      <c r="J93" s="1">
        <f>IF(Suma!$B92=$A$1,Suma!AK92,NA())</f>
        <v>0</v>
      </c>
      <c r="K93" s="10">
        <f>IF(Suma!$B92=$A$1,Suma!AS92,NA())</f>
        <v>0</v>
      </c>
      <c r="L93" s="1">
        <f>IF(Suma!$B92=$A$1,Suma!G92,NA())</f>
        <v>0</v>
      </c>
      <c r="M93" s="1">
        <f>IF(Suma!$B92=$A$1,Suma!H92,NA())</f>
        <v>0</v>
      </c>
      <c r="N93" s="1">
        <f>IF(Suma!$B92=$A$1,Suma!AT92,NA())</f>
        <v>1900</v>
      </c>
      <c r="O93" s="1" t="str">
        <f>IF(Suma!$B92=$A$1,Suma!AU92,NA())</f>
        <v>enero</v>
      </c>
      <c r="P93" s="1">
        <f>IF(Suma!$B92=$A$1,Suma!AV92,NA())</f>
        <v>0</v>
      </c>
      <c r="Q93" s="1">
        <f>IF(Suma!$B92=$A$1,Suma!AW92,NA())</f>
        <v>0</v>
      </c>
      <c r="R93" s="10">
        <f>IF(Suma!$B92=$A$1,Suma!AX92,NA())</f>
        <v>0</v>
      </c>
      <c r="S93" s="10">
        <f>IF(Suma!$B92=$A$1,Suma!AY92,NA())</f>
        <v>0</v>
      </c>
      <c r="T93" s="10">
        <f>IF(Suma!$B92=$A$1,Suma!AZ92,NA())</f>
        <v>0</v>
      </c>
      <c r="U93" s="10">
        <f>IF(Suma!$B92=$A$1,Suma!J92,NA())</f>
        <v>0</v>
      </c>
      <c r="V93" s="10">
        <f>IF(Suma!$B92=$A$1,Suma!K92,NA())</f>
        <v>0</v>
      </c>
      <c r="W93" s="10">
        <f>IF(Suma!$B92=$A$1,Suma!L92,NA())</f>
        <v>0</v>
      </c>
      <c r="X93" s="10">
        <f>IF(Suma!$B92=$A$1,Suma!M92,NA())</f>
        <v>0</v>
      </c>
      <c r="Y93" s="10">
        <f>IF(Suma!$B92=$A$1,Suma!N92,NA())</f>
        <v>0</v>
      </c>
      <c r="Z93" s="10">
        <f>IF(Suma!$B92=$A$1,Suma!O92,NA())</f>
        <v>0</v>
      </c>
      <c r="AA93" s="10">
        <f>IF(Suma!$B92=$A$1,Suma!BC92,NA())</f>
        <v>0</v>
      </c>
      <c r="AB93" s="10">
        <f>IF(Suma!$B92=$A$1,Suma!BD92,NA())</f>
        <v>0</v>
      </c>
    </row>
    <row r="94" spans="1:28" x14ac:dyDescent="0.3">
      <c r="A94" s="1">
        <f>IF(Suma!$B93=$A$1,Suma!C93,NA())</f>
        <v>0</v>
      </c>
      <c r="B94" s="1">
        <f>IF(Suma!$B93=$A$1,Suma!D93,NA())</f>
        <v>0</v>
      </c>
      <c r="C94" s="2">
        <f>IF(Suma!$B93=$A$1,Suma!E93,NA())</f>
        <v>0</v>
      </c>
      <c r="D94" s="2">
        <f>IF(Suma!$B93=$A$1,Suma!F93,NA())</f>
        <v>0</v>
      </c>
      <c r="E94" s="1">
        <f>IF(Suma!$B93=$A$1,Suma!P93,NA())</f>
        <v>0</v>
      </c>
      <c r="F94" s="10">
        <f t="shared" si="2"/>
        <v>0</v>
      </c>
      <c r="G94" s="1">
        <f>IF(Suma!$B93=$A$1,Suma!W93,NA())</f>
        <v>0</v>
      </c>
      <c r="H94" s="10">
        <f t="shared" si="3"/>
        <v>0</v>
      </c>
      <c r="I94" s="1">
        <f>IF(Suma!$B93=$A$1,Suma!AD93,NA())</f>
        <v>0</v>
      </c>
      <c r="J94" s="1">
        <f>IF(Suma!$B93=$A$1,Suma!AK93,NA())</f>
        <v>0</v>
      </c>
      <c r="K94" s="10">
        <f>IF(Suma!$B93=$A$1,Suma!AS93,NA())</f>
        <v>0</v>
      </c>
      <c r="L94" s="1">
        <f>IF(Suma!$B93=$A$1,Suma!G93,NA())</f>
        <v>0</v>
      </c>
      <c r="M94" s="1">
        <f>IF(Suma!$B93=$A$1,Suma!H93,NA())</f>
        <v>0</v>
      </c>
      <c r="N94" s="1">
        <f>IF(Suma!$B93=$A$1,Suma!AT93,NA())</f>
        <v>1900</v>
      </c>
      <c r="O94" s="1" t="str">
        <f>IF(Suma!$B93=$A$1,Suma!AU93,NA())</f>
        <v>enero</v>
      </c>
      <c r="P94" s="1">
        <f>IF(Suma!$B93=$A$1,Suma!AV93,NA())</f>
        <v>0</v>
      </c>
      <c r="Q94" s="1">
        <f>IF(Suma!$B93=$A$1,Suma!AW93,NA())</f>
        <v>0</v>
      </c>
      <c r="R94" s="10">
        <f>IF(Suma!$B93=$A$1,Suma!AX93,NA())</f>
        <v>0</v>
      </c>
      <c r="S94" s="10">
        <f>IF(Suma!$B93=$A$1,Suma!AY93,NA())</f>
        <v>0</v>
      </c>
      <c r="T94" s="10">
        <f>IF(Suma!$B93=$A$1,Suma!AZ93,NA())</f>
        <v>0</v>
      </c>
      <c r="U94" s="10">
        <f>IF(Suma!$B93=$A$1,Suma!J93,NA())</f>
        <v>0</v>
      </c>
      <c r="V94" s="10">
        <f>IF(Suma!$B93=$A$1,Suma!K93,NA())</f>
        <v>0</v>
      </c>
      <c r="W94" s="10">
        <f>IF(Suma!$B93=$A$1,Suma!L93,NA())</f>
        <v>0</v>
      </c>
      <c r="X94" s="10">
        <f>IF(Suma!$B93=$A$1,Suma!M93,NA())</f>
        <v>0</v>
      </c>
      <c r="Y94" s="10">
        <f>IF(Suma!$B93=$A$1,Suma!N93,NA())</f>
        <v>0</v>
      </c>
      <c r="Z94" s="10">
        <f>IF(Suma!$B93=$A$1,Suma!O93,NA())</f>
        <v>0</v>
      </c>
      <c r="AA94" s="10">
        <f>IF(Suma!$B93=$A$1,Suma!BC93,NA())</f>
        <v>0</v>
      </c>
      <c r="AB94" s="10">
        <f>IF(Suma!$B93=$A$1,Suma!BD93,NA())</f>
        <v>0</v>
      </c>
    </row>
    <row r="95" spans="1:28" x14ac:dyDescent="0.3">
      <c r="A95" s="1">
        <f>IF(Suma!$B94=$A$1,Suma!C94,NA())</f>
        <v>0</v>
      </c>
      <c r="B95" s="1">
        <f>IF(Suma!$B94=$A$1,Suma!D94,NA())</f>
        <v>0</v>
      </c>
      <c r="C95" s="2">
        <f>IF(Suma!$B94=$A$1,Suma!E94,NA())</f>
        <v>0</v>
      </c>
      <c r="D95" s="2">
        <f>IF(Suma!$B94=$A$1,Suma!F94,NA())</f>
        <v>0</v>
      </c>
      <c r="E95" s="1">
        <f>IF(Suma!$B94=$A$1,Suma!P94,NA())</f>
        <v>0</v>
      </c>
      <c r="F95" s="10">
        <f t="shared" si="2"/>
        <v>0</v>
      </c>
      <c r="G95" s="1">
        <f>IF(Suma!$B94=$A$1,Suma!W94,NA())</f>
        <v>0</v>
      </c>
      <c r="H95" s="10">
        <f t="shared" si="3"/>
        <v>0</v>
      </c>
      <c r="I95" s="1">
        <f>IF(Suma!$B94=$A$1,Suma!AD94,NA())</f>
        <v>0</v>
      </c>
      <c r="J95" s="1">
        <f>IF(Suma!$B94=$A$1,Suma!AK94,NA())</f>
        <v>0</v>
      </c>
      <c r="K95" s="10">
        <f>IF(Suma!$B94=$A$1,Suma!AS94,NA())</f>
        <v>0</v>
      </c>
      <c r="L95" s="1">
        <f>IF(Suma!$B94=$A$1,Suma!G94,NA())</f>
        <v>0</v>
      </c>
      <c r="M95" s="1">
        <f>IF(Suma!$B94=$A$1,Suma!H94,NA())</f>
        <v>0</v>
      </c>
      <c r="N95" s="1">
        <f>IF(Suma!$B94=$A$1,Suma!AT94,NA())</f>
        <v>1900</v>
      </c>
      <c r="O95" s="1" t="str">
        <f>IF(Suma!$B94=$A$1,Suma!AU94,NA())</f>
        <v>enero</v>
      </c>
      <c r="P95" s="1">
        <f>IF(Suma!$B94=$A$1,Suma!AV94,NA())</f>
        <v>0</v>
      </c>
      <c r="Q95" s="1">
        <f>IF(Suma!$B94=$A$1,Suma!AW94,NA())</f>
        <v>0</v>
      </c>
      <c r="R95" s="10">
        <f>IF(Suma!$B94=$A$1,Suma!AX94,NA())</f>
        <v>0</v>
      </c>
      <c r="S95" s="10">
        <f>IF(Suma!$B94=$A$1,Suma!AY94,NA())</f>
        <v>0</v>
      </c>
      <c r="T95" s="10">
        <f>IF(Suma!$B94=$A$1,Suma!AZ94,NA())</f>
        <v>0</v>
      </c>
      <c r="U95" s="10">
        <f>IF(Suma!$B94=$A$1,Suma!J94,NA())</f>
        <v>0</v>
      </c>
      <c r="V95" s="10">
        <f>IF(Suma!$B94=$A$1,Suma!K94,NA())</f>
        <v>0</v>
      </c>
      <c r="W95" s="10">
        <f>IF(Suma!$B94=$A$1,Suma!L94,NA())</f>
        <v>0</v>
      </c>
      <c r="X95" s="10">
        <f>IF(Suma!$B94=$A$1,Suma!M94,NA())</f>
        <v>0</v>
      </c>
      <c r="Y95" s="10">
        <f>IF(Suma!$B94=$A$1,Suma!N94,NA())</f>
        <v>0</v>
      </c>
      <c r="Z95" s="10">
        <f>IF(Suma!$B94=$A$1,Suma!O94,NA())</f>
        <v>0</v>
      </c>
      <c r="AA95" s="10">
        <f>IF(Suma!$B94=$A$1,Suma!BC94,NA())</f>
        <v>0</v>
      </c>
      <c r="AB95" s="10">
        <f>IF(Suma!$B94=$A$1,Suma!BD94,NA())</f>
        <v>0</v>
      </c>
    </row>
    <row r="96" spans="1:28" x14ac:dyDescent="0.3">
      <c r="A96" s="1">
        <f>IF(Suma!$B95=$A$1,Suma!C95,NA())</f>
        <v>0</v>
      </c>
      <c r="B96" s="1">
        <f>IF(Suma!$B95=$A$1,Suma!D95,NA())</f>
        <v>0</v>
      </c>
      <c r="C96" s="2">
        <f>IF(Suma!$B95=$A$1,Suma!E95,NA())</f>
        <v>0</v>
      </c>
      <c r="D96" s="2">
        <f>IF(Suma!$B95=$A$1,Suma!F95,NA())</f>
        <v>0</v>
      </c>
      <c r="E96" s="1">
        <f>IF(Suma!$B95=$A$1,Suma!P95,NA())</f>
        <v>0</v>
      </c>
      <c r="F96" s="10">
        <f t="shared" si="2"/>
        <v>0</v>
      </c>
      <c r="G96" s="1">
        <f>IF(Suma!$B95=$A$1,Suma!W95,NA())</f>
        <v>0</v>
      </c>
      <c r="H96" s="10">
        <f t="shared" si="3"/>
        <v>0</v>
      </c>
      <c r="I96" s="1">
        <f>IF(Suma!$B95=$A$1,Suma!AD95,NA())</f>
        <v>0</v>
      </c>
      <c r="J96" s="1">
        <f>IF(Suma!$B95=$A$1,Suma!AK95,NA())</f>
        <v>0</v>
      </c>
      <c r="K96" s="10">
        <f>IF(Suma!$B95=$A$1,Suma!AS95,NA())</f>
        <v>0</v>
      </c>
      <c r="L96" s="1">
        <f>IF(Suma!$B95=$A$1,Suma!G95,NA())</f>
        <v>0</v>
      </c>
      <c r="M96" s="1">
        <f>IF(Suma!$B95=$A$1,Suma!H95,NA())</f>
        <v>0</v>
      </c>
      <c r="N96" s="1">
        <f>IF(Suma!$B95=$A$1,Suma!AT95,NA())</f>
        <v>1900</v>
      </c>
      <c r="O96" s="1" t="str">
        <f>IF(Suma!$B95=$A$1,Suma!AU95,NA())</f>
        <v>enero</v>
      </c>
      <c r="P96" s="1">
        <f>IF(Suma!$B95=$A$1,Suma!AV95,NA())</f>
        <v>0</v>
      </c>
      <c r="Q96" s="1">
        <f>IF(Suma!$B95=$A$1,Suma!AW95,NA())</f>
        <v>0</v>
      </c>
      <c r="R96" s="10">
        <f>IF(Suma!$B95=$A$1,Suma!AX95,NA())</f>
        <v>0</v>
      </c>
      <c r="S96" s="10">
        <f>IF(Suma!$B95=$A$1,Suma!AY95,NA())</f>
        <v>0</v>
      </c>
      <c r="T96" s="10">
        <f>IF(Suma!$B95=$A$1,Suma!AZ95,NA())</f>
        <v>0</v>
      </c>
      <c r="U96" s="10">
        <f>IF(Suma!$B95=$A$1,Suma!J95,NA())</f>
        <v>0</v>
      </c>
      <c r="V96" s="10">
        <f>IF(Suma!$B95=$A$1,Suma!K95,NA())</f>
        <v>0</v>
      </c>
      <c r="W96" s="10">
        <f>IF(Suma!$B95=$A$1,Suma!L95,NA())</f>
        <v>0</v>
      </c>
      <c r="X96" s="10">
        <f>IF(Suma!$B95=$A$1,Suma!M95,NA())</f>
        <v>0</v>
      </c>
      <c r="Y96" s="10">
        <f>IF(Suma!$B95=$A$1,Suma!N95,NA())</f>
        <v>0</v>
      </c>
      <c r="Z96" s="10">
        <f>IF(Suma!$B95=$A$1,Suma!O95,NA())</f>
        <v>0</v>
      </c>
      <c r="AA96" s="10">
        <f>IF(Suma!$B95=$A$1,Suma!BC95,NA())</f>
        <v>0</v>
      </c>
      <c r="AB96" s="10">
        <f>IF(Suma!$B95=$A$1,Suma!BD95,NA())</f>
        <v>0</v>
      </c>
    </row>
    <row r="97" spans="1:28" x14ac:dyDescent="0.3">
      <c r="A97" s="1">
        <f>IF(Suma!$B96=$A$1,Suma!C96,NA())</f>
        <v>0</v>
      </c>
      <c r="B97" s="1">
        <f>IF(Suma!$B96=$A$1,Suma!D96,NA())</f>
        <v>0</v>
      </c>
      <c r="C97" s="2">
        <f>IF(Suma!$B96=$A$1,Suma!E96,NA())</f>
        <v>0</v>
      </c>
      <c r="D97" s="2">
        <f>IF(Suma!$B96=$A$1,Suma!F96,NA())</f>
        <v>0</v>
      </c>
      <c r="E97" s="1">
        <f>IF(Suma!$B96=$A$1,Suma!P96,NA())</f>
        <v>0</v>
      </c>
      <c r="F97" s="10">
        <f t="shared" si="2"/>
        <v>0</v>
      </c>
      <c r="G97" s="1">
        <f>IF(Suma!$B96=$A$1,Suma!W96,NA())</f>
        <v>0</v>
      </c>
      <c r="H97" s="10">
        <f t="shared" si="3"/>
        <v>0</v>
      </c>
      <c r="I97" s="1">
        <f>IF(Suma!$B96=$A$1,Suma!AD96,NA())</f>
        <v>0</v>
      </c>
      <c r="J97" s="1">
        <f>IF(Suma!$B96=$A$1,Suma!AK96,NA())</f>
        <v>0</v>
      </c>
      <c r="K97" s="10">
        <f>IF(Suma!$B96=$A$1,Suma!AS96,NA())</f>
        <v>0</v>
      </c>
      <c r="L97" s="1">
        <f>IF(Suma!$B96=$A$1,Suma!G96,NA())</f>
        <v>0</v>
      </c>
      <c r="M97" s="1">
        <f>IF(Suma!$B96=$A$1,Suma!H96,NA())</f>
        <v>0</v>
      </c>
      <c r="N97" s="1">
        <f>IF(Suma!$B96=$A$1,Suma!AT96,NA())</f>
        <v>1900</v>
      </c>
      <c r="O97" s="1" t="str">
        <f>IF(Suma!$B96=$A$1,Suma!AU96,NA())</f>
        <v>enero</v>
      </c>
      <c r="P97" s="1">
        <f>IF(Suma!$B96=$A$1,Suma!AV96,NA())</f>
        <v>0</v>
      </c>
      <c r="Q97" s="1">
        <f>IF(Suma!$B96=$A$1,Suma!AW96,NA())</f>
        <v>0</v>
      </c>
      <c r="R97" s="10">
        <f>IF(Suma!$B96=$A$1,Suma!AX96,NA())</f>
        <v>0</v>
      </c>
      <c r="S97" s="10">
        <f>IF(Suma!$B96=$A$1,Suma!AY96,NA())</f>
        <v>0</v>
      </c>
      <c r="T97" s="10">
        <f>IF(Suma!$B96=$A$1,Suma!AZ96,NA())</f>
        <v>0</v>
      </c>
      <c r="U97" s="10">
        <f>IF(Suma!$B96=$A$1,Suma!J96,NA())</f>
        <v>0</v>
      </c>
      <c r="V97" s="10">
        <f>IF(Suma!$B96=$A$1,Suma!K96,NA())</f>
        <v>0</v>
      </c>
      <c r="W97" s="10">
        <f>IF(Suma!$B96=$A$1,Suma!L96,NA())</f>
        <v>0</v>
      </c>
      <c r="X97" s="10">
        <f>IF(Suma!$B96=$A$1,Suma!M96,NA())</f>
        <v>0</v>
      </c>
      <c r="Y97" s="10">
        <f>IF(Suma!$B96=$A$1,Suma!N96,NA())</f>
        <v>0</v>
      </c>
      <c r="Z97" s="10">
        <f>IF(Suma!$B96=$A$1,Suma!O96,NA())</f>
        <v>0</v>
      </c>
      <c r="AA97" s="10">
        <f>IF(Suma!$B96=$A$1,Suma!BC96,NA())</f>
        <v>0</v>
      </c>
      <c r="AB97" s="10">
        <f>IF(Suma!$B96=$A$1,Suma!BD96,NA())</f>
        <v>0</v>
      </c>
    </row>
    <row r="98" spans="1:28" x14ac:dyDescent="0.3">
      <c r="A98" s="1">
        <f>IF(Suma!$B97=$A$1,Suma!C97,NA())</f>
        <v>0</v>
      </c>
      <c r="B98" s="1">
        <f>IF(Suma!$B97=$A$1,Suma!D97,NA())</f>
        <v>0</v>
      </c>
      <c r="C98" s="2">
        <f>IF(Suma!$B97=$A$1,Suma!E97,NA())</f>
        <v>0</v>
      </c>
      <c r="D98" s="2">
        <f>IF(Suma!$B97=$A$1,Suma!F97,NA())</f>
        <v>0</v>
      </c>
      <c r="E98" s="1">
        <f>IF(Suma!$B97=$A$1,Suma!P97,NA())</f>
        <v>0</v>
      </c>
      <c r="F98" s="10">
        <f t="shared" si="2"/>
        <v>0</v>
      </c>
      <c r="G98" s="1">
        <f>IF(Suma!$B97=$A$1,Suma!W97,NA())</f>
        <v>0</v>
      </c>
      <c r="H98" s="10">
        <f t="shared" si="3"/>
        <v>0</v>
      </c>
      <c r="I98" s="1">
        <f>IF(Suma!$B97=$A$1,Suma!AD97,NA())</f>
        <v>0</v>
      </c>
      <c r="J98" s="1">
        <f>IF(Suma!$B97=$A$1,Suma!AK97,NA())</f>
        <v>0</v>
      </c>
      <c r="K98" s="10">
        <f>IF(Suma!$B97=$A$1,Suma!AS97,NA())</f>
        <v>0</v>
      </c>
      <c r="L98" s="1">
        <f>IF(Suma!$B97=$A$1,Suma!G97,NA())</f>
        <v>0</v>
      </c>
      <c r="M98" s="1">
        <f>IF(Suma!$B97=$A$1,Suma!H97,NA())</f>
        <v>0</v>
      </c>
      <c r="N98" s="1">
        <f>IF(Suma!$B97=$A$1,Suma!AT97,NA())</f>
        <v>1900</v>
      </c>
      <c r="O98" s="1" t="str">
        <f>IF(Suma!$B97=$A$1,Suma!AU97,NA())</f>
        <v>enero</v>
      </c>
      <c r="P98" s="1">
        <f>IF(Suma!$B97=$A$1,Suma!AV97,NA())</f>
        <v>0</v>
      </c>
      <c r="Q98" s="1">
        <f>IF(Suma!$B97=$A$1,Suma!AW97,NA())</f>
        <v>0</v>
      </c>
      <c r="R98" s="10">
        <f>IF(Suma!$B97=$A$1,Suma!AX97,NA())</f>
        <v>0</v>
      </c>
      <c r="S98" s="10">
        <f>IF(Suma!$B97=$A$1,Suma!AY97,NA())</f>
        <v>0</v>
      </c>
      <c r="T98" s="10">
        <f>IF(Suma!$B97=$A$1,Suma!AZ97,NA())</f>
        <v>0</v>
      </c>
      <c r="U98" s="10">
        <f>IF(Suma!$B97=$A$1,Suma!J97,NA())</f>
        <v>0</v>
      </c>
      <c r="V98" s="10">
        <f>IF(Suma!$B97=$A$1,Suma!K97,NA())</f>
        <v>0</v>
      </c>
      <c r="W98" s="10">
        <f>IF(Suma!$B97=$A$1,Suma!L97,NA())</f>
        <v>0</v>
      </c>
      <c r="X98" s="10">
        <f>IF(Suma!$B97=$A$1,Suma!M97,NA())</f>
        <v>0</v>
      </c>
      <c r="Y98" s="10">
        <f>IF(Suma!$B97=$A$1,Suma!N97,NA())</f>
        <v>0</v>
      </c>
      <c r="Z98" s="10">
        <f>IF(Suma!$B97=$A$1,Suma!O97,NA())</f>
        <v>0</v>
      </c>
      <c r="AA98" s="10">
        <f>IF(Suma!$B97=$A$1,Suma!BC97,NA())</f>
        <v>0</v>
      </c>
      <c r="AB98" s="10">
        <f>IF(Suma!$B97=$A$1,Suma!BD97,NA())</f>
        <v>0</v>
      </c>
    </row>
    <row r="99" spans="1:28" x14ac:dyDescent="0.3">
      <c r="A99" s="1">
        <f>IF(Suma!$B98=$A$1,Suma!C98,NA())</f>
        <v>0</v>
      </c>
      <c r="B99" s="1">
        <f>IF(Suma!$B98=$A$1,Suma!D98,NA())</f>
        <v>0</v>
      </c>
      <c r="C99" s="2">
        <f>IF(Suma!$B98=$A$1,Suma!E98,NA())</f>
        <v>0</v>
      </c>
      <c r="D99" s="2">
        <f>IF(Suma!$B98=$A$1,Suma!F98,NA())</f>
        <v>0</v>
      </c>
      <c r="E99" s="1">
        <f>IF(Suma!$B98=$A$1,Suma!P98,NA())</f>
        <v>0</v>
      </c>
      <c r="F99" s="10">
        <f t="shared" si="2"/>
        <v>0</v>
      </c>
      <c r="G99" s="1">
        <f>IF(Suma!$B98=$A$1,Suma!W98,NA())</f>
        <v>0</v>
      </c>
      <c r="H99" s="10">
        <f t="shared" si="3"/>
        <v>0</v>
      </c>
      <c r="I99" s="1">
        <f>IF(Suma!$B98=$A$1,Suma!AD98,NA())</f>
        <v>0</v>
      </c>
      <c r="J99" s="1">
        <f>IF(Suma!$B98=$A$1,Suma!AK98,NA())</f>
        <v>0</v>
      </c>
      <c r="K99" s="10">
        <f>IF(Suma!$B98=$A$1,Suma!AS98,NA())</f>
        <v>0</v>
      </c>
      <c r="L99" s="1">
        <f>IF(Suma!$B98=$A$1,Suma!G98,NA())</f>
        <v>0</v>
      </c>
      <c r="M99" s="1">
        <f>IF(Suma!$B98=$A$1,Suma!H98,NA())</f>
        <v>0</v>
      </c>
      <c r="N99" s="1">
        <f>IF(Suma!$B98=$A$1,Suma!AT98,NA())</f>
        <v>1900</v>
      </c>
      <c r="O99" s="1" t="str">
        <f>IF(Suma!$B98=$A$1,Suma!AU98,NA())</f>
        <v>enero</v>
      </c>
      <c r="P99" s="1">
        <f>IF(Suma!$B98=$A$1,Suma!AV98,NA())</f>
        <v>0</v>
      </c>
      <c r="Q99" s="1">
        <f>IF(Suma!$B98=$A$1,Suma!AW98,NA())</f>
        <v>0</v>
      </c>
      <c r="R99" s="10">
        <f>IF(Suma!$B98=$A$1,Suma!AX98,NA())</f>
        <v>0</v>
      </c>
      <c r="S99" s="10">
        <f>IF(Suma!$B98=$A$1,Suma!AY98,NA())</f>
        <v>0</v>
      </c>
      <c r="T99" s="10">
        <f>IF(Suma!$B98=$A$1,Suma!AZ98,NA())</f>
        <v>0</v>
      </c>
      <c r="U99" s="10">
        <f>IF(Suma!$B98=$A$1,Suma!J98,NA())</f>
        <v>0</v>
      </c>
      <c r="V99" s="10">
        <f>IF(Suma!$B98=$A$1,Suma!K98,NA())</f>
        <v>0</v>
      </c>
      <c r="W99" s="10">
        <f>IF(Suma!$B98=$A$1,Suma!L98,NA())</f>
        <v>0</v>
      </c>
      <c r="X99" s="10">
        <f>IF(Suma!$B98=$A$1,Suma!M98,NA())</f>
        <v>0</v>
      </c>
      <c r="Y99" s="10">
        <f>IF(Suma!$B98=$A$1,Suma!N98,NA())</f>
        <v>0</v>
      </c>
      <c r="Z99" s="10">
        <f>IF(Suma!$B98=$A$1,Suma!O98,NA())</f>
        <v>0</v>
      </c>
      <c r="AA99" s="10">
        <f>IF(Suma!$B98=$A$1,Suma!BC98,NA())</f>
        <v>0</v>
      </c>
      <c r="AB99" s="10">
        <f>IF(Suma!$B98=$A$1,Suma!BD98,NA())</f>
        <v>0</v>
      </c>
    </row>
    <row r="100" spans="1:28" x14ac:dyDescent="0.3">
      <c r="A100" s="1">
        <f>IF(Suma!$B99=$A$1,Suma!C99,NA())</f>
        <v>0</v>
      </c>
      <c r="B100" s="1">
        <f>IF(Suma!$B99=$A$1,Suma!D99,NA())</f>
        <v>0</v>
      </c>
      <c r="C100" s="2">
        <f>IF(Suma!$B99=$A$1,Suma!E99,NA())</f>
        <v>0</v>
      </c>
      <c r="D100" s="2">
        <f>IF(Suma!$B99=$A$1,Suma!F99,NA())</f>
        <v>0</v>
      </c>
      <c r="E100" s="1">
        <f>IF(Suma!$B99=$A$1,Suma!P99,NA())</f>
        <v>0</v>
      </c>
      <c r="F100" s="10">
        <f t="shared" si="2"/>
        <v>0</v>
      </c>
      <c r="G100" s="1">
        <f>IF(Suma!$B99=$A$1,Suma!W99,NA())</f>
        <v>0</v>
      </c>
      <c r="H100" s="10">
        <f t="shared" si="3"/>
        <v>0</v>
      </c>
      <c r="I100" s="1">
        <f>IF(Suma!$B99=$A$1,Suma!AD99,NA())</f>
        <v>0</v>
      </c>
      <c r="J100" s="1">
        <f>IF(Suma!$B99=$A$1,Suma!AK99,NA())</f>
        <v>0</v>
      </c>
      <c r="K100" s="10">
        <f>IF(Suma!$B99=$A$1,Suma!AS99,NA())</f>
        <v>0</v>
      </c>
      <c r="L100" s="1">
        <f>IF(Suma!$B99=$A$1,Suma!G99,NA())</f>
        <v>0</v>
      </c>
      <c r="M100" s="1">
        <f>IF(Suma!$B99=$A$1,Suma!H99,NA())</f>
        <v>0</v>
      </c>
      <c r="N100" s="1">
        <f>IF(Suma!$B99=$A$1,Suma!AT99,NA())</f>
        <v>1900</v>
      </c>
      <c r="O100" s="1" t="str">
        <f>IF(Suma!$B99=$A$1,Suma!AU99,NA())</f>
        <v>enero</v>
      </c>
      <c r="P100" s="1">
        <f>IF(Suma!$B99=$A$1,Suma!AV99,NA())</f>
        <v>0</v>
      </c>
      <c r="Q100" s="1">
        <f>IF(Suma!$B99=$A$1,Suma!AW99,NA())</f>
        <v>0</v>
      </c>
      <c r="R100" s="10">
        <f>IF(Suma!$B99=$A$1,Suma!AX99,NA())</f>
        <v>0</v>
      </c>
      <c r="S100" s="10">
        <f>IF(Suma!$B99=$A$1,Suma!AY99,NA())</f>
        <v>0</v>
      </c>
      <c r="T100" s="10">
        <f>IF(Suma!$B99=$A$1,Suma!AZ99,NA())</f>
        <v>0</v>
      </c>
      <c r="U100" s="10">
        <f>IF(Suma!$B99=$A$1,Suma!J99,NA())</f>
        <v>0</v>
      </c>
      <c r="V100" s="10">
        <f>IF(Suma!$B99=$A$1,Suma!K99,NA())</f>
        <v>0</v>
      </c>
      <c r="W100" s="10">
        <f>IF(Suma!$B99=$A$1,Suma!L99,NA())</f>
        <v>0</v>
      </c>
      <c r="X100" s="10">
        <f>IF(Suma!$B99=$A$1,Suma!M99,NA())</f>
        <v>0</v>
      </c>
      <c r="Y100" s="10">
        <f>IF(Suma!$B99=$A$1,Suma!N99,NA())</f>
        <v>0</v>
      </c>
      <c r="Z100" s="10">
        <f>IF(Suma!$B99=$A$1,Suma!O99,NA())</f>
        <v>0</v>
      </c>
      <c r="AA100" s="10">
        <f>IF(Suma!$B99=$A$1,Suma!BC99,NA())</f>
        <v>0</v>
      </c>
      <c r="AB100" s="10">
        <f>IF(Suma!$B99=$A$1,Suma!BD99,NA())</f>
        <v>0</v>
      </c>
    </row>
    <row r="101" spans="1:28" x14ac:dyDescent="0.3">
      <c r="A101" s="1">
        <f>IF(Suma!$B100=$A$1,Suma!C100,NA())</f>
        <v>0</v>
      </c>
      <c r="B101" s="1">
        <f>IF(Suma!$B100=$A$1,Suma!D100,NA())</f>
        <v>0</v>
      </c>
      <c r="C101" s="2">
        <f>IF(Suma!$B100=$A$1,Suma!E100,NA())</f>
        <v>0</v>
      </c>
      <c r="D101" s="2">
        <f>IF(Suma!$B100=$A$1,Suma!F100,NA())</f>
        <v>0</v>
      </c>
      <c r="E101" s="1">
        <f>IF(Suma!$B100=$A$1,Suma!P100,NA())</f>
        <v>0</v>
      </c>
      <c r="F101" s="10">
        <f t="shared" si="2"/>
        <v>0</v>
      </c>
      <c r="G101" s="1">
        <f>IF(Suma!$B100=$A$1,Suma!W100,NA())</f>
        <v>0</v>
      </c>
      <c r="H101" s="10">
        <f t="shared" si="3"/>
        <v>0</v>
      </c>
      <c r="I101" s="1">
        <f>IF(Suma!$B100=$A$1,Suma!AD100,NA())</f>
        <v>0</v>
      </c>
      <c r="J101" s="1">
        <f>IF(Suma!$B100=$A$1,Suma!AK100,NA())</f>
        <v>0</v>
      </c>
      <c r="K101" s="10">
        <f>IF(Suma!$B100=$A$1,Suma!AS100,NA())</f>
        <v>0</v>
      </c>
      <c r="L101" s="1">
        <f>IF(Suma!$B100=$A$1,Suma!G100,NA())</f>
        <v>0</v>
      </c>
      <c r="M101" s="1">
        <f>IF(Suma!$B100=$A$1,Suma!H100,NA())</f>
        <v>0</v>
      </c>
      <c r="N101" s="1">
        <f>IF(Suma!$B100=$A$1,Suma!AT100,NA())</f>
        <v>1900</v>
      </c>
      <c r="O101" s="1" t="str">
        <f>IF(Suma!$B100=$A$1,Suma!AU100,NA())</f>
        <v>enero</v>
      </c>
      <c r="P101" s="1">
        <f>IF(Suma!$B100=$A$1,Suma!AV100,NA())</f>
        <v>0</v>
      </c>
      <c r="Q101" s="1">
        <f>IF(Suma!$B100=$A$1,Suma!AW100,NA())</f>
        <v>0</v>
      </c>
      <c r="R101" s="10">
        <f>IF(Suma!$B100=$A$1,Suma!AX100,NA())</f>
        <v>0</v>
      </c>
      <c r="S101" s="10">
        <f>IF(Suma!$B100=$A$1,Suma!AY100,NA())</f>
        <v>0</v>
      </c>
      <c r="T101" s="10">
        <f>IF(Suma!$B100=$A$1,Suma!AZ100,NA())</f>
        <v>0</v>
      </c>
      <c r="U101" s="10">
        <f>IF(Suma!$B100=$A$1,Suma!J100,NA())</f>
        <v>0</v>
      </c>
      <c r="V101" s="10">
        <f>IF(Suma!$B100=$A$1,Suma!K100,NA())</f>
        <v>0</v>
      </c>
      <c r="W101" s="10">
        <f>IF(Suma!$B100=$A$1,Suma!L100,NA())</f>
        <v>0</v>
      </c>
      <c r="X101" s="10">
        <f>IF(Suma!$B100=$A$1,Suma!M100,NA())</f>
        <v>0</v>
      </c>
      <c r="Y101" s="10">
        <f>IF(Suma!$B100=$A$1,Suma!N100,NA())</f>
        <v>0</v>
      </c>
      <c r="Z101" s="10">
        <f>IF(Suma!$B100=$A$1,Suma!O100,NA())</f>
        <v>0</v>
      </c>
      <c r="AA101" s="10">
        <f>IF(Suma!$B100=$A$1,Suma!BC100,NA())</f>
        <v>0</v>
      </c>
      <c r="AB101" s="10">
        <f>IF(Suma!$B100=$A$1,Suma!BD100,NA())</f>
        <v>0</v>
      </c>
    </row>
    <row r="102" spans="1:28" x14ac:dyDescent="0.3">
      <c r="A102" s="1">
        <f>IF(Suma!$B101=$A$1,Suma!C101,NA())</f>
        <v>0</v>
      </c>
      <c r="B102" s="1">
        <f>IF(Suma!$B101=$A$1,Suma!D101,NA())</f>
        <v>0</v>
      </c>
      <c r="C102" s="2">
        <f>IF(Suma!$B101=$A$1,Suma!E101,NA())</f>
        <v>0</v>
      </c>
      <c r="D102" s="2">
        <f>IF(Suma!$B101=$A$1,Suma!F101,NA())</f>
        <v>0</v>
      </c>
      <c r="E102" s="1">
        <f>IF(Suma!$B101=$A$1,Suma!P101,NA())</f>
        <v>0</v>
      </c>
      <c r="F102" s="10">
        <f t="shared" si="2"/>
        <v>0</v>
      </c>
      <c r="G102" s="1">
        <f>IF(Suma!$B101=$A$1,Suma!W101,NA())</f>
        <v>0</v>
      </c>
      <c r="H102" s="10">
        <f t="shared" si="3"/>
        <v>0</v>
      </c>
      <c r="I102" s="1">
        <f>IF(Suma!$B101=$A$1,Suma!AD101,NA())</f>
        <v>0</v>
      </c>
      <c r="J102" s="1">
        <f>IF(Suma!$B101=$A$1,Suma!AK101,NA())</f>
        <v>0</v>
      </c>
      <c r="K102" s="10">
        <f>IF(Suma!$B101=$A$1,Suma!AS101,NA())</f>
        <v>0</v>
      </c>
      <c r="L102" s="1">
        <f>IF(Suma!$B101=$A$1,Suma!G101,NA())</f>
        <v>0</v>
      </c>
      <c r="M102" s="1">
        <f>IF(Suma!$B101=$A$1,Suma!H101,NA())</f>
        <v>0</v>
      </c>
      <c r="N102" s="1">
        <f>IF(Suma!$B101=$A$1,Suma!AT101,NA())</f>
        <v>1900</v>
      </c>
      <c r="O102" s="1" t="str">
        <f>IF(Suma!$B101=$A$1,Suma!AU101,NA())</f>
        <v>enero</v>
      </c>
      <c r="P102" s="1">
        <f>IF(Suma!$B101=$A$1,Suma!AV101,NA())</f>
        <v>0</v>
      </c>
      <c r="Q102" s="1">
        <f>IF(Suma!$B101=$A$1,Suma!AW101,NA())</f>
        <v>0</v>
      </c>
      <c r="R102" s="10">
        <f>IF(Suma!$B101=$A$1,Suma!AX101,NA())</f>
        <v>0</v>
      </c>
      <c r="S102" s="10">
        <f>IF(Suma!$B101=$A$1,Suma!AY101,NA())</f>
        <v>0</v>
      </c>
      <c r="T102" s="10">
        <f>IF(Suma!$B101=$A$1,Suma!AZ101,NA())</f>
        <v>0</v>
      </c>
      <c r="U102" s="10">
        <f>IF(Suma!$B101=$A$1,Suma!J101,NA())</f>
        <v>0</v>
      </c>
      <c r="V102" s="10">
        <f>IF(Suma!$B101=$A$1,Suma!K101,NA())</f>
        <v>0</v>
      </c>
      <c r="W102" s="10">
        <f>IF(Suma!$B101=$A$1,Suma!L101,NA())</f>
        <v>0</v>
      </c>
      <c r="X102" s="10">
        <f>IF(Suma!$B101=$A$1,Suma!M101,NA())</f>
        <v>0</v>
      </c>
      <c r="Y102" s="10">
        <f>IF(Suma!$B101=$A$1,Suma!N101,NA())</f>
        <v>0</v>
      </c>
      <c r="Z102" s="10">
        <f>IF(Suma!$B101=$A$1,Suma!O101,NA())</f>
        <v>0</v>
      </c>
      <c r="AA102" s="10">
        <f>IF(Suma!$B101=$A$1,Suma!BC101,NA())</f>
        <v>0</v>
      </c>
      <c r="AB102" s="10">
        <f>IF(Suma!$B101=$A$1,Suma!BD101,NA())</f>
        <v>0</v>
      </c>
    </row>
    <row r="103" spans="1:28" x14ac:dyDescent="0.3">
      <c r="A103" s="1">
        <f>IF(Suma!$B102=$A$1,Suma!C102,NA())</f>
        <v>0</v>
      </c>
      <c r="B103" s="1">
        <f>IF(Suma!$B102=$A$1,Suma!D102,NA())</f>
        <v>0</v>
      </c>
      <c r="C103" s="2">
        <f>IF(Suma!$B102=$A$1,Suma!E102,NA())</f>
        <v>0</v>
      </c>
      <c r="D103" s="2">
        <f>IF(Suma!$B102=$A$1,Suma!F102,NA())</f>
        <v>0</v>
      </c>
      <c r="E103" s="1">
        <f>IF(Suma!$B102=$A$1,Suma!P102,NA())</f>
        <v>0</v>
      </c>
      <c r="F103" s="10">
        <f t="shared" si="2"/>
        <v>0</v>
      </c>
      <c r="G103" s="1">
        <f>IF(Suma!$B102=$A$1,Suma!W102,NA())</f>
        <v>0</v>
      </c>
      <c r="H103" s="10">
        <f t="shared" si="3"/>
        <v>0</v>
      </c>
      <c r="I103" s="1">
        <f>IF(Suma!$B102=$A$1,Suma!AD102,NA())</f>
        <v>0</v>
      </c>
      <c r="J103" s="1">
        <f>IF(Suma!$B102=$A$1,Suma!AK102,NA())</f>
        <v>0</v>
      </c>
      <c r="K103" s="10">
        <f>IF(Suma!$B102=$A$1,Suma!AS102,NA())</f>
        <v>0</v>
      </c>
      <c r="L103" s="1">
        <f>IF(Suma!$B102=$A$1,Suma!G102,NA())</f>
        <v>0</v>
      </c>
      <c r="M103" s="1">
        <f>IF(Suma!$B102=$A$1,Suma!H102,NA())</f>
        <v>0</v>
      </c>
      <c r="N103" s="1">
        <f>IF(Suma!$B102=$A$1,Suma!AT102,NA())</f>
        <v>1900</v>
      </c>
      <c r="O103" s="1" t="str">
        <f>IF(Suma!$B102=$A$1,Suma!AU102,NA())</f>
        <v>enero</v>
      </c>
      <c r="P103" s="1">
        <f>IF(Suma!$B102=$A$1,Suma!AV102,NA())</f>
        <v>0</v>
      </c>
      <c r="Q103" s="1">
        <f>IF(Suma!$B102=$A$1,Suma!AW102,NA())</f>
        <v>0</v>
      </c>
      <c r="R103" s="10">
        <f>IF(Suma!$B102=$A$1,Suma!AX102,NA())</f>
        <v>0</v>
      </c>
      <c r="S103" s="10">
        <f>IF(Suma!$B102=$A$1,Suma!AY102,NA())</f>
        <v>0</v>
      </c>
      <c r="T103" s="10">
        <f>IF(Suma!$B102=$A$1,Suma!AZ102,NA())</f>
        <v>0</v>
      </c>
      <c r="U103" s="10">
        <f>IF(Suma!$B102=$A$1,Suma!J102,NA())</f>
        <v>0</v>
      </c>
      <c r="V103" s="10">
        <f>IF(Suma!$B102=$A$1,Suma!K102,NA())</f>
        <v>0</v>
      </c>
      <c r="W103" s="10">
        <f>IF(Suma!$B102=$A$1,Suma!L102,NA())</f>
        <v>0</v>
      </c>
      <c r="X103" s="10">
        <f>IF(Suma!$B102=$A$1,Suma!M102,NA())</f>
        <v>0</v>
      </c>
      <c r="Y103" s="10">
        <f>IF(Suma!$B102=$A$1,Suma!N102,NA())</f>
        <v>0</v>
      </c>
      <c r="Z103" s="10">
        <f>IF(Suma!$B102=$A$1,Suma!O102,NA())</f>
        <v>0</v>
      </c>
      <c r="AA103" s="10">
        <f>IF(Suma!$B102=$A$1,Suma!BC102,NA())</f>
        <v>0</v>
      </c>
      <c r="AB103" s="10">
        <f>IF(Suma!$B102=$A$1,Suma!BD102,NA())</f>
        <v>0</v>
      </c>
    </row>
    <row r="104" spans="1:28" x14ac:dyDescent="0.3">
      <c r="A104" s="1">
        <f>IF(Suma!$B103=$A$1,Suma!C103,NA())</f>
        <v>0</v>
      </c>
      <c r="B104" s="1">
        <f>IF(Suma!$B103=$A$1,Suma!D103,NA())</f>
        <v>0</v>
      </c>
      <c r="C104" s="2">
        <f>IF(Suma!$B103=$A$1,Suma!E103,NA())</f>
        <v>0</v>
      </c>
      <c r="D104" s="2">
        <f>IF(Suma!$B103=$A$1,Suma!F103,NA())</f>
        <v>0</v>
      </c>
      <c r="E104" s="1">
        <f>IF(Suma!$B103=$A$1,Suma!P103,NA())</f>
        <v>0</v>
      </c>
      <c r="F104" s="10">
        <f t="shared" si="2"/>
        <v>0</v>
      </c>
      <c r="G104" s="1">
        <f>IF(Suma!$B103=$A$1,Suma!W103,NA())</f>
        <v>0</v>
      </c>
      <c r="H104" s="10">
        <f t="shared" si="3"/>
        <v>0</v>
      </c>
      <c r="I104" s="1">
        <f>IF(Suma!$B103=$A$1,Suma!AD103,NA())</f>
        <v>0</v>
      </c>
      <c r="J104" s="1">
        <f>IF(Suma!$B103=$A$1,Suma!AK103,NA())</f>
        <v>0</v>
      </c>
      <c r="K104" s="10">
        <f>IF(Suma!$B103=$A$1,Suma!AS103,NA())</f>
        <v>0</v>
      </c>
      <c r="L104" s="1">
        <f>IF(Suma!$B103=$A$1,Suma!G103,NA())</f>
        <v>0</v>
      </c>
      <c r="M104" s="1">
        <f>IF(Suma!$B103=$A$1,Suma!H103,NA())</f>
        <v>0</v>
      </c>
      <c r="N104" s="1">
        <f>IF(Suma!$B103=$A$1,Suma!AT103,NA())</f>
        <v>1900</v>
      </c>
      <c r="O104" s="1" t="str">
        <f>IF(Suma!$B103=$A$1,Suma!AU103,NA())</f>
        <v>enero</v>
      </c>
      <c r="P104" s="1">
        <f>IF(Suma!$B103=$A$1,Suma!AV103,NA())</f>
        <v>0</v>
      </c>
      <c r="Q104" s="1">
        <f>IF(Suma!$B103=$A$1,Suma!AW103,NA())</f>
        <v>0</v>
      </c>
      <c r="R104" s="10">
        <f>IF(Suma!$B103=$A$1,Suma!AX103,NA())</f>
        <v>0</v>
      </c>
      <c r="S104" s="10">
        <f>IF(Suma!$B103=$A$1,Suma!AY103,NA())</f>
        <v>0</v>
      </c>
      <c r="T104" s="10">
        <f>IF(Suma!$B103=$A$1,Suma!AZ103,NA())</f>
        <v>0</v>
      </c>
      <c r="U104" s="10">
        <f>IF(Suma!$B103=$A$1,Suma!J103,NA())</f>
        <v>0</v>
      </c>
      <c r="V104" s="10">
        <f>IF(Suma!$B103=$A$1,Suma!K103,NA())</f>
        <v>0</v>
      </c>
      <c r="W104" s="10">
        <f>IF(Suma!$B103=$A$1,Suma!L103,NA())</f>
        <v>0</v>
      </c>
      <c r="X104" s="10">
        <f>IF(Suma!$B103=$A$1,Suma!M103,NA())</f>
        <v>0</v>
      </c>
      <c r="Y104" s="10">
        <f>IF(Suma!$B103=$A$1,Suma!N103,NA())</f>
        <v>0</v>
      </c>
      <c r="Z104" s="10">
        <f>IF(Suma!$B103=$A$1,Suma!O103,NA())</f>
        <v>0</v>
      </c>
      <c r="AA104" s="10">
        <f>IF(Suma!$B103=$A$1,Suma!BC103,NA())</f>
        <v>0</v>
      </c>
      <c r="AB104" s="10">
        <f>IF(Suma!$B103=$A$1,Suma!BD103,NA())</f>
        <v>0</v>
      </c>
    </row>
    <row r="105" spans="1:28" x14ac:dyDescent="0.3">
      <c r="A105" s="1">
        <f>IF(Suma!$B104=$A$1,Suma!C104,NA())</f>
        <v>0</v>
      </c>
      <c r="B105" s="1">
        <f>IF(Suma!$B104=$A$1,Suma!D104,NA())</f>
        <v>0</v>
      </c>
      <c r="C105" s="2">
        <f>IF(Suma!$B104=$A$1,Suma!E104,NA())</f>
        <v>0</v>
      </c>
      <c r="D105" s="2">
        <f>IF(Suma!$B104=$A$1,Suma!F104,NA())</f>
        <v>0</v>
      </c>
      <c r="E105" s="1">
        <f>IF(Suma!$B104=$A$1,Suma!P104,NA())</f>
        <v>0</v>
      </c>
      <c r="F105" s="10">
        <f t="shared" si="2"/>
        <v>0</v>
      </c>
      <c r="G105" s="1">
        <f>IF(Suma!$B104=$A$1,Suma!W104,NA())</f>
        <v>0</v>
      </c>
      <c r="H105" s="10">
        <f t="shared" si="3"/>
        <v>0</v>
      </c>
      <c r="I105" s="1">
        <f>IF(Suma!$B104=$A$1,Suma!AD104,NA())</f>
        <v>0</v>
      </c>
      <c r="J105" s="1">
        <f>IF(Suma!$B104=$A$1,Suma!AK104,NA())</f>
        <v>0</v>
      </c>
      <c r="K105" s="10">
        <f>IF(Suma!$B104=$A$1,Suma!AS104,NA())</f>
        <v>0</v>
      </c>
      <c r="L105" s="1">
        <f>IF(Suma!$B104=$A$1,Suma!G104,NA())</f>
        <v>0</v>
      </c>
      <c r="M105" s="1">
        <f>IF(Suma!$B104=$A$1,Suma!H104,NA())</f>
        <v>0</v>
      </c>
      <c r="N105" s="1">
        <f>IF(Suma!$B104=$A$1,Suma!AT104,NA())</f>
        <v>1900</v>
      </c>
      <c r="O105" s="1" t="str">
        <f>IF(Suma!$B104=$A$1,Suma!AU104,NA())</f>
        <v>enero</v>
      </c>
      <c r="P105" s="1">
        <f>IF(Suma!$B104=$A$1,Suma!AV104,NA())</f>
        <v>0</v>
      </c>
      <c r="Q105" s="1">
        <f>IF(Suma!$B104=$A$1,Suma!AW104,NA())</f>
        <v>0</v>
      </c>
      <c r="R105" s="10">
        <f>IF(Suma!$B104=$A$1,Suma!AX104,NA())</f>
        <v>0</v>
      </c>
      <c r="S105" s="10">
        <f>IF(Suma!$B104=$A$1,Suma!AY104,NA())</f>
        <v>0</v>
      </c>
      <c r="T105" s="10">
        <f>IF(Suma!$B104=$A$1,Suma!AZ104,NA())</f>
        <v>0</v>
      </c>
      <c r="U105" s="10">
        <f>IF(Suma!$B104=$A$1,Suma!J104,NA())</f>
        <v>0</v>
      </c>
      <c r="V105" s="10">
        <f>IF(Suma!$B104=$A$1,Suma!K104,NA())</f>
        <v>0</v>
      </c>
      <c r="W105" s="10">
        <f>IF(Suma!$B104=$A$1,Suma!L104,NA())</f>
        <v>0</v>
      </c>
      <c r="X105" s="10">
        <f>IF(Suma!$B104=$A$1,Suma!M104,NA())</f>
        <v>0</v>
      </c>
      <c r="Y105" s="10">
        <f>IF(Suma!$B104=$A$1,Suma!N104,NA())</f>
        <v>0</v>
      </c>
      <c r="Z105" s="10">
        <f>IF(Suma!$B104=$A$1,Suma!O104,NA())</f>
        <v>0</v>
      </c>
      <c r="AA105" s="10">
        <f>IF(Suma!$B104=$A$1,Suma!BC104,NA())</f>
        <v>0</v>
      </c>
      <c r="AB105" s="10">
        <f>IF(Suma!$B104=$A$1,Suma!BD104,NA())</f>
        <v>0</v>
      </c>
    </row>
    <row r="106" spans="1:28" x14ac:dyDescent="0.3">
      <c r="A106" s="1">
        <f>IF(Suma!$B105=$A$1,Suma!C105,NA())</f>
        <v>0</v>
      </c>
      <c r="B106" s="1">
        <f>IF(Suma!$B105=$A$1,Suma!D105,NA())</f>
        <v>0</v>
      </c>
      <c r="C106" s="2">
        <f>IF(Suma!$B105=$A$1,Suma!E105,NA())</f>
        <v>0</v>
      </c>
      <c r="D106" s="2">
        <f>IF(Suma!$B105=$A$1,Suma!F105,NA())</f>
        <v>0</v>
      </c>
      <c r="E106" s="1">
        <f>IF(Suma!$B105=$A$1,Suma!P105,NA())</f>
        <v>0</v>
      </c>
      <c r="F106" s="10">
        <f t="shared" si="2"/>
        <v>0</v>
      </c>
      <c r="G106" s="1">
        <f>IF(Suma!$B105=$A$1,Suma!W105,NA())</f>
        <v>0</v>
      </c>
      <c r="H106" s="10">
        <f t="shared" si="3"/>
        <v>0</v>
      </c>
      <c r="I106" s="1">
        <f>IF(Suma!$B105=$A$1,Suma!AD105,NA())</f>
        <v>0</v>
      </c>
      <c r="J106" s="1">
        <f>IF(Suma!$B105=$A$1,Suma!AK105,NA())</f>
        <v>0</v>
      </c>
      <c r="K106" s="10">
        <f>IF(Suma!$B105=$A$1,Suma!AS105,NA())</f>
        <v>0</v>
      </c>
      <c r="L106" s="1">
        <f>IF(Suma!$B105=$A$1,Suma!G105,NA())</f>
        <v>0</v>
      </c>
      <c r="M106" s="1">
        <f>IF(Suma!$B105=$A$1,Suma!H105,NA())</f>
        <v>0</v>
      </c>
      <c r="N106" s="1">
        <f>IF(Suma!$B105=$A$1,Suma!AT105,NA())</f>
        <v>1900</v>
      </c>
      <c r="O106" s="1" t="str">
        <f>IF(Suma!$B105=$A$1,Suma!AU105,NA())</f>
        <v>enero</v>
      </c>
      <c r="P106" s="1">
        <f>IF(Suma!$B105=$A$1,Suma!AV105,NA())</f>
        <v>0</v>
      </c>
      <c r="Q106" s="1">
        <f>IF(Suma!$B105=$A$1,Suma!AW105,NA())</f>
        <v>0</v>
      </c>
      <c r="R106" s="10">
        <f>IF(Suma!$B105=$A$1,Suma!AX105,NA())</f>
        <v>0</v>
      </c>
      <c r="S106" s="10">
        <f>IF(Suma!$B105=$A$1,Suma!AY105,NA())</f>
        <v>0</v>
      </c>
      <c r="T106" s="10">
        <f>IF(Suma!$B105=$A$1,Suma!AZ105,NA())</f>
        <v>0</v>
      </c>
      <c r="U106" s="10">
        <f>IF(Suma!$B105=$A$1,Suma!J105,NA())</f>
        <v>0</v>
      </c>
      <c r="V106" s="10">
        <f>IF(Suma!$B105=$A$1,Suma!K105,NA())</f>
        <v>0</v>
      </c>
      <c r="W106" s="10">
        <f>IF(Suma!$B105=$A$1,Suma!L105,NA())</f>
        <v>0</v>
      </c>
      <c r="X106" s="10">
        <f>IF(Suma!$B105=$A$1,Suma!M105,NA())</f>
        <v>0</v>
      </c>
      <c r="Y106" s="10">
        <f>IF(Suma!$B105=$A$1,Suma!N105,NA())</f>
        <v>0</v>
      </c>
      <c r="Z106" s="10">
        <f>IF(Suma!$B105=$A$1,Suma!O105,NA())</f>
        <v>0</v>
      </c>
      <c r="AA106" s="10">
        <f>IF(Suma!$B105=$A$1,Suma!BC105,NA())</f>
        <v>0</v>
      </c>
      <c r="AB106" s="10">
        <f>IF(Suma!$B105=$A$1,Suma!BD105,NA())</f>
        <v>0</v>
      </c>
    </row>
    <row r="107" spans="1:28" x14ac:dyDescent="0.3">
      <c r="A107" s="1">
        <f>IF(Suma!$B106=$A$1,Suma!C106,NA())</f>
        <v>0</v>
      </c>
      <c r="B107" s="1">
        <f>IF(Suma!$B106=$A$1,Suma!D106,NA())</f>
        <v>0</v>
      </c>
      <c r="C107" s="2">
        <f>IF(Suma!$B106=$A$1,Suma!E106,NA())</f>
        <v>0</v>
      </c>
      <c r="D107" s="2">
        <f>IF(Suma!$B106=$A$1,Suma!F106,NA())</f>
        <v>0</v>
      </c>
      <c r="E107" s="1">
        <f>IF(Suma!$B106=$A$1,Suma!P106,NA())</f>
        <v>0</v>
      </c>
      <c r="F107" s="10">
        <f t="shared" si="2"/>
        <v>0</v>
      </c>
      <c r="G107" s="1">
        <f>IF(Suma!$B106=$A$1,Suma!W106,NA())</f>
        <v>0</v>
      </c>
      <c r="H107" s="10">
        <f t="shared" si="3"/>
        <v>0</v>
      </c>
      <c r="I107" s="1">
        <f>IF(Suma!$B106=$A$1,Suma!AD106,NA())</f>
        <v>0</v>
      </c>
      <c r="J107" s="1">
        <f>IF(Suma!$B106=$A$1,Suma!AK106,NA())</f>
        <v>0</v>
      </c>
      <c r="K107" s="10">
        <f>IF(Suma!$B106=$A$1,Suma!AS106,NA())</f>
        <v>0</v>
      </c>
      <c r="L107" s="1">
        <f>IF(Suma!$B106=$A$1,Suma!G106,NA())</f>
        <v>0</v>
      </c>
      <c r="M107" s="1">
        <f>IF(Suma!$B106=$A$1,Suma!H106,NA())</f>
        <v>0</v>
      </c>
      <c r="N107" s="1">
        <f>IF(Suma!$B106=$A$1,Suma!AT106,NA())</f>
        <v>1900</v>
      </c>
      <c r="O107" s="1" t="str">
        <f>IF(Suma!$B106=$A$1,Suma!AU106,NA())</f>
        <v>enero</v>
      </c>
      <c r="P107" s="1">
        <f>IF(Suma!$B106=$A$1,Suma!AV106,NA())</f>
        <v>0</v>
      </c>
      <c r="Q107" s="1">
        <f>IF(Suma!$B106=$A$1,Suma!AW106,NA())</f>
        <v>0</v>
      </c>
      <c r="R107" s="10">
        <f>IF(Suma!$B106=$A$1,Suma!AX106,NA())</f>
        <v>0</v>
      </c>
      <c r="S107" s="10">
        <f>IF(Suma!$B106=$A$1,Suma!AY106,NA())</f>
        <v>0</v>
      </c>
      <c r="T107" s="10">
        <f>IF(Suma!$B106=$A$1,Suma!AZ106,NA())</f>
        <v>0</v>
      </c>
      <c r="U107" s="10">
        <f>IF(Suma!$B106=$A$1,Suma!J106,NA())</f>
        <v>0</v>
      </c>
      <c r="V107" s="10">
        <f>IF(Suma!$B106=$A$1,Suma!K106,NA())</f>
        <v>0</v>
      </c>
      <c r="W107" s="10">
        <f>IF(Suma!$B106=$A$1,Suma!L106,NA())</f>
        <v>0</v>
      </c>
      <c r="X107" s="10">
        <f>IF(Suma!$B106=$A$1,Suma!M106,NA())</f>
        <v>0</v>
      </c>
      <c r="Y107" s="10">
        <f>IF(Suma!$B106=$A$1,Suma!N106,NA())</f>
        <v>0</v>
      </c>
      <c r="Z107" s="10">
        <f>IF(Suma!$B106=$A$1,Suma!O106,NA())</f>
        <v>0</v>
      </c>
      <c r="AA107" s="10">
        <f>IF(Suma!$B106=$A$1,Suma!BC106,NA())</f>
        <v>0</v>
      </c>
      <c r="AB107" s="10">
        <f>IF(Suma!$B106=$A$1,Suma!BD106,NA())</f>
        <v>0</v>
      </c>
    </row>
    <row r="108" spans="1:28" x14ac:dyDescent="0.3">
      <c r="A108" s="1">
        <f>IF(Suma!$B107=$A$1,Suma!C107,NA())</f>
        <v>0</v>
      </c>
      <c r="B108" s="1">
        <f>IF(Suma!$B107=$A$1,Suma!D107,NA())</f>
        <v>0</v>
      </c>
      <c r="C108" s="2">
        <f>IF(Suma!$B107=$A$1,Suma!E107,NA())</f>
        <v>0</v>
      </c>
      <c r="D108" s="2">
        <f>IF(Suma!$B107=$A$1,Suma!F107,NA())</f>
        <v>0</v>
      </c>
      <c r="E108" s="1">
        <f>IF(Suma!$B107=$A$1,Suma!P107,NA())</f>
        <v>0</v>
      </c>
      <c r="F108" s="10">
        <f t="shared" si="2"/>
        <v>0</v>
      </c>
      <c r="G108" s="1">
        <f>IF(Suma!$B107=$A$1,Suma!W107,NA())</f>
        <v>0</v>
      </c>
      <c r="H108" s="10">
        <f t="shared" si="3"/>
        <v>0</v>
      </c>
      <c r="I108" s="1">
        <f>IF(Suma!$B107=$A$1,Suma!AD107,NA())</f>
        <v>0</v>
      </c>
      <c r="J108" s="1">
        <f>IF(Suma!$B107=$A$1,Suma!AK107,NA())</f>
        <v>0</v>
      </c>
      <c r="K108" s="10">
        <f>IF(Suma!$B107=$A$1,Suma!AS107,NA())</f>
        <v>0</v>
      </c>
      <c r="L108" s="1">
        <f>IF(Suma!$B107=$A$1,Suma!G107,NA())</f>
        <v>0</v>
      </c>
      <c r="M108" s="1">
        <f>IF(Suma!$B107=$A$1,Suma!H107,NA())</f>
        <v>0</v>
      </c>
      <c r="N108" s="1">
        <f>IF(Suma!$B107=$A$1,Suma!AT107,NA())</f>
        <v>1900</v>
      </c>
      <c r="O108" s="1" t="str">
        <f>IF(Suma!$B107=$A$1,Suma!AU107,NA())</f>
        <v>enero</v>
      </c>
      <c r="P108" s="1">
        <f>IF(Suma!$B107=$A$1,Suma!AV107,NA())</f>
        <v>0</v>
      </c>
      <c r="Q108" s="1">
        <f>IF(Suma!$B107=$A$1,Suma!AW107,NA())</f>
        <v>0</v>
      </c>
      <c r="R108" s="10">
        <f>IF(Suma!$B107=$A$1,Suma!AX107,NA())</f>
        <v>0</v>
      </c>
      <c r="S108" s="10">
        <f>IF(Suma!$B107=$A$1,Suma!AY107,NA())</f>
        <v>0</v>
      </c>
      <c r="T108" s="10">
        <f>IF(Suma!$B107=$A$1,Suma!AZ107,NA())</f>
        <v>0</v>
      </c>
      <c r="U108" s="10">
        <f>IF(Suma!$B107=$A$1,Suma!J107,NA())</f>
        <v>0</v>
      </c>
      <c r="V108" s="10">
        <f>IF(Suma!$B107=$A$1,Suma!K107,NA())</f>
        <v>0</v>
      </c>
      <c r="W108" s="10">
        <f>IF(Suma!$B107=$A$1,Suma!L107,NA())</f>
        <v>0</v>
      </c>
      <c r="X108" s="10">
        <f>IF(Suma!$B107=$A$1,Suma!M107,NA())</f>
        <v>0</v>
      </c>
      <c r="Y108" s="10">
        <f>IF(Suma!$B107=$A$1,Suma!N107,NA())</f>
        <v>0</v>
      </c>
      <c r="Z108" s="10">
        <f>IF(Suma!$B107=$A$1,Suma!O107,NA())</f>
        <v>0</v>
      </c>
      <c r="AA108" s="10">
        <f>IF(Suma!$B107=$A$1,Suma!BC107,NA())</f>
        <v>0</v>
      </c>
      <c r="AB108" s="10">
        <f>IF(Suma!$B107=$A$1,Suma!BD107,NA())</f>
        <v>0</v>
      </c>
    </row>
    <row r="109" spans="1:28" x14ac:dyDescent="0.3">
      <c r="A109" s="1">
        <f>IF(Suma!$B108=$A$1,Suma!C108,NA())</f>
        <v>0</v>
      </c>
      <c r="B109" s="1">
        <f>IF(Suma!$B108=$A$1,Suma!D108,NA())</f>
        <v>0</v>
      </c>
      <c r="C109" s="2">
        <f>IF(Suma!$B108=$A$1,Suma!E108,NA())</f>
        <v>0</v>
      </c>
      <c r="D109" s="2">
        <f>IF(Suma!$B108=$A$1,Suma!F108,NA())</f>
        <v>0</v>
      </c>
      <c r="E109" s="1">
        <f>IF(Suma!$B108=$A$1,Suma!P108,NA())</f>
        <v>0</v>
      </c>
      <c r="F109" s="10">
        <f t="shared" si="2"/>
        <v>0</v>
      </c>
      <c r="G109" s="1">
        <f>IF(Suma!$B108=$A$1,Suma!W108,NA())</f>
        <v>0</v>
      </c>
      <c r="H109" s="10">
        <f t="shared" si="3"/>
        <v>0</v>
      </c>
      <c r="I109" s="1">
        <f>IF(Suma!$B108=$A$1,Suma!AD108,NA())</f>
        <v>0</v>
      </c>
      <c r="J109" s="1">
        <f>IF(Suma!$B108=$A$1,Suma!AK108,NA())</f>
        <v>0</v>
      </c>
      <c r="K109" s="10">
        <f>IF(Suma!$B108=$A$1,Suma!AS108,NA())</f>
        <v>0</v>
      </c>
      <c r="L109" s="1">
        <f>IF(Suma!$B108=$A$1,Suma!G108,NA())</f>
        <v>0</v>
      </c>
      <c r="M109" s="1">
        <f>IF(Suma!$B108=$A$1,Suma!H108,NA())</f>
        <v>0</v>
      </c>
      <c r="N109" s="1">
        <f>IF(Suma!$B108=$A$1,Suma!AT108,NA())</f>
        <v>1900</v>
      </c>
      <c r="O109" s="1" t="str">
        <f>IF(Suma!$B108=$A$1,Suma!AU108,NA())</f>
        <v>enero</v>
      </c>
      <c r="P109" s="1">
        <f>IF(Suma!$B108=$A$1,Suma!AV108,NA())</f>
        <v>0</v>
      </c>
      <c r="Q109" s="1">
        <f>IF(Suma!$B108=$A$1,Suma!AW108,NA())</f>
        <v>0</v>
      </c>
      <c r="R109" s="10">
        <f>IF(Suma!$B108=$A$1,Suma!AX108,NA())</f>
        <v>0</v>
      </c>
      <c r="S109" s="10">
        <f>IF(Suma!$B108=$A$1,Suma!AY108,NA())</f>
        <v>0</v>
      </c>
      <c r="T109" s="10">
        <f>IF(Suma!$B108=$A$1,Suma!AZ108,NA())</f>
        <v>0</v>
      </c>
      <c r="U109" s="10">
        <f>IF(Suma!$B108=$A$1,Suma!J108,NA())</f>
        <v>0</v>
      </c>
      <c r="V109" s="10">
        <f>IF(Suma!$B108=$A$1,Suma!K108,NA())</f>
        <v>0</v>
      </c>
      <c r="W109" s="10">
        <f>IF(Suma!$B108=$A$1,Suma!L108,NA())</f>
        <v>0</v>
      </c>
      <c r="X109" s="10">
        <f>IF(Suma!$B108=$A$1,Suma!M108,NA())</f>
        <v>0</v>
      </c>
      <c r="Y109" s="10">
        <f>IF(Suma!$B108=$A$1,Suma!N108,NA())</f>
        <v>0</v>
      </c>
      <c r="Z109" s="10">
        <f>IF(Suma!$B108=$A$1,Suma!O108,NA())</f>
        <v>0</v>
      </c>
      <c r="AA109" s="10">
        <f>IF(Suma!$B108=$A$1,Suma!BC108,NA())</f>
        <v>0</v>
      </c>
      <c r="AB109" s="10">
        <f>IF(Suma!$B108=$A$1,Suma!BD108,NA())</f>
        <v>0</v>
      </c>
    </row>
    <row r="110" spans="1:28" x14ac:dyDescent="0.3">
      <c r="A110" s="1">
        <f>IF(Suma!$B109=$A$1,Suma!C109,NA())</f>
        <v>0</v>
      </c>
      <c r="B110" s="1">
        <f>IF(Suma!$B109=$A$1,Suma!D109,NA())</f>
        <v>0</v>
      </c>
      <c r="C110" s="2">
        <f>IF(Suma!$B109=$A$1,Suma!E109,NA())</f>
        <v>0</v>
      </c>
      <c r="D110" s="2">
        <f>IF(Suma!$B109=$A$1,Suma!F109,NA())</f>
        <v>0</v>
      </c>
      <c r="E110" s="1">
        <f>IF(Suma!$B109=$A$1,Suma!P109,NA())</f>
        <v>0</v>
      </c>
      <c r="F110" s="10">
        <f t="shared" si="2"/>
        <v>0</v>
      </c>
      <c r="G110" s="1">
        <f>IF(Suma!$B109=$A$1,Suma!W109,NA())</f>
        <v>0</v>
      </c>
      <c r="H110" s="10">
        <f t="shared" si="3"/>
        <v>0</v>
      </c>
      <c r="I110" s="1">
        <f>IF(Suma!$B109=$A$1,Suma!AD109,NA())</f>
        <v>0</v>
      </c>
      <c r="J110" s="1">
        <f>IF(Suma!$B109=$A$1,Suma!AK109,NA())</f>
        <v>0</v>
      </c>
      <c r="K110" s="10">
        <f>IF(Suma!$B109=$A$1,Suma!AS109,NA())</f>
        <v>0</v>
      </c>
      <c r="L110" s="1">
        <f>IF(Suma!$B109=$A$1,Suma!G109,NA())</f>
        <v>0</v>
      </c>
      <c r="M110" s="1">
        <f>IF(Suma!$B109=$A$1,Suma!H109,NA())</f>
        <v>0</v>
      </c>
      <c r="N110" s="1">
        <f>IF(Suma!$B109=$A$1,Suma!AT109,NA())</f>
        <v>1900</v>
      </c>
      <c r="O110" s="1" t="str">
        <f>IF(Suma!$B109=$A$1,Suma!AU109,NA())</f>
        <v>enero</v>
      </c>
      <c r="P110" s="1">
        <f>IF(Suma!$B109=$A$1,Suma!AV109,NA())</f>
        <v>0</v>
      </c>
      <c r="Q110" s="1">
        <f>IF(Suma!$B109=$A$1,Suma!AW109,NA())</f>
        <v>0</v>
      </c>
      <c r="R110" s="10">
        <f>IF(Suma!$B109=$A$1,Suma!AX109,NA())</f>
        <v>0</v>
      </c>
      <c r="S110" s="10">
        <f>IF(Suma!$B109=$A$1,Suma!AY109,NA())</f>
        <v>0</v>
      </c>
      <c r="T110" s="10">
        <f>IF(Suma!$B109=$A$1,Suma!AZ109,NA())</f>
        <v>0</v>
      </c>
      <c r="U110" s="10">
        <f>IF(Suma!$B109=$A$1,Suma!J109,NA())</f>
        <v>0</v>
      </c>
      <c r="V110" s="10">
        <f>IF(Suma!$B109=$A$1,Suma!K109,NA())</f>
        <v>0</v>
      </c>
      <c r="W110" s="10">
        <f>IF(Suma!$B109=$A$1,Suma!L109,NA())</f>
        <v>0</v>
      </c>
      <c r="X110" s="10">
        <f>IF(Suma!$B109=$A$1,Suma!M109,NA())</f>
        <v>0</v>
      </c>
      <c r="Y110" s="10">
        <f>IF(Suma!$B109=$A$1,Suma!N109,NA())</f>
        <v>0</v>
      </c>
      <c r="Z110" s="10">
        <f>IF(Suma!$B109=$A$1,Suma!O109,NA())</f>
        <v>0</v>
      </c>
      <c r="AA110" s="10">
        <f>IF(Suma!$B109=$A$1,Suma!BC109,NA())</f>
        <v>0</v>
      </c>
      <c r="AB110" s="10">
        <f>IF(Suma!$B109=$A$1,Suma!BD109,NA())</f>
        <v>0</v>
      </c>
    </row>
    <row r="111" spans="1:28" x14ac:dyDescent="0.3">
      <c r="A111" s="1">
        <f>IF(Suma!$B110=$A$1,Suma!C110,NA())</f>
        <v>0</v>
      </c>
      <c r="B111" s="1">
        <f>IF(Suma!$B110=$A$1,Suma!D110,NA())</f>
        <v>0</v>
      </c>
      <c r="C111" s="2">
        <f>IF(Suma!$B110=$A$1,Suma!E110,NA())</f>
        <v>0</v>
      </c>
      <c r="D111" s="2">
        <f>IF(Suma!$B110=$A$1,Suma!F110,NA())</f>
        <v>0</v>
      </c>
      <c r="E111" s="1">
        <f>IF(Suma!$B110=$A$1,Suma!P110,NA())</f>
        <v>0</v>
      </c>
      <c r="F111" s="10">
        <f t="shared" si="2"/>
        <v>0</v>
      </c>
      <c r="G111" s="1">
        <f>IF(Suma!$B110=$A$1,Suma!W110,NA())</f>
        <v>0</v>
      </c>
      <c r="H111" s="10">
        <f t="shared" si="3"/>
        <v>0</v>
      </c>
      <c r="I111" s="1">
        <f>IF(Suma!$B110=$A$1,Suma!AD110,NA())</f>
        <v>0</v>
      </c>
      <c r="J111" s="1">
        <f>IF(Suma!$B110=$A$1,Suma!AK110,NA())</f>
        <v>0</v>
      </c>
      <c r="K111" s="10">
        <f>IF(Suma!$B110=$A$1,Suma!AS110,NA())</f>
        <v>0</v>
      </c>
      <c r="L111" s="1">
        <f>IF(Suma!$B110=$A$1,Suma!G110,NA())</f>
        <v>0</v>
      </c>
      <c r="M111" s="1">
        <f>IF(Suma!$B110=$A$1,Suma!H110,NA())</f>
        <v>0</v>
      </c>
      <c r="N111" s="1">
        <f>IF(Suma!$B110=$A$1,Suma!AT110,NA())</f>
        <v>1900</v>
      </c>
      <c r="O111" s="1" t="str">
        <f>IF(Suma!$B110=$A$1,Suma!AU110,NA())</f>
        <v>enero</v>
      </c>
      <c r="P111" s="1">
        <f>IF(Suma!$B110=$A$1,Suma!AV110,NA())</f>
        <v>0</v>
      </c>
      <c r="Q111" s="1">
        <f>IF(Suma!$B110=$A$1,Suma!AW110,NA())</f>
        <v>0</v>
      </c>
      <c r="R111" s="10">
        <f>IF(Suma!$B110=$A$1,Suma!AX110,NA())</f>
        <v>0</v>
      </c>
      <c r="S111" s="10">
        <f>IF(Suma!$B110=$A$1,Suma!AY110,NA())</f>
        <v>0</v>
      </c>
      <c r="T111" s="10">
        <f>IF(Suma!$B110=$A$1,Suma!AZ110,NA())</f>
        <v>0</v>
      </c>
      <c r="U111" s="10">
        <f>IF(Suma!$B110=$A$1,Suma!J110,NA())</f>
        <v>0</v>
      </c>
      <c r="V111" s="10">
        <f>IF(Suma!$B110=$A$1,Suma!K110,NA())</f>
        <v>0</v>
      </c>
      <c r="W111" s="10">
        <f>IF(Suma!$B110=$A$1,Suma!L110,NA())</f>
        <v>0</v>
      </c>
      <c r="X111" s="10">
        <f>IF(Suma!$B110=$A$1,Suma!M110,NA())</f>
        <v>0</v>
      </c>
      <c r="Y111" s="10">
        <f>IF(Suma!$B110=$A$1,Suma!N110,NA())</f>
        <v>0</v>
      </c>
      <c r="Z111" s="10">
        <f>IF(Suma!$B110=$A$1,Suma!O110,NA())</f>
        <v>0</v>
      </c>
      <c r="AA111" s="10">
        <f>IF(Suma!$B110=$A$1,Suma!BC110,NA())</f>
        <v>0</v>
      </c>
      <c r="AB111" s="10">
        <f>IF(Suma!$B110=$A$1,Suma!BD110,NA())</f>
        <v>0</v>
      </c>
    </row>
    <row r="112" spans="1:28" x14ac:dyDescent="0.3">
      <c r="A112" s="1">
        <f>IF(Suma!$B111=$A$1,Suma!C111,NA())</f>
        <v>0</v>
      </c>
      <c r="B112" s="1">
        <f>IF(Suma!$B111=$A$1,Suma!D111,NA())</f>
        <v>0</v>
      </c>
      <c r="C112" s="2">
        <f>IF(Suma!$B111=$A$1,Suma!E111,NA())</f>
        <v>0</v>
      </c>
      <c r="D112" s="2">
        <f>IF(Suma!$B111=$A$1,Suma!F111,NA())</f>
        <v>0</v>
      </c>
      <c r="E112" s="1">
        <f>IF(Suma!$B111=$A$1,Suma!P111,NA())</f>
        <v>0</v>
      </c>
      <c r="F112" s="10">
        <f t="shared" si="2"/>
        <v>0</v>
      </c>
      <c r="G112" s="1">
        <f>IF(Suma!$B111=$A$1,Suma!W111,NA())</f>
        <v>0</v>
      </c>
      <c r="H112" s="10">
        <f t="shared" si="3"/>
        <v>0</v>
      </c>
      <c r="I112" s="1">
        <f>IF(Suma!$B111=$A$1,Suma!AD111,NA())</f>
        <v>0</v>
      </c>
      <c r="J112" s="1">
        <f>IF(Suma!$B111=$A$1,Suma!AK111,NA())</f>
        <v>0</v>
      </c>
      <c r="K112" s="10">
        <f>IF(Suma!$B111=$A$1,Suma!AS111,NA())</f>
        <v>0</v>
      </c>
      <c r="L112" s="1">
        <f>IF(Suma!$B111=$A$1,Suma!G111,NA())</f>
        <v>0</v>
      </c>
      <c r="M112" s="1">
        <f>IF(Suma!$B111=$A$1,Suma!H111,NA())</f>
        <v>0</v>
      </c>
      <c r="N112" s="1">
        <f>IF(Suma!$B111=$A$1,Suma!AT111,NA())</f>
        <v>1900</v>
      </c>
      <c r="O112" s="1" t="str">
        <f>IF(Suma!$B111=$A$1,Suma!AU111,NA())</f>
        <v>enero</v>
      </c>
      <c r="P112" s="1">
        <f>IF(Suma!$B111=$A$1,Suma!AV111,NA())</f>
        <v>0</v>
      </c>
      <c r="Q112" s="1">
        <f>IF(Suma!$B111=$A$1,Suma!AW111,NA())</f>
        <v>0</v>
      </c>
      <c r="R112" s="10">
        <f>IF(Suma!$B111=$A$1,Suma!AX111,NA())</f>
        <v>0</v>
      </c>
      <c r="S112" s="10">
        <f>IF(Suma!$B111=$A$1,Suma!AY111,NA())</f>
        <v>0</v>
      </c>
      <c r="T112" s="10">
        <f>IF(Suma!$B111=$A$1,Suma!AZ111,NA())</f>
        <v>0</v>
      </c>
      <c r="U112" s="10">
        <f>IF(Suma!$B111=$A$1,Suma!J111,NA())</f>
        <v>0</v>
      </c>
      <c r="V112" s="10">
        <f>IF(Suma!$B111=$A$1,Suma!K111,NA())</f>
        <v>0</v>
      </c>
      <c r="W112" s="10">
        <f>IF(Suma!$B111=$A$1,Suma!L111,NA())</f>
        <v>0</v>
      </c>
      <c r="X112" s="10">
        <f>IF(Suma!$B111=$A$1,Suma!M111,NA())</f>
        <v>0</v>
      </c>
      <c r="Y112" s="10">
        <f>IF(Suma!$B111=$A$1,Suma!N111,NA())</f>
        <v>0</v>
      </c>
      <c r="Z112" s="10">
        <f>IF(Suma!$B111=$A$1,Suma!O111,NA())</f>
        <v>0</v>
      </c>
      <c r="AA112" s="10">
        <f>IF(Suma!$B111=$A$1,Suma!BC111,NA())</f>
        <v>0</v>
      </c>
      <c r="AB112" s="10">
        <f>IF(Suma!$B111=$A$1,Suma!BD111,NA())</f>
        <v>0</v>
      </c>
    </row>
    <row r="113" spans="1:28" x14ac:dyDescent="0.3">
      <c r="A113" s="1">
        <f>IF(Suma!$B112=$A$1,Suma!C112,NA())</f>
        <v>0</v>
      </c>
      <c r="B113" s="1">
        <f>IF(Suma!$B112=$A$1,Suma!D112,NA())</f>
        <v>0</v>
      </c>
      <c r="C113" s="2">
        <f>IF(Suma!$B112=$A$1,Suma!E112,NA())</f>
        <v>0</v>
      </c>
      <c r="D113" s="2">
        <f>IF(Suma!$B112=$A$1,Suma!F112,NA())</f>
        <v>0</v>
      </c>
      <c r="E113" s="1">
        <f>IF(Suma!$B112=$A$1,Suma!P112,NA())</f>
        <v>0</v>
      </c>
      <c r="F113" s="10">
        <f t="shared" si="2"/>
        <v>0</v>
      </c>
      <c r="G113" s="1">
        <f>IF(Suma!$B112=$A$1,Suma!W112,NA())</f>
        <v>0</v>
      </c>
      <c r="H113" s="10">
        <f t="shared" si="3"/>
        <v>0</v>
      </c>
      <c r="I113" s="1">
        <f>IF(Suma!$B112=$A$1,Suma!AD112,NA())</f>
        <v>0</v>
      </c>
      <c r="J113" s="1">
        <f>IF(Suma!$B112=$A$1,Suma!AK112,NA())</f>
        <v>0</v>
      </c>
      <c r="K113" s="10">
        <f>IF(Suma!$B112=$A$1,Suma!AS112,NA())</f>
        <v>0</v>
      </c>
      <c r="L113" s="1">
        <f>IF(Suma!$B112=$A$1,Suma!G112,NA())</f>
        <v>0</v>
      </c>
      <c r="M113" s="1">
        <f>IF(Suma!$B112=$A$1,Suma!H112,NA())</f>
        <v>0</v>
      </c>
      <c r="N113" s="1">
        <f>IF(Suma!$B112=$A$1,Suma!AT112,NA())</f>
        <v>1900</v>
      </c>
      <c r="O113" s="1" t="str">
        <f>IF(Suma!$B112=$A$1,Suma!AU112,NA())</f>
        <v>enero</v>
      </c>
      <c r="P113" s="1">
        <f>IF(Suma!$B112=$A$1,Suma!AV112,NA())</f>
        <v>0</v>
      </c>
      <c r="Q113" s="1">
        <f>IF(Suma!$B112=$A$1,Suma!AW112,NA())</f>
        <v>0</v>
      </c>
      <c r="R113" s="10">
        <f>IF(Suma!$B112=$A$1,Suma!AX112,NA())</f>
        <v>0</v>
      </c>
      <c r="S113" s="10">
        <f>IF(Suma!$B112=$A$1,Suma!AY112,NA())</f>
        <v>0</v>
      </c>
      <c r="T113" s="10">
        <f>IF(Suma!$B112=$A$1,Suma!AZ112,NA())</f>
        <v>0</v>
      </c>
      <c r="U113" s="10">
        <f>IF(Suma!$B112=$A$1,Suma!J112,NA())</f>
        <v>0</v>
      </c>
      <c r="V113" s="10">
        <f>IF(Suma!$B112=$A$1,Suma!K112,NA())</f>
        <v>0</v>
      </c>
      <c r="W113" s="10">
        <f>IF(Suma!$B112=$A$1,Suma!L112,NA())</f>
        <v>0</v>
      </c>
      <c r="X113" s="10">
        <f>IF(Suma!$B112=$A$1,Suma!M112,NA())</f>
        <v>0</v>
      </c>
      <c r="Y113" s="10">
        <f>IF(Suma!$B112=$A$1,Suma!N112,NA())</f>
        <v>0</v>
      </c>
      <c r="Z113" s="10">
        <f>IF(Suma!$B112=$A$1,Suma!O112,NA())</f>
        <v>0</v>
      </c>
      <c r="AA113" s="10">
        <f>IF(Suma!$B112=$A$1,Suma!BC112,NA())</f>
        <v>0</v>
      </c>
      <c r="AB113" s="10">
        <f>IF(Suma!$B112=$A$1,Suma!BD112,NA())</f>
        <v>0</v>
      </c>
    </row>
    <row r="114" spans="1:28" x14ac:dyDescent="0.3">
      <c r="A114" s="1">
        <f>IF(Suma!$B113=$A$1,Suma!C113,NA())</f>
        <v>0</v>
      </c>
      <c r="B114" s="1">
        <f>IF(Suma!$B113=$A$1,Suma!D113,NA())</f>
        <v>0</v>
      </c>
      <c r="C114" s="2">
        <f>IF(Suma!$B113=$A$1,Suma!E113,NA())</f>
        <v>0</v>
      </c>
      <c r="D114" s="2">
        <f>IF(Suma!$B113=$A$1,Suma!F113,NA())</f>
        <v>0</v>
      </c>
      <c r="E114" s="1">
        <f>IF(Suma!$B113=$A$1,Suma!P113,NA())</f>
        <v>0</v>
      </c>
      <c r="F114" s="10">
        <f t="shared" si="2"/>
        <v>0</v>
      </c>
      <c r="G114" s="1">
        <f>IF(Suma!$B113=$A$1,Suma!W113,NA())</f>
        <v>0</v>
      </c>
      <c r="H114" s="10">
        <f t="shared" si="3"/>
        <v>0</v>
      </c>
      <c r="I114" s="1">
        <f>IF(Suma!$B113=$A$1,Suma!AD113,NA())</f>
        <v>0</v>
      </c>
      <c r="J114" s="1">
        <f>IF(Suma!$B113=$A$1,Suma!AK113,NA())</f>
        <v>0</v>
      </c>
      <c r="K114" s="10">
        <f>IF(Suma!$B113=$A$1,Suma!AS113,NA())</f>
        <v>0</v>
      </c>
      <c r="L114" s="1">
        <f>IF(Suma!$B113=$A$1,Suma!G113,NA())</f>
        <v>0</v>
      </c>
      <c r="M114" s="1">
        <f>IF(Suma!$B113=$A$1,Suma!H113,NA())</f>
        <v>0</v>
      </c>
      <c r="N114" s="1">
        <f>IF(Suma!$B113=$A$1,Suma!AT113,NA())</f>
        <v>1900</v>
      </c>
      <c r="O114" s="1" t="str">
        <f>IF(Suma!$B113=$A$1,Suma!AU113,NA())</f>
        <v>enero</v>
      </c>
      <c r="P114" s="1">
        <f>IF(Suma!$B113=$A$1,Suma!AV113,NA())</f>
        <v>0</v>
      </c>
      <c r="Q114" s="1">
        <f>IF(Suma!$B113=$A$1,Suma!AW113,NA())</f>
        <v>0</v>
      </c>
      <c r="R114" s="10">
        <f>IF(Suma!$B113=$A$1,Suma!AX113,NA())</f>
        <v>0</v>
      </c>
      <c r="S114" s="10">
        <f>IF(Suma!$B113=$A$1,Suma!AY113,NA())</f>
        <v>0</v>
      </c>
      <c r="T114" s="10">
        <f>IF(Suma!$B113=$A$1,Suma!AZ113,NA())</f>
        <v>0</v>
      </c>
      <c r="U114" s="10">
        <f>IF(Suma!$B113=$A$1,Suma!J113,NA())</f>
        <v>0</v>
      </c>
      <c r="V114" s="10">
        <f>IF(Suma!$B113=$A$1,Suma!K113,NA())</f>
        <v>0</v>
      </c>
      <c r="W114" s="10">
        <f>IF(Suma!$B113=$A$1,Suma!L113,NA())</f>
        <v>0</v>
      </c>
      <c r="X114" s="10">
        <f>IF(Suma!$B113=$A$1,Suma!M113,NA())</f>
        <v>0</v>
      </c>
      <c r="Y114" s="10">
        <f>IF(Suma!$B113=$A$1,Suma!N113,NA())</f>
        <v>0</v>
      </c>
      <c r="Z114" s="10">
        <f>IF(Suma!$B113=$A$1,Suma!O113,NA())</f>
        <v>0</v>
      </c>
      <c r="AA114" s="10">
        <f>IF(Suma!$B113=$A$1,Suma!BC113,NA())</f>
        <v>0</v>
      </c>
      <c r="AB114" s="10">
        <f>IF(Suma!$B113=$A$1,Suma!BD113,NA())</f>
        <v>0</v>
      </c>
    </row>
    <row r="115" spans="1:28" x14ac:dyDescent="0.3">
      <c r="A115" s="1">
        <f>IF(Suma!$B114=$A$1,Suma!C114,NA())</f>
        <v>0</v>
      </c>
      <c r="B115" s="1">
        <f>IF(Suma!$B114=$A$1,Suma!D114,NA())</f>
        <v>0</v>
      </c>
      <c r="C115" s="2">
        <f>IF(Suma!$B114=$A$1,Suma!E114,NA())</f>
        <v>0</v>
      </c>
      <c r="D115" s="2">
        <f>IF(Suma!$B114=$A$1,Suma!F114,NA())</f>
        <v>0</v>
      </c>
      <c r="E115" s="1">
        <f>IF(Suma!$B114=$A$1,Suma!P114,NA())</f>
        <v>0</v>
      </c>
      <c r="F115" s="10">
        <f t="shared" si="2"/>
        <v>0</v>
      </c>
      <c r="G115" s="1">
        <f>IF(Suma!$B114=$A$1,Suma!W114,NA())</f>
        <v>0</v>
      </c>
      <c r="H115" s="10">
        <f t="shared" si="3"/>
        <v>0</v>
      </c>
      <c r="I115" s="1">
        <f>IF(Suma!$B114=$A$1,Suma!AD114,NA())</f>
        <v>0</v>
      </c>
      <c r="J115" s="1">
        <f>IF(Suma!$B114=$A$1,Suma!AK114,NA())</f>
        <v>0</v>
      </c>
      <c r="K115" s="10">
        <f>IF(Suma!$B114=$A$1,Suma!AS114,NA())</f>
        <v>0</v>
      </c>
      <c r="L115" s="1">
        <f>IF(Suma!$B114=$A$1,Suma!G114,NA())</f>
        <v>0</v>
      </c>
      <c r="M115" s="1">
        <f>IF(Suma!$B114=$A$1,Suma!H114,NA())</f>
        <v>0</v>
      </c>
      <c r="N115" s="1">
        <f>IF(Suma!$B114=$A$1,Suma!AT114,NA())</f>
        <v>1900</v>
      </c>
      <c r="O115" s="1" t="str">
        <f>IF(Suma!$B114=$A$1,Suma!AU114,NA())</f>
        <v>enero</v>
      </c>
      <c r="P115" s="1">
        <f>IF(Suma!$B114=$A$1,Suma!AV114,NA())</f>
        <v>0</v>
      </c>
      <c r="Q115" s="1">
        <f>IF(Suma!$B114=$A$1,Suma!AW114,NA())</f>
        <v>0</v>
      </c>
      <c r="R115" s="10">
        <f>IF(Suma!$B114=$A$1,Suma!AX114,NA())</f>
        <v>0</v>
      </c>
      <c r="S115" s="10">
        <f>IF(Suma!$B114=$A$1,Suma!AY114,NA())</f>
        <v>0</v>
      </c>
      <c r="T115" s="10">
        <f>IF(Suma!$B114=$A$1,Suma!AZ114,NA())</f>
        <v>0</v>
      </c>
      <c r="U115" s="10">
        <f>IF(Suma!$B114=$A$1,Suma!J114,NA())</f>
        <v>0</v>
      </c>
      <c r="V115" s="10">
        <f>IF(Suma!$B114=$A$1,Suma!K114,NA())</f>
        <v>0</v>
      </c>
      <c r="W115" s="10">
        <f>IF(Suma!$B114=$A$1,Suma!L114,NA())</f>
        <v>0</v>
      </c>
      <c r="X115" s="10">
        <f>IF(Suma!$B114=$A$1,Suma!M114,NA())</f>
        <v>0</v>
      </c>
      <c r="Y115" s="10">
        <f>IF(Suma!$B114=$A$1,Suma!N114,NA())</f>
        <v>0</v>
      </c>
      <c r="Z115" s="10">
        <f>IF(Suma!$B114=$A$1,Suma!O114,NA())</f>
        <v>0</v>
      </c>
      <c r="AA115" s="10">
        <f>IF(Suma!$B114=$A$1,Suma!BC114,NA())</f>
        <v>0</v>
      </c>
      <c r="AB115" s="10">
        <f>IF(Suma!$B114=$A$1,Suma!BD114,NA())</f>
        <v>0</v>
      </c>
    </row>
    <row r="116" spans="1:28" x14ac:dyDescent="0.3">
      <c r="A116" s="1">
        <f>IF(Suma!$B115=$A$1,Suma!C115,NA())</f>
        <v>0</v>
      </c>
      <c r="B116" s="1">
        <f>IF(Suma!$B115=$A$1,Suma!D115,NA())</f>
        <v>0</v>
      </c>
      <c r="C116" s="2">
        <f>IF(Suma!$B115=$A$1,Suma!E115,NA())</f>
        <v>0</v>
      </c>
      <c r="D116" s="2">
        <f>IF(Suma!$B115=$A$1,Suma!F115,NA())</f>
        <v>0</v>
      </c>
      <c r="E116" s="1">
        <f>IF(Suma!$B115=$A$1,Suma!P115,NA())</f>
        <v>0</v>
      </c>
      <c r="F116" s="10">
        <f t="shared" si="2"/>
        <v>0</v>
      </c>
      <c r="G116" s="1">
        <f>IF(Suma!$B115=$A$1,Suma!W115,NA())</f>
        <v>0</v>
      </c>
      <c r="H116" s="10">
        <f t="shared" si="3"/>
        <v>0</v>
      </c>
      <c r="I116" s="1">
        <f>IF(Suma!$B115=$A$1,Suma!AD115,NA())</f>
        <v>0</v>
      </c>
      <c r="J116" s="1">
        <f>IF(Suma!$B115=$A$1,Suma!AK115,NA())</f>
        <v>0</v>
      </c>
      <c r="K116" s="10">
        <f>IF(Suma!$B115=$A$1,Suma!AS115,NA())</f>
        <v>0</v>
      </c>
      <c r="L116" s="1">
        <f>IF(Suma!$B115=$A$1,Suma!G115,NA())</f>
        <v>0</v>
      </c>
      <c r="M116" s="1">
        <f>IF(Suma!$B115=$A$1,Suma!H115,NA())</f>
        <v>0</v>
      </c>
      <c r="N116" s="1">
        <f>IF(Suma!$B115=$A$1,Suma!AT115,NA())</f>
        <v>1900</v>
      </c>
      <c r="O116" s="1" t="str">
        <f>IF(Suma!$B115=$A$1,Suma!AU115,NA())</f>
        <v>enero</v>
      </c>
      <c r="P116" s="1">
        <f>IF(Suma!$B115=$A$1,Suma!AV115,NA())</f>
        <v>0</v>
      </c>
      <c r="Q116" s="1">
        <f>IF(Suma!$B115=$A$1,Suma!AW115,NA())</f>
        <v>0</v>
      </c>
      <c r="R116" s="10">
        <f>IF(Suma!$B115=$A$1,Suma!AX115,NA())</f>
        <v>0</v>
      </c>
      <c r="S116" s="10">
        <f>IF(Suma!$B115=$A$1,Suma!AY115,NA())</f>
        <v>0</v>
      </c>
      <c r="T116" s="10">
        <f>IF(Suma!$B115=$A$1,Suma!AZ115,NA())</f>
        <v>0</v>
      </c>
      <c r="U116" s="10">
        <f>IF(Suma!$B115=$A$1,Suma!J115,NA())</f>
        <v>0</v>
      </c>
      <c r="V116" s="10">
        <f>IF(Suma!$B115=$A$1,Suma!K115,NA())</f>
        <v>0</v>
      </c>
      <c r="W116" s="10">
        <f>IF(Suma!$B115=$A$1,Suma!L115,NA())</f>
        <v>0</v>
      </c>
      <c r="X116" s="10">
        <f>IF(Suma!$B115=$A$1,Suma!M115,NA())</f>
        <v>0</v>
      </c>
      <c r="Y116" s="10">
        <f>IF(Suma!$B115=$A$1,Suma!N115,NA())</f>
        <v>0</v>
      </c>
      <c r="Z116" s="10">
        <f>IF(Suma!$B115=$A$1,Suma!O115,NA())</f>
        <v>0</v>
      </c>
      <c r="AA116" s="10">
        <f>IF(Suma!$B115=$A$1,Suma!BC115,NA())</f>
        <v>0</v>
      </c>
      <c r="AB116" s="10">
        <f>IF(Suma!$B115=$A$1,Suma!BD115,NA())</f>
        <v>0</v>
      </c>
    </row>
    <row r="117" spans="1:28" x14ac:dyDescent="0.3">
      <c r="A117" s="1">
        <f>IF(Suma!$B116=$A$1,Suma!C116,NA())</f>
        <v>0</v>
      </c>
      <c r="B117" s="1">
        <f>IF(Suma!$B116=$A$1,Suma!D116,NA())</f>
        <v>0</v>
      </c>
      <c r="C117" s="2">
        <f>IF(Suma!$B116=$A$1,Suma!E116,NA())</f>
        <v>0</v>
      </c>
      <c r="D117" s="2">
        <f>IF(Suma!$B116=$A$1,Suma!F116,NA())</f>
        <v>0</v>
      </c>
      <c r="E117" s="1">
        <f>IF(Suma!$B116=$A$1,Suma!P116,NA())</f>
        <v>0</v>
      </c>
      <c r="F117" s="10">
        <f t="shared" si="2"/>
        <v>0</v>
      </c>
      <c r="G117" s="1">
        <f>IF(Suma!$B116=$A$1,Suma!W116,NA())</f>
        <v>0</v>
      </c>
      <c r="H117" s="10">
        <f t="shared" si="3"/>
        <v>0</v>
      </c>
      <c r="I117" s="1">
        <f>IF(Suma!$B116=$A$1,Suma!AD116,NA())</f>
        <v>0</v>
      </c>
      <c r="J117" s="1">
        <f>IF(Suma!$B116=$A$1,Suma!AK116,NA())</f>
        <v>0</v>
      </c>
      <c r="K117" s="10">
        <f>IF(Suma!$B116=$A$1,Suma!AS116,NA())</f>
        <v>0</v>
      </c>
      <c r="L117" s="1">
        <f>IF(Suma!$B116=$A$1,Suma!G116,NA())</f>
        <v>0</v>
      </c>
      <c r="M117" s="1">
        <f>IF(Suma!$B116=$A$1,Suma!H116,NA())</f>
        <v>0</v>
      </c>
      <c r="N117" s="1">
        <f>IF(Suma!$B116=$A$1,Suma!AT116,NA())</f>
        <v>1900</v>
      </c>
      <c r="O117" s="1" t="str">
        <f>IF(Suma!$B116=$A$1,Suma!AU116,NA())</f>
        <v>enero</v>
      </c>
      <c r="P117" s="1">
        <f>IF(Suma!$B116=$A$1,Suma!AV116,NA())</f>
        <v>0</v>
      </c>
      <c r="Q117" s="1">
        <f>IF(Suma!$B116=$A$1,Suma!AW116,NA())</f>
        <v>0</v>
      </c>
      <c r="R117" s="10">
        <f>IF(Suma!$B116=$A$1,Suma!AX116,NA())</f>
        <v>0</v>
      </c>
      <c r="S117" s="10">
        <f>IF(Suma!$B116=$A$1,Suma!AY116,NA())</f>
        <v>0</v>
      </c>
      <c r="T117" s="10">
        <f>IF(Suma!$B116=$A$1,Suma!AZ116,NA())</f>
        <v>0</v>
      </c>
      <c r="U117" s="10">
        <f>IF(Suma!$B116=$A$1,Suma!J116,NA())</f>
        <v>0</v>
      </c>
      <c r="V117" s="10">
        <f>IF(Suma!$B116=$A$1,Suma!K116,NA())</f>
        <v>0</v>
      </c>
      <c r="W117" s="10">
        <f>IF(Suma!$B116=$A$1,Suma!L116,NA())</f>
        <v>0</v>
      </c>
      <c r="X117" s="10">
        <f>IF(Suma!$B116=$A$1,Suma!M116,NA())</f>
        <v>0</v>
      </c>
      <c r="Y117" s="10">
        <f>IF(Suma!$B116=$A$1,Suma!N116,NA())</f>
        <v>0</v>
      </c>
      <c r="Z117" s="10">
        <f>IF(Suma!$B116=$A$1,Suma!O116,NA())</f>
        <v>0</v>
      </c>
      <c r="AA117" s="10">
        <f>IF(Suma!$B116=$A$1,Suma!BC116,NA())</f>
        <v>0</v>
      </c>
      <c r="AB117" s="10">
        <f>IF(Suma!$B116=$A$1,Suma!BD116,NA())</f>
        <v>0</v>
      </c>
    </row>
    <row r="118" spans="1:28" x14ac:dyDescent="0.3">
      <c r="A118" s="1">
        <f>IF(Suma!$B117=$A$1,Suma!C117,NA())</f>
        <v>0</v>
      </c>
      <c r="B118" s="1">
        <f>IF(Suma!$B117=$A$1,Suma!D117,NA())</f>
        <v>0</v>
      </c>
      <c r="C118" s="2">
        <f>IF(Suma!$B117=$A$1,Suma!E117,NA())</f>
        <v>0</v>
      </c>
      <c r="D118" s="2">
        <f>IF(Suma!$B117=$A$1,Suma!F117,NA())</f>
        <v>0</v>
      </c>
      <c r="E118" s="1">
        <f>IF(Suma!$B117=$A$1,Suma!P117,NA())</f>
        <v>0</v>
      </c>
      <c r="F118" s="10">
        <f t="shared" si="2"/>
        <v>0</v>
      </c>
      <c r="G118" s="1">
        <f>IF(Suma!$B117=$A$1,Suma!W117,NA())</f>
        <v>0</v>
      </c>
      <c r="H118" s="10">
        <f t="shared" si="3"/>
        <v>0</v>
      </c>
      <c r="I118" s="1">
        <f>IF(Suma!$B117=$A$1,Suma!AD117,NA())</f>
        <v>0</v>
      </c>
      <c r="J118" s="1">
        <f>IF(Suma!$B117=$A$1,Suma!AK117,NA())</f>
        <v>0</v>
      </c>
      <c r="K118" s="10">
        <f>IF(Suma!$B117=$A$1,Suma!AS117,NA())</f>
        <v>0</v>
      </c>
      <c r="L118" s="1">
        <f>IF(Suma!$B117=$A$1,Suma!G117,NA())</f>
        <v>0</v>
      </c>
      <c r="M118" s="1">
        <f>IF(Suma!$B117=$A$1,Suma!H117,NA())</f>
        <v>0</v>
      </c>
      <c r="N118" s="1">
        <f>IF(Suma!$B117=$A$1,Suma!AT117,NA())</f>
        <v>1900</v>
      </c>
      <c r="O118" s="1" t="str">
        <f>IF(Suma!$B117=$A$1,Suma!AU117,NA())</f>
        <v>enero</v>
      </c>
      <c r="P118" s="1">
        <f>IF(Suma!$B117=$A$1,Suma!AV117,NA())</f>
        <v>0</v>
      </c>
      <c r="Q118" s="1">
        <f>IF(Suma!$B117=$A$1,Suma!AW117,NA())</f>
        <v>0</v>
      </c>
      <c r="R118" s="10">
        <f>IF(Suma!$B117=$A$1,Suma!AX117,NA())</f>
        <v>0</v>
      </c>
      <c r="S118" s="10">
        <f>IF(Suma!$B117=$A$1,Suma!AY117,NA())</f>
        <v>0</v>
      </c>
      <c r="T118" s="10">
        <f>IF(Suma!$B117=$A$1,Suma!AZ117,NA())</f>
        <v>0</v>
      </c>
      <c r="U118" s="10">
        <f>IF(Suma!$B117=$A$1,Suma!J117,NA())</f>
        <v>0</v>
      </c>
      <c r="V118" s="10">
        <f>IF(Suma!$B117=$A$1,Suma!K117,NA())</f>
        <v>0</v>
      </c>
      <c r="W118" s="10">
        <f>IF(Suma!$B117=$A$1,Suma!L117,NA())</f>
        <v>0</v>
      </c>
      <c r="X118" s="10">
        <f>IF(Suma!$B117=$A$1,Suma!M117,NA())</f>
        <v>0</v>
      </c>
      <c r="Y118" s="10">
        <f>IF(Suma!$B117=$A$1,Suma!N117,NA())</f>
        <v>0</v>
      </c>
      <c r="Z118" s="10">
        <f>IF(Suma!$B117=$A$1,Suma!O117,NA())</f>
        <v>0</v>
      </c>
      <c r="AA118" s="10">
        <f>IF(Suma!$B117=$A$1,Suma!BC117,NA())</f>
        <v>0</v>
      </c>
      <c r="AB118" s="10">
        <f>IF(Suma!$B117=$A$1,Suma!BD117,NA())</f>
        <v>0</v>
      </c>
    </row>
    <row r="119" spans="1:28" x14ac:dyDescent="0.3">
      <c r="A119" s="1">
        <f>IF(Suma!$B118=$A$1,Suma!C118,NA())</f>
        <v>0</v>
      </c>
      <c r="B119" s="1">
        <f>IF(Suma!$B118=$A$1,Suma!D118,NA())</f>
        <v>0</v>
      </c>
      <c r="C119" s="2">
        <f>IF(Suma!$B118=$A$1,Suma!E118,NA())</f>
        <v>0</v>
      </c>
      <c r="D119" s="2">
        <f>IF(Suma!$B118=$A$1,Suma!F118,NA())</f>
        <v>0</v>
      </c>
      <c r="E119" s="1">
        <f>IF(Suma!$B118=$A$1,Suma!P118,NA())</f>
        <v>0</v>
      </c>
      <c r="F119" s="10">
        <f t="shared" si="2"/>
        <v>0</v>
      </c>
      <c r="G119" s="1">
        <f>IF(Suma!$B118=$A$1,Suma!W118,NA())</f>
        <v>0</v>
      </c>
      <c r="H119" s="10">
        <f t="shared" si="3"/>
        <v>0</v>
      </c>
      <c r="I119" s="1">
        <f>IF(Suma!$B118=$A$1,Suma!AD118,NA())</f>
        <v>0</v>
      </c>
      <c r="J119" s="1">
        <f>IF(Suma!$B118=$A$1,Suma!AK118,NA())</f>
        <v>0</v>
      </c>
      <c r="K119" s="10">
        <f>IF(Suma!$B118=$A$1,Suma!AS118,NA())</f>
        <v>0</v>
      </c>
      <c r="L119" s="1">
        <f>IF(Suma!$B118=$A$1,Suma!G118,NA())</f>
        <v>0</v>
      </c>
      <c r="M119" s="1">
        <f>IF(Suma!$B118=$A$1,Suma!H118,NA())</f>
        <v>0</v>
      </c>
      <c r="N119" s="1">
        <f>IF(Suma!$B118=$A$1,Suma!AT118,NA())</f>
        <v>1900</v>
      </c>
      <c r="O119" s="1" t="str">
        <f>IF(Suma!$B118=$A$1,Suma!AU118,NA())</f>
        <v>enero</v>
      </c>
      <c r="P119" s="1">
        <f>IF(Suma!$B118=$A$1,Suma!AV118,NA())</f>
        <v>0</v>
      </c>
      <c r="Q119" s="1">
        <f>IF(Suma!$B118=$A$1,Suma!AW118,NA())</f>
        <v>0</v>
      </c>
      <c r="R119" s="10">
        <f>IF(Suma!$B118=$A$1,Suma!AX118,NA())</f>
        <v>0</v>
      </c>
      <c r="S119" s="10">
        <f>IF(Suma!$B118=$A$1,Suma!AY118,NA())</f>
        <v>0</v>
      </c>
      <c r="T119" s="10">
        <f>IF(Suma!$B118=$A$1,Suma!AZ118,NA())</f>
        <v>0</v>
      </c>
      <c r="U119" s="10">
        <f>IF(Suma!$B118=$A$1,Suma!J118,NA())</f>
        <v>0</v>
      </c>
      <c r="V119" s="10">
        <f>IF(Suma!$B118=$A$1,Suma!K118,NA())</f>
        <v>0</v>
      </c>
      <c r="W119" s="10">
        <f>IF(Suma!$B118=$A$1,Suma!L118,NA())</f>
        <v>0</v>
      </c>
      <c r="X119" s="10">
        <f>IF(Suma!$B118=$A$1,Suma!M118,NA())</f>
        <v>0</v>
      </c>
      <c r="Y119" s="10">
        <f>IF(Suma!$B118=$A$1,Suma!N118,NA())</f>
        <v>0</v>
      </c>
      <c r="Z119" s="10">
        <f>IF(Suma!$B118=$A$1,Suma!O118,NA())</f>
        <v>0</v>
      </c>
      <c r="AA119" s="10">
        <f>IF(Suma!$B118=$A$1,Suma!BC118,NA())</f>
        <v>0</v>
      </c>
      <c r="AB119" s="10">
        <f>IF(Suma!$B118=$A$1,Suma!BD118,NA())</f>
        <v>0</v>
      </c>
    </row>
    <row r="120" spans="1:28" x14ac:dyDescent="0.3">
      <c r="A120" s="1">
        <f>IF(Suma!$B119=$A$1,Suma!C119,NA())</f>
        <v>0</v>
      </c>
      <c r="B120" s="1">
        <f>IF(Suma!$B119=$A$1,Suma!D119,NA())</f>
        <v>0</v>
      </c>
      <c r="C120" s="2">
        <f>IF(Suma!$B119=$A$1,Suma!E119,NA())</f>
        <v>0</v>
      </c>
      <c r="D120" s="2">
        <f>IF(Suma!$B119=$A$1,Suma!F119,NA())</f>
        <v>0</v>
      </c>
      <c r="E120" s="1">
        <f>IF(Suma!$B119=$A$1,Suma!P119,NA())</f>
        <v>0</v>
      </c>
      <c r="F120" s="10">
        <f t="shared" si="2"/>
        <v>0</v>
      </c>
      <c r="G120" s="1">
        <f>IF(Suma!$B119=$A$1,Suma!W119,NA())</f>
        <v>0</v>
      </c>
      <c r="H120" s="10">
        <f t="shared" si="3"/>
        <v>0</v>
      </c>
      <c r="I120" s="1">
        <f>IF(Suma!$B119=$A$1,Suma!AD119,NA())</f>
        <v>0</v>
      </c>
      <c r="J120" s="1">
        <f>IF(Suma!$B119=$A$1,Suma!AK119,NA())</f>
        <v>0</v>
      </c>
      <c r="K120" s="10">
        <f>IF(Suma!$B119=$A$1,Suma!AS119,NA())</f>
        <v>0</v>
      </c>
      <c r="L120" s="1">
        <f>IF(Suma!$B119=$A$1,Suma!G119,NA())</f>
        <v>0</v>
      </c>
      <c r="M120" s="1">
        <f>IF(Suma!$B119=$A$1,Suma!H119,NA())</f>
        <v>0</v>
      </c>
      <c r="N120" s="1">
        <f>IF(Suma!$B119=$A$1,Suma!AT119,NA())</f>
        <v>1900</v>
      </c>
      <c r="O120" s="1" t="str">
        <f>IF(Suma!$B119=$A$1,Suma!AU119,NA())</f>
        <v>enero</v>
      </c>
      <c r="P120" s="1">
        <f>IF(Suma!$B119=$A$1,Suma!AV119,NA())</f>
        <v>0</v>
      </c>
      <c r="Q120" s="1">
        <f>IF(Suma!$B119=$A$1,Suma!AW119,NA())</f>
        <v>0</v>
      </c>
      <c r="R120" s="10">
        <f>IF(Suma!$B119=$A$1,Suma!AX119,NA())</f>
        <v>0</v>
      </c>
      <c r="S120" s="10">
        <f>IF(Suma!$B119=$A$1,Suma!AY119,NA())</f>
        <v>0</v>
      </c>
      <c r="T120" s="10">
        <f>IF(Suma!$B119=$A$1,Suma!AZ119,NA())</f>
        <v>0</v>
      </c>
      <c r="U120" s="10">
        <f>IF(Suma!$B119=$A$1,Suma!J119,NA())</f>
        <v>0</v>
      </c>
      <c r="V120" s="10">
        <f>IF(Suma!$B119=$A$1,Suma!K119,NA())</f>
        <v>0</v>
      </c>
      <c r="W120" s="10">
        <f>IF(Suma!$B119=$A$1,Suma!L119,NA())</f>
        <v>0</v>
      </c>
      <c r="X120" s="10">
        <f>IF(Suma!$B119=$A$1,Suma!M119,NA())</f>
        <v>0</v>
      </c>
      <c r="Y120" s="10">
        <f>IF(Suma!$B119=$A$1,Suma!N119,NA())</f>
        <v>0</v>
      </c>
      <c r="Z120" s="10">
        <f>IF(Suma!$B119=$A$1,Suma!O119,NA())</f>
        <v>0</v>
      </c>
      <c r="AA120" s="10">
        <f>IF(Suma!$B119=$A$1,Suma!BC119,NA())</f>
        <v>0</v>
      </c>
      <c r="AB120" s="10">
        <f>IF(Suma!$B119=$A$1,Suma!BD119,NA())</f>
        <v>0</v>
      </c>
    </row>
    <row r="121" spans="1:28" x14ac:dyDescent="0.3">
      <c r="A121" s="1">
        <f>IF(Suma!$B120=$A$1,Suma!C120,NA())</f>
        <v>0</v>
      </c>
      <c r="B121" s="1">
        <f>IF(Suma!$B120=$A$1,Suma!D120,NA())</f>
        <v>0</v>
      </c>
      <c r="C121" s="2">
        <f>IF(Suma!$B120=$A$1,Suma!E120,NA())</f>
        <v>0</v>
      </c>
      <c r="D121" s="2">
        <f>IF(Suma!$B120=$A$1,Suma!F120,NA())</f>
        <v>0</v>
      </c>
      <c r="E121" s="1">
        <f>IF(Suma!$B120=$A$1,Suma!P120,NA())</f>
        <v>0</v>
      </c>
      <c r="F121" s="10">
        <f t="shared" si="2"/>
        <v>0</v>
      </c>
      <c r="G121" s="1">
        <f>IF(Suma!$B120=$A$1,Suma!W120,NA())</f>
        <v>0</v>
      </c>
      <c r="H121" s="10">
        <f t="shared" si="3"/>
        <v>0</v>
      </c>
      <c r="I121" s="1">
        <f>IF(Suma!$B120=$A$1,Suma!AD120,NA())</f>
        <v>0</v>
      </c>
      <c r="J121" s="1">
        <f>IF(Suma!$B120=$A$1,Suma!AK120,NA())</f>
        <v>0</v>
      </c>
      <c r="K121" s="10">
        <f>IF(Suma!$B120=$A$1,Suma!AS120,NA())</f>
        <v>0</v>
      </c>
      <c r="L121" s="1">
        <f>IF(Suma!$B120=$A$1,Suma!G120,NA())</f>
        <v>0</v>
      </c>
      <c r="M121" s="1">
        <f>IF(Suma!$B120=$A$1,Suma!H120,NA())</f>
        <v>0</v>
      </c>
      <c r="N121" s="1">
        <f>IF(Suma!$B120=$A$1,Suma!AT120,NA())</f>
        <v>1900</v>
      </c>
      <c r="O121" s="1" t="str">
        <f>IF(Suma!$B120=$A$1,Suma!AU120,NA())</f>
        <v>enero</v>
      </c>
      <c r="P121" s="1">
        <f>IF(Suma!$B120=$A$1,Suma!AV120,NA())</f>
        <v>0</v>
      </c>
      <c r="Q121" s="1">
        <f>IF(Suma!$B120=$A$1,Suma!AW120,NA())</f>
        <v>0</v>
      </c>
      <c r="R121" s="10">
        <f>IF(Suma!$B120=$A$1,Suma!AX120,NA())</f>
        <v>0</v>
      </c>
      <c r="S121" s="10">
        <f>IF(Suma!$B120=$A$1,Suma!AY120,NA())</f>
        <v>0</v>
      </c>
      <c r="T121" s="10">
        <f>IF(Suma!$B120=$A$1,Suma!AZ120,NA())</f>
        <v>0</v>
      </c>
      <c r="U121" s="10">
        <f>IF(Suma!$B120=$A$1,Suma!J120,NA())</f>
        <v>0</v>
      </c>
      <c r="V121" s="10">
        <f>IF(Suma!$B120=$A$1,Suma!K120,NA())</f>
        <v>0</v>
      </c>
      <c r="W121" s="10">
        <f>IF(Suma!$B120=$A$1,Suma!L120,NA())</f>
        <v>0</v>
      </c>
      <c r="X121" s="10">
        <f>IF(Suma!$B120=$A$1,Suma!M120,NA())</f>
        <v>0</v>
      </c>
      <c r="Y121" s="10">
        <f>IF(Suma!$B120=$A$1,Suma!N120,NA())</f>
        <v>0</v>
      </c>
      <c r="Z121" s="10">
        <f>IF(Suma!$B120=$A$1,Suma!O120,NA())</f>
        <v>0</v>
      </c>
      <c r="AA121" s="10">
        <f>IF(Suma!$B120=$A$1,Suma!BC120,NA())</f>
        <v>0</v>
      </c>
      <c r="AB121" s="10">
        <f>IF(Suma!$B120=$A$1,Suma!BD120,NA())</f>
        <v>0</v>
      </c>
    </row>
    <row r="122" spans="1:28" x14ac:dyDescent="0.3">
      <c r="A122" s="1">
        <f>IF(Suma!$B121=$A$1,Suma!C121,NA())</f>
        <v>0</v>
      </c>
      <c r="B122" s="1">
        <f>IF(Suma!$B121=$A$1,Suma!D121,NA())</f>
        <v>0</v>
      </c>
      <c r="C122" s="2">
        <f>IF(Suma!$B121=$A$1,Suma!E121,NA())</f>
        <v>0</v>
      </c>
      <c r="D122" s="2">
        <f>IF(Suma!$B121=$A$1,Suma!F121,NA())</f>
        <v>0</v>
      </c>
      <c r="E122" s="1">
        <f>IF(Suma!$B121=$A$1,Suma!P121,NA())</f>
        <v>0</v>
      </c>
      <c r="F122" s="10">
        <f t="shared" si="2"/>
        <v>0</v>
      </c>
      <c r="G122" s="1">
        <f>IF(Suma!$B121=$A$1,Suma!W121,NA())</f>
        <v>0</v>
      </c>
      <c r="H122" s="10">
        <f t="shared" si="3"/>
        <v>0</v>
      </c>
      <c r="I122" s="1">
        <f>IF(Suma!$B121=$A$1,Suma!AD121,NA())</f>
        <v>0</v>
      </c>
      <c r="J122" s="1">
        <f>IF(Suma!$B121=$A$1,Suma!AK121,NA())</f>
        <v>0</v>
      </c>
      <c r="K122" s="10">
        <f>IF(Suma!$B121=$A$1,Suma!AS121,NA())</f>
        <v>0</v>
      </c>
      <c r="L122" s="1">
        <f>IF(Suma!$B121=$A$1,Suma!G121,NA())</f>
        <v>0</v>
      </c>
      <c r="M122" s="1">
        <f>IF(Suma!$B121=$A$1,Suma!H121,NA())</f>
        <v>0</v>
      </c>
      <c r="N122" s="1">
        <f>IF(Suma!$B121=$A$1,Suma!AT121,NA())</f>
        <v>1900</v>
      </c>
      <c r="O122" s="1" t="str">
        <f>IF(Suma!$B121=$A$1,Suma!AU121,NA())</f>
        <v>enero</v>
      </c>
      <c r="P122" s="1">
        <f>IF(Suma!$B121=$A$1,Suma!AV121,NA())</f>
        <v>0</v>
      </c>
      <c r="Q122" s="1">
        <f>IF(Suma!$B121=$A$1,Suma!AW121,NA())</f>
        <v>0</v>
      </c>
      <c r="R122" s="10">
        <f>IF(Suma!$B121=$A$1,Suma!AX121,NA())</f>
        <v>0</v>
      </c>
      <c r="S122" s="10">
        <f>IF(Suma!$B121=$A$1,Suma!AY121,NA())</f>
        <v>0</v>
      </c>
      <c r="T122" s="10">
        <f>IF(Suma!$B121=$A$1,Suma!AZ121,NA())</f>
        <v>0</v>
      </c>
      <c r="U122" s="10">
        <f>IF(Suma!$B121=$A$1,Suma!J121,NA())</f>
        <v>0</v>
      </c>
      <c r="V122" s="10">
        <f>IF(Suma!$B121=$A$1,Suma!K121,NA())</f>
        <v>0</v>
      </c>
      <c r="W122" s="10">
        <f>IF(Suma!$B121=$A$1,Suma!L121,NA())</f>
        <v>0</v>
      </c>
      <c r="X122" s="10">
        <f>IF(Suma!$B121=$A$1,Suma!M121,NA())</f>
        <v>0</v>
      </c>
      <c r="Y122" s="10">
        <f>IF(Suma!$B121=$A$1,Suma!N121,NA())</f>
        <v>0</v>
      </c>
      <c r="Z122" s="10">
        <f>IF(Suma!$B121=$A$1,Suma!O121,NA())</f>
        <v>0</v>
      </c>
      <c r="AA122" s="10">
        <f>IF(Suma!$B121=$A$1,Suma!BC121,NA())</f>
        <v>0</v>
      </c>
      <c r="AB122" s="10">
        <f>IF(Suma!$B121=$A$1,Suma!BD121,NA())</f>
        <v>0</v>
      </c>
    </row>
    <row r="123" spans="1:28" x14ac:dyDescent="0.3">
      <c r="A123" s="1">
        <f>IF(Suma!$B122=$A$1,Suma!C122,NA())</f>
        <v>0</v>
      </c>
      <c r="B123" s="1">
        <f>IF(Suma!$B122=$A$1,Suma!D122,NA())</f>
        <v>0</v>
      </c>
      <c r="C123" s="2">
        <f>IF(Suma!$B122=$A$1,Suma!E122,NA())</f>
        <v>0</v>
      </c>
      <c r="D123" s="2">
        <f>IF(Suma!$B122=$A$1,Suma!F122,NA())</f>
        <v>0</v>
      </c>
      <c r="E123" s="1">
        <f>IF(Suma!$B122=$A$1,Suma!P122,NA())</f>
        <v>0</v>
      </c>
      <c r="F123" s="10">
        <f t="shared" si="2"/>
        <v>0</v>
      </c>
      <c r="G123" s="1">
        <f>IF(Suma!$B122=$A$1,Suma!W122,NA())</f>
        <v>0</v>
      </c>
      <c r="H123" s="10">
        <f t="shared" si="3"/>
        <v>0</v>
      </c>
      <c r="I123" s="1">
        <f>IF(Suma!$B122=$A$1,Suma!AD122,NA())</f>
        <v>0</v>
      </c>
      <c r="J123" s="1">
        <f>IF(Suma!$B122=$A$1,Suma!AK122,NA())</f>
        <v>0</v>
      </c>
      <c r="K123" s="10">
        <f>IF(Suma!$B122=$A$1,Suma!AS122,NA())</f>
        <v>0</v>
      </c>
      <c r="L123" s="1">
        <f>IF(Suma!$B122=$A$1,Suma!G122,NA())</f>
        <v>0</v>
      </c>
      <c r="M123" s="1">
        <f>IF(Suma!$B122=$A$1,Suma!H122,NA())</f>
        <v>0</v>
      </c>
      <c r="N123" s="1">
        <f>IF(Suma!$B122=$A$1,Suma!AT122,NA())</f>
        <v>1900</v>
      </c>
      <c r="O123" s="1" t="str">
        <f>IF(Suma!$B122=$A$1,Suma!AU122,NA())</f>
        <v>enero</v>
      </c>
      <c r="P123" s="1">
        <f>IF(Suma!$B122=$A$1,Suma!AV122,NA())</f>
        <v>0</v>
      </c>
      <c r="Q123" s="1">
        <f>IF(Suma!$B122=$A$1,Suma!AW122,NA())</f>
        <v>0</v>
      </c>
      <c r="R123" s="10">
        <f>IF(Suma!$B122=$A$1,Suma!AX122,NA())</f>
        <v>0</v>
      </c>
      <c r="S123" s="10">
        <f>IF(Suma!$B122=$A$1,Suma!AY122,NA())</f>
        <v>0</v>
      </c>
      <c r="T123" s="10">
        <f>IF(Suma!$B122=$A$1,Suma!AZ122,NA())</f>
        <v>0</v>
      </c>
      <c r="U123" s="10">
        <f>IF(Suma!$B122=$A$1,Suma!J122,NA())</f>
        <v>0</v>
      </c>
      <c r="V123" s="10">
        <f>IF(Suma!$B122=$A$1,Suma!K122,NA())</f>
        <v>0</v>
      </c>
      <c r="W123" s="10">
        <f>IF(Suma!$B122=$A$1,Suma!L122,NA())</f>
        <v>0</v>
      </c>
      <c r="X123" s="10">
        <f>IF(Suma!$B122=$A$1,Suma!M122,NA())</f>
        <v>0</v>
      </c>
      <c r="Y123" s="10">
        <f>IF(Suma!$B122=$A$1,Suma!N122,NA())</f>
        <v>0</v>
      </c>
      <c r="Z123" s="10">
        <f>IF(Suma!$B122=$A$1,Suma!O122,NA())</f>
        <v>0</v>
      </c>
      <c r="AA123" s="10">
        <f>IF(Suma!$B122=$A$1,Suma!BC122,NA())</f>
        <v>0</v>
      </c>
      <c r="AB123" s="10">
        <f>IF(Suma!$B122=$A$1,Suma!BD122,NA())</f>
        <v>0</v>
      </c>
    </row>
    <row r="124" spans="1:28" x14ac:dyDescent="0.3">
      <c r="A124" s="1">
        <f>IF(Suma!$B123=$A$1,Suma!C123,NA())</f>
        <v>0</v>
      </c>
      <c r="B124" s="1">
        <f>IF(Suma!$B123=$A$1,Suma!D123,NA())</f>
        <v>0</v>
      </c>
      <c r="C124" s="2">
        <f>IF(Suma!$B123=$A$1,Suma!E123,NA())</f>
        <v>0</v>
      </c>
      <c r="D124" s="2">
        <f>IF(Suma!$B123=$A$1,Suma!F123,NA())</f>
        <v>0</v>
      </c>
      <c r="E124" s="1">
        <f>IF(Suma!$B123=$A$1,Suma!P123,NA())</f>
        <v>0</v>
      </c>
      <c r="F124" s="10">
        <f t="shared" si="2"/>
        <v>0</v>
      </c>
      <c r="G124" s="1">
        <f>IF(Suma!$B123=$A$1,Suma!W123,NA())</f>
        <v>0</v>
      </c>
      <c r="H124" s="10">
        <f t="shared" si="3"/>
        <v>0</v>
      </c>
      <c r="I124" s="1">
        <f>IF(Suma!$B123=$A$1,Suma!AD123,NA())</f>
        <v>0</v>
      </c>
      <c r="J124" s="1">
        <f>IF(Suma!$B123=$A$1,Suma!AK123,NA())</f>
        <v>0</v>
      </c>
      <c r="K124" s="10">
        <f>IF(Suma!$B123=$A$1,Suma!AS123,NA())</f>
        <v>0</v>
      </c>
      <c r="L124" s="1">
        <f>IF(Suma!$B123=$A$1,Suma!G123,NA())</f>
        <v>0</v>
      </c>
      <c r="M124" s="1">
        <f>IF(Suma!$B123=$A$1,Suma!H123,NA())</f>
        <v>0</v>
      </c>
      <c r="N124" s="1">
        <f>IF(Suma!$B123=$A$1,Suma!AT123,NA())</f>
        <v>1900</v>
      </c>
      <c r="O124" s="1" t="str">
        <f>IF(Suma!$B123=$A$1,Suma!AU123,NA())</f>
        <v>enero</v>
      </c>
      <c r="P124" s="1">
        <f>IF(Suma!$B123=$A$1,Suma!AV123,NA())</f>
        <v>0</v>
      </c>
      <c r="Q124" s="1">
        <f>IF(Suma!$B123=$A$1,Suma!AW123,NA())</f>
        <v>0</v>
      </c>
      <c r="R124" s="10">
        <f>IF(Suma!$B123=$A$1,Suma!AX123,NA())</f>
        <v>0</v>
      </c>
      <c r="S124" s="10">
        <f>IF(Suma!$B123=$A$1,Suma!AY123,NA())</f>
        <v>0</v>
      </c>
      <c r="T124" s="10">
        <f>IF(Suma!$B123=$A$1,Suma!AZ123,NA())</f>
        <v>0</v>
      </c>
      <c r="U124" s="10">
        <f>IF(Suma!$B123=$A$1,Suma!J123,NA())</f>
        <v>0</v>
      </c>
      <c r="V124" s="10">
        <f>IF(Suma!$B123=$A$1,Suma!K123,NA())</f>
        <v>0</v>
      </c>
      <c r="W124" s="10">
        <f>IF(Suma!$B123=$A$1,Suma!L123,NA())</f>
        <v>0</v>
      </c>
      <c r="X124" s="10">
        <f>IF(Suma!$B123=$A$1,Suma!M123,NA())</f>
        <v>0</v>
      </c>
      <c r="Y124" s="10">
        <f>IF(Suma!$B123=$A$1,Suma!N123,NA())</f>
        <v>0</v>
      </c>
      <c r="Z124" s="10">
        <f>IF(Suma!$B123=$A$1,Suma!O123,NA())</f>
        <v>0</v>
      </c>
      <c r="AA124" s="10">
        <f>IF(Suma!$B123=$A$1,Suma!BC123,NA())</f>
        <v>0</v>
      </c>
      <c r="AB124" s="10">
        <f>IF(Suma!$B123=$A$1,Suma!BD123,NA())</f>
        <v>0</v>
      </c>
    </row>
    <row r="125" spans="1:28" x14ac:dyDescent="0.3">
      <c r="A125" s="1">
        <f>IF(Suma!$B124=$A$1,Suma!C124,NA())</f>
        <v>0</v>
      </c>
      <c r="B125" s="1">
        <f>IF(Suma!$B124=$A$1,Suma!D124,NA())</f>
        <v>0</v>
      </c>
      <c r="C125" s="2">
        <f>IF(Suma!$B124=$A$1,Suma!E124,NA())</f>
        <v>0</v>
      </c>
      <c r="D125" s="2">
        <f>IF(Suma!$B124=$A$1,Suma!F124,NA())</f>
        <v>0</v>
      </c>
      <c r="E125" s="1">
        <f>IF(Suma!$B124=$A$1,Suma!P124,NA())</f>
        <v>0</v>
      </c>
      <c r="F125" s="10">
        <f t="shared" si="2"/>
        <v>0</v>
      </c>
      <c r="G125" s="1">
        <f>IF(Suma!$B124=$A$1,Suma!W124,NA())</f>
        <v>0</v>
      </c>
      <c r="H125" s="10">
        <f t="shared" si="3"/>
        <v>0</v>
      </c>
      <c r="I125" s="1">
        <f>IF(Suma!$B124=$A$1,Suma!AD124,NA())</f>
        <v>0</v>
      </c>
      <c r="J125" s="1">
        <f>IF(Suma!$B124=$A$1,Suma!AK124,NA())</f>
        <v>0</v>
      </c>
      <c r="K125" s="10">
        <f>IF(Suma!$B124=$A$1,Suma!AS124,NA())</f>
        <v>0</v>
      </c>
      <c r="L125" s="1">
        <f>IF(Suma!$B124=$A$1,Suma!G124,NA())</f>
        <v>0</v>
      </c>
      <c r="M125" s="1">
        <f>IF(Suma!$B124=$A$1,Suma!H124,NA())</f>
        <v>0</v>
      </c>
      <c r="N125" s="1">
        <f>IF(Suma!$B124=$A$1,Suma!AT124,NA())</f>
        <v>1900</v>
      </c>
      <c r="O125" s="1" t="str">
        <f>IF(Suma!$B124=$A$1,Suma!AU124,NA())</f>
        <v>enero</v>
      </c>
      <c r="P125" s="1">
        <f>IF(Suma!$B124=$A$1,Suma!AV124,NA())</f>
        <v>0</v>
      </c>
      <c r="Q125" s="1">
        <f>IF(Suma!$B124=$A$1,Suma!AW124,NA())</f>
        <v>0</v>
      </c>
      <c r="R125" s="10">
        <f>IF(Suma!$B124=$A$1,Suma!AX124,NA())</f>
        <v>0</v>
      </c>
      <c r="S125" s="10">
        <f>IF(Suma!$B124=$A$1,Suma!AY124,NA())</f>
        <v>0</v>
      </c>
      <c r="T125" s="10">
        <f>IF(Suma!$B124=$A$1,Suma!AZ124,NA())</f>
        <v>0</v>
      </c>
      <c r="U125" s="10">
        <f>IF(Suma!$B124=$A$1,Suma!J124,NA())</f>
        <v>0</v>
      </c>
      <c r="V125" s="10">
        <f>IF(Suma!$B124=$A$1,Suma!K124,NA())</f>
        <v>0</v>
      </c>
      <c r="W125" s="10">
        <f>IF(Suma!$B124=$A$1,Suma!L124,NA())</f>
        <v>0</v>
      </c>
      <c r="X125" s="10">
        <f>IF(Suma!$B124=$A$1,Suma!M124,NA())</f>
        <v>0</v>
      </c>
      <c r="Y125" s="10">
        <f>IF(Suma!$B124=$A$1,Suma!N124,NA())</f>
        <v>0</v>
      </c>
      <c r="Z125" s="10">
        <f>IF(Suma!$B124=$A$1,Suma!O124,NA())</f>
        <v>0</v>
      </c>
      <c r="AA125" s="10">
        <f>IF(Suma!$B124=$A$1,Suma!BC124,NA())</f>
        <v>0</v>
      </c>
      <c r="AB125" s="10">
        <f>IF(Suma!$B124=$A$1,Suma!BD124,NA())</f>
        <v>0</v>
      </c>
    </row>
    <row r="126" spans="1:28" x14ac:dyDescent="0.3">
      <c r="A126" s="1">
        <f>IF(Suma!$B125=$A$1,Suma!C125,NA())</f>
        <v>0</v>
      </c>
      <c r="B126" s="1">
        <f>IF(Suma!$B125=$A$1,Suma!D125,NA())</f>
        <v>0</v>
      </c>
      <c r="C126" s="2">
        <f>IF(Suma!$B125=$A$1,Suma!E125,NA())</f>
        <v>0</v>
      </c>
      <c r="D126" s="2">
        <f>IF(Suma!$B125=$A$1,Suma!F125,NA())</f>
        <v>0</v>
      </c>
      <c r="E126" s="1">
        <f>IF(Suma!$B125=$A$1,Suma!P125,NA())</f>
        <v>0</v>
      </c>
      <c r="F126" s="10">
        <f t="shared" si="2"/>
        <v>0</v>
      </c>
      <c r="G126" s="1">
        <f>IF(Suma!$B125=$A$1,Suma!W125,NA())</f>
        <v>0</v>
      </c>
      <c r="H126" s="10">
        <f t="shared" si="3"/>
        <v>0</v>
      </c>
      <c r="I126" s="1">
        <f>IF(Suma!$B125=$A$1,Suma!AD125,NA())</f>
        <v>0</v>
      </c>
      <c r="J126" s="1">
        <f>IF(Suma!$B125=$A$1,Suma!AK125,NA())</f>
        <v>0</v>
      </c>
      <c r="K126" s="10">
        <f>IF(Suma!$B125=$A$1,Suma!AS125,NA())</f>
        <v>0</v>
      </c>
      <c r="L126" s="1">
        <f>IF(Suma!$B125=$A$1,Suma!G125,NA())</f>
        <v>0</v>
      </c>
      <c r="M126" s="1">
        <f>IF(Suma!$B125=$A$1,Suma!H125,NA())</f>
        <v>0</v>
      </c>
      <c r="N126" s="1">
        <f>IF(Suma!$B125=$A$1,Suma!AT125,NA())</f>
        <v>1900</v>
      </c>
      <c r="O126" s="1" t="str">
        <f>IF(Suma!$B125=$A$1,Suma!AU125,NA())</f>
        <v>enero</v>
      </c>
      <c r="P126" s="1">
        <f>IF(Suma!$B125=$A$1,Suma!AV125,NA())</f>
        <v>0</v>
      </c>
      <c r="Q126" s="1">
        <f>IF(Suma!$B125=$A$1,Suma!AW125,NA())</f>
        <v>0</v>
      </c>
      <c r="R126" s="10">
        <f>IF(Suma!$B125=$A$1,Suma!AX125,NA())</f>
        <v>0</v>
      </c>
      <c r="S126" s="10">
        <f>IF(Suma!$B125=$A$1,Suma!AY125,NA())</f>
        <v>0</v>
      </c>
      <c r="T126" s="10">
        <f>IF(Suma!$B125=$A$1,Suma!AZ125,NA())</f>
        <v>0</v>
      </c>
      <c r="U126" s="10">
        <f>IF(Suma!$B125=$A$1,Suma!J125,NA())</f>
        <v>0</v>
      </c>
      <c r="V126" s="10">
        <f>IF(Suma!$B125=$A$1,Suma!K125,NA())</f>
        <v>0</v>
      </c>
      <c r="W126" s="10">
        <f>IF(Suma!$B125=$A$1,Suma!L125,NA())</f>
        <v>0</v>
      </c>
      <c r="X126" s="10">
        <f>IF(Suma!$B125=$A$1,Suma!M125,NA())</f>
        <v>0</v>
      </c>
      <c r="Y126" s="10">
        <f>IF(Suma!$B125=$A$1,Suma!N125,NA())</f>
        <v>0</v>
      </c>
      <c r="Z126" s="10">
        <f>IF(Suma!$B125=$A$1,Suma!O125,NA())</f>
        <v>0</v>
      </c>
      <c r="AA126" s="10">
        <f>IF(Suma!$B125=$A$1,Suma!BC125,NA())</f>
        <v>0</v>
      </c>
      <c r="AB126" s="10">
        <f>IF(Suma!$B125=$A$1,Suma!BD125,NA())</f>
        <v>0</v>
      </c>
    </row>
    <row r="127" spans="1:28" x14ac:dyDescent="0.3">
      <c r="A127" s="1">
        <f>IF(Suma!$B126=$A$1,Suma!C126,NA())</f>
        <v>0</v>
      </c>
      <c r="B127" s="1">
        <f>IF(Suma!$B126=$A$1,Suma!D126,NA())</f>
        <v>0</v>
      </c>
      <c r="C127" s="2">
        <f>IF(Suma!$B126=$A$1,Suma!E126,NA())</f>
        <v>0</v>
      </c>
      <c r="D127" s="2">
        <f>IF(Suma!$B126=$A$1,Suma!F126,NA())</f>
        <v>0</v>
      </c>
      <c r="E127" s="1">
        <f>IF(Suma!$B126=$A$1,Suma!P126,NA())</f>
        <v>0</v>
      </c>
      <c r="F127" s="10">
        <f t="shared" si="2"/>
        <v>0</v>
      </c>
      <c r="G127" s="1">
        <f>IF(Suma!$B126=$A$1,Suma!W126,NA())</f>
        <v>0</v>
      </c>
      <c r="H127" s="10">
        <f t="shared" si="3"/>
        <v>0</v>
      </c>
      <c r="I127" s="1">
        <f>IF(Suma!$B126=$A$1,Suma!AD126,NA())</f>
        <v>0</v>
      </c>
      <c r="J127" s="1">
        <f>IF(Suma!$B126=$A$1,Suma!AK126,NA())</f>
        <v>0</v>
      </c>
      <c r="K127" s="10">
        <f>IF(Suma!$B126=$A$1,Suma!AS126,NA())</f>
        <v>0</v>
      </c>
      <c r="L127" s="1">
        <f>IF(Suma!$B126=$A$1,Suma!G126,NA())</f>
        <v>0</v>
      </c>
      <c r="M127" s="1">
        <f>IF(Suma!$B126=$A$1,Suma!H126,NA())</f>
        <v>0</v>
      </c>
      <c r="N127" s="1">
        <f>IF(Suma!$B126=$A$1,Suma!AT126,NA())</f>
        <v>1900</v>
      </c>
      <c r="O127" s="1" t="str">
        <f>IF(Suma!$B126=$A$1,Suma!AU126,NA())</f>
        <v>enero</v>
      </c>
      <c r="P127" s="1">
        <f>IF(Suma!$B126=$A$1,Suma!AV126,NA())</f>
        <v>0</v>
      </c>
      <c r="Q127" s="1">
        <f>IF(Suma!$B126=$A$1,Suma!AW126,NA())</f>
        <v>0</v>
      </c>
      <c r="R127" s="10">
        <f>IF(Suma!$B126=$A$1,Suma!AX126,NA())</f>
        <v>0</v>
      </c>
      <c r="S127" s="10">
        <f>IF(Suma!$B126=$A$1,Suma!AY126,NA())</f>
        <v>0</v>
      </c>
      <c r="T127" s="10">
        <f>IF(Suma!$B126=$A$1,Suma!AZ126,NA())</f>
        <v>0</v>
      </c>
      <c r="U127" s="10">
        <f>IF(Suma!$B126=$A$1,Suma!J126,NA())</f>
        <v>0</v>
      </c>
      <c r="V127" s="10">
        <f>IF(Suma!$B126=$A$1,Suma!K126,NA())</f>
        <v>0</v>
      </c>
      <c r="W127" s="10">
        <f>IF(Suma!$B126=$A$1,Suma!L126,NA())</f>
        <v>0</v>
      </c>
      <c r="X127" s="10">
        <f>IF(Suma!$B126=$A$1,Suma!M126,NA())</f>
        <v>0</v>
      </c>
      <c r="Y127" s="10">
        <f>IF(Suma!$B126=$A$1,Suma!N126,NA())</f>
        <v>0</v>
      </c>
      <c r="Z127" s="10">
        <f>IF(Suma!$B126=$A$1,Suma!O126,NA())</f>
        <v>0</v>
      </c>
      <c r="AA127" s="10">
        <f>IF(Suma!$B126=$A$1,Suma!BC126,NA())</f>
        <v>0</v>
      </c>
      <c r="AB127" s="10">
        <f>IF(Suma!$B126=$A$1,Suma!BD126,NA())</f>
        <v>0</v>
      </c>
    </row>
    <row r="128" spans="1:28" x14ac:dyDescent="0.3">
      <c r="A128" s="1">
        <f>IF(Suma!$B127=$A$1,Suma!C127,NA())</f>
        <v>0</v>
      </c>
      <c r="B128" s="1">
        <f>IF(Suma!$B127=$A$1,Suma!D127,NA())</f>
        <v>0</v>
      </c>
      <c r="C128" s="2">
        <f>IF(Suma!$B127=$A$1,Suma!E127,NA())</f>
        <v>0</v>
      </c>
      <c r="D128" s="2">
        <f>IF(Suma!$B127=$A$1,Suma!F127,NA())</f>
        <v>0</v>
      </c>
      <c r="E128" s="1">
        <f>IF(Suma!$B127=$A$1,Suma!P127,NA())</f>
        <v>0</v>
      </c>
      <c r="F128" s="10">
        <f t="shared" si="2"/>
        <v>0</v>
      </c>
      <c r="G128" s="1">
        <f>IF(Suma!$B127=$A$1,Suma!W127,NA())</f>
        <v>0</v>
      </c>
      <c r="H128" s="10">
        <f t="shared" si="3"/>
        <v>0</v>
      </c>
      <c r="I128" s="1">
        <f>IF(Suma!$B127=$A$1,Suma!AD127,NA())</f>
        <v>0</v>
      </c>
      <c r="J128" s="1">
        <f>IF(Suma!$B127=$A$1,Suma!AK127,NA())</f>
        <v>0</v>
      </c>
      <c r="K128" s="10">
        <f>IF(Suma!$B127=$A$1,Suma!AS127,NA())</f>
        <v>0</v>
      </c>
      <c r="L128" s="1">
        <f>IF(Suma!$B127=$A$1,Suma!G127,NA())</f>
        <v>0</v>
      </c>
      <c r="M128" s="1">
        <f>IF(Suma!$B127=$A$1,Suma!H127,NA())</f>
        <v>0</v>
      </c>
      <c r="N128" s="1">
        <f>IF(Suma!$B127=$A$1,Suma!AT127,NA())</f>
        <v>1900</v>
      </c>
      <c r="O128" s="1" t="str">
        <f>IF(Suma!$B127=$A$1,Suma!AU127,NA())</f>
        <v>enero</v>
      </c>
      <c r="P128" s="1">
        <f>IF(Suma!$B127=$A$1,Suma!AV127,NA())</f>
        <v>0</v>
      </c>
      <c r="Q128" s="1">
        <f>IF(Suma!$B127=$A$1,Suma!AW127,NA())</f>
        <v>0</v>
      </c>
      <c r="R128" s="10">
        <f>IF(Suma!$B127=$A$1,Suma!AX127,NA())</f>
        <v>0</v>
      </c>
      <c r="S128" s="10">
        <f>IF(Suma!$B127=$A$1,Suma!AY127,NA())</f>
        <v>0</v>
      </c>
      <c r="T128" s="10">
        <f>IF(Suma!$B127=$A$1,Suma!AZ127,NA())</f>
        <v>0</v>
      </c>
      <c r="U128" s="10">
        <f>IF(Suma!$B127=$A$1,Suma!J127,NA())</f>
        <v>0</v>
      </c>
      <c r="V128" s="10">
        <f>IF(Suma!$B127=$A$1,Suma!K127,NA())</f>
        <v>0</v>
      </c>
      <c r="W128" s="10">
        <f>IF(Suma!$B127=$A$1,Suma!L127,NA())</f>
        <v>0</v>
      </c>
      <c r="X128" s="10">
        <f>IF(Suma!$B127=$A$1,Suma!M127,NA())</f>
        <v>0</v>
      </c>
      <c r="Y128" s="10">
        <f>IF(Suma!$B127=$A$1,Suma!N127,NA())</f>
        <v>0</v>
      </c>
      <c r="Z128" s="10">
        <f>IF(Suma!$B127=$A$1,Suma!O127,NA())</f>
        <v>0</v>
      </c>
      <c r="AA128" s="10">
        <f>IF(Suma!$B127=$A$1,Suma!BC127,NA())</f>
        <v>0</v>
      </c>
      <c r="AB128" s="10">
        <f>IF(Suma!$B127=$A$1,Suma!BD127,NA())</f>
        <v>0</v>
      </c>
    </row>
    <row r="129" spans="1:28" x14ac:dyDescent="0.3">
      <c r="A129" s="1">
        <f>IF(Suma!$B128=$A$1,Suma!C128,NA())</f>
        <v>0</v>
      </c>
      <c r="B129" s="1">
        <f>IF(Suma!$B128=$A$1,Suma!D128,NA())</f>
        <v>0</v>
      </c>
      <c r="C129" s="2">
        <f>IF(Suma!$B128=$A$1,Suma!E128,NA())</f>
        <v>0</v>
      </c>
      <c r="D129" s="2">
        <f>IF(Suma!$B128=$A$1,Suma!F128,NA())</f>
        <v>0</v>
      </c>
      <c r="E129" s="1">
        <f>IF(Suma!$B128=$A$1,Suma!P128,NA())</f>
        <v>0</v>
      </c>
      <c r="F129" s="10">
        <f t="shared" si="2"/>
        <v>0</v>
      </c>
      <c r="G129" s="1">
        <f>IF(Suma!$B128=$A$1,Suma!W128,NA())</f>
        <v>0</v>
      </c>
      <c r="H129" s="10">
        <f t="shared" si="3"/>
        <v>0</v>
      </c>
      <c r="I129" s="1">
        <f>IF(Suma!$B128=$A$1,Suma!AD128,NA())</f>
        <v>0</v>
      </c>
      <c r="J129" s="1">
        <f>IF(Suma!$B128=$A$1,Suma!AK128,NA())</f>
        <v>0</v>
      </c>
      <c r="K129" s="10">
        <f>IF(Suma!$B128=$A$1,Suma!AS128,NA())</f>
        <v>0</v>
      </c>
      <c r="L129" s="1">
        <f>IF(Suma!$B128=$A$1,Suma!G128,NA())</f>
        <v>0</v>
      </c>
      <c r="M129" s="1">
        <f>IF(Suma!$B128=$A$1,Suma!H128,NA())</f>
        <v>0</v>
      </c>
      <c r="N129" s="1">
        <f>IF(Suma!$B128=$A$1,Suma!AT128,NA())</f>
        <v>1900</v>
      </c>
      <c r="O129" s="1" t="str">
        <f>IF(Suma!$B128=$A$1,Suma!AU128,NA())</f>
        <v>enero</v>
      </c>
      <c r="P129" s="1">
        <f>IF(Suma!$B128=$A$1,Suma!AV128,NA())</f>
        <v>0</v>
      </c>
      <c r="Q129" s="1">
        <f>IF(Suma!$B128=$A$1,Suma!AW128,NA())</f>
        <v>0</v>
      </c>
      <c r="R129" s="10">
        <f>IF(Suma!$B128=$A$1,Suma!AX128,NA())</f>
        <v>0</v>
      </c>
      <c r="S129" s="10">
        <f>IF(Suma!$B128=$A$1,Suma!AY128,NA())</f>
        <v>0</v>
      </c>
      <c r="T129" s="10">
        <f>IF(Suma!$B128=$A$1,Suma!AZ128,NA())</f>
        <v>0</v>
      </c>
      <c r="U129" s="10">
        <f>IF(Suma!$B128=$A$1,Suma!J128,NA())</f>
        <v>0</v>
      </c>
      <c r="V129" s="10">
        <f>IF(Suma!$B128=$A$1,Suma!K128,NA())</f>
        <v>0</v>
      </c>
      <c r="W129" s="10">
        <f>IF(Suma!$B128=$A$1,Suma!L128,NA())</f>
        <v>0</v>
      </c>
      <c r="X129" s="10">
        <f>IF(Suma!$B128=$A$1,Suma!M128,NA())</f>
        <v>0</v>
      </c>
      <c r="Y129" s="10">
        <f>IF(Suma!$B128=$A$1,Suma!N128,NA())</f>
        <v>0</v>
      </c>
      <c r="Z129" s="10">
        <f>IF(Suma!$B128=$A$1,Suma!O128,NA())</f>
        <v>0</v>
      </c>
      <c r="AA129" s="10">
        <f>IF(Suma!$B128=$A$1,Suma!BC128,NA())</f>
        <v>0</v>
      </c>
      <c r="AB129" s="10">
        <f>IF(Suma!$B128=$A$1,Suma!BD128,NA())</f>
        <v>0</v>
      </c>
    </row>
    <row r="130" spans="1:28" x14ac:dyDescent="0.3">
      <c r="A130" s="1">
        <f>IF(Suma!$B129=$A$1,Suma!C129,NA())</f>
        <v>0</v>
      </c>
      <c r="B130" s="1">
        <f>IF(Suma!$B129=$A$1,Suma!D129,NA())</f>
        <v>0</v>
      </c>
      <c r="C130" s="2">
        <f>IF(Suma!$B129=$A$1,Suma!E129,NA())</f>
        <v>0</v>
      </c>
      <c r="D130" s="2">
        <f>IF(Suma!$B129=$A$1,Suma!F129,NA())</f>
        <v>0</v>
      </c>
      <c r="E130" s="1">
        <f>IF(Suma!$B129=$A$1,Suma!P129,NA())</f>
        <v>0</v>
      </c>
      <c r="F130" s="10">
        <f t="shared" si="2"/>
        <v>0</v>
      </c>
      <c r="G130" s="1">
        <f>IF(Suma!$B129=$A$1,Suma!W129,NA())</f>
        <v>0</v>
      </c>
      <c r="H130" s="10">
        <f t="shared" si="3"/>
        <v>0</v>
      </c>
      <c r="I130" s="1">
        <f>IF(Suma!$B129=$A$1,Suma!AD129,NA())</f>
        <v>0</v>
      </c>
      <c r="J130" s="1">
        <f>IF(Suma!$B129=$A$1,Suma!AK129,NA())</f>
        <v>0</v>
      </c>
      <c r="K130" s="10">
        <f>IF(Suma!$B129=$A$1,Suma!AS129,NA())</f>
        <v>0</v>
      </c>
      <c r="L130" s="1">
        <f>IF(Suma!$B129=$A$1,Suma!G129,NA())</f>
        <v>0</v>
      </c>
      <c r="M130" s="1">
        <f>IF(Suma!$B129=$A$1,Suma!H129,NA())</f>
        <v>0</v>
      </c>
      <c r="N130" s="1">
        <f>IF(Suma!$B129=$A$1,Suma!AT129,NA())</f>
        <v>1900</v>
      </c>
      <c r="O130" s="1" t="str">
        <f>IF(Suma!$B129=$A$1,Suma!AU129,NA())</f>
        <v>enero</v>
      </c>
      <c r="P130" s="1">
        <f>IF(Suma!$B129=$A$1,Suma!AV129,NA())</f>
        <v>0</v>
      </c>
      <c r="Q130" s="1">
        <f>IF(Suma!$B129=$A$1,Suma!AW129,NA())</f>
        <v>0</v>
      </c>
      <c r="R130" s="10">
        <f>IF(Suma!$B129=$A$1,Suma!AX129,NA())</f>
        <v>0</v>
      </c>
      <c r="S130" s="10">
        <f>IF(Suma!$B129=$A$1,Suma!AY129,NA())</f>
        <v>0</v>
      </c>
      <c r="T130" s="10">
        <f>IF(Suma!$B129=$A$1,Suma!AZ129,NA())</f>
        <v>0</v>
      </c>
      <c r="U130" s="10">
        <f>IF(Suma!$B129=$A$1,Suma!J129,NA())</f>
        <v>0</v>
      </c>
      <c r="V130" s="10">
        <f>IF(Suma!$B129=$A$1,Suma!K129,NA())</f>
        <v>0</v>
      </c>
      <c r="W130" s="10">
        <f>IF(Suma!$B129=$A$1,Suma!L129,NA())</f>
        <v>0</v>
      </c>
      <c r="X130" s="10">
        <f>IF(Suma!$B129=$A$1,Suma!M129,NA())</f>
        <v>0</v>
      </c>
      <c r="Y130" s="10">
        <f>IF(Suma!$B129=$A$1,Suma!N129,NA())</f>
        <v>0</v>
      </c>
      <c r="Z130" s="10">
        <f>IF(Suma!$B129=$A$1,Suma!O129,NA())</f>
        <v>0</v>
      </c>
      <c r="AA130" s="10">
        <f>IF(Suma!$B129=$A$1,Suma!BC129,NA())</f>
        <v>0</v>
      </c>
      <c r="AB130" s="10">
        <f>IF(Suma!$B129=$A$1,Suma!BD129,NA())</f>
        <v>0</v>
      </c>
    </row>
    <row r="131" spans="1:28" x14ac:dyDescent="0.3">
      <c r="A131" s="1">
        <f>IF(Suma!$B130=$A$1,Suma!C130,NA())</f>
        <v>0</v>
      </c>
      <c r="B131" s="1">
        <f>IF(Suma!$B130=$A$1,Suma!D130,NA())</f>
        <v>0</v>
      </c>
      <c r="C131" s="2">
        <f>IF(Suma!$B130=$A$1,Suma!E130,NA())</f>
        <v>0</v>
      </c>
      <c r="D131" s="2">
        <f>IF(Suma!$B130=$A$1,Suma!F130,NA())</f>
        <v>0</v>
      </c>
      <c r="E131" s="1">
        <f>IF(Suma!$B130=$A$1,Suma!P130,NA())</f>
        <v>0</v>
      </c>
      <c r="F131" s="10">
        <f t="shared" si="2"/>
        <v>0</v>
      </c>
      <c r="G131" s="1">
        <f>IF(Suma!$B130=$A$1,Suma!W130,NA())</f>
        <v>0</v>
      </c>
      <c r="H131" s="10">
        <f t="shared" si="3"/>
        <v>0</v>
      </c>
      <c r="I131" s="1">
        <f>IF(Suma!$B130=$A$1,Suma!AD130,NA())</f>
        <v>0</v>
      </c>
      <c r="J131" s="1">
        <f>IF(Suma!$B130=$A$1,Suma!AK130,NA())</f>
        <v>0</v>
      </c>
      <c r="K131" s="10">
        <f>IF(Suma!$B130=$A$1,Suma!AS130,NA())</f>
        <v>0</v>
      </c>
      <c r="L131" s="1">
        <f>IF(Suma!$B130=$A$1,Suma!G130,NA())</f>
        <v>0</v>
      </c>
      <c r="M131" s="1">
        <f>IF(Suma!$B130=$A$1,Suma!H130,NA())</f>
        <v>0</v>
      </c>
      <c r="N131" s="1">
        <f>IF(Suma!$B130=$A$1,Suma!AT130,NA())</f>
        <v>1900</v>
      </c>
      <c r="O131" s="1" t="str">
        <f>IF(Suma!$B130=$A$1,Suma!AU130,NA())</f>
        <v>enero</v>
      </c>
      <c r="P131" s="1">
        <f>IF(Suma!$B130=$A$1,Suma!AV130,NA())</f>
        <v>0</v>
      </c>
      <c r="Q131" s="1">
        <f>IF(Suma!$B130=$A$1,Suma!AW130,NA())</f>
        <v>0</v>
      </c>
      <c r="R131" s="10">
        <f>IF(Suma!$B130=$A$1,Suma!AX130,NA())</f>
        <v>0</v>
      </c>
      <c r="S131" s="10">
        <f>IF(Suma!$B130=$A$1,Suma!AY130,NA())</f>
        <v>0</v>
      </c>
      <c r="T131" s="10">
        <f>IF(Suma!$B130=$A$1,Suma!AZ130,NA())</f>
        <v>0</v>
      </c>
      <c r="U131" s="10">
        <f>IF(Suma!$B130=$A$1,Suma!J130,NA())</f>
        <v>0</v>
      </c>
      <c r="V131" s="10">
        <f>IF(Suma!$B130=$A$1,Suma!K130,NA())</f>
        <v>0</v>
      </c>
      <c r="W131" s="10">
        <f>IF(Suma!$B130=$A$1,Suma!L130,NA())</f>
        <v>0</v>
      </c>
      <c r="X131" s="10">
        <f>IF(Suma!$B130=$A$1,Suma!M130,NA())</f>
        <v>0</v>
      </c>
      <c r="Y131" s="10">
        <f>IF(Suma!$B130=$A$1,Suma!N130,NA())</f>
        <v>0</v>
      </c>
      <c r="Z131" s="10">
        <f>IF(Suma!$B130=$A$1,Suma!O130,NA())</f>
        <v>0</v>
      </c>
      <c r="AA131" s="10">
        <f>IF(Suma!$B130=$A$1,Suma!BC130,NA())</f>
        <v>0</v>
      </c>
      <c r="AB131" s="10">
        <f>IF(Suma!$B130=$A$1,Suma!BD130,NA())</f>
        <v>0</v>
      </c>
    </row>
    <row r="132" spans="1:28" x14ac:dyDescent="0.3">
      <c r="A132" s="1">
        <f>IF(Suma!$B131=$A$1,Suma!C131,NA())</f>
        <v>0</v>
      </c>
      <c r="B132" s="1">
        <f>IF(Suma!$B131=$A$1,Suma!D131,NA())</f>
        <v>0</v>
      </c>
      <c r="C132" s="2">
        <f>IF(Suma!$B131=$A$1,Suma!E131,NA())</f>
        <v>0</v>
      </c>
      <c r="D132" s="2">
        <f>IF(Suma!$B131=$A$1,Suma!F131,NA())</f>
        <v>0</v>
      </c>
      <c r="E132" s="1">
        <f>IF(Suma!$B131=$A$1,Suma!P131,NA())</f>
        <v>0</v>
      </c>
      <c r="F132" s="10">
        <f t="shared" ref="F132:F195" si="4">IFERROR(E132/(($D132-$C132)+1),NA())</f>
        <v>0</v>
      </c>
      <c r="G132" s="1">
        <f>IF(Suma!$B131=$A$1,Suma!W131,NA())</f>
        <v>0</v>
      </c>
      <c r="H132" s="10">
        <f t="shared" ref="H132:H195" si="5">IFERROR((G132/($D132-$C132+1)),NA())</f>
        <v>0</v>
      </c>
      <c r="I132" s="1">
        <f>IF(Suma!$B131=$A$1,Suma!AD131,NA())</f>
        <v>0</v>
      </c>
      <c r="J132" s="1">
        <f>IF(Suma!$B131=$A$1,Suma!AK131,NA())</f>
        <v>0</v>
      </c>
      <c r="K132" s="10">
        <f>IF(Suma!$B131=$A$1,Suma!AS131,NA())</f>
        <v>0</v>
      </c>
      <c r="L132" s="1">
        <f>IF(Suma!$B131=$A$1,Suma!G131,NA())</f>
        <v>0</v>
      </c>
      <c r="M132" s="1">
        <f>IF(Suma!$B131=$A$1,Suma!H131,NA())</f>
        <v>0</v>
      </c>
      <c r="N132" s="1">
        <f>IF(Suma!$B131=$A$1,Suma!AT131,NA())</f>
        <v>1900</v>
      </c>
      <c r="O132" s="1" t="str">
        <f>IF(Suma!$B131=$A$1,Suma!AU131,NA())</f>
        <v>enero</v>
      </c>
      <c r="P132" s="1">
        <f>IF(Suma!$B131=$A$1,Suma!AV131,NA())</f>
        <v>0</v>
      </c>
      <c r="Q132" s="1">
        <f>IF(Suma!$B131=$A$1,Suma!AW131,NA())</f>
        <v>0</v>
      </c>
      <c r="R132" s="10">
        <f>IF(Suma!$B131=$A$1,Suma!AX131,NA())</f>
        <v>0</v>
      </c>
      <c r="S132" s="10">
        <f>IF(Suma!$B131=$A$1,Suma!AY131,NA())</f>
        <v>0</v>
      </c>
      <c r="T132" s="10">
        <f>IF(Suma!$B131=$A$1,Suma!AZ131,NA())</f>
        <v>0</v>
      </c>
      <c r="U132" s="10">
        <f>IF(Suma!$B131=$A$1,Suma!J131,NA())</f>
        <v>0</v>
      </c>
      <c r="V132" s="10">
        <f>IF(Suma!$B131=$A$1,Suma!K131,NA())</f>
        <v>0</v>
      </c>
      <c r="W132" s="10">
        <f>IF(Suma!$B131=$A$1,Suma!L131,NA())</f>
        <v>0</v>
      </c>
      <c r="X132" s="10">
        <f>IF(Suma!$B131=$A$1,Suma!M131,NA())</f>
        <v>0</v>
      </c>
      <c r="Y132" s="10">
        <f>IF(Suma!$B131=$A$1,Suma!N131,NA())</f>
        <v>0</v>
      </c>
      <c r="Z132" s="10">
        <f>IF(Suma!$B131=$A$1,Suma!O131,NA())</f>
        <v>0</v>
      </c>
      <c r="AA132" s="10">
        <f>IF(Suma!$B131=$A$1,Suma!BC131,NA())</f>
        <v>0</v>
      </c>
      <c r="AB132" s="10">
        <f>IF(Suma!$B131=$A$1,Suma!BD131,NA())</f>
        <v>0</v>
      </c>
    </row>
    <row r="133" spans="1:28" x14ac:dyDescent="0.3">
      <c r="A133" s="1">
        <f>IF(Suma!$B132=$A$1,Suma!C132,NA())</f>
        <v>0</v>
      </c>
      <c r="B133" s="1">
        <f>IF(Suma!$B132=$A$1,Suma!D132,NA())</f>
        <v>0</v>
      </c>
      <c r="C133" s="2">
        <f>IF(Suma!$B132=$A$1,Suma!E132,NA())</f>
        <v>0</v>
      </c>
      <c r="D133" s="2">
        <f>IF(Suma!$B132=$A$1,Suma!F132,NA())</f>
        <v>0</v>
      </c>
      <c r="E133" s="1">
        <f>IF(Suma!$B132=$A$1,Suma!P132,NA())</f>
        <v>0</v>
      </c>
      <c r="F133" s="10">
        <f t="shared" si="4"/>
        <v>0</v>
      </c>
      <c r="G133" s="1">
        <f>IF(Suma!$B132=$A$1,Suma!W132,NA())</f>
        <v>0</v>
      </c>
      <c r="H133" s="10">
        <f t="shared" si="5"/>
        <v>0</v>
      </c>
      <c r="I133" s="1">
        <f>IF(Suma!$B132=$A$1,Suma!AD132,NA())</f>
        <v>0</v>
      </c>
      <c r="J133" s="1">
        <f>IF(Suma!$B132=$A$1,Suma!AK132,NA())</f>
        <v>0</v>
      </c>
      <c r="K133" s="10">
        <f>IF(Suma!$B132=$A$1,Suma!AS132,NA())</f>
        <v>0</v>
      </c>
      <c r="L133" s="1">
        <f>IF(Suma!$B132=$A$1,Suma!G132,NA())</f>
        <v>0</v>
      </c>
      <c r="M133" s="1">
        <f>IF(Suma!$B132=$A$1,Suma!H132,NA())</f>
        <v>0</v>
      </c>
      <c r="N133" s="1">
        <f>IF(Suma!$B132=$A$1,Suma!AT132,NA())</f>
        <v>1900</v>
      </c>
      <c r="O133" s="1" t="str">
        <f>IF(Suma!$B132=$A$1,Suma!AU132,NA())</f>
        <v>enero</v>
      </c>
      <c r="P133" s="1">
        <f>IF(Suma!$B132=$A$1,Suma!AV132,NA())</f>
        <v>0</v>
      </c>
      <c r="Q133" s="1">
        <f>IF(Suma!$B132=$A$1,Suma!AW132,NA())</f>
        <v>0</v>
      </c>
      <c r="R133" s="10">
        <f>IF(Suma!$B132=$A$1,Suma!AX132,NA())</f>
        <v>0</v>
      </c>
      <c r="S133" s="10">
        <f>IF(Suma!$B132=$A$1,Suma!AY132,NA())</f>
        <v>0</v>
      </c>
      <c r="T133" s="10">
        <f>IF(Suma!$B132=$A$1,Suma!AZ132,NA())</f>
        <v>0</v>
      </c>
      <c r="U133" s="10">
        <f>IF(Suma!$B132=$A$1,Suma!J132,NA())</f>
        <v>0</v>
      </c>
      <c r="V133" s="10">
        <f>IF(Suma!$B132=$A$1,Suma!K132,NA())</f>
        <v>0</v>
      </c>
      <c r="W133" s="10">
        <f>IF(Suma!$B132=$A$1,Suma!L132,NA())</f>
        <v>0</v>
      </c>
      <c r="X133" s="10">
        <f>IF(Suma!$B132=$A$1,Suma!M132,NA())</f>
        <v>0</v>
      </c>
      <c r="Y133" s="10">
        <f>IF(Suma!$B132=$A$1,Suma!N132,NA())</f>
        <v>0</v>
      </c>
      <c r="Z133" s="10">
        <f>IF(Suma!$B132=$A$1,Suma!O132,NA())</f>
        <v>0</v>
      </c>
      <c r="AA133" s="10">
        <f>IF(Suma!$B132=$A$1,Suma!BC132,NA())</f>
        <v>0</v>
      </c>
      <c r="AB133" s="10">
        <f>IF(Suma!$B132=$A$1,Suma!BD132,NA())</f>
        <v>0</v>
      </c>
    </row>
    <row r="134" spans="1:28" x14ac:dyDescent="0.3">
      <c r="A134" s="1">
        <f>IF(Suma!$B133=$A$1,Suma!C133,NA())</f>
        <v>0</v>
      </c>
      <c r="B134" s="1">
        <f>IF(Suma!$B133=$A$1,Suma!D133,NA())</f>
        <v>0</v>
      </c>
      <c r="C134" s="2">
        <f>IF(Suma!$B133=$A$1,Suma!E133,NA())</f>
        <v>0</v>
      </c>
      <c r="D134" s="2">
        <f>IF(Suma!$B133=$A$1,Suma!F133,NA())</f>
        <v>0</v>
      </c>
      <c r="E134" s="1">
        <f>IF(Suma!$B133=$A$1,Suma!P133,NA())</f>
        <v>0</v>
      </c>
      <c r="F134" s="10">
        <f t="shared" si="4"/>
        <v>0</v>
      </c>
      <c r="G134" s="1">
        <f>IF(Suma!$B133=$A$1,Suma!W133,NA())</f>
        <v>0</v>
      </c>
      <c r="H134" s="10">
        <f t="shared" si="5"/>
        <v>0</v>
      </c>
      <c r="I134" s="1">
        <f>IF(Suma!$B133=$A$1,Suma!AD133,NA())</f>
        <v>0</v>
      </c>
      <c r="J134" s="1">
        <f>IF(Suma!$B133=$A$1,Suma!AK133,NA())</f>
        <v>0</v>
      </c>
      <c r="K134" s="10">
        <f>IF(Suma!$B133=$A$1,Suma!AS133,NA())</f>
        <v>0</v>
      </c>
      <c r="L134" s="1">
        <f>IF(Suma!$B133=$A$1,Suma!G133,NA())</f>
        <v>0</v>
      </c>
      <c r="M134" s="1">
        <f>IF(Suma!$B133=$A$1,Suma!H133,NA())</f>
        <v>0</v>
      </c>
      <c r="N134" s="1">
        <f>IF(Suma!$B133=$A$1,Suma!AT133,NA())</f>
        <v>1900</v>
      </c>
      <c r="O134" s="1" t="str">
        <f>IF(Suma!$B133=$A$1,Suma!AU133,NA())</f>
        <v>enero</v>
      </c>
      <c r="P134" s="1">
        <f>IF(Suma!$B133=$A$1,Suma!AV133,NA())</f>
        <v>0</v>
      </c>
      <c r="Q134" s="1">
        <f>IF(Suma!$B133=$A$1,Suma!AW133,NA())</f>
        <v>0</v>
      </c>
      <c r="R134" s="10">
        <f>IF(Suma!$B133=$A$1,Suma!AX133,NA())</f>
        <v>0</v>
      </c>
      <c r="S134" s="10">
        <f>IF(Suma!$B133=$A$1,Suma!AY133,NA())</f>
        <v>0</v>
      </c>
      <c r="T134" s="10">
        <f>IF(Suma!$B133=$A$1,Suma!AZ133,NA())</f>
        <v>0</v>
      </c>
      <c r="U134" s="10">
        <f>IF(Suma!$B133=$A$1,Suma!J133,NA())</f>
        <v>0</v>
      </c>
      <c r="V134" s="10">
        <f>IF(Suma!$B133=$A$1,Suma!K133,NA())</f>
        <v>0</v>
      </c>
      <c r="W134" s="10">
        <f>IF(Suma!$B133=$A$1,Suma!L133,NA())</f>
        <v>0</v>
      </c>
      <c r="X134" s="10">
        <f>IF(Suma!$B133=$A$1,Suma!M133,NA())</f>
        <v>0</v>
      </c>
      <c r="Y134" s="10">
        <f>IF(Suma!$B133=$A$1,Suma!N133,NA())</f>
        <v>0</v>
      </c>
      <c r="Z134" s="10">
        <f>IF(Suma!$B133=$A$1,Suma!O133,NA())</f>
        <v>0</v>
      </c>
      <c r="AA134" s="10">
        <f>IF(Suma!$B133=$A$1,Suma!BC133,NA())</f>
        <v>0</v>
      </c>
      <c r="AB134" s="10">
        <f>IF(Suma!$B133=$A$1,Suma!BD133,NA())</f>
        <v>0</v>
      </c>
    </row>
    <row r="135" spans="1:28" x14ac:dyDescent="0.3">
      <c r="A135" s="1">
        <f>IF(Suma!$B134=$A$1,Suma!C134,NA())</f>
        <v>0</v>
      </c>
      <c r="B135" s="1">
        <f>IF(Suma!$B134=$A$1,Suma!D134,NA())</f>
        <v>0</v>
      </c>
      <c r="C135" s="2">
        <f>IF(Suma!$B134=$A$1,Suma!E134,NA())</f>
        <v>0</v>
      </c>
      <c r="D135" s="2">
        <f>IF(Suma!$B134=$A$1,Suma!F134,NA())</f>
        <v>0</v>
      </c>
      <c r="E135" s="1">
        <f>IF(Suma!$B134=$A$1,Suma!P134,NA())</f>
        <v>0</v>
      </c>
      <c r="F135" s="10">
        <f t="shared" si="4"/>
        <v>0</v>
      </c>
      <c r="G135" s="1">
        <f>IF(Suma!$B134=$A$1,Suma!W134,NA())</f>
        <v>0</v>
      </c>
      <c r="H135" s="10">
        <f t="shared" si="5"/>
        <v>0</v>
      </c>
      <c r="I135" s="1">
        <f>IF(Suma!$B134=$A$1,Suma!AD134,NA())</f>
        <v>0</v>
      </c>
      <c r="J135" s="1">
        <f>IF(Suma!$B134=$A$1,Suma!AK134,NA())</f>
        <v>0</v>
      </c>
      <c r="K135" s="10">
        <f>IF(Suma!$B134=$A$1,Suma!AS134,NA())</f>
        <v>0</v>
      </c>
      <c r="L135" s="1">
        <f>IF(Suma!$B134=$A$1,Suma!G134,NA())</f>
        <v>0</v>
      </c>
      <c r="M135" s="1">
        <f>IF(Suma!$B134=$A$1,Suma!H134,NA())</f>
        <v>0</v>
      </c>
      <c r="N135" s="1">
        <f>IF(Suma!$B134=$A$1,Suma!AT134,NA())</f>
        <v>1900</v>
      </c>
      <c r="O135" s="1" t="str">
        <f>IF(Suma!$B134=$A$1,Suma!AU134,NA())</f>
        <v>enero</v>
      </c>
      <c r="P135" s="1">
        <f>IF(Suma!$B134=$A$1,Suma!AV134,NA())</f>
        <v>0</v>
      </c>
      <c r="Q135" s="1">
        <f>IF(Suma!$B134=$A$1,Suma!AW134,NA())</f>
        <v>0</v>
      </c>
      <c r="R135" s="10">
        <f>IF(Suma!$B134=$A$1,Suma!AX134,NA())</f>
        <v>0</v>
      </c>
      <c r="S135" s="10">
        <f>IF(Suma!$B134=$A$1,Suma!AY134,NA())</f>
        <v>0</v>
      </c>
      <c r="T135" s="10">
        <f>IF(Suma!$B134=$A$1,Suma!AZ134,NA())</f>
        <v>0</v>
      </c>
      <c r="U135" s="10">
        <f>IF(Suma!$B134=$A$1,Suma!J134,NA())</f>
        <v>0</v>
      </c>
      <c r="V135" s="10">
        <f>IF(Suma!$B134=$A$1,Suma!K134,NA())</f>
        <v>0</v>
      </c>
      <c r="W135" s="10">
        <f>IF(Suma!$B134=$A$1,Suma!L134,NA())</f>
        <v>0</v>
      </c>
      <c r="X135" s="10">
        <f>IF(Suma!$B134=$A$1,Suma!M134,NA())</f>
        <v>0</v>
      </c>
      <c r="Y135" s="10">
        <f>IF(Suma!$B134=$A$1,Suma!N134,NA())</f>
        <v>0</v>
      </c>
      <c r="Z135" s="10">
        <f>IF(Suma!$B134=$A$1,Suma!O134,NA())</f>
        <v>0</v>
      </c>
      <c r="AA135" s="10">
        <f>IF(Suma!$B134=$A$1,Suma!BC134,NA())</f>
        <v>0</v>
      </c>
      <c r="AB135" s="10">
        <f>IF(Suma!$B134=$A$1,Suma!BD134,NA())</f>
        <v>0</v>
      </c>
    </row>
    <row r="136" spans="1:28" x14ac:dyDescent="0.3">
      <c r="A136" s="1">
        <f>IF(Suma!$B135=$A$1,Suma!C135,NA())</f>
        <v>0</v>
      </c>
      <c r="B136" s="1">
        <f>IF(Suma!$B135=$A$1,Suma!D135,NA())</f>
        <v>0</v>
      </c>
      <c r="C136" s="2">
        <f>IF(Suma!$B135=$A$1,Suma!E135,NA())</f>
        <v>0</v>
      </c>
      <c r="D136" s="2">
        <f>IF(Suma!$B135=$A$1,Suma!F135,NA())</f>
        <v>0</v>
      </c>
      <c r="E136" s="1">
        <f>IF(Suma!$B135=$A$1,Suma!P135,NA())</f>
        <v>0</v>
      </c>
      <c r="F136" s="10">
        <f t="shared" si="4"/>
        <v>0</v>
      </c>
      <c r="G136" s="1">
        <f>IF(Suma!$B135=$A$1,Suma!W135,NA())</f>
        <v>0</v>
      </c>
      <c r="H136" s="10">
        <f t="shared" si="5"/>
        <v>0</v>
      </c>
      <c r="I136" s="1">
        <f>IF(Suma!$B135=$A$1,Suma!AD135,NA())</f>
        <v>0</v>
      </c>
      <c r="J136" s="1">
        <f>IF(Suma!$B135=$A$1,Suma!AK135,NA())</f>
        <v>0</v>
      </c>
      <c r="K136" s="10">
        <f>IF(Suma!$B135=$A$1,Suma!AS135,NA())</f>
        <v>0</v>
      </c>
      <c r="L136" s="1">
        <f>IF(Suma!$B135=$A$1,Suma!G135,NA())</f>
        <v>0</v>
      </c>
      <c r="M136" s="1">
        <f>IF(Suma!$B135=$A$1,Suma!H135,NA())</f>
        <v>0</v>
      </c>
      <c r="N136" s="1">
        <f>IF(Suma!$B135=$A$1,Suma!AT135,NA())</f>
        <v>1900</v>
      </c>
      <c r="O136" s="1" t="str">
        <f>IF(Suma!$B135=$A$1,Suma!AU135,NA())</f>
        <v>enero</v>
      </c>
      <c r="P136" s="1">
        <f>IF(Suma!$B135=$A$1,Suma!AV135,NA())</f>
        <v>0</v>
      </c>
      <c r="Q136" s="1">
        <f>IF(Suma!$B135=$A$1,Suma!AW135,NA())</f>
        <v>0</v>
      </c>
      <c r="R136" s="10">
        <f>IF(Suma!$B135=$A$1,Suma!AX135,NA())</f>
        <v>0</v>
      </c>
      <c r="S136" s="10">
        <f>IF(Suma!$B135=$A$1,Suma!AY135,NA())</f>
        <v>0</v>
      </c>
      <c r="T136" s="10">
        <f>IF(Suma!$B135=$A$1,Suma!AZ135,NA())</f>
        <v>0</v>
      </c>
      <c r="U136" s="10">
        <f>IF(Suma!$B135=$A$1,Suma!J135,NA())</f>
        <v>0</v>
      </c>
      <c r="V136" s="10">
        <f>IF(Suma!$B135=$A$1,Suma!K135,NA())</f>
        <v>0</v>
      </c>
      <c r="W136" s="10">
        <f>IF(Suma!$B135=$A$1,Suma!L135,NA())</f>
        <v>0</v>
      </c>
      <c r="X136" s="10">
        <f>IF(Suma!$B135=$A$1,Suma!M135,NA())</f>
        <v>0</v>
      </c>
      <c r="Y136" s="10">
        <f>IF(Suma!$B135=$A$1,Suma!N135,NA())</f>
        <v>0</v>
      </c>
      <c r="Z136" s="10">
        <f>IF(Suma!$B135=$A$1,Suma!O135,NA())</f>
        <v>0</v>
      </c>
      <c r="AA136" s="10">
        <f>IF(Suma!$B135=$A$1,Suma!BC135,NA())</f>
        <v>0</v>
      </c>
      <c r="AB136" s="10">
        <f>IF(Suma!$B135=$A$1,Suma!BD135,NA())</f>
        <v>0</v>
      </c>
    </row>
    <row r="137" spans="1:28" x14ac:dyDescent="0.3">
      <c r="A137" s="1">
        <f>IF(Suma!$B136=$A$1,Suma!C136,NA())</f>
        <v>0</v>
      </c>
      <c r="B137" s="1">
        <f>IF(Suma!$B136=$A$1,Suma!D136,NA())</f>
        <v>0</v>
      </c>
      <c r="C137" s="2">
        <f>IF(Suma!$B136=$A$1,Suma!E136,NA())</f>
        <v>0</v>
      </c>
      <c r="D137" s="2">
        <f>IF(Suma!$B136=$A$1,Suma!F136,NA())</f>
        <v>0</v>
      </c>
      <c r="E137" s="1">
        <f>IF(Suma!$B136=$A$1,Suma!P136,NA())</f>
        <v>0</v>
      </c>
      <c r="F137" s="10">
        <f t="shared" si="4"/>
        <v>0</v>
      </c>
      <c r="G137" s="1">
        <f>IF(Suma!$B136=$A$1,Suma!W136,NA())</f>
        <v>0</v>
      </c>
      <c r="H137" s="10">
        <f t="shared" si="5"/>
        <v>0</v>
      </c>
      <c r="I137" s="1">
        <f>IF(Suma!$B136=$A$1,Suma!AD136,NA())</f>
        <v>0</v>
      </c>
      <c r="J137" s="1">
        <f>IF(Suma!$B136=$A$1,Suma!AK136,NA())</f>
        <v>0</v>
      </c>
      <c r="K137" s="10">
        <f>IF(Suma!$B136=$A$1,Suma!AS136,NA())</f>
        <v>0</v>
      </c>
      <c r="L137" s="1">
        <f>IF(Suma!$B136=$A$1,Suma!G136,NA())</f>
        <v>0</v>
      </c>
      <c r="M137" s="1">
        <f>IF(Suma!$B136=$A$1,Suma!H136,NA())</f>
        <v>0</v>
      </c>
      <c r="N137" s="1">
        <f>IF(Suma!$B136=$A$1,Suma!AT136,NA())</f>
        <v>1900</v>
      </c>
      <c r="O137" s="1" t="str">
        <f>IF(Suma!$B136=$A$1,Suma!AU136,NA())</f>
        <v>enero</v>
      </c>
      <c r="P137" s="1">
        <f>IF(Suma!$B136=$A$1,Suma!AV136,NA())</f>
        <v>0</v>
      </c>
      <c r="Q137" s="1">
        <f>IF(Suma!$B136=$A$1,Suma!AW136,NA())</f>
        <v>0</v>
      </c>
      <c r="R137" s="10">
        <f>IF(Suma!$B136=$A$1,Suma!AX136,NA())</f>
        <v>0</v>
      </c>
      <c r="S137" s="10">
        <f>IF(Suma!$B136=$A$1,Suma!AY136,NA())</f>
        <v>0</v>
      </c>
      <c r="T137" s="10">
        <f>IF(Suma!$B136=$A$1,Suma!AZ136,NA())</f>
        <v>0</v>
      </c>
      <c r="U137" s="10">
        <f>IF(Suma!$B136=$A$1,Suma!J136,NA())</f>
        <v>0</v>
      </c>
      <c r="V137" s="10">
        <f>IF(Suma!$B136=$A$1,Suma!K136,NA())</f>
        <v>0</v>
      </c>
      <c r="W137" s="10">
        <f>IF(Suma!$B136=$A$1,Suma!L136,NA())</f>
        <v>0</v>
      </c>
      <c r="X137" s="10">
        <f>IF(Suma!$B136=$A$1,Suma!M136,NA())</f>
        <v>0</v>
      </c>
      <c r="Y137" s="10">
        <f>IF(Suma!$B136=$A$1,Suma!N136,NA())</f>
        <v>0</v>
      </c>
      <c r="Z137" s="10">
        <f>IF(Suma!$B136=$A$1,Suma!O136,NA())</f>
        <v>0</v>
      </c>
      <c r="AA137" s="10">
        <f>IF(Suma!$B136=$A$1,Suma!BC136,NA())</f>
        <v>0</v>
      </c>
      <c r="AB137" s="10">
        <f>IF(Suma!$B136=$A$1,Suma!BD136,NA())</f>
        <v>0</v>
      </c>
    </row>
    <row r="138" spans="1:28" x14ac:dyDescent="0.3">
      <c r="A138" s="1">
        <f>IF(Suma!$B137=$A$1,Suma!C137,NA())</f>
        <v>0</v>
      </c>
      <c r="B138" s="1">
        <f>IF(Suma!$B137=$A$1,Suma!D137,NA())</f>
        <v>0</v>
      </c>
      <c r="C138" s="2">
        <f>IF(Suma!$B137=$A$1,Suma!E137,NA())</f>
        <v>0</v>
      </c>
      <c r="D138" s="2">
        <f>IF(Suma!$B137=$A$1,Suma!F137,NA())</f>
        <v>0</v>
      </c>
      <c r="E138" s="1">
        <f>IF(Suma!$B137=$A$1,Suma!P137,NA())</f>
        <v>0</v>
      </c>
      <c r="F138" s="10">
        <f t="shared" si="4"/>
        <v>0</v>
      </c>
      <c r="G138" s="1">
        <f>IF(Suma!$B137=$A$1,Suma!W137,NA())</f>
        <v>0</v>
      </c>
      <c r="H138" s="10">
        <f t="shared" si="5"/>
        <v>0</v>
      </c>
      <c r="I138" s="1">
        <f>IF(Suma!$B137=$A$1,Suma!AD137,NA())</f>
        <v>0</v>
      </c>
      <c r="J138" s="1">
        <f>IF(Suma!$B137=$A$1,Suma!AK137,NA())</f>
        <v>0</v>
      </c>
      <c r="K138" s="10">
        <f>IF(Suma!$B137=$A$1,Suma!AS137,NA())</f>
        <v>0</v>
      </c>
      <c r="L138" s="1">
        <f>IF(Suma!$B137=$A$1,Suma!G137,NA())</f>
        <v>0</v>
      </c>
      <c r="M138" s="1">
        <f>IF(Suma!$B137=$A$1,Suma!H137,NA())</f>
        <v>0</v>
      </c>
      <c r="N138" s="1">
        <f>IF(Suma!$B137=$A$1,Suma!AT137,NA())</f>
        <v>1900</v>
      </c>
      <c r="O138" s="1" t="str">
        <f>IF(Suma!$B137=$A$1,Suma!AU137,NA())</f>
        <v>enero</v>
      </c>
      <c r="P138" s="1">
        <f>IF(Suma!$B137=$A$1,Suma!AV137,NA())</f>
        <v>0</v>
      </c>
      <c r="Q138" s="1">
        <f>IF(Suma!$B137=$A$1,Suma!AW137,NA())</f>
        <v>0</v>
      </c>
      <c r="R138" s="10">
        <f>IF(Suma!$B137=$A$1,Suma!AX137,NA())</f>
        <v>0</v>
      </c>
      <c r="S138" s="10">
        <f>IF(Suma!$B137=$A$1,Suma!AY137,NA())</f>
        <v>0</v>
      </c>
      <c r="T138" s="10">
        <f>IF(Suma!$B137=$A$1,Suma!AZ137,NA())</f>
        <v>0</v>
      </c>
      <c r="U138" s="10">
        <f>IF(Suma!$B137=$A$1,Suma!J137,NA())</f>
        <v>0</v>
      </c>
      <c r="V138" s="10">
        <f>IF(Suma!$B137=$A$1,Suma!K137,NA())</f>
        <v>0</v>
      </c>
      <c r="W138" s="10">
        <f>IF(Suma!$B137=$A$1,Suma!L137,NA())</f>
        <v>0</v>
      </c>
      <c r="X138" s="10">
        <f>IF(Suma!$B137=$A$1,Suma!M137,NA())</f>
        <v>0</v>
      </c>
      <c r="Y138" s="10">
        <f>IF(Suma!$B137=$A$1,Suma!N137,NA())</f>
        <v>0</v>
      </c>
      <c r="Z138" s="10">
        <f>IF(Suma!$B137=$A$1,Suma!O137,NA())</f>
        <v>0</v>
      </c>
      <c r="AA138" s="10">
        <f>IF(Suma!$B137=$A$1,Suma!BC137,NA())</f>
        <v>0</v>
      </c>
      <c r="AB138" s="10">
        <f>IF(Suma!$B137=$A$1,Suma!BD137,NA())</f>
        <v>0</v>
      </c>
    </row>
    <row r="139" spans="1:28" x14ac:dyDescent="0.3">
      <c r="A139" s="1">
        <f>IF(Suma!$B138=$A$1,Suma!C138,NA())</f>
        <v>0</v>
      </c>
      <c r="B139" s="1">
        <f>IF(Suma!$B138=$A$1,Suma!D138,NA())</f>
        <v>0</v>
      </c>
      <c r="C139" s="2">
        <f>IF(Suma!$B138=$A$1,Suma!E138,NA())</f>
        <v>0</v>
      </c>
      <c r="D139" s="2">
        <f>IF(Suma!$B138=$A$1,Suma!F138,NA())</f>
        <v>0</v>
      </c>
      <c r="E139" s="1">
        <f>IF(Suma!$B138=$A$1,Suma!P138,NA())</f>
        <v>0</v>
      </c>
      <c r="F139" s="10">
        <f t="shared" si="4"/>
        <v>0</v>
      </c>
      <c r="G139" s="1">
        <f>IF(Suma!$B138=$A$1,Suma!W138,NA())</f>
        <v>0</v>
      </c>
      <c r="H139" s="10">
        <f t="shared" si="5"/>
        <v>0</v>
      </c>
      <c r="I139" s="1">
        <f>IF(Suma!$B138=$A$1,Suma!AD138,NA())</f>
        <v>0</v>
      </c>
      <c r="J139" s="1">
        <f>IF(Suma!$B138=$A$1,Suma!AK138,NA())</f>
        <v>0</v>
      </c>
      <c r="K139" s="10">
        <f>IF(Suma!$B138=$A$1,Suma!AS138,NA())</f>
        <v>0</v>
      </c>
      <c r="L139" s="1">
        <f>IF(Suma!$B138=$A$1,Suma!G138,NA())</f>
        <v>0</v>
      </c>
      <c r="M139" s="1">
        <f>IF(Suma!$B138=$A$1,Suma!H138,NA())</f>
        <v>0</v>
      </c>
      <c r="N139" s="1">
        <f>IF(Suma!$B138=$A$1,Suma!AT138,NA())</f>
        <v>1900</v>
      </c>
      <c r="O139" s="1" t="str">
        <f>IF(Suma!$B138=$A$1,Suma!AU138,NA())</f>
        <v>enero</v>
      </c>
      <c r="P139" s="1">
        <f>IF(Suma!$B138=$A$1,Suma!AV138,NA())</f>
        <v>0</v>
      </c>
      <c r="Q139" s="1">
        <f>IF(Suma!$B138=$A$1,Suma!AW138,NA())</f>
        <v>0</v>
      </c>
      <c r="R139" s="10">
        <f>IF(Suma!$B138=$A$1,Suma!AX138,NA())</f>
        <v>0</v>
      </c>
      <c r="S139" s="10">
        <f>IF(Suma!$B138=$A$1,Suma!AY138,NA())</f>
        <v>0</v>
      </c>
      <c r="T139" s="10">
        <f>IF(Suma!$B138=$A$1,Suma!AZ138,NA())</f>
        <v>0</v>
      </c>
      <c r="U139" s="10">
        <f>IF(Suma!$B138=$A$1,Suma!J138,NA())</f>
        <v>0</v>
      </c>
      <c r="V139" s="10">
        <f>IF(Suma!$B138=$A$1,Suma!K138,NA())</f>
        <v>0</v>
      </c>
      <c r="W139" s="10">
        <f>IF(Suma!$B138=$A$1,Suma!L138,NA())</f>
        <v>0</v>
      </c>
      <c r="X139" s="10">
        <f>IF(Suma!$B138=$A$1,Suma!M138,NA())</f>
        <v>0</v>
      </c>
      <c r="Y139" s="10">
        <f>IF(Suma!$B138=$A$1,Suma!N138,NA())</f>
        <v>0</v>
      </c>
      <c r="Z139" s="10">
        <f>IF(Suma!$B138=$A$1,Suma!O138,NA())</f>
        <v>0</v>
      </c>
      <c r="AA139" s="10">
        <f>IF(Suma!$B138=$A$1,Suma!BC138,NA())</f>
        <v>0</v>
      </c>
      <c r="AB139" s="10">
        <f>IF(Suma!$B138=$A$1,Suma!BD138,NA())</f>
        <v>0</v>
      </c>
    </row>
    <row r="140" spans="1:28" x14ac:dyDescent="0.3">
      <c r="A140" s="1">
        <f>IF(Suma!$B139=$A$1,Suma!C139,NA())</f>
        <v>0</v>
      </c>
      <c r="B140" s="1">
        <f>IF(Suma!$B139=$A$1,Suma!D139,NA())</f>
        <v>0</v>
      </c>
      <c r="C140" s="2">
        <f>IF(Suma!$B139=$A$1,Suma!E139,NA())</f>
        <v>0</v>
      </c>
      <c r="D140" s="2">
        <f>IF(Suma!$B139=$A$1,Suma!F139,NA())</f>
        <v>0</v>
      </c>
      <c r="E140" s="1">
        <f>IF(Suma!$B139=$A$1,Suma!P139,NA())</f>
        <v>0</v>
      </c>
      <c r="F140" s="10">
        <f t="shared" si="4"/>
        <v>0</v>
      </c>
      <c r="G140" s="1">
        <f>IF(Suma!$B139=$A$1,Suma!W139,NA())</f>
        <v>0</v>
      </c>
      <c r="H140" s="10">
        <f t="shared" si="5"/>
        <v>0</v>
      </c>
      <c r="I140" s="1">
        <f>IF(Suma!$B139=$A$1,Suma!AD139,NA())</f>
        <v>0</v>
      </c>
      <c r="J140" s="1">
        <f>IF(Suma!$B139=$A$1,Suma!AK139,NA())</f>
        <v>0</v>
      </c>
      <c r="K140" s="10">
        <f>IF(Suma!$B139=$A$1,Suma!AS139,NA())</f>
        <v>0</v>
      </c>
      <c r="L140" s="1">
        <f>IF(Suma!$B139=$A$1,Suma!G139,NA())</f>
        <v>0</v>
      </c>
      <c r="M140" s="1">
        <f>IF(Suma!$B139=$A$1,Suma!H139,NA())</f>
        <v>0</v>
      </c>
      <c r="N140" s="1">
        <f>IF(Suma!$B139=$A$1,Suma!AT139,NA())</f>
        <v>1900</v>
      </c>
      <c r="O140" s="1" t="str">
        <f>IF(Suma!$B139=$A$1,Suma!AU139,NA())</f>
        <v>enero</v>
      </c>
      <c r="P140" s="1">
        <f>IF(Suma!$B139=$A$1,Suma!AV139,NA())</f>
        <v>0</v>
      </c>
      <c r="Q140" s="1">
        <f>IF(Suma!$B139=$A$1,Suma!AW139,NA())</f>
        <v>0</v>
      </c>
      <c r="R140" s="10">
        <f>IF(Suma!$B139=$A$1,Suma!AX139,NA())</f>
        <v>0</v>
      </c>
      <c r="S140" s="10">
        <f>IF(Suma!$B139=$A$1,Suma!AY139,NA())</f>
        <v>0</v>
      </c>
      <c r="T140" s="10">
        <f>IF(Suma!$B139=$A$1,Suma!AZ139,NA())</f>
        <v>0</v>
      </c>
      <c r="U140" s="10">
        <f>IF(Suma!$B139=$A$1,Suma!J139,NA())</f>
        <v>0</v>
      </c>
      <c r="V140" s="10">
        <f>IF(Suma!$B139=$A$1,Suma!K139,NA())</f>
        <v>0</v>
      </c>
      <c r="W140" s="10">
        <f>IF(Suma!$B139=$A$1,Suma!L139,NA())</f>
        <v>0</v>
      </c>
      <c r="X140" s="10">
        <f>IF(Suma!$B139=$A$1,Suma!M139,NA())</f>
        <v>0</v>
      </c>
      <c r="Y140" s="10">
        <f>IF(Suma!$B139=$A$1,Suma!N139,NA())</f>
        <v>0</v>
      </c>
      <c r="Z140" s="10">
        <f>IF(Suma!$B139=$A$1,Suma!O139,NA())</f>
        <v>0</v>
      </c>
      <c r="AA140" s="10">
        <f>IF(Suma!$B139=$A$1,Suma!BC139,NA())</f>
        <v>0</v>
      </c>
      <c r="AB140" s="10">
        <f>IF(Suma!$B139=$A$1,Suma!BD139,NA())</f>
        <v>0</v>
      </c>
    </row>
    <row r="141" spans="1:28" x14ac:dyDescent="0.3">
      <c r="A141" s="1">
        <f>IF(Suma!$B140=$A$1,Suma!C140,NA())</f>
        <v>0</v>
      </c>
      <c r="B141" s="1">
        <f>IF(Suma!$B140=$A$1,Suma!D140,NA())</f>
        <v>0</v>
      </c>
      <c r="C141" s="2">
        <f>IF(Suma!$B140=$A$1,Suma!E140,NA())</f>
        <v>0</v>
      </c>
      <c r="D141" s="2">
        <f>IF(Suma!$B140=$A$1,Suma!F140,NA())</f>
        <v>0</v>
      </c>
      <c r="E141" s="1">
        <f>IF(Suma!$B140=$A$1,Suma!P140,NA())</f>
        <v>0</v>
      </c>
      <c r="F141" s="10">
        <f t="shared" si="4"/>
        <v>0</v>
      </c>
      <c r="G141" s="1">
        <f>IF(Suma!$B140=$A$1,Suma!W140,NA())</f>
        <v>0</v>
      </c>
      <c r="H141" s="10">
        <f t="shared" si="5"/>
        <v>0</v>
      </c>
      <c r="I141" s="1">
        <f>IF(Suma!$B140=$A$1,Suma!AD140,NA())</f>
        <v>0</v>
      </c>
      <c r="J141" s="1">
        <f>IF(Suma!$B140=$A$1,Suma!AK140,NA())</f>
        <v>0</v>
      </c>
      <c r="K141" s="10">
        <f>IF(Suma!$B140=$A$1,Suma!AS140,NA())</f>
        <v>0</v>
      </c>
      <c r="L141" s="1">
        <f>IF(Suma!$B140=$A$1,Suma!G140,NA())</f>
        <v>0</v>
      </c>
      <c r="M141" s="1">
        <f>IF(Suma!$B140=$A$1,Suma!H140,NA())</f>
        <v>0</v>
      </c>
      <c r="N141" s="1">
        <f>IF(Suma!$B140=$A$1,Suma!AT140,NA())</f>
        <v>1900</v>
      </c>
      <c r="O141" s="1" t="str">
        <f>IF(Suma!$B140=$A$1,Suma!AU140,NA())</f>
        <v>enero</v>
      </c>
      <c r="P141" s="1">
        <f>IF(Suma!$B140=$A$1,Suma!AV140,NA())</f>
        <v>0</v>
      </c>
      <c r="Q141" s="1">
        <f>IF(Suma!$B140=$A$1,Suma!AW140,NA())</f>
        <v>0</v>
      </c>
      <c r="R141" s="10">
        <f>IF(Suma!$B140=$A$1,Suma!AX140,NA())</f>
        <v>0</v>
      </c>
      <c r="S141" s="10">
        <f>IF(Suma!$B140=$A$1,Suma!AY140,NA())</f>
        <v>0</v>
      </c>
      <c r="T141" s="10">
        <f>IF(Suma!$B140=$A$1,Suma!AZ140,NA())</f>
        <v>0</v>
      </c>
      <c r="U141" s="10">
        <f>IF(Suma!$B140=$A$1,Suma!J140,NA())</f>
        <v>0</v>
      </c>
      <c r="V141" s="10">
        <f>IF(Suma!$B140=$A$1,Suma!K140,NA())</f>
        <v>0</v>
      </c>
      <c r="W141" s="10">
        <f>IF(Suma!$B140=$A$1,Suma!L140,NA())</f>
        <v>0</v>
      </c>
      <c r="X141" s="10">
        <f>IF(Suma!$B140=$A$1,Suma!M140,NA())</f>
        <v>0</v>
      </c>
      <c r="Y141" s="10">
        <f>IF(Suma!$B140=$A$1,Suma!N140,NA())</f>
        <v>0</v>
      </c>
      <c r="Z141" s="10">
        <f>IF(Suma!$B140=$A$1,Suma!O140,NA())</f>
        <v>0</v>
      </c>
      <c r="AA141" s="10">
        <f>IF(Suma!$B140=$A$1,Suma!BC140,NA())</f>
        <v>0</v>
      </c>
      <c r="AB141" s="10">
        <f>IF(Suma!$B140=$A$1,Suma!BD140,NA())</f>
        <v>0</v>
      </c>
    </row>
    <row r="142" spans="1:28" x14ac:dyDescent="0.3">
      <c r="A142" s="1">
        <f>IF(Suma!$B141=$A$1,Suma!C141,NA())</f>
        <v>0</v>
      </c>
      <c r="B142" s="1">
        <f>IF(Suma!$B141=$A$1,Suma!D141,NA())</f>
        <v>0</v>
      </c>
      <c r="C142" s="2">
        <f>IF(Suma!$B141=$A$1,Suma!E141,NA())</f>
        <v>0</v>
      </c>
      <c r="D142" s="2">
        <f>IF(Suma!$B141=$A$1,Suma!F141,NA())</f>
        <v>0</v>
      </c>
      <c r="E142" s="1">
        <f>IF(Suma!$B141=$A$1,Suma!P141,NA())</f>
        <v>0</v>
      </c>
      <c r="F142" s="10">
        <f t="shared" si="4"/>
        <v>0</v>
      </c>
      <c r="G142" s="1">
        <f>IF(Suma!$B141=$A$1,Suma!W141,NA())</f>
        <v>0</v>
      </c>
      <c r="H142" s="10">
        <f t="shared" si="5"/>
        <v>0</v>
      </c>
      <c r="I142" s="1">
        <f>IF(Suma!$B141=$A$1,Suma!AD141,NA())</f>
        <v>0</v>
      </c>
      <c r="J142" s="1">
        <f>IF(Suma!$B141=$A$1,Suma!AK141,NA())</f>
        <v>0</v>
      </c>
      <c r="K142" s="10">
        <f>IF(Suma!$B141=$A$1,Suma!AS141,NA())</f>
        <v>0</v>
      </c>
      <c r="L142" s="1">
        <f>IF(Suma!$B141=$A$1,Suma!G141,NA())</f>
        <v>0</v>
      </c>
      <c r="M142" s="1">
        <f>IF(Suma!$B141=$A$1,Suma!H141,NA())</f>
        <v>0</v>
      </c>
      <c r="N142" s="1">
        <f>IF(Suma!$B141=$A$1,Suma!AT141,NA())</f>
        <v>1900</v>
      </c>
      <c r="O142" s="1" t="str">
        <f>IF(Suma!$B141=$A$1,Suma!AU141,NA())</f>
        <v>enero</v>
      </c>
      <c r="P142" s="1">
        <f>IF(Suma!$B141=$A$1,Suma!AV141,NA())</f>
        <v>0</v>
      </c>
      <c r="Q142" s="1">
        <f>IF(Suma!$B141=$A$1,Suma!AW141,NA())</f>
        <v>0</v>
      </c>
      <c r="R142" s="10">
        <f>IF(Suma!$B141=$A$1,Suma!AX141,NA())</f>
        <v>0</v>
      </c>
      <c r="S142" s="10">
        <f>IF(Suma!$B141=$A$1,Suma!AY141,NA())</f>
        <v>0</v>
      </c>
      <c r="T142" s="10">
        <f>IF(Suma!$B141=$A$1,Suma!AZ141,NA())</f>
        <v>0</v>
      </c>
      <c r="U142" s="10">
        <f>IF(Suma!$B141=$A$1,Suma!J141,NA())</f>
        <v>0</v>
      </c>
      <c r="V142" s="10">
        <f>IF(Suma!$B141=$A$1,Suma!K141,NA())</f>
        <v>0</v>
      </c>
      <c r="W142" s="10">
        <f>IF(Suma!$B141=$A$1,Suma!L141,NA())</f>
        <v>0</v>
      </c>
      <c r="X142" s="10">
        <f>IF(Suma!$B141=$A$1,Suma!M141,NA())</f>
        <v>0</v>
      </c>
      <c r="Y142" s="10">
        <f>IF(Suma!$B141=$A$1,Suma!N141,NA())</f>
        <v>0</v>
      </c>
      <c r="Z142" s="10">
        <f>IF(Suma!$B141=$A$1,Suma!O141,NA())</f>
        <v>0</v>
      </c>
      <c r="AA142" s="10">
        <f>IF(Suma!$B141=$A$1,Suma!BC141,NA())</f>
        <v>0</v>
      </c>
      <c r="AB142" s="10">
        <f>IF(Suma!$B141=$A$1,Suma!BD141,NA())</f>
        <v>0</v>
      </c>
    </row>
    <row r="143" spans="1:28" x14ac:dyDescent="0.3">
      <c r="A143" s="1">
        <f>IF(Suma!$B142=$A$1,Suma!C142,NA())</f>
        <v>0</v>
      </c>
      <c r="B143" s="1">
        <f>IF(Suma!$B142=$A$1,Suma!D142,NA())</f>
        <v>0</v>
      </c>
      <c r="C143" s="2">
        <f>IF(Suma!$B142=$A$1,Suma!E142,NA())</f>
        <v>0</v>
      </c>
      <c r="D143" s="2">
        <f>IF(Suma!$B142=$A$1,Suma!F142,NA())</f>
        <v>0</v>
      </c>
      <c r="E143" s="1">
        <f>IF(Suma!$B142=$A$1,Suma!P142,NA())</f>
        <v>0</v>
      </c>
      <c r="F143" s="10">
        <f t="shared" si="4"/>
        <v>0</v>
      </c>
      <c r="G143" s="1">
        <f>IF(Suma!$B142=$A$1,Suma!W142,NA())</f>
        <v>0</v>
      </c>
      <c r="H143" s="10">
        <f t="shared" si="5"/>
        <v>0</v>
      </c>
      <c r="I143" s="1">
        <f>IF(Suma!$B142=$A$1,Suma!AD142,NA())</f>
        <v>0</v>
      </c>
      <c r="J143" s="1">
        <f>IF(Suma!$B142=$A$1,Suma!AK142,NA())</f>
        <v>0</v>
      </c>
      <c r="K143" s="10">
        <f>IF(Suma!$B142=$A$1,Suma!AS142,NA())</f>
        <v>0</v>
      </c>
      <c r="L143" s="1">
        <f>IF(Suma!$B142=$A$1,Suma!G142,NA())</f>
        <v>0</v>
      </c>
      <c r="M143" s="1">
        <f>IF(Suma!$B142=$A$1,Suma!H142,NA())</f>
        <v>0</v>
      </c>
      <c r="N143" s="1">
        <f>IF(Suma!$B142=$A$1,Suma!AT142,NA())</f>
        <v>1900</v>
      </c>
      <c r="O143" s="1" t="str">
        <f>IF(Suma!$B142=$A$1,Suma!AU142,NA())</f>
        <v>enero</v>
      </c>
      <c r="P143" s="1">
        <f>IF(Suma!$B142=$A$1,Suma!AV142,NA())</f>
        <v>0</v>
      </c>
      <c r="Q143" s="1">
        <f>IF(Suma!$B142=$A$1,Suma!AW142,NA())</f>
        <v>0</v>
      </c>
      <c r="R143" s="10">
        <f>IF(Suma!$B142=$A$1,Suma!AX142,NA())</f>
        <v>0</v>
      </c>
      <c r="S143" s="10">
        <f>IF(Suma!$B142=$A$1,Suma!AY142,NA())</f>
        <v>0</v>
      </c>
      <c r="T143" s="10">
        <f>IF(Suma!$B142=$A$1,Suma!AZ142,NA())</f>
        <v>0</v>
      </c>
      <c r="U143" s="10">
        <f>IF(Suma!$B142=$A$1,Suma!J142,NA())</f>
        <v>0</v>
      </c>
      <c r="V143" s="10">
        <f>IF(Suma!$B142=$A$1,Suma!K142,NA())</f>
        <v>0</v>
      </c>
      <c r="W143" s="10">
        <f>IF(Suma!$B142=$A$1,Suma!L142,NA())</f>
        <v>0</v>
      </c>
      <c r="X143" s="10">
        <f>IF(Suma!$B142=$A$1,Suma!M142,NA())</f>
        <v>0</v>
      </c>
      <c r="Y143" s="10">
        <f>IF(Suma!$B142=$A$1,Suma!N142,NA())</f>
        <v>0</v>
      </c>
      <c r="Z143" s="10">
        <f>IF(Suma!$B142=$A$1,Suma!O142,NA())</f>
        <v>0</v>
      </c>
      <c r="AA143" s="10">
        <f>IF(Suma!$B142=$A$1,Suma!BC142,NA())</f>
        <v>0</v>
      </c>
      <c r="AB143" s="10">
        <f>IF(Suma!$B142=$A$1,Suma!BD142,NA())</f>
        <v>0</v>
      </c>
    </row>
    <row r="144" spans="1:28" x14ac:dyDescent="0.3">
      <c r="A144" s="1">
        <f>IF(Suma!$B143=$A$1,Suma!C143,NA())</f>
        <v>0</v>
      </c>
      <c r="B144" s="1">
        <f>IF(Suma!$B143=$A$1,Suma!D143,NA())</f>
        <v>0</v>
      </c>
      <c r="C144" s="2">
        <f>IF(Suma!$B143=$A$1,Suma!E143,NA())</f>
        <v>0</v>
      </c>
      <c r="D144" s="2">
        <f>IF(Suma!$B143=$A$1,Suma!F143,NA())</f>
        <v>0</v>
      </c>
      <c r="E144" s="1">
        <f>IF(Suma!$B143=$A$1,Suma!P143,NA())</f>
        <v>0</v>
      </c>
      <c r="F144" s="10">
        <f t="shared" si="4"/>
        <v>0</v>
      </c>
      <c r="G144" s="1">
        <f>IF(Suma!$B143=$A$1,Suma!W143,NA())</f>
        <v>0</v>
      </c>
      <c r="H144" s="10">
        <f t="shared" si="5"/>
        <v>0</v>
      </c>
      <c r="I144" s="1">
        <f>IF(Suma!$B143=$A$1,Suma!AD143,NA())</f>
        <v>0</v>
      </c>
      <c r="J144" s="1">
        <f>IF(Suma!$B143=$A$1,Suma!AK143,NA())</f>
        <v>0</v>
      </c>
      <c r="K144" s="10">
        <f>IF(Suma!$B143=$A$1,Suma!AS143,NA())</f>
        <v>0</v>
      </c>
      <c r="L144" s="1">
        <f>IF(Suma!$B143=$A$1,Suma!G143,NA())</f>
        <v>0</v>
      </c>
      <c r="M144" s="1">
        <f>IF(Suma!$B143=$A$1,Suma!H143,NA())</f>
        <v>0</v>
      </c>
      <c r="N144" s="1">
        <f>IF(Suma!$B143=$A$1,Suma!AT143,NA())</f>
        <v>1900</v>
      </c>
      <c r="O144" s="1" t="str">
        <f>IF(Suma!$B143=$A$1,Suma!AU143,NA())</f>
        <v>enero</v>
      </c>
      <c r="P144" s="1">
        <f>IF(Suma!$B143=$A$1,Suma!AV143,NA())</f>
        <v>0</v>
      </c>
      <c r="Q144" s="1">
        <f>IF(Suma!$B143=$A$1,Suma!AW143,NA())</f>
        <v>0</v>
      </c>
      <c r="R144" s="10">
        <f>IF(Suma!$B143=$A$1,Suma!AX143,NA())</f>
        <v>0</v>
      </c>
      <c r="S144" s="10">
        <f>IF(Suma!$B143=$A$1,Suma!AY143,NA())</f>
        <v>0</v>
      </c>
      <c r="T144" s="10">
        <f>IF(Suma!$B143=$A$1,Suma!AZ143,NA())</f>
        <v>0</v>
      </c>
      <c r="U144" s="10">
        <f>IF(Suma!$B143=$A$1,Suma!J143,NA())</f>
        <v>0</v>
      </c>
      <c r="V144" s="10">
        <f>IF(Suma!$B143=$A$1,Suma!K143,NA())</f>
        <v>0</v>
      </c>
      <c r="W144" s="10">
        <f>IF(Suma!$B143=$A$1,Suma!L143,NA())</f>
        <v>0</v>
      </c>
      <c r="X144" s="10">
        <f>IF(Suma!$B143=$A$1,Suma!M143,NA())</f>
        <v>0</v>
      </c>
      <c r="Y144" s="10">
        <f>IF(Suma!$B143=$A$1,Suma!N143,NA())</f>
        <v>0</v>
      </c>
      <c r="Z144" s="10">
        <f>IF(Suma!$B143=$A$1,Suma!O143,NA())</f>
        <v>0</v>
      </c>
      <c r="AA144" s="10">
        <f>IF(Suma!$B143=$A$1,Suma!BC143,NA())</f>
        <v>0</v>
      </c>
      <c r="AB144" s="10">
        <f>IF(Suma!$B143=$A$1,Suma!BD143,NA())</f>
        <v>0</v>
      </c>
    </row>
    <row r="145" spans="1:28" x14ac:dyDescent="0.3">
      <c r="A145" s="1">
        <f>IF(Suma!$B144=$A$1,Suma!C144,NA())</f>
        <v>0</v>
      </c>
      <c r="B145" s="1">
        <f>IF(Suma!$B144=$A$1,Suma!D144,NA())</f>
        <v>0</v>
      </c>
      <c r="C145" s="2">
        <f>IF(Suma!$B144=$A$1,Suma!E144,NA())</f>
        <v>0</v>
      </c>
      <c r="D145" s="2">
        <f>IF(Suma!$B144=$A$1,Suma!F144,NA())</f>
        <v>0</v>
      </c>
      <c r="E145" s="1">
        <f>IF(Suma!$B144=$A$1,Suma!P144,NA())</f>
        <v>0</v>
      </c>
      <c r="F145" s="10">
        <f t="shared" si="4"/>
        <v>0</v>
      </c>
      <c r="G145" s="1">
        <f>IF(Suma!$B144=$A$1,Suma!W144,NA())</f>
        <v>0</v>
      </c>
      <c r="H145" s="10">
        <f t="shared" si="5"/>
        <v>0</v>
      </c>
      <c r="I145" s="1">
        <f>IF(Suma!$B144=$A$1,Suma!AD144,NA())</f>
        <v>0</v>
      </c>
      <c r="J145" s="1">
        <f>IF(Suma!$B144=$A$1,Suma!AK144,NA())</f>
        <v>0</v>
      </c>
      <c r="K145" s="10">
        <f>IF(Suma!$B144=$A$1,Suma!AS144,NA())</f>
        <v>0</v>
      </c>
      <c r="L145" s="1">
        <f>IF(Suma!$B144=$A$1,Suma!G144,NA())</f>
        <v>0</v>
      </c>
      <c r="M145" s="1">
        <f>IF(Suma!$B144=$A$1,Suma!H144,NA())</f>
        <v>0</v>
      </c>
      <c r="N145" s="1">
        <f>IF(Suma!$B144=$A$1,Suma!AT144,NA())</f>
        <v>1900</v>
      </c>
      <c r="O145" s="1" t="str">
        <f>IF(Suma!$B144=$A$1,Suma!AU144,NA())</f>
        <v>enero</v>
      </c>
      <c r="P145" s="1">
        <f>IF(Suma!$B144=$A$1,Suma!AV144,NA())</f>
        <v>0</v>
      </c>
      <c r="Q145" s="1">
        <f>IF(Suma!$B144=$A$1,Suma!AW144,NA())</f>
        <v>0</v>
      </c>
      <c r="R145" s="10">
        <f>IF(Suma!$B144=$A$1,Suma!AX144,NA())</f>
        <v>0</v>
      </c>
      <c r="S145" s="10">
        <f>IF(Suma!$B144=$A$1,Suma!AY144,NA())</f>
        <v>0</v>
      </c>
      <c r="T145" s="10">
        <f>IF(Suma!$B144=$A$1,Suma!AZ144,NA())</f>
        <v>0</v>
      </c>
      <c r="U145" s="10">
        <f>IF(Suma!$B144=$A$1,Suma!J144,NA())</f>
        <v>0</v>
      </c>
      <c r="V145" s="10">
        <f>IF(Suma!$B144=$A$1,Suma!K144,NA())</f>
        <v>0</v>
      </c>
      <c r="W145" s="10">
        <f>IF(Suma!$B144=$A$1,Suma!L144,NA())</f>
        <v>0</v>
      </c>
      <c r="X145" s="10">
        <f>IF(Suma!$B144=$A$1,Suma!M144,NA())</f>
        <v>0</v>
      </c>
      <c r="Y145" s="10">
        <f>IF(Suma!$B144=$A$1,Suma!N144,NA())</f>
        <v>0</v>
      </c>
      <c r="Z145" s="10">
        <f>IF(Suma!$B144=$A$1,Suma!O144,NA())</f>
        <v>0</v>
      </c>
      <c r="AA145" s="10">
        <f>IF(Suma!$B144=$A$1,Suma!BC144,NA())</f>
        <v>0</v>
      </c>
      <c r="AB145" s="10">
        <f>IF(Suma!$B144=$A$1,Suma!BD144,NA())</f>
        <v>0</v>
      </c>
    </row>
    <row r="146" spans="1:28" x14ac:dyDescent="0.3">
      <c r="A146" s="1">
        <f>IF(Suma!$B145=$A$1,Suma!C145,NA())</f>
        <v>0</v>
      </c>
      <c r="B146" s="1">
        <f>IF(Suma!$B145=$A$1,Suma!D145,NA())</f>
        <v>0</v>
      </c>
      <c r="C146" s="2">
        <f>IF(Suma!$B145=$A$1,Suma!E145,NA())</f>
        <v>0</v>
      </c>
      <c r="D146" s="2">
        <f>IF(Suma!$B145=$A$1,Suma!F145,NA())</f>
        <v>0</v>
      </c>
      <c r="E146" s="1">
        <f>IF(Suma!$B145=$A$1,Suma!P145,NA())</f>
        <v>0</v>
      </c>
      <c r="F146" s="10">
        <f t="shared" si="4"/>
        <v>0</v>
      </c>
      <c r="G146" s="1">
        <f>IF(Suma!$B145=$A$1,Suma!W145,NA())</f>
        <v>0</v>
      </c>
      <c r="H146" s="10">
        <f t="shared" si="5"/>
        <v>0</v>
      </c>
      <c r="I146" s="1">
        <f>IF(Suma!$B145=$A$1,Suma!AD145,NA())</f>
        <v>0</v>
      </c>
      <c r="J146" s="1">
        <f>IF(Suma!$B145=$A$1,Suma!AK145,NA())</f>
        <v>0</v>
      </c>
      <c r="K146" s="10">
        <f>IF(Suma!$B145=$A$1,Suma!AS145,NA())</f>
        <v>0</v>
      </c>
      <c r="L146" s="1">
        <f>IF(Suma!$B145=$A$1,Suma!G145,NA())</f>
        <v>0</v>
      </c>
      <c r="M146" s="1">
        <f>IF(Suma!$B145=$A$1,Suma!H145,NA())</f>
        <v>0</v>
      </c>
      <c r="N146" s="1">
        <f>IF(Suma!$B145=$A$1,Suma!AT145,NA())</f>
        <v>1900</v>
      </c>
      <c r="O146" s="1" t="str">
        <f>IF(Suma!$B145=$A$1,Suma!AU145,NA())</f>
        <v>enero</v>
      </c>
      <c r="P146" s="1">
        <f>IF(Suma!$B145=$A$1,Suma!AV145,NA())</f>
        <v>0</v>
      </c>
      <c r="Q146" s="1">
        <f>IF(Suma!$B145=$A$1,Suma!AW145,NA())</f>
        <v>0</v>
      </c>
      <c r="R146" s="10">
        <f>IF(Suma!$B145=$A$1,Suma!AX145,NA())</f>
        <v>0</v>
      </c>
      <c r="S146" s="10">
        <f>IF(Suma!$B145=$A$1,Suma!AY145,NA())</f>
        <v>0</v>
      </c>
      <c r="T146" s="10">
        <f>IF(Suma!$B145=$A$1,Suma!AZ145,NA())</f>
        <v>0</v>
      </c>
      <c r="U146" s="10">
        <f>IF(Suma!$B145=$A$1,Suma!J145,NA())</f>
        <v>0</v>
      </c>
      <c r="V146" s="10">
        <f>IF(Suma!$B145=$A$1,Suma!K145,NA())</f>
        <v>0</v>
      </c>
      <c r="W146" s="10">
        <f>IF(Suma!$B145=$A$1,Suma!L145,NA())</f>
        <v>0</v>
      </c>
      <c r="X146" s="10">
        <f>IF(Suma!$B145=$A$1,Suma!M145,NA())</f>
        <v>0</v>
      </c>
      <c r="Y146" s="10">
        <f>IF(Suma!$B145=$A$1,Suma!N145,NA())</f>
        <v>0</v>
      </c>
      <c r="Z146" s="10">
        <f>IF(Suma!$B145=$A$1,Suma!O145,NA())</f>
        <v>0</v>
      </c>
      <c r="AA146" s="10">
        <f>IF(Suma!$B145=$A$1,Suma!BC145,NA())</f>
        <v>0</v>
      </c>
      <c r="AB146" s="10">
        <f>IF(Suma!$B145=$A$1,Suma!BD145,NA())</f>
        <v>0</v>
      </c>
    </row>
    <row r="147" spans="1:28" x14ac:dyDescent="0.3">
      <c r="A147" s="1">
        <f>IF(Suma!$B146=$A$1,Suma!C146,NA())</f>
        <v>0</v>
      </c>
      <c r="B147" s="1">
        <f>IF(Suma!$B146=$A$1,Suma!D146,NA())</f>
        <v>0</v>
      </c>
      <c r="C147" s="2">
        <f>IF(Suma!$B146=$A$1,Suma!E146,NA())</f>
        <v>0</v>
      </c>
      <c r="D147" s="2">
        <f>IF(Suma!$B146=$A$1,Suma!F146,NA())</f>
        <v>0</v>
      </c>
      <c r="E147" s="1">
        <f>IF(Suma!$B146=$A$1,Suma!P146,NA())</f>
        <v>0</v>
      </c>
      <c r="F147" s="10">
        <f t="shared" si="4"/>
        <v>0</v>
      </c>
      <c r="G147" s="1">
        <f>IF(Suma!$B146=$A$1,Suma!W146,NA())</f>
        <v>0</v>
      </c>
      <c r="H147" s="10">
        <f t="shared" si="5"/>
        <v>0</v>
      </c>
      <c r="I147" s="1">
        <f>IF(Suma!$B146=$A$1,Suma!AD146,NA())</f>
        <v>0</v>
      </c>
      <c r="J147" s="1">
        <f>IF(Suma!$B146=$A$1,Suma!AK146,NA())</f>
        <v>0</v>
      </c>
      <c r="K147" s="10">
        <f>IF(Suma!$B146=$A$1,Suma!AS146,NA())</f>
        <v>0</v>
      </c>
      <c r="L147" s="1">
        <f>IF(Suma!$B146=$A$1,Suma!G146,NA())</f>
        <v>0</v>
      </c>
      <c r="M147" s="1">
        <f>IF(Suma!$B146=$A$1,Suma!H146,NA())</f>
        <v>0</v>
      </c>
      <c r="N147" s="1">
        <f>IF(Suma!$B146=$A$1,Suma!AT146,NA())</f>
        <v>1900</v>
      </c>
      <c r="O147" s="1" t="str">
        <f>IF(Suma!$B146=$A$1,Suma!AU146,NA())</f>
        <v>enero</v>
      </c>
      <c r="P147" s="1">
        <f>IF(Suma!$B146=$A$1,Suma!AV146,NA())</f>
        <v>0</v>
      </c>
      <c r="Q147" s="1">
        <f>IF(Suma!$B146=$A$1,Suma!AW146,NA())</f>
        <v>0</v>
      </c>
      <c r="R147" s="10">
        <f>IF(Suma!$B146=$A$1,Suma!AX146,NA())</f>
        <v>0</v>
      </c>
      <c r="S147" s="10">
        <f>IF(Suma!$B146=$A$1,Suma!AY146,NA())</f>
        <v>0</v>
      </c>
      <c r="T147" s="10">
        <f>IF(Suma!$B146=$A$1,Suma!AZ146,NA())</f>
        <v>0</v>
      </c>
      <c r="U147" s="10">
        <f>IF(Suma!$B146=$A$1,Suma!J146,NA())</f>
        <v>0</v>
      </c>
      <c r="V147" s="10">
        <f>IF(Suma!$B146=$A$1,Suma!K146,NA())</f>
        <v>0</v>
      </c>
      <c r="W147" s="10">
        <f>IF(Suma!$B146=$A$1,Suma!L146,NA())</f>
        <v>0</v>
      </c>
      <c r="X147" s="10">
        <f>IF(Suma!$B146=$A$1,Suma!M146,NA())</f>
        <v>0</v>
      </c>
      <c r="Y147" s="10">
        <f>IF(Suma!$B146=$A$1,Suma!N146,NA())</f>
        <v>0</v>
      </c>
      <c r="Z147" s="10">
        <f>IF(Suma!$B146=$A$1,Suma!O146,NA())</f>
        <v>0</v>
      </c>
      <c r="AA147" s="10">
        <f>IF(Suma!$B146=$A$1,Suma!BC146,NA())</f>
        <v>0</v>
      </c>
      <c r="AB147" s="10">
        <f>IF(Suma!$B146=$A$1,Suma!BD146,NA())</f>
        <v>0</v>
      </c>
    </row>
    <row r="148" spans="1:28" x14ac:dyDescent="0.3">
      <c r="A148" s="1">
        <f>IF(Suma!$B147=$A$1,Suma!C147,NA())</f>
        <v>0</v>
      </c>
      <c r="B148" s="1">
        <f>IF(Suma!$B147=$A$1,Suma!D147,NA())</f>
        <v>0</v>
      </c>
      <c r="C148" s="2">
        <f>IF(Suma!$B147=$A$1,Suma!E147,NA())</f>
        <v>0</v>
      </c>
      <c r="D148" s="2">
        <f>IF(Suma!$B147=$A$1,Suma!F147,NA())</f>
        <v>0</v>
      </c>
      <c r="E148" s="1">
        <f>IF(Suma!$B147=$A$1,Suma!P147,NA())</f>
        <v>0</v>
      </c>
      <c r="F148" s="10">
        <f t="shared" si="4"/>
        <v>0</v>
      </c>
      <c r="G148" s="1">
        <f>IF(Suma!$B147=$A$1,Suma!W147,NA())</f>
        <v>0</v>
      </c>
      <c r="H148" s="10">
        <f t="shared" si="5"/>
        <v>0</v>
      </c>
      <c r="I148" s="1">
        <f>IF(Suma!$B147=$A$1,Suma!AD147,NA())</f>
        <v>0</v>
      </c>
      <c r="J148" s="1">
        <f>IF(Suma!$B147=$A$1,Suma!AK147,NA())</f>
        <v>0</v>
      </c>
      <c r="K148" s="10">
        <f>IF(Suma!$B147=$A$1,Suma!AS147,NA())</f>
        <v>0</v>
      </c>
      <c r="L148" s="1">
        <f>IF(Suma!$B147=$A$1,Suma!G147,NA())</f>
        <v>0</v>
      </c>
      <c r="M148" s="1">
        <f>IF(Suma!$B147=$A$1,Suma!H147,NA())</f>
        <v>0</v>
      </c>
      <c r="N148" s="1">
        <f>IF(Suma!$B147=$A$1,Suma!AT147,NA())</f>
        <v>1900</v>
      </c>
      <c r="O148" s="1" t="str">
        <f>IF(Suma!$B147=$A$1,Suma!AU147,NA())</f>
        <v>enero</v>
      </c>
      <c r="P148" s="1">
        <f>IF(Suma!$B147=$A$1,Suma!AV147,NA())</f>
        <v>0</v>
      </c>
      <c r="Q148" s="1">
        <f>IF(Suma!$B147=$A$1,Suma!AW147,NA())</f>
        <v>0</v>
      </c>
      <c r="R148" s="10">
        <f>IF(Suma!$B147=$A$1,Suma!AX147,NA())</f>
        <v>0</v>
      </c>
      <c r="S148" s="10">
        <f>IF(Suma!$B147=$A$1,Suma!AY147,NA())</f>
        <v>0</v>
      </c>
      <c r="T148" s="10">
        <f>IF(Suma!$B147=$A$1,Suma!AZ147,NA())</f>
        <v>0</v>
      </c>
      <c r="U148" s="10">
        <f>IF(Suma!$B147=$A$1,Suma!J147,NA())</f>
        <v>0</v>
      </c>
      <c r="V148" s="10">
        <f>IF(Suma!$B147=$A$1,Suma!K147,NA())</f>
        <v>0</v>
      </c>
      <c r="W148" s="10">
        <f>IF(Suma!$B147=$A$1,Suma!L147,NA())</f>
        <v>0</v>
      </c>
      <c r="X148" s="10">
        <f>IF(Suma!$B147=$A$1,Suma!M147,NA())</f>
        <v>0</v>
      </c>
      <c r="Y148" s="10">
        <f>IF(Suma!$B147=$A$1,Suma!N147,NA())</f>
        <v>0</v>
      </c>
      <c r="Z148" s="10">
        <f>IF(Suma!$B147=$A$1,Suma!O147,NA())</f>
        <v>0</v>
      </c>
      <c r="AA148" s="10">
        <f>IF(Suma!$B147=$A$1,Suma!BC147,NA())</f>
        <v>0</v>
      </c>
      <c r="AB148" s="10">
        <f>IF(Suma!$B147=$A$1,Suma!BD147,NA())</f>
        <v>0</v>
      </c>
    </row>
    <row r="149" spans="1:28" x14ac:dyDescent="0.3">
      <c r="A149" s="1">
        <f>IF(Suma!$B148=$A$1,Suma!C148,NA())</f>
        <v>0</v>
      </c>
      <c r="B149" s="1">
        <f>IF(Suma!$B148=$A$1,Suma!D148,NA())</f>
        <v>0</v>
      </c>
      <c r="C149" s="2">
        <f>IF(Suma!$B148=$A$1,Suma!E148,NA())</f>
        <v>0</v>
      </c>
      <c r="D149" s="2">
        <f>IF(Suma!$B148=$A$1,Suma!F148,NA())</f>
        <v>0</v>
      </c>
      <c r="E149" s="1">
        <f>IF(Suma!$B148=$A$1,Suma!P148,NA())</f>
        <v>0</v>
      </c>
      <c r="F149" s="10">
        <f t="shared" si="4"/>
        <v>0</v>
      </c>
      <c r="G149" s="1">
        <f>IF(Suma!$B148=$A$1,Suma!W148,NA())</f>
        <v>0</v>
      </c>
      <c r="H149" s="10">
        <f t="shared" si="5"/>
        <v>0</v>
      </c>
      <c r="I149" s="1">
        <f>IF(Suma!$B148=$A$1,Suma!AD148,NA())</f>
        <v>0</v>
      </c>
      <c r="J149" s="1">
        <f>IF(Suma!$B148=$A$1,Suma!AK148,NA())</f>
        <v>0</v>
      </c>
      <c r="K149" s="10">
        <f>IF(Suma!$B148=$A$1,Suma!AS148,NA())</f>
        <v>0</v>
      </c>
      <c r="L149" s="1">
        <f>IF(Suma!$B148=$A$1,Suma!G148,NA())</f>
        <v>0</v>
      </c>
      <c r="M149" s="1">
        <f>IF(Suma!$B148=$A$1,Suma!H148,NA())</f>
        <v>0</v>
      </c>
      <c r="N149" s="1">
        <f>IF(Suma!$B148=$A$1,Suma!AT148,NA())</f>
        <v>1900</v>
      </c>
      <c r="O149" s="1" t="str">
        <f>IF(Suma!$B148=$A$1,Suma!AU148,NA())</f>
        <v>enero</v>
      </c>
      <c r="P149" s="1">
        <f>IF(Suma!$B148=$A$1,Suma!AV148,NA())</f>
        <v>0</v>
      </c>
      <c r="Q149" s="1">
        <f>IF(Suma!$B148=$A$1,Suma!AW148,NA())</f>
        <v>0</v>
      </c>
      <c r="R149" s="10">
        <f>IF(Suma!$B148=$A$1,Suma!AX148,NA())</f>
        <v>0</v>
      </c>
      <c r="S149" s="10">
        <f>IF(Suma!$B148=$A$1,Suma!AY148,NA())</f>
        <v>0</v>
      </c>
      <c r="T149" s="10">
        <f>IF(Suma!$B148=$A$1,Suma!AZ148,NA())</f>
        <v>0</v>
      </c>
      <c r="U149" s="10">
        <f>IF(Suma!$B148=$A$1,Suma!J148,NA())</f>
        <v>0</v>
      </c>
      <c r="V149" s="10">
        <f>IF(Suma!$B148=$A$1,Suma!K148,NA())</f>
        <v>0</v>
      </c>
      <c r="W149" s="10">
        <f>IF(Suma!$B148=$A$1,Suma!L148,NA())</f>
        <v>0</v>
      </c>
      <c r="X149" s="10">
        <f>IF(Suma!$B148=$A$1,Suma!M148,NA())</f>
        <v>0</v>
      </c>
      <c r="Y149" s="10">
        <f>IF(Suma!$B148=$A$1,Suma!N148,NA())</f>
        <v>0</v>
      </c>
      <c r="Z149" s="10">
        <f>IF(Suma!$B148=$A$1,Suma!O148,NA())</f>
        <v>0</v>
      </c>
      <c r="AA149" s="10">
        <f>IF(Suma!$B148=$A$1,Suma!BC148,NA())</f>
        <v>0</v>
      </c>
      <c r="AB149" s="10">
        <f>IF(Suma!$B148=$A$1,Suma!BD148,NA())</f>
        <v>0</v>
      </c>
    </row>
    <row r="150" spans="1:28" x14ac:dyDescent="0.3">
      <c r="A150" s="1">
        <f>IF(Suma!$B149=$A$1,Suma!C149,NA())</f>
        <v>0</v>
      </c>
      <c r="B150" s="1">
        <f>IF(Suma!$B149=$A$1,Suma!D149,NA())</f>
        <v>0</v>
      </c>
      <c r="C150" s="2">
        <f>IF(Suma!$B149=$A$1,Suma!E149,NA())</f>
        <v>0</v>
      </c>
      <c r="D150" s="2">
        <f>IF(Suma!$B149=$A$1,Suma!F149,NA())</f>
        <v>0</v>
      </c>
      <c r="E150" s="1">
        <f>IF(Suma!$B149=$A$1,Suma!P149,NA())</f>
        <v>0</v>
      </c>
      <c r="F150" s="10">
        <f t="shared" si="4"/>
        <v>0</v>
      </c>
      <c r="G150" s="1">
        <f>IF(Suma!$B149=$A$1,Suma!W149,NA())</f>
        <v>0</v>
      </c>
      <c r="H150" s="10">
        <f t="shared" si="5"/>
        <v>0</v>
      </c>
      <c r="I150" s="1">
        <f>IF(Suma!$B149=$A$1,Suma!AD149,NA())</f>
        <v>0</v>
      </c>
      <c r="J150" s="1">
        <f>IF(Suma!$B149=$A$1,Suma!AK149,NA())</f>
        <v>0</v>
      </c>
      <c r="K150" s="10">
        <f>IF(Suma!$B149=$A$1,Suma!AS149,NA())</f>
        <v>0</v>
      </c>
      <c r="L150" s="1">
        <f>IF(Suma!$B149=$A$1,Suma!G149,NA())</f>
        <v>0</v>
      </c>
      <c r="M150" s="1">
        <f>IF(Suma!$B149=$A$1,Suma!H149,NA())</f>
        <v>0</v>
      </c>
      <c r="N150" s="1">
        <f>IF(Suma!$B149=$A$1,Suma!AT149,NA())</f>
        <v>1900</v>
      </c>
      <c r="O150" s="1" t="str">
        <f>IF(Suma!$B149=$A$1,Suma!AU149,NA())</f>
        <v>enero</v>
      </c>
      <c r="P150" s="1">
        <f>IF(Suma!$B149=$A$1,Suma!AV149,NA())</f>
        <v>0</v>
      </c>
      <c r="Q150" s="1">
        <f>IF(Suma!$B149=$A$1,Suma!AW149,NA())</f>
        <v>0</v>
      </c>
      <c r="R150" s="10">
        <f>IF(Suma!$B149=$A$1,Suma!AX149,NA())</f>
        <v>0</v>
      </c>
      <c r="S150" s="10">
        <f>IF(Suma!$B149=$A$1,Suma!AY149,NA())</f>
        <v>0</v>
      </c>
      <c r="T150" s="10">
        <f>IF(Suma!$B149=$A$1,Suma!AZ149,NA())</f>
        <v>0</v>
      </c>
      <c r="U150" s="10">
        <f>IF(Suma!$B149=$A$1,Suma!J149,NA())</f>
        <v>0</v>
      </c>
      <c r="V150" s="10">
        <f>IF(Suma!$B149=$A$1,Suma!K149,NA())</f>
        <v>0</v>
      </c>
      <c r="W150" s="10">
        <f>IF(Suma!$B149=$A$1,Suma!L149,NA())</f>
        <v>0</v>
      </c>
      <c r="X150" s="10">
        <f>IF(Suma!$B149=$A$1,Suma!M149,NA())</f>
        <v>0</v>
      </c>
      <c r="Y150" s="10">
        <f>IF(Suma!$B149=$A$1,Suma!N149,NA())</f>
        <v>0</v>
      </c>
      <c r="Z150" s="10">
        <f>IF(Suma!$B149=$A$1,Suma!O149,NA())</f>
        <v>0</v>
      </c>
      <c r="AA150" s="10">
        <f>IF(Suma!$B149=$A$1,Suma!BC149,NA())</f>
        <v>0</v>
      </c>
      <c r="AB150" s="10">
        <f>IF(Suma!$B149=$A$1,Suma!BD149,NA())</f>
        <v>0</v>
      </c>
    </row>
    <row r="151" spans="1:28" x14ac:dyDescent="0.3">
      <c r="A151" s="1">
        <f>IF(Suma!$B150=$A$1,Suma!C150,NA())</f>
        <v>0</v>
      </c>
      <c r="B151" s="1">
        <f>IF(Suma!$B150=$A$1,Suma!D150,NA())</f>
        <v>0</v>
      </c>
      <c r="C151" s="2">
        <f>IF(Suma!$B150=$A$1,Suma!E150,NA())</f>
        <v>0</v>
      </c>
      <c r="D151" s="2">
        <f>IF(Suma!$B150=$A$1,Suma!F150,NA())</f>
        <v>0</v>
      </c>
      <c r="E151" s="1">
        <f>IF(Suma!$B150=$A$1,Suma!P150,NA())</f>
        <v>0</v>
      </c>
      <c r="F151" s="10">
        <f t="shared" si="4"/>
        <v>0</v>
      </c>
      <c r="G151" s="1">
        <f>IF(Suma!$B150=$A$1,Suma!W150,NA())</f>
        <v>0</v>
      </c>
      <c r="H151" s="10">
        <f t="shared" si="5"/>
        <v>0</v>
      </c>
      <c r="I151" s="1">
        <f>IF(Suma!$B150=$A$1,Suma!AD150,NA())</f>
        <v>0</v>
      </c>
      <c r="J151" s="1">
        <f>IF(Suma!$B150=$A$1,Suma!AK150,NA())</f>
        <v>0</v>
      </c>
      <c r="K151" s="10">
        <f>IF(Suma!$B150=$A$1,Suma!AS150,NA())</f>
        <v>0</v>
      </c>
      <c r="L151" s="1">
        <f>IF(Suma!$B150=$A$1,Suma!G150,NA())</f>
        <v>0</v>
      </c>
      <c r="M151" s="1">
        <f>IF(Suma!$B150=$A$1,Suma!H150,NA())</f>
        <v>0</v>
      </c>
      <c r="N151" s="1">
        <f>IF(Suma!$B150=$A$1,Suma!AT150,NA())</f>
        <v>1900</v>
      </c>
      <c r="O151" s="1" t="str">
        <f>IF(Suma!$B150=$A$1,Suma!AU150,NA())</f>
        <v>enero</v>
      </c>
      <c r="P151" s="1">
        <f>IF(Suma!$B150=$A$1,Suma!AV150,NA())</f>
        <v>0</v>
      </c>
      <c r="Q151" s="1">
        <f>IF(Suma!$B150=$A$1,Suma!AW150,NA())</f>
        <v>0</v>
      </c>
      <c r="R151" s="10">
        <f>IF(Suma!$B150=$A$1,Suma!AX150,NA())</f>
        <v>0</v>
      </c>
      <c r="S151" s="10">
        <f>IF(Suma!$B150=$A$1,Suma!AY150,NA())</f>
        <v>0</v>
      </c>
      <c r="T151" s="10">
        <f>IF(Suma!$B150=$A$1,Suma!AZ150,NA())</f>
        <v>0</v>
      </c>
      <c r="U151" s="10">
        <f>IF(Suma!$B150=$A$1,Suma!J150,NA())</f>
        <v>0</v>
      </c>
      <c r="V151" s="10">
        <f>IF(Suma!$B150=$A$1,Suma!K150,NA())</f>
        <v>0</v>
      </c>
      <c r="W151" s="10">
        <f>IF(Suma!$B150=$A$1,Suma!L150,NA())</f>
        <v>0</v>
      </c>
      <c r="X151" s="10">
        <f>IF(Suma!$B150=$A$1,Suma!M150,NA())</f>
        <v>0</v>
      </c>
      <c r="Y151" s="10">
        <f>IF(Suma!$B150=$A$1,Suma!N150,NA())</f>
        <v>0</v>
      </c>
      <c r="Z151" s="10">
        <f>IF(Suma!$B150=$A$1,Suma!O150,NA())</f>
        <v>0</v>
      </c>
      <c r="AA151" s="10">
        <f>IF(Suma!$B150=$A$1,Suma!BC150,NA())</f>
        <v>0</v>
      </c>
      <c r="AB151" s="10">
        <f>IF(Suma!$B150=$A$1,Suma!BD150,NA())</f>
        <v>0</v>
      </c>
    </row>
    <row r="152" spans="1:28" x14ac:dyDescent="0.3">
      <c r="A152" s="1">
        <f>IF(Suma!$B151=$A$1,Suma!C151,NA())</f>
        <v>0</v>
      </c>
      <c r="B152" s="1">
        <f>IF(Suma!$B151=$A$1,Suma!D151,NA())</f>
        <v>0</v>
      </c>
      <c r="C152" s="2">
        <f>IF(Suma!$B151=$A$1,Suma!E151,NA())</f>
        <v>0</v>
      </c>
      <c r="D152" s="2">
        <f>IF(Suma!$B151=$A$1,Suma!F151,NA())</f>
        <v>0</v>
      </c>
      <c r="E152" s="1">
        <f>IF(Suma!$B151=$A$1,Suma!P151,NA())</f>
        <v>0</v>
      </c>
      <c r="F152" s="10">
        <f t="shared" si="4"/>
        <v>0</v>
      </c>
      <c r="G152" s="1">
        <f>IF(Suma!$B151=$A$1,Suma!W151,NA())</f>
        <v>0</v>
      </c>
      <c r="H152" s="10">
        <f t="shared" si="5"/>
        <v>0</v>
      </c>
      <c r="I152" s="1">
        <f>IF(Suma!$B151=$A$1,Suma!AD151,NA())</f>
        <v>0</v>
      </c>
      <c r="J152" s="1">
        <f>IF(Suma!$B151=$A$1,Suma!AK151,NA())</f>
        <v>0</v>
      </c>
      <c r="K152" s="10">
        <f>IF(Suma!$B151=$A$1,Suma!AS151,NA())</f>
        <v>0</v>
      </c>
      <c r="L152" s="1">
        <f>IF(Suma!$B151=$A$1,Suma!G151,NA())</f>
        <v>0</v>
      </c>
      <c r="M152" s="1">
        <f>IF(Suma!$B151=$A$1,Suma!H151,NA())</f>
        <v>0</v>
      </c>
      <c r="N152" s="1">
        <f>IF(Suma!$B151=$A$1,Suma!AT151,NA())</f>
        <v>1900</v>
      </c>
      <c r="O152" s="1" t="str">
        <f>IF(Suma!$B151=$A$1,Suma!AU151,NA())</f>
        <v>enero</v>
      </c>
      <c r="P152" s="1">
        <f>IF(Suma!$B151=$A$1,Suma!AV151,NA())</f>
        <v>0</v>
      </c>
      <c r="Q152" s="1">
        <f>IF(Suma!$B151=$A$1,Suma!AW151,NA())</f>
        <v>0</v>
      </c>
      <c r="R152" s="10">
        <f>IF(Suma!$B151=$A$1,Suma!AX151,NA())</f>
        <v>0</v>
      </c>
      <c r="S152" s="10">
        <f>IF(Suma!$B151=$A$1,Suma!AY151,NA())</f>
        <v>0</v>
      </c>
      <c r="T152" s="10">
        <f>IF(Suma!$B151=$A$1,Suma!AZ151,NA())</f>
        <v>0</v>
      </c>
      <c r="U152" s="10">
        <f>IF(Suma!$B151=$A$1,Suma!J151,NA())</f>
        <v>0</v>
      </c>
      <c r="V152" s="10">
        <f>IF(Suma!$B151=$A$1,Suma!K151,NA())</f>
        <v>0</v>
      </c>
      <c r="W152" s="10">
        <f>IF(Suma!$B151=$A$1,Suma!L151,NA())</f>
        <v>0</v>
      </c>
      <c r="X152" s="10">
        <f>IF(Suma!$B151=$A$1,Suma!M151,NA())</f>
        <v>0</v>
      </c>
      <c r="Y152" s="10">
        <f>IF(Suma!$B151=$A$1,Suma!N151,NA())</f>
        <v>0</v>
      </c>
      <c r="Z152" s="10">
        <f>IF(Suma!$B151=$A$1,Suma!O151,NA())</f>
        <v>0</v>
      </c>
      <c r="AA152" s="10">
        <f>IF(Suma!$B151=$A$1,Suma!BC151,NA())</f>
        <v>0</v>
      </c>
      <c r="AB152" s="10">
        <f>IF(Suma!$B151=$A$1,Suma!BD151,NA())</f>
        <v>0</v>
      </c>
    </row>
    <row r="153" spans="1:28" x14ac:dyDescent="0.3">
      <c r="A153" s="1">
        <f>IF(Suma!$B152=$A$1,Suma!C152,NA())</f>
        <v>0</v>
      </c>
      <c r="B153" s="1">
        <f>IF(Suma!$B152=$A$1,Suma!D152,NA())</f>
        <v>0</v>
      </c>
      <c r="C153" s="2">
        <f>IF(Suma!$B152=$A$1,Suma!E152,NA())</f>
        <v>0</v>
      </c>
      <c r="D153" s="2">
        <f>IF(Suma!$B152=$A$1,Suma!F152,NA())</f>
        <v>0</v>
      </c>
      <c r="E153" s="1">
        <f>IF(Suma!$B152=$A$1,Suma!P152,NA())</f>
        <v>0</v>
      </c>
      <c r="F153" s="10">
        <f t="shared" si="4"/>
        <v>0</v>
      </c>
      <c r="G153" s="1">
        <f>IF(Suma!$B152=$A$1,Suma!W152,NA())</f>
        <v>0</v>
      </c>
      <c r="H153" s="10">
        <f t="shared" si="5"/>
        <v>0</v>
      </c>
      <c r="I153" s="1">
        <f>IF(Suma!$B152=$A$1,Suma!AD152,NA())</f>
        <v>0</v>
      </c>
      <c r="J153" s="1">
        <f>IF(Suma!$B152=$A$1,Suma!AK152,NA())</f>
        <v>0</v>
      </c>
      <c r="K153" s="10">
        <f>IF(Suma!$B152=$A$1,Suma!AS152,NA())</f>
        <v>0</v>
      </c>
      <c r="L153" s="1">
        <f>IF(Suma!$B152=$A$1,Suma!G152,NA())</f>
        <v>0</v>
      </c>
      <c r="M153" s="1">
        <f>IF(Suma!$B152=$A$1,Suma!H152,NA())</f>
        <v>0</v>
      </c>
      <c r="N153" s="1">
        <f>IF(Suma!$B152=$A$1,Suma!AT152,NA())</f>
        <v>1900</v>
      </c>
      <c r="O153" s="1" t="str">
        <f>IF(Suma!$B152=$A$1,Suma!AU152,NA())</f>
        <v>enero</v>
      </c>
      <c r="P153" s="1">
        <f>IF(Suma!$B152=$A$1,Suma!AV152,NA())</f>
        <v>0</v>
      </c>
      <c r="Q153" s="1">
        <f>IF(Suma!$B152=$A$1,Suma!AW152,NA())</f>
        <v>0</v>
      </c>
      <c r="R153" s="10">
        <f>IF(Suma!$B152=$A$1,Suma!AX152,NA())</f>
        <v>0</v>
      </c>
      <c r="S153" s="10">
        <f>IF(Suma!$B152=$A$1,Suma!AY152,NA())</f>
        <v>0</v>
      </c>
      <c r="T153" s="10">
        <f>IF(Suma!$B152=$A$1,Suma!AZ152,NA())</f>
        <v>0</v>
      </c>
      <c r="U153" s="10">
        <f>IF(Suma!$B152=$A$1,Suma!J152,NA())</f>
        <v>0</v>
      </c>
      <c r="V153" s="10">
        <f>IF(Suma!$B152=$A$1,Suma!K152,NA())</f>
        <v>0</v>
      </c>
      <c r="W153" s="10">
        <f>IF(Suma!$B152=$A$1,Suma!L152,NA())</f>
        <v>0</v>
      </c>
      <c r="X153" s="10">
        <f>IF(Suma!$B152=$A$1,Suma!M152,NA())</f>
        <v>0</v>
      </c>
      <c r="Y153" s="10">
        <f>IF(Suma!$B152=$A$1,Suma!N152,NA())</f>
        <v>0</v>
      </c>
      <c r="Z153" s="10">
        <f>IF(Suma!$B152=$A$1,Suma!O152,NA())</f>
        <v>0</v>
      </c>
      <c r="AA153" s="10">
        <f>IF(Suma!$B152=$A$1,Suma!BC152,NA())</f>
        <v>0</v>
      </c>
      <c r="AB153" s="10">
        <f>IF(Suma!$B152=$A$1,Suma!BD152,NA())</f>
        <v>0</v>
      </c>
    </row>
    <row r="154" spans="1:28" x14ac:dyDescent="0.3">
      <c r="A154" s="1">
        <f>IF(Suma!$B153=$A$1,Suma!C153,NA())</f>
        <v>0</v>
      </c>
      <c r="B154" s="1">
        <f>IF(Suma!$B153=$A$1,Suma!D153,NA())</f>
        <v>0</v>
      </c>
      <c r="C154" s="2">
        <f>IF(Suma!$B153=$A$1,Suma!E153,NA())</f>
        <v>0</v>
      </c>
      <c r="D154" s="2">
        <f>IF(Suma!$B153=$A$1,Suma!F153,NA())</f>
        <v>0</v>
      </c>
      <c r="E154" s="1">
        <f>IF(Suma!$B153=$A$1,Suma!P153,NA())</f>
        <v>0</v>
      </c>
      <c r="F154" s="10">
        <f t="shared" si="4"/>
        <v>0</v>
      </c>
      <c r="G154" s="1">
        <f>IF(Suma!$B153=$A$1,Suma!W153,NA())</f>
        <v>0</v>
      </c>
      <c r="H154" s="10">
        <f t="shared" si="5"/>
        <v>0</v>
      </c>
      <c r="I154" s="1">
        <f>IF(Suma!$B153=$A$1,Suma!AD153,NA())</f>
        <v>0</v>
      </c>
      <c r="J154" s="1">
        <f>IF(Suma!$B153=$A$1,Suma!AK153,NA())</f>
        <v>0</v>
      </c>
      <c r="K154" s="10">
        <f>IF(Suma!$B153=$A$1,Suma!AS153,NA())</f>
        <v>0</v>
      </c>
      <c r="L154" s="1">
        <f>IF(Suma!$B153=$A$1,Suma!G153,NA())</f>
        <v>0</v>
      </c>
      <c r="M154" s="1">
        <f>IF(Suma!$B153=$A$1,Suma!H153,NA())</f>
        <v>0</v>
      </c>
      <c r="N154" s="1">
        <f>IF(Suma!$B153=$A$1,Suma!AT153,NA())</f>
        <v>1900</v>
      </c>
      <c r="O154" s="1" t="str">
        <f>IF(Suma!$B153=$A$1,Suma!AU153,NA())</f>
        <v>enero</v>
      </c>
      <c r="P154" s="1">
        <f>IF(Suma!$B153=$A$1,Suma!AV153,NA())</f>
        <v>0</v>
      </c>
      <c r="Q154" s="1">
        <f>IF(Suma!$B153=$A$1,Suma!AW153,NA())</f>
        <v>0</v>
      </c>
      <c r="R154" s="10">
        <f>IF(Suma!$B153=$A$1,Suma!AX153,NA())</f>
        <v>0</v>
      </c>
      <c r="S154" s="10">
        <f>IF(Suma!$B153=$A$1,Suma!AY153,NA())</f>
        <v>0</v>
      </c>
      <c r="T154" s="10">
        <f>IF(Suma!$B153=$A$1,Suma!AZ153,NA())</f>
        <v>0</v>
      </c>
      <c r="U154" s="10">
        <f>IF(Suma!$B153=$A$1,Suma!J153,NA())</f>
        <v>0</v>
      </c>
      <c r="V154" s="10">
        <f>IF(Suma!$B153=$A$1,Suma!K153,NA())</f>
        <v>0</v>
      </c>
      <c r="W154" s="10">
        <f>IF(Suma!$B153=$A$1,Suma!L153,NA())</f>
        <v>0</v>
      </c>
      <c r="X154" s="10">
        <f>IF(Suma!$B153=$A$1,Suma!M153,NA())</f>
        <v>0</v>
      </c>
      <c r="Y154" s="10">
        <f>IF(Suma!$B153=$A$1,Suma!N153,NA())</f>
        <v>0</v>
      </c>
      <c r="Z154" s="10">
        <f>IF(Suma!$B153=$A$1,Suma!O153,NA())</f>
        <v>0</v>
      </c>
      <c r="AA154" s="10">
        <f>IF(Suma!$B153=$A$1,Suma!BC153,NA())</f>
        <v>0</v>
      </c>
      <c r="AB154" s="10">
        <f>IF(Suma!$B153=$A$1,Suma!BD153,NA())</f>
        <v>0</v>
      </c>
    </row>
    <row r="155" spans="1:28" x14ac:dyDescent="0.3">
      <c r="A155" s="1">
        <f>IF(Suma!$B154=$A$1,Suma!C154,NA())</f>
        <v>0</v>
      </c>
      <c r="B155" s="1">
        <f>IF(Suma!$B154=$A$1,Suma!D154,NA())</f>
        <v>0</v>
      </c>
      <c r="C155" s="2">
        <f>IF(Suma!$B154=$A$1,Suma!E154,NA())</f>
        <v>0</v>
      </c>
      <c r="D155" s="2">
        <f>IF(Suma!$B154=$A$1,Suma!F154,NA())</f>
        <v>0</v>
      </c>
      <c r="E155" s="1">
        <f>IF(Suma!$B154=$A$1,Suma!P154,NA())</f>
        <v>0</v>
      </c>
      <c r="F155" s="10">
        <f t="shared" si="4"/>
        <v>0</v>
      </c>
      <c r="G155" s="1">
        <f>IF(Suma!$B154=$A$1,Suma!W154,NA())</f>
        <v>0</v>
      </c>
      <c r="H155" s="10">
        <f t="shared" si="5"/>
        <v>0</v>
      </c>
      <c r="I155" s="1">
        <f>IF(Suma!$B154=$A$1,Suma!AD154,NA())</f>
        <v>0</v>
      </c>
      <c r="J155" s="1">
        <f>IF(Suma!$B154=$A$1,Suma!AK154,NA())</f>
        <v>0</v>
      </c>
      <c r="K155" s="10">
        <f>IF(Suma!$B154=$A$1,Suma!AS154,NA())</f>
        <v>0</v>
      </c>
      <c r="L155" s="1">
        <f>IF(Suma!$B154=$A$1,Suma!G154,NA())</f>
        <v>0</v>
      </c>
      <c r="M155" s="1">
        <f>IF(Suma!$B154=$A$1,Suma!H154,NA())</f>
        <v>0</v>
      </c>
      <c r="N155" s="1">
        <f>IF(Suma!$B154=$A$1,Suma!AT154,NA())</f>
        <v>1900</v>
      </c>
      <c r="O155" s="1" t="str">
        <f>IF(Suma!$B154=$A$1,Suma!AU154,NA())</f>
        <v>enero</v>
      </c>
      <c r="P155" s="1">
        <f>IF(Suma!$B154=$A$1,Suma!AV154,NA())</f>
        <v>0</v>
      </c>
      <c r="Q155" s="1">
        <f>IF(Suma!$B154=$A$1,Suma!AW154,NA())</f>
        <v>0</v>
      </c>
      <c r="R155" s="10">
        <f>IF(Suma!$B154=$A$1,Suma!AX154,NA())</f>
        <v>0</v>
      </c>
      <c r="S155" s="10">
        <f>IF(Suma!$B154=$A$1,Suma!AY154,NA())</f>
        <v>0</v>
      </c>
      <c r="T155" s="10">
        <f>IF(Suma!$B154=$A$1,Suma!AZ154,NA())</f>
        <v>0</v>
      </c>
      <c r="U155" s="10">
        <f>IF(Suma!$B154=$A$1,Suma!J154,NA())</f>
        <v>0</v>
      </c>
      <c r="V155" s="10">
        <f>IF(Suma!$B154=$A$1,Suma!K154,NA())</f>
        <v>0</v>
      </c>
      <c r="W155" s="10">
        <f>IF(Suma!$B154=$A$1,Suma!L154,NA())</f>
        <v>0</v>
      </c>
      <c r="X155" s="10">
        <f>IF(Suma!$B154=$A$1,Suma!M154,NA())</f>
        <v>0</v>
      </c>
      <c r="Y155" s="10">
        <f>IF(Suma!$B154=$A$1,Suma!N154,NA())</f>
        <v>0</v>
      </c>
      <c r="Z155" s="10">
        <f>IF(Suma!$B154=$A$1,Suma!O154,NA())</f>
        <v>0</v>
      </c>
      <c r="AA155" s="10">
        <f>IF(Suma!$B154=$A$1,Suma!BC154,NA())</f>
        <v>0</v>
      </c>
      <c r="AB155" s="10">
        <f>IF(Suma!$B154=$A$1,Suma!BD154,NA())</f>
        <v>0</v>
      </c>
    </row>
    <row r="156" spans="1:28" x14ac:dyDescent="0.3">
      <c r="A156" s="1">
        <f>IF(Suma!$B155=$A$1,Suma!C155,NA())</f>
        <v>0</v>
      </c>
      <c r="B156" s="1">
        <f>IF(Suma!$B155=$A$1,Suma!D155,NA())</f>
        <v>0</v>
      </c>
      <c r="C156" s="2">
        <f>IF(Suma!$B155=$A$1,Suma!E155,NA())</f>
        <v>0</v>
      </c>
      <c r="D156" s="2">
        <f>IF(Suma!$B155=$A$1,Suma!F155,NA())</f>
        <v>0</v>
      </c>
      <c r="E156" s="1">
        <f>IF(Suma!$B155=$A$1,Suma!P155,NA())</f>
        <v>0</v>
      </c>
      <c r="F156" s="10">
        <f t="shared" si="4"/>
        <v>0</v>
      </c>
      <c r="G156" s="1">
        <f>IF(Suma!$B155=$A$1,Suma!W155,NA())</f>
        <v>0</v>
      </c>
      <c r="H156" s="10">
        <f t="shared" si="5"/>
        <v>0</v>
      </c>
      <c r="I156" s="1">
        <f>IF(Suma!$B155=$A$1,Suma!AD155,NA())</f>
        <v>0</v>
      </c>
      <c r="J156" s="1">
        <f>IF(Suma!$B155=$A$1,Suma!AK155,NA())</f>
        <v>0</v>
      </c>
      <c r="K156" s="10">
        <f>IF(Suma!$B155=$A$1,Suma!AS155,NA())</f>
        <v>0</v>
      </c>
      <c r="L156" s="1">
        <f>IF(Suma!$B155=$A$1,Suma!G155,NA())</f>
        <v>0</v>
      </c>
      <c r="M156" s="1">
        <f>IF(Suma!$B155=$A$1,Suma!H155,NA())</f>
        <v>0</v>
      </c>
      <c r="N156" s="1">
        <f>IF(Suma!$B155=$A$1,Suma!AT155,NA())</f>
        <v>1900</v>
      </c>
      <c r="O156" s="1" t="str">
        <f>IF(Suma!$B155=$A$1,Suma!AU155,NA())</f>
        <v>enero</v>
      </c>
      <c r="P156" s="1">
        <f>IF(Suma!$B155=$A$1,Suma!AV155,NA())</f>
        <v>0</v>
      </c>
      <c r="Q156" s="1">
        <f>IF(Suma!$B155=$A$1,Suma!AW155,NA())</f>
        <v>0</v>
      </c>
      <c r="R156" s="10">
        <f>IF(Suma!$B155=$A$1,Suma!AX155,NA())</f>
        <v>0</v>
      </c>
      <c r="S156" s="10">
        <f>IF(Suma!$B155=$A$1,Suma!AY155,NA())</f>
        <v>0</v>
      </c>
      <c r="T156" s="10">
        <f>IF(Suma!$B155=$A$1,Suma!AZ155,NA())</f>
        <v>0</v>
      </c>
      <c r="U156" s="10">
        <f>IF(Suma!$B155=$A$1,Suma!J155,NA())</f>
        <v>0</v>
      </c>
      <c r="V156" s="10">
        <f>IF(Suma!$B155=$A$1,Suma!K155,NA())</f>
        <v>0</v>
      </c>
      <c r="W156" s="10">
        <f>IF(Suma!$B155=$A$1,Suma!L155,NA())</f>
        <v>0</v>
      </c>
      <c r="X156" s="10">
        <f>IF(Suma!$B155=$A$1,Suma!M155,NA())</f>
        <v>0</v>
      </c>
      <c r="Y156" s="10">
        <f>IF(Suma!$B155=$A$1,Suma!N155,NA())</f>
        <v>0</v>
      </c>
      <c r="Z156" s="10">
        <f>IF(Suma!$B155=$A$1,Suma!O155,NA())</f>
        <v>0</v>
      </c>
      <c r="AA156" s="10">
        <f>IF(Suma!$B155=$A$1,Suma!BC155,NA())</f>
        <v>0</v>
      </c>
      <c r="AB156" s="10">
        <f>IF(Suma!$B155=$A$1,Suma!BD155,NA())</f>
        <v>0</v>
      </c>
    </row>
    <row r="157" spans="1:28" x14ac:dyDescent="0.3">
      <c r="A157" s="1">
        <f>IF(Suma!$B156=$A$1,Suma!C156,NA())</f>
        <v>0</v>
      </c>
      <c r="B157" s="1">
        <f>IF(Suma!$B156=$A$1,Suma!D156,NA())</f>
        <v>0</v>
      </c>
      <c r="C157" s="2">
        <f>IF(Suma!$B156=$A$1,Suma!E156,NA())</f>
        <v>0</v>
      </c>
      <c r="D157" s="2">
        <f>IF(Suma!$B156=$A$1,Suma!F156,NA())</f>
        <v>0</v>
      </c>
      <c r="E157" s="1">
        <f>IF(Suma!$B156=$A$1,Suma!P156,NA())</f>
        <v>0</v>
      </c>
      <c r="F157" s="10">
        <f t="shared" si="4"/>
        <v>0</v>
      </c>
      <c r="G157" s="1">
        <f>IF(Suma!$B156=$A$1,Suma!W156,NA())</f>
        <v>0</v>
      </c>
      <c r="H157" s="10">
        <f t="shared" si="5"/>
        <v>0</v>
      </c>
      <c r="I157" s="1">
        <f>IF(Suma!$B156=$A$1,Suma!AD156,NA())</f>
        <v>0</v>
      </c>
      <c r="J157" s="1">
        <f>IF(Suma!$B156=$A$1,Suma!AK156,NA())</f>
        <v>0</v>
      </c>
      <c r="K157" s="10">
        <f>IF(Suma!$B156=$A$1,Suma!AS156,NA())</f>
        <v>0</v>
      </c>
      <c r="L157" s="1">
        <f>IF(Suma!$B156=$A$1,Suma!G156,NA())</f>
        <v>0</v>
      </c>
      <c r="M157" s="1">
        <f>IF(Suma!$B156=$A$1,Suma!H156,NA())</f>
        <v>0</v>
      </c>
      <c r="N157" s="1">
        <f>IF(Suma!$B156=$A$1,Suma!AT156,NA())</f>
        <v>1900</v>
      </c>
      <c r="O157" s="1" t="str">
        <f>IF(Suma!$B156=$A$1,Suma!AU156,NA())</f>
        <v>enero</v>
      </c>
      <c r="P157" s="1">
        <f>IF(Suma!$B156=$A$1,Suma!AV156,NA())</f>
        <v>0</v>
      </c>
      <c r="Q157" s="1">
        <f>IF(Suma!$B156=$A$1,Suma!AW156,NA())</f>
        <v>0</v>
      </c>
      <c r="R157" s="10">
        <f>IF(Suma!$B156=$A$1,Suma!AX156,NA())</f>
        <v>0</v>
      </c>
      <c r="S157" s="10">
        <f>IF(Suma!$B156=$A$1,Suma!AY156,NA())</f>
        <v>0</v>
      </c>
      <c r="T157" s="10">
        <f>IF(Suma!$B156=$A$1,Suma!AZ156,NA())</f>
        <v>0</v>
      </c>
      <c r="U157" s="10">
        <f>IF(Suma!$B156=$A$1,Suma!J156,NA())</f>
        <v>0</v>
      </c>
      <c r="V157" s="10">
        <f>IF(Suma!$B156=$A$1,Suma!K156,NA())</f>
        <v>0</v>
      </c>
      <c r="W157" s="10">
        <f>IF(Suma!$B156=$A$1,Suma!L156,NA())</f>
        <v>0</v>
      </c>
      <c r="X157" s="10">
        <f>IF(Suma!$B156=$A$1,Suma!M156,NA())</f>
        <v>0</v>
      </c>
      <c r="Y157" s="10">
        <f>IF(Suma!$B156=$A$1,Suma!N156,NA())</f>
        <v>0</v>
      </c>
      <c r="Z157" s="10">
        <f>IF(Suma!$B156=$A$1,Suma!O156,NA())</f>
        <v>0</v>
      </c>
      <c r="AA157" s="10">
        <f>IF(Suma!$B156=$A$1,Suma!BC156,NA())</f>
        <v>0</v>
      </c>
      <c r="AB157" s="10">
        <f>IF(Suma!$B156=$A$1,Suma!BD156,NA())</f>
        <v>0</v>
      </c>
    </row>
    <row r="158" spans="1:28" x14ac:dyDescent="0.3">
      <c r="A158" s="1">
        <f>IF(Suma!$B157=$A$1,Suma!C157,NA())</f>
        <v>0</v>
      </c>
      <c r="B158" s="1">
        <f>IF(Suma!$B157=$A$1,Suma!D157,NA())</f>
        <v>0</v>
      </c>
      <c r="C158" s="2">
        <f>IF(Suma!$B157=$A$1,Suma!E157,NA())</f>
        <v>0</v>
      </c>
      <c r="D158" s="2">
        <f>IF(Suma!$B157=$A$1,Suma!F157,NA())</f>
        <v>0</v>
      </c>
      <c r="E158" s="1">
        <f>IF(Suma!$B157=$A$1,Suma!P157,NA())</f>
        <v>0</v>
      </c>
      <c r="F158" s="10">
        <f t="shared" si="4"/>
        <v>0</v>
      </c>
      <c r="G158" s="1">
        <f>IF(Suma!$B157=$A$1,Suma!W157,NA())</f>
        <v>0</v>
      </c>
      <c r="H158" s="10">
        <f t="shared" si="5"/>
        <v>0</v>
      </c>
      <c r="I158" s="1">
        <f>IF(Suma!$B157=$A$1,Suma!AD157,NA())</f>
        <v>0</v>
      </c>
      <c r="J158" s="1">
        <f>IF(Suma!$B157=$A$1,Suma!AK157,NA())</f>
        <v>0</v>
      </c>
      <c r="K158" s="10">
        <f>IF(Suma!$B157=$A$1,Suma!AS157,NA())</f>
        <v>0</v>
      </c>
      <c r="L158" s="1">
        <f>IF(Suma!$B157=$A$1,Suma!G157,NA())</f>
        <v>0</v>
      </c>
      <c r="M158" s="1">
        <f>IF(Suma!$B157=$A$1,Suma!H157,NA())</f>
        <v>0</v>
      </c>
      <c r="N158" s="1">
        <f>IF(Suma!$B157=$A$1,Suma!AT157,NA())</f>
        <v>1900</v>
      </c>
      <c r="O158" s="1" t="str">
        <f>IF(Suma!$B157=$A$1,Suma!AU157,NA())</f>
        <v>enero</v>
      </c>
      <c r="P158" s="1">
        <f>IF(Suma!$B157=$A$1,Suma!AV157,NA())</f>
        <v>0</v>
      </c>
      <c r="Q158" s="1">
        <f>IF(Suma!$B157=$A$1,Suma!AW157,NA())</f>
        <v>0</v>
      </c>
      <c r="R158" s="10">
        <f>IF(Suma!$B157=$A$1,Suma!AX157,NA())</f>
        <v>0</v>
      </c>
      <c r="S158" s="10">
        <f>IF(Suma!$B157=$A$1,Suma!AY157,NA())</f>
        <v>0</v>
      </c>
      <c r="T158" s="10">
        <f>IF(Suma!$B157=$A$1,Suma!AZ157,NA())</f>
        <v>0</v>
      </c>
      <c r="U158" s="10">
        <f>IF(Suma!$B157=$A$1,Suma!J157,NA())</f>
        <v>0</v>
      </c>
      <c r="V158" s="10">
        <f>IF(Suma!$B157=$A$1,Suma!K157,NA())</f>
        <v>0</v>
      </c>
      <c r="W158" s="10">
        <f>IF(Suma!$B157=$A$1,Suma!L157,NA())</f>
        <v>0</v>
      </c>
      <c r="X158" s="10">
        <f>IF(Suma!$B157=$A$1,Suma!M157,NA())</f>
        <v>0</v>
      </c>
      <c r="Y158" s="10">
        <f>IF(Suma!$B157=$A$1,Suma!N157,NA())</f>
        <v>0</v>
      </c>
      <c r="Z158" s="10">
        <f>IF(Suma!$B157=$A$1,Suma!O157,NA())</f>
        <v>0</v>
      </c>
      <c r="AA158" s="10">
        <f>IF(Suma!$B157=$A$1,Suma!BC157,NA())</f>
        <v>0</v>
      </c>
      <c r="AB158" s="10">
        <f>IF(Suma!$B157=$A$1,Suma!BD157,NA())</f>
        <v>0</v>
      </c>
    </row>
    <row r="159" spans="1:28" x14ac:dyDescent="0.3">
      <c r="A159" s="1">
        <f>IF(Suma!$B158=$A$1,Suma!C158,NA())</f>
        <v>0</v>
      </c>
      <c r="B159" s="1">
        <f>IF(Suma!$B158=$A$1,Suma!D158,NA())</f>
        <v>0</v>
      </c>
      <c r="C159" s="2">
        <f>IF(Suma!$B158=$A$1,Suma!E158,NA())</f>
        <v>0</v>
      </c>
      <c r="D159" s="2">
        <f>IF(Suma!$B158=$A$1,Suma!F158,NA())</f>
        <v>0</v>
      </c>
      <c r="E159" s="1">
        <f>IF(Suma!$B158=$A$1,Suma!P158,NA())</f>
        <v>0</v>
      </c>
      <c r="F159" s="10">
        <f t="shared" si="4"/>
        <v>0</v>
      </c>
      <c r="G159" s="1">
        <f>IF(Suma!$B158=$A$1,Suma!W158,NA())</f>
        <v>0</v>
      </c>
      <c r="H159" s="10">
        <f t="shared" si="5"/>
        <v>0</v>
      </c>
      <c r="I159" s="1">
        <f>IF(Suma!$B158=$A$1,Suma!AD158,NA())</f>
        <v>0</v>
      </c>
      <c r="J159" s="1">
        <f>IF(Suma!$B158=$A$1,Suma!AK158,NA())</f>
        <v>0</v>
      </c>
      <c r="K159" s="10">
        <f>IF(Suma!$B158=$A$1,Suma!AS158,NA())</f>
        <v>0</v>
      </c>
      <c r="L159" s="1">
        <f>IF(Suma!$B158=$A$1,Suma!G158,NA())</f>
        <v>0</v>
      </c>
      <c r="M159" s="1">
        <f>IF(Suma!$B158=$A$1,Suma!H158,NA())</f>
        <v>0</v>
      </c>
      <c r="N159" s="1">
        <f>IF(Suma!$B158=$A$1,Suma!AT158,NA())</f>
        <v>1900</v>
      </c>
      <c r="O159" s="1" t="str">
        <f>IF(Suma!$B158=$A$1,Suma!AU158,NA())</f>
        <v>enero</v>
      </c>
      <c r="P159" s="1">
        <f>IF(Suma!$B158=$A$1,Suma!AV158,NA())</f>
        <v>0</v>
      </c>
      <c r="Q159" s="1">
        <f>IF(Suma!$B158=$A$1,Suma!AW158,NA())</f>
        <v>0</v>
      </c>
      <c r="R159" s="10">
        <f>IF(Suma!$B158=$A$1,Suma!AX158,NA())</f>
        <v>0</v>
      </c>
      <c r="S159" s="10">
        <f>IF(Suma!$B158=$A$1,Suma!AY158,NA())</f>
        <v>0</v>
      </c>
      <c r="T159" s="10">
        <f>IF(Suma!$B158=$A$1,Suma!AZ158,NA())</f>
        <v>0</v>
      </c>
      <c r="U159" s="10">
        <f>IF(Suma!$B158=$A$1,Suma!J158,NA())</f>
        <v>0</v>
      </c>
      <c r="V159" s="10">
        <f>IF(Suma!$B158=$A$1,Suma!K158,NA())</f>
        <v>0</v>
      </c>
      <c r="W159" s="10">
        <f>IF(Suma!$B158=$A$1,Suma!L158,NA())</f>
        <v>0</v>
      </c>
      <c r="X159" s="10">
        <f>IF(Suma!$B158=$A$1,Suma!M158,NA())</f>
        <v>0</v>
      </c>
      <c r="Y159" s="10">
        <f>IF(Suma!$B158=$A$1,Suma!N158,NA())</f>
        <v>0</v>
      </c>
      <c r="Z159" s="10">
        <f>IF(Suma!$B158=$A$1,Suma!O158,NA())</f>
        <v>0</v>
      </c>
      <c r="AA159" s="10">
        <f>IF(Suma!$B158=$A$1,Suma!BC158,NA())</f>
        <v>0</v>
      </c>
      <c r="AB159" s="10">
        <f>IF(Suma!$B158=$A$1,Suma!BD158,NA())</f>
        <v>0</v>
      </c>
    </row>
    <row r="160" spans="1:28" x14ac:dyDescent="0.3">
      <c r="A160" s="1">
        <f>IF(Suma!$B159=$A$1,Suma!C159,NA())</f>
        <v>0</v>
      </c>
      <c r="B160" s="1">
        <f>IF(Suma!$B159=$A$1,Suma!D159,NA())</f>
        <v>0</v>
      </c>
      <c r="C160" s="2">
        <f>IF(Suma!$B159=$A$1,Suma!E159,NA())</f>
        <v>0</v>
      </c>
      <c r="D160" s="2">
        <f>IF(Suma!$B159=$A$1,Suma!F159,NA())</f>
        <v>0</v>
      </c>
      <c r="E160" s="1">
        <f>IF(Suma!$B159=$A$1,Suma!P159,NA())</f>
        <v>0</v>
      </c>
      <c r="F160" s="10">
        <f t="shared" si="4"/>
        <v>0</v>
      </c>
      <c r="G160" s="1">
        <f>IF(Suma!$B159=$A$1,Suma!W159,NA())</f>
        <v>0</v>
      </c>
      <c r="H160" s="10">
        <f t="shared" si="5"/>
        <v>0</v>
      </c>
      <c r="I160" s="1">
        <f>IF(Suma!$B159=$A$1,Suma!AD159,NA())</f>
        <v>0</v>
      </c>
      <c r="J160" s="1">
        <f>IF(Suma!$B159=$A$1,Suma!AK159,NA())</f>
        <v>0</v>
      </c>
      <c r="K160" s="10">
        <f>IF(Suma!$B159=$A$1,Suma!AS159,NA())</f>
        <v>0</v>
      </c>
      <c r="L160" s="1">
        <f>IF(Suma!$B159=$A$1,Suma!G159,NA())</f>
        <v>0</v>
      </c>
      <c r="M160" s="1">
        <f>IF(Suma!$B159=$A$1,Suma!H159,NA())</f>
        <v>0</v>
      </c>
      <c r="N160" s="1">
        <f>IF(Suma!$B159=$A$1,Suma!AT159,NA())</f>
        <v>1900</v>
      </c>
      <c r="O160" s="1" t="str">
        <f>IF(Suma!$B159=$A$1,Suma!AU159,NA())</f>
        <v>enero</v>
      </c>
      <c r="P160" s="1">
        <f>IF(Suma!$B159=$A$1,Suma!AV159,NA())</f>
        <v>0</v>
      </c>
      <c r="Q160" s="1">
        <f>IF(Suma!$B159=$A$1,Suma!AW159,NA())</f>
        <v>0</v>
      </c>
      <c r="R160" s="10">
        <f>IF(Suma!$B159=$A$1,Suma!AX159,NA())</f>
        <v>0</v>
      </c>
      <c r="S160" s="10">
        <f>IF(Suma!$B159=$A$1,Suma!AY159,NA())</f>
        <v>0</v>
      </c>
      <c r="T160" s="10">
        <f>IF(Suma!$B159=$A$1,Suma!AZ159,NA())</f>
        <v>0</v>
      </c>
      <c r="U160" s="10">
        <f>IF(Suma!$B159=$A$1,Suma!J159,NA())</f>
        <v>0</v>
      </c>
      <c r="V160" s="10">
        <f>IF(Suma!$B159=$A$1,Suma!K159,NA())</f>
        <v>0</v>
      </c>
      <c r="W160" s="10">
        <f>IF(Suma!$B159=$A$1,Suma!L159,NA())</f>
        <v>0</v>
      </c>
      <c r="X160" s="10">
        <f>IF(Suma!$B159=$A$1,Suma!M159,NA())</f>
        <v>0</v>
      </c>
      <c r="Y160" s="10">
        <f>IF(Suma!$B159=$A$1,Suma!N159,NA())</f>
        <v>0</v>
      </c>
      <c r="Z160" s="10">
        <f>IF(Suma!$B159=$A$1,Suma!O159,NA())</f>
        <v>0</v>
      </c>
      <c r="AA160" s="10">
        <f>IF(Suma!$B159=$A$1,Suma!BC159,NA())</f>
        <v>0</v>
      </c>
      <c r="AB160" s="10">
        <f>IF(Suma!$B159=$A$1,Suma!BD159,NA())</f>
        <v>0</v>
      </c>
    </row>
    <row r="161" spans="1:28" x14ac:dyDescent="0.3">
      <c r="A161" s="1">
        <f>IF(Suma!$B160=$A$1,Suma!C160,NA())</f>
        <v>0</v>
      </c>
      <c r="B161" s="1">
        <f>IF(Suma!$B160=$A$1,Suma!D160,NA())</f>
        <v>0</v>
      </c>
      <c r="C161" s="2">
        <f>IF(Suma!$B160=$A$1,Suma!E160,NA())</f>
        <v>0</v>
      </c>
      <c r="D161" s="2">
        <f>IF(Suma!$B160=$A$1,Suma!F160,NA())</f>
        <v>0</v>
      </c>
      <c r="E161" s="1">
        <f>IF(Suma!$B160=$A$1,Suma!P160,NA())</f>
        <v>0</v>
      </c>
      <c r="F161" s="10">
        <f t="shared" si="4"/>
        <v>0</v>
      </c>
      <c r="G161" s="1">
        <f>IF(Suma!$B160=$A$1,Suma!W160,NA())</f>
        <v>0</v>
      </c>
      <c r="H161" s="10">
        <f t="shared" si="5"/>
        <v>0</v>
      </c>
      <c r="I161" s="1">
        <f>IF(Suma!$B160=$A$1,Suma!AD160,NA())</f>
        <v>0</v>
      </c>
      <c r="J161" s="1">
        <f>IF(Suma!$B160=$A$1,Suma!AK160,NA())</f>
        <v>0</v>
      </c>
      <c r="K161" s="10">
        <f>IF(Suma!$B160=$A$1,Suma!AS160,NA())</f>
        <v>0</v>
      </c>
      <c r="L161" s="1">
        <f>IF(Suma!$B160=$A$1,Suma!G160,NA())</f>
        <v>0</v>
      </c>
      <c r="M161" s="1">
        <f>IF(Suma!$B160=$A$1,Suma!H160,NA())</f>
        <v>0</v>
      </c>
      <c r="N161" s="1">
        <f>IF(Suma!$B160=$A$1,Suma!AT160,NA())</f>
        <v>1900</v>
      </c>
      <c r="O161" s="1" t="str">
        <f>IF(Suma!$B160=$A$1,Suma!AU160,NA())</f>
        <v>enero</v>
      </c>
      <c r="P161" s="1">
        <f>IF(Suma!$B160=$A$1,Suma!AV160,NA())</f>
        <v>0</v>
      </c>
      <c r="Q161" s="1">
        <f>IF(Suma!$B160=$A$1,Suma!AW160,NA())</f>
        <v>0</v>
      </c>
      <c r="R161" s="10">
        <f>IF(Suma!$B160=$A$1,Suma!AX160,NA())</f>
        <v>0</v>
      </c>
      <c r="S161" s="10">
        <f>IF(Suma!$B160=$A$1,Suma!AY160,NA())</f>
        <v>0</v>
      </c>
      <c r="T161" s="10">
        <f>IF(Suma!$B160=$A$1,Suma!AZ160,NA())</f>
        <v>0</v>
      </c>
      <c r="U161" s="10">
        <f>IF(Suma!$B160=$A$1,Suma!J160,NA())</f>
        <v>0</v>
      </c>
      <c r="V161" s="10">
        <f>IF(Suma!$B160=$A$1,Suma!K160,NA())</f>
        <v>0</v>
      </c>
      <c r="W161" s="10">
        <f>IF(Suma!$B160=$A$1,Suma!L160,NA())</f>
        <v>0</v>
      </c>
      <c r="X161" s="10">
        <f>IF(Suma!$B160=$A$1,Suma!M160,NA())</f>
        <v>0</v>
      </c>
      <c r="Y161" s="10">
        <f>IF(Suma!$B160=$A$1,Suma!N160,NA())</f>
        <v>0</v>
      </c>
      <c r="Z161" s="10">
        <f>IF(Suma!$B160=$A$1,Suma!O160,NA())</f>
        <v>0</v>
      </c>
      <c r="AA161" s="10">
        <f>IF(Suma!$B160=$A$1,Suma!BC160,NA())</f>
        <v>0</v>
      </c>
      <c r="AB161" s="10">
        <f>IF(Suma!$B160=$A$1,Suma!BD160,NA())</f>
        <v>0</v>
      </c>
    </row>
    <row r="162" spans="1:28" x14ac:dyDescent="0.3">
      <c r="A162" s="1">
        <f>IF(Suma!$B161=$A$1,Suma!C161,NA())</f>
        <v>0</v>
      </c>
      <c r="B162" s="1">
        <f>IF(Suma!$B161=$A$1,Suma!D161,NA())</f>
        <v>0</v>
      </c>
      <c r="C162" s="2">
        <f>IF(Suma!$B161=$A$1,Suma!E161,NA())</f>
        <v>0</v>
      </c>
      <c r="D162" s="2">
        <f>IF(Suma!$B161=$A$1,Suma!F161,NA())</f>
        <v>0</v>
      </c>
      <c r="E162" s="1">
        <f>IF(Suma!$B161=$A$1,Suma!P161,NA())</f>
        <v>0</v>
      </c>
      <c r="F162" s="10">
        <f t="shared" si="4"/>
        <v>0</v>
      </c>
      <c r="G162" s="1">
        <f>IF(Suma!$B161=$A$1,Suma!W161,NA())</f>
        <v>0</v>
      </c>
      <c r="H162" s="10">
        <f t="shared" si="5"/>
        <v>0</v>
      </c>
      <c r="I162" s="1">
        <f>IF(Suma!$B161=$A$1,Suma!AD161,NA())</f>
        <v>0</v>
      </c>
      <c r="J162" s="1">
        <f>IF(Suma!$B161=$A$1,Suma!AK161,NA())</f>
        <v>0</v>
      </c>
      <c r="K162" s="10">
        <f>IF(Suma!$B161=$A$1,Suma!AS161,NA())</f>
        <v>0</v>
      </c>
      <c r="L162" s="1">
        <f>IF(Suma!$B161=$A$1,Suma!G161,NA())</f>
        <v>0</v>
      </c>
      <c r="M162" s="1">
        <f>IF(Suma!$B161=$A$1,Suma!H161,NA())</f>
        <v>0</v>
      </c>
      <c r="N162" s="1">
        <f>IF(Suma!$B161=$A$1,Suma!AT161,NA())</f>
        <v>1900</v>
      </c>
      <c r="O162" s="1" t="str">
        <f>IF(Suma!$B161=$A$1,Suma!AU161,NA())</f>
        <v>enero</v>
      </c>
      <c r="P162" s="1">
        <f>IF(Suma!$B161=$A$1,Suma!AV161,NA())</f>
        <v>0</v>
      </c>
      <c r="Q162" s="1">
        <f>IF(Suma!$B161=$A$1,Suma!AW161,NA())</f>
        <v>0</v>
      </c>
      <c r="R162" s="10">
        <f>IF(Suma!$B161=$A$1,Suma!AX161,NA())</f>
        <v>0</v>
      </c>
      <c r="S162" s="10">
        <f>IF(Suma!$B161=$A$1,Suma!AY161,NA())</f>
        <v>0</v>
      </c>
      <c r="T162" s="10">
        <f>IF(Suma!$B161=$A$1,Suma!AZ161,NA())</f>
        <v>0</v>
      </c>
      <c r="U162" s="10">
        <f>IF(Suma!$B161=$A$1,Suma!J161,NA())</f>
        <v>0</v>
      </c>
      <c r="V162" s="10">
        <f>IF(Suma!$B161=$A$1,Suma!K161,NA())</f>
        <v>0</v>
      </c>
      <c r="W162" s="10">
        <f>IF(Suma!$B161=$A$1,Suma!L161,NA())</f>
        <v>0</v>
      </c>
      <c r="X162" s="10">
        <f>IF(Suma!$B161=$A$1,Suma!M161,NA())</f>
        <v>0</v>
      </c>
      <c r="Y162" s="10">
        <f>IF(Suma!$B161=$A$1,Suma!N161,NA())</f>
        <v>0</v>
      </c>
      <c r="Z162" s="10">
        <f>IF(Suma!$B161=$A$1,Suma!O161,NA())</f>
        <v>0</v>
      </c>
      <c r="AA162" s="10">
        <f>IF(Suma!$B161=$A$1,Suma!BC161,NA())</f>
        <v>0</v>
      </c>
      <c r="AB162" s="10">
        <f>IF(Suma!$B161=$A$1,Suma!BD161,NA())</f>
        <v>0</v>
      </c>
    </row>
    <row r="163" spans="1:28" x14ac:dyDescent="0.3">
      <c r="A163" s="1">
        <f>IF(Suma!$B162=$A$1,Suma!C162,NA())</f>
        <v>0</v>
      </c>
      <c r="B163" s="1">
        <f>IF(Suma!$B162=$A$1,Suma!D162,NA())</f>
        <v>0</v>
      </c>
      <c r="C163" s="2">
        <f>IF(Suma!$B162=$A$1,Suma!E162,NA())</f>
        <v>0</v>
      </c>
      <c r="D163" s="2">
        <f>IF(Suma!$B162=$A$1,Suma!F162,NA())</f>
        <v>0</v>
      </c>
      <c r="E163" s="1">
        <f>IF(Suma!$B162=$A$1,Suma!P162,NA())</f>
        <v>0</v>
      </c>
      <c r="F163" s="10">
        <f t="shared" si="4"/>
        <v>0</v>
      </c>
      <c r="G163" s="1">
        <f>IF(Suma!$B162=$A$1,Suma!W162,NA())</f>
        <v>0</v>
      </c>
      <c r="H163" s="10">
        <f t="shared" si="5"/>
        <v>0</v>
      </c>
      <c r="I163" s="1">
        <f>IF(Suma!$B162=$A$1,Suma!AD162,NA())</f>
        <v>0</v>
      </c>
      <c r="J163" s="1">
        <f>IF(Suma!$B162=$A$1,Suma!AK162,NA())</f>
        <v>0</v>
      </c>
      <c r="K163" s="10">
        <f>IF(Suma!$B162=$A$1,Suma!AS162,NA())</f>
        <v>0</v>
      </c>
      <c r="L163" s="1">
        <f>IF(Suma!$B162=$A$1,Suma!G162,NA())</f>
        <v>0</v>
      </c>
      <c r="M163" s="1">
        <f>IF(Suma!$B162=$A$1,Suma!H162,NA())</f>
        <v>0</v>
      </c>
      <c r="N163" s="1">
        <f>IF(Suma!$B162=$A$1,Suma!AT162,NA())</f>
        <v>1900</v>
      </c>
      <c r="O163" s="1" t="str">
        <f>IF(Suma!$B162=$A$1,Suma!AU162,NA())</f>
        <v>enero</v>
      </c>
      <c r="P163" s="1">
        <f>IF(Suma!$B162=$A$1,Suma!AV162,NA())</f>
        <v>0</v>
      </c>
      <c r="Q163" s="1">
        <f>IF(Suma!$B162=$A$1,Suma!AW162,NA())</f>
        <v>0</v>
      </c>
      <c r="R163" s="10">
        <f>IF(Suma!$B162=$A$1,Suma!AX162,NA())</f>
        <v>0</v>
      </c>
      <c r="S163" s="10">
        <f>IF(Suma!$B162=$A$1,Suma!AY162,NA())</f>
        <v>0</v>
      </c>
      <c r="T163" s="10">
        <f>IF(Suma!$B162=$A$1,Suma!AZ162,NA())</f>
        <v>0</v>
      </c>
      <c r="U163" s="10">
        <f>IF(Suma!$B162=$A$1,Suma!J162,NA())</f>
        <v>0</v>
      </c>
      <c r="V163" s="10">
        <f>IF(Suma!$B162=$A$1,Suma!K162,NA())</f>
        <v>0</v>
      </c>
      <c r="W163" s="10">
        <f>IF(Suma!$B162=$A$1,Suma!L162,NA())</f>
        <v>0</v>
      </c>
      <c r="X163" s="10">
        <f>IF(Suma!$B162=$A$1,Suma!M162,NA())</f>
        <v>0</v>
      </c>
      <c r="Y163" s="10">
        <f>IF(Suma!$B162=$A$1,Suma!N162,NA())</f>
        <v>0</v>
      </c>
      <c r="Z163" s="10">
        <f>IF(Suma!$B162=$A$1,Suma!O162,NA())</f>
        <v>0</v>
      </c>
      <c r="AA163" s="10">
        <f>IF(Suma!$B162=$A$1,Suma!BC162,NA())</f>
        <v>0</v>
      </c>
      <c r="AB163" s="10">
        <f>IF(Suma!$B162=$A$1,Suma!BD162,NA())</f>
        <v>0</v>
      </c>
    </row>
    <row r="164" spans="1:28" x14ac:dyDescent="0.3">
      <c r="A164" s="1">
        <f>IF(Suma!$B163=$A$1,Suma!C163,NA())</f>
        <v>0</v>
      </c>
      <c r="B164" s="1">
        <f>IF(Suma!$B163=$A$1,Suma!D163,NA())</f>
        <v>0</v>
      </c>
      <c r="C164" s="2">
        <f>IF(Suma!$B163=$A$1,Suma!E163,NA())</f>
        <v>0</v>
      </c>
      <c r="D164" s="2">
        <f>IF(Suma!$B163=$A$1,Suma!F163,NA())</f>
        <v>0</v>
      </c>
      <c r="E164" s="1">
        <f>IF(Suma!$B163=$A$1,Suma!P163,NA())</f>
        <v>0</v>
      </c>
      <c r="F164" s="10">
        <f t="shared" si="4"/>
        <v>0</v>
      </c>
      <c r="G164" s="1">
        <f>IF(Suma!$B163=$A$1,Suma!W163,NA())</f>
        <v>0</v>
      </c>
      <c r="H164" s="10">
        <f t="shared" si="5"/>
        <v>0</v>
      </c>
      <c r="I164" s="1">
        <f>IF(Suma!$B163=$A$1,Suma!AD163,NA())</f>
        <v>0</v>
      </c>
      <c r="J164" s="1">
        <f>IF(Suma!$B163=$A$1,Suma!AK163,NA())</f>
        <v>0</v>
      </c>
      <c r="K164" s="10">
        <f>IF(Suma!$B163=$A$1,Suma!AS163,NA())</f>
        <v>0</v>
      </c>
      <c r="L164" s="1">
        <f>IF(Suma!$B163=$A$1,Suma!G163,NA())</f>
        <v>0</v>
      </c>
      <c r="M164" s="1">
        <f>IF(Suma!$B163=$A$1,Suma!H163,NA())</f>
        <v>0</v>
      </c>
      <c r="N164" s="1">
        <f>IF(Suma!$B163=$A$1,Suma!AT163,NA())</f>
        <v>1900</v>
      </c>
      <c r="O164" s="1" t="str">
        <f>IF(Suma!$B163=$A$1,Suma!AU163,NA())</f>
        <v>enero</v>
      </c>
      <c r="P164" s="1">
        <f>IF(Suma!$B163=$A$1,Suma!AV163,NA())</f>
        <v>0</v>
      </c>
      <c r="Q164" s="1">
        <f>IF(Suma!$B163=$A$1,Suma!AW163,NA())</f>
        <v>0</v>
      </c>
      <c r="R164" s="10">
        <f>IF(Suma!$B163=$A$1,Suma!AX163,NA())</f>
        <v>0</v>
      </c>
      <c r="S164" s="10">
        <f>IF(Suma!$B163=$A$1,Suma!AY163,NA())</f>
        <v>0</v>
      </c>
      <c r="T164" s="10">
        <f>IF(Suma!$B163=$A$1,Suma!AZ163,NA())</f>
        <v>0</v>
      </c>
      <c r="U164" s="10">
        <f>IF(Suma!$B163=$A$1,Suma!J163,NA())</f>
        <v>0</v>
      </c>
      <c r="V164" s="10">
        <f>IF(Suma!$B163=$A$1,Suma!K163,NA())</f>
        <v>0</v>
      </c>
      <c r="W164" s="10">
        <f>IF(Suma!$B163=$A$1,Suma!L163,NA())</f>
        <v>0</v>
      </c>
      <c r="X164" s="10">
        <f>IF(Suma!$B163=$A$1,Suma!M163,NA())</f>
        <v>0</v>
      </c>
      <c r="Y164" s="10">
        <f>IF(Suma!$B163=$A$1,Suma!N163,NA())</f>
        <v>0</v>
      </c>
      <c r="Z164" s="10">
        <f>IF(Suma!$B163=$A$1,Suma!O163,NA())</f>
        <v>0</v>
      </c>
      <c r="AA164" s="10">
        <f>IF(Suma!$B163=$A$1,Suma!BC163,NA())</f>
        <v>0</v>
      </c>
      <c r="AB164" s="10">
        <f>IF(Suma!$B163=$A$1,Suma!BD163,NA())</f>
        <v>0</v>
      </c>
    </row>
    <row r="165" spans="1:28" x14ac:dyDescent="0.3">
      <c r="A165" s="1">
        <f>IF(Suma!$B164=$A$1,Suma!C164,NA())</f>
        <v>0</v>
      </c>
      <c r="B165" s="1">
        <f>IF(Suma!$B164=$A$1,Suma!D164,NA())</f>
        <v>0</v>
      </c>
      <c r="C165" s="2">
        <f>IF(Suma!$B164=$A$1,Suma!E164,NA())</f>
        <v>0</v>
      </c>
      <c r="D165" s="2">
        <f>IF(Suma!$B164=$A$1,Suma!F164,NA())</f>
        <v>0</v>
      </c>
      <c r="E165" s="1">
        <f>IF(Suma!$B164=$A$1,Suma!P164,NA())</f>
        <v>0</v>
      </c>
      <c r="F165" s="10">
        <f t="shared" si="4"/>
        <v>0</v>
      </c>
      <c r="G165" s="1">
        <f>IF(Suma!$B164=$A$1,Suma!W164,NA())</f>
        <v>0</v>
      </c>
      <c r="H165" s="10">
        <f t="shared" si="5"/>
        <v>0</v>
      </c>
      <c r="I165" s="1">
        <f>IF(Suma!$B164=$A$1,Suma!AD164,NA())</f>
        <v>0</v>
      </c>
      <c r="J165" s="1">
        <f>IF(Suma!$B164=$A$1,Suma!AK164,NA())</f>
        <v>0</v>
      </c>
      <c r="K165" s="10">
        <f>IF(Suma!$B164=$A$1,Suma!AS164,NA())</f>
        <v>0</v>
      </c>
      <c r="L165" s="1">
        <f>IF(Suma!$B164=$A$1,Suma!G164,NA())</f>
        <v>0</v>
      </c>
      <c r="M165" s="1">
        <f>IF(Suma!$B164=$A$1,Suma!H164,NA())</f>
        <v>0</v>
      </c>
      <c r="N165" s="1">
        <f>IF(Suma!$B164=$A$1,Suma!AT164,NA())</f>
        <v>1900</v>
      </c>
      <c r="O165" s="1" t="str">
        <f>IF(Suma!$B164=$A$1,Suma!AU164,NA())</f>
        <v>enero</v>
      </c>
      <c r="P165" s="1">
        <f>IF(Suma!$B164=$A$1,Suma!AV164,NA())</f>
        <v>0</v>
      </c>
      <c r="Q165" s="1">
        <f>IF(Suma!$B164=$A$1,Suma!AW164,NA())</f>
        <v>0</v>
      </c>
      <c r="R165" s="10">
        <f>IF(Suma!$B164=$A$1,Suma!AX164,NA())</f>
        <v>0</v>
      </c>
      <c r="S165" s="10">
        <f>IF(Suma!$B164=$A$1,Suma!AY164,NA())</f>
        <v>0</v>
      </c>
      <c r="T165" s="10">
        <f>IF(Suma!$B164=$A$1,Suma!AZ164,NA())</f>
        <v>0</v>
      </c>
      <c r="U165" s="10">
        <f>IF(Suma!$B164=$A$1,Suma!J164,NA())</f>
        <v>0</v>
      </c>
      <c r="V165" s="10">
        <f>IF(Suma!$B164=$A$1,Suma!K164,NA())</f>
        <v>0</v>
      </c>
      <c r="W165" s="10">
        <f>IF(Suma!$B164=$A$1,Suma!L164,NA())</f>
        <v>0</v>
      </c>
      <c r="X165" s="10">
        <f>IF(Suma!$B164=$A$1,Suma!M164,NA())</f>
        <v>0</v>
      </c>
      <c r="Y165" s="10">
        <f>IF(Suma!$B164=$A$1,Suma!N164,NA())</f>
        <v>0</v>
      </c>
      <c r="Z165" s="10">
        <f>IF(Suma!$B164=$A$1,Suma!O164,NA())</f>
        <v>0</v>
      </c>
      <c r="AA165" s="10">
        <f>IF(Suma!$B164=$A$1,Suma!BC164,NA())</f>
        <v>0</v>
      </c>
      <c r="AB165" s="10">
        <f>IF(Suma!$B164=$A$1,Suma!BD164,NA())</f>
        <v>0</v>
      </c>
    </row>
    <row r="166" spans="1:28" x14ac:dyDescent="0.3">
      <c r="A166" s="1">
        <f>IF(Suma!$B165=$A$1,Suma!C165,NA())</f>
        <v>0</v>
      </c>
      <c r="B166" s="1">
        <f>IF(Suma!$B165=$A$1,Suma!D165,NA())</f>
        <v>0</v>
      </c>
      <c r="C166" s="2">
        <f>IF(Suma!$B165=$A$1,Suma!E165,NA())</f>
        <v>0</v>
      </c>
      <c r="D166" s="2">
        <f>IF(Suma!$B165=$A$1,Suma!F165,NA())</f>
        <v>0</v>
      </c>
      <c r="E166" s="1">
        <f>IF(Suma!$B165=$A$1,Suma!P165,NA())</f>
        <v>0</v>
      </c>
      <c r="F166" s="10">
        <f t="shared" si="4"/>
        <v>0</v>
      </c>
      <c r="G166" s="1">
        <f>IF(Suma!$B165=$A$1,Suma!W165,NA())</f>
        <v>0</v>
      </c>
      <c r="H166" s="10">
        <f t="shared" si="5"/>
        <v>0</v>
      </c>
      <c r="I166" s="1">
        <f>IF(Suma!$B165=$A$1,Suma!AD165,NA())</f>
        <v>0</v>
      </c>
      <c r="J166" s="1">
        <f>IF(Suma!$B165=$A$1,Suma!AK165,NA())</f>
        <v>0</v>
      </c>
      <c r="K166" s="10">
        <f>IF(Suma!$B165=$A$1,Suma!AS165,NA())</f>
        <v>0</v>
      </c>
      <c r="L166" s="1">
        <f>IF(Suma!$B165=$A$1,Suma!G165,NA())</f>
        <v>0</v>
      </c>
      <c r="M166" s="1">
        <f>IF(Suma!$B165=$A$1,Suma!H165,NA())</f>
        <v>0</v>
      </c>
      <c r="N166" s="1">
        <f>IF(Suma!$B165=$A$1,Suma!AT165,NA())</f>
        <v>1900</v>
      </c>
      <c r="O166" s="1" t="str">
        <f>IF(Suma!$B165=$A$1,Suma!AU165,NA())</f>
        <v>enero</v>
      </c>
      <c r="P166" s="1">
        <f>IF(Suma!$B165=$A$1,Suma!AV165,NA())</f>
        <v>0</v>
      </c>
      <c r="Q166" s="1">
        <f>IF(Suma!$B165=$A$1,Suma!AW165,NA())</f>
        <v>0</v>
      </c>
      <c r="R166" s="10">
        <f>IF(Suma!$B165=$A$1,Suma!AX165,NA())</f>
        <v>0</v>
      </c>
      <c r="S166" s="10">
        <f>IF(Suma!$B165=$A$1,Suma!AY165,NA())</f>
        <v>0</v>
      </c>
      <c r="T166" s="10">
        <f>IF(Suma!$B165=$A$1,Suma!AZ165,NA())</f>
        <v>0</v>
      </c>
      <c r="U166" s="10">
        <f>IF(Suma!$B165=$A$1,Suma!J165,NA())</f>
        <v>0</v>
      </c>
      <c r="V166" s="10">
        <f>IF(Suma!$B165=$A$1,Suma!K165,NA())</f>
        <v>0</v>
      </c>
      <c r="W166" s="10">
        <f>IF(Suma!$B165=$A$1,Suma!L165,NA())</f>
        <v>0</v>
      </c>
      <c r="X166" s="10">
        <f>IF(Suma!$B165=$A$1,Suma!M165,NA())</f>
        <v>0</v>
      </c>
      <c r="Y166" s="10">
        <f>IF(Suma!$B165=$A$1,Suma!N165,NA())</f>
        <v>0</v>
      </c>
      <c r="Z166" s="10">
        <f>IF(Suma!$B165=$A$1,Suma!O165,NA())</f>
        <v>0</v>
      </c>
      <c r="AA166" s="10">
        <f>IF(Suma!$B165=$A$1,Suma!BC165,NA())</f>
        <v>0</v>
      </c>
      <c r="AB166" s="10">
        <f>IF(Suma!$B165=$A$1,Suma!BD165,NA())</f>
        <v>0</v>
      </c>
    </row>
    <row r="167" spans="1:28" x14ac:dyDescent="0.3">
      <c r="A167" s="1">
        <f>IF(Suma!$B166=$A$1,Suma!C166,NA())</f>
        <v>0</v>
      </c>
      <c r="B167" s="1">
        <f>IF(Suma!$B166=$A$1,Suma!D166,NA())</f>
        <v>0</v>
      </c>
      <c r="C167" s="2">
        <f>IF(Suma!$B166=$A$1,Suma!E166,NA())</f>
        <v>0</v>
      </c>
      <c r="D167" s="2">
        <f>IF(Suma!$B166=$A$1,Suma!F166,NA())</f>
        <v>0</v>
      </c>
      <c r="E167" s="1">
        <f>IF(Suma!$B166=$A$1,Suma!P166,NA())</f>
        <v>0</v>
      </c>
      <c r="F167" s="10">
        <f t="shared" si="4"/>
        <v>0</v>
      </c>
      <c r="G167" s="1">
        <f>IF(Suma!$B166=$A$1,Suma!W166,NA())</f>
        <v>0</v>
      </c>
      <c r="H167" s="10">
        <f t="shared" si="5"/>
        <v>0</v>
      </c>
      <c r="I167" s="1">
        <f>IF(Suma!$B166=$A$1,Suma!AD166,NA())</f>
        <v>0</v>
      </c>
      <c r="J167" s="1">
        <f>IF(Suma!$B166=$A$1,Suma!AK166,NA())</f>
        <v>0</v>
      </c>
      <c r="K167" s="10">
        <f>IF(Suma!$B166=$A$1,Suma!AS166,NA())</f>
        <v>0</v>
      </c>
      <c r="L167" s="1">
        <f>IF(Suma!$B166=$A$1,Suma!G166,NA())</f>
        <v>0</v>
      </c>
      <c r="M167" s="1">
        <f>IF(Suma!$B166=$A$1,Suma!H166,NA())</f>
        <v>0</v>
      </c>
      <c r="N167" s="1">
        <f>IF(Suma!$B166=$A$1,Suma!AT166,NA())</f>
        <v>1900</v>
      </c>
      <c r="O167" s="1" t="str">
        <f>IF(Suma!$B166=$A$1,Suma!AU166,NA())</f>
        <v>enero</v>
      </c>
      <c r="P167" s="1">
        <f>IF(Suma!$B166=$A$1,Suma!AV166,NA())</f>
        <v>0</v>
      </c>
      <c r="Q167" s="1">
        <f>IF(Suma!$B166=$A$1,Suma!AW166,NA())</f>
        <v>0</v>
      </c>
      <c r="R167" s="10">
        <f>IF(Suma!$B166=$A$1,Suma!AX166,NA())</f>
        <v>0</v>
      </c>
      <c r="S167" s="10">
        <f>IF(Suma!$B166=$A$1,Suma!AY166,NA())</f>
        <v>0</v>
      </c>
      <c r="T167" s="10">
        <f>IF(Suma!$B166=$A$1,Suma!AZ166,NA())</f>
        <v>0</v>
      </c>
      <c r="U167" s="10">
        <f>IF(Suma!$B166=$A$1,Suma!J166,NA())</f>
        <v>0</v>
      </c>
      <c r="V167" s="10">
        <f>IF(Suma!$B166=$A$1,Suma!K166,NA())</f>
        <v>0</v>
      </c>
      <c r="W167" s="10">
        <f>IF(Suma!$B166=$A$1,Suma!L166,NA())</f>
        <v>0</v>
      </c>
      <c r="X167" s="10">
        <f>IF(Suma!$B166=$A$1,Suma!M166,NA())</f>
        <v>0</v>
      </c>
      <c r="Y167" s="10">
        <f>IF(Suma!$B166=$A$1,Suma!N166,NA())</f>
        <v>0</v>
      </c>
      <c r="Z167" s="10">
        <f>IF(Suma!$B166=$A$1,Suma!O166,NA())</f>
        <v>0</v>
      </c>
      <c r="AA167" s="10">
        <f>IF(Suma!$B166=$A$1,Suma!BC166,NA())</f>
        <v>0</v>
      </c>
      <c r="AB167" s="10">
        <f>IF(Suma!$B166=$A$1,Suma!BD166,NA())</f>
        <v>0</v>
      </c>
    </row>
    <row r="168" spans="1:28" x14ac:dyDescent="0.3">
      <c r="A168" s="1">
        <f>IF(Suma!$B167=$A$1,Suma!C167,NA())</f>
        <v>0</v>
      </c>
      <c r="B168" s="1">
        <f>IF(Suma!$B167=$A$1,Suma!D167,NA())</f>
        <v>0</v>
      </c>
      <c r="C168" s="2">
        <f>IF(Suma!$B167=$A$1,Suma!E167,NA())</f>
        <v>0</v>
      </c>
      <c r="D168" s="2">
        <f>IF(Suma!$B167=$A$1,Suma!F167,NA())</f>
        <v>0</v>
      </c>
      <c r="E168" s="1">
        <f>IF(Suma!$B167=$A$1,Suma!P167,NA())</f>
        <v>0</v>
      </c>
      <c r="F168" s="10">
        <f t="shared" si="4"/>
        <v>0</v>
      </c>
      <c r="G168" s="1">
        <f>IF(Suma!$B167=$A$1,Suma!W167,NA())</f>
        <v>0</v>
      </c>
      <c r="H168" s="10">
        <f t="shared" si="5"/>
        <v>0</v>
      </c>
      <c r="I168" s="1">
        <f>IF(Suma!$B167=$A$1,Suma!AD167,NA())</f>
        <v>0</v>
      </c>
      <c r="J168" s="1">
        <f>IF(Suma!$B167=$A$1,Suma!AK167,NA())</f>
        <v>0</v>
      </c>
      <c r="K168" s="10">
        <f>IF(Suma!$B167=$A$1,Suma!AS167,NA())</f>
        <v>0</v>
      </c>
      <c r="L168" s="1">
        <f>IF(Suma!$B167=$A$1,Suma!G167,NA())</f>
        <v>0</v>
      </c>
      <c r="M168" s="1">
        <f>IF(Suma!$B167=$A$1,Suma!H167,NA())</f>
        <v>0</v>
      </c>
      <c r="N168" s="1">
        <f>IF(Suma!$B167=$A$1,Suma!AT167,NA())</f>
        <v>1900</v>
      </c>
      <c r="O168" s="1" t="str">
        <f>IF(Suma!$B167=$A$1,Suma!AU167,NA())</f>
        <v>enero</v>
      </c>
      <c r="P168" s="1">
        <f>IF(Suma!$B167=$A$1,Suma!AV167,NA())</f>
        <v>0</v>
      </c>
      <c r="Q168" s="1">
        <f>IF(Suma!$B167=$A$1,Suma!AW167,NA())</f>
        <v>0</v>
      </c>
      <c r="R168" s="10">
        <f>IF(Suma!$B167=$A$1,Suma!AX167,NA())</f>
        <v>0</v>
      </c>
      <c r="S168" s="10">
        <f>IF(Suma!$B167=$A$1,Suma!AY167,NA())</f>
        <v>0</v>
      </c>
      <c r="T168" s="10">
        <f>IF(Suma!$B167=$A$1,Suma!AZ167,NA())</f>
        <v>0</v>
      </c>
      <c r="U168" s="10">
        <f>IF(Suma!$B167=$A$1,Suma!J167,NA())</f>
        <v>0</v>
      </c>
      <c r="V168" s="10">
        <f>IF(Suma!$B167=$A$1,Suma!K167,NA())</f>
        <v>0</v>
      </c>
      <c r="W168" s="10">
        <f>IF(Suma!$B167=$A$1,Suma!L167,NA())</f>
        <v>0</v>
      </c>
      <c r="X168" s="10">
        <f>IF(Suma!$B167=$A$1,Suma!M167,NA())</f>
        <v>0</v>
      </c>
      <c r="Y168" s="10">
        <f>IF(Suma!$B167=$A$1,Suma!N167,NA())</f>
        <v>0</v>
      </c>
      <c r="Z168" s="10">
        <f>IF(Suma!$B167=$A$1,Suma!O167,NA())</f>
        <v>0</v>
      </c>
      <c r="AA168" s="10">
        <f>IF(Suma!$B167=$A$1,Suma!BC167,NA())</f>
        <v>0</v>
      </c>
      <c r="AB168" s="10">
        <f>IF(Suma!$B167=$A$1,Suma!BD167,NA())</f>
        <v>0</v>
      </c>
    </row>
    <row r="169" spans="1:28" x14ac:dyDescent="0.3">
      <c r="A169" s="1">
        <f>IF(Suma!$B168=$A$1,Suma!C168,NA())</f>
        <v>0</v>
      </c>
      <c r="B169" s="1">
        <f>IF(Suma!$B168=$A$1,Suma!D168,NA())</f>
        <v>0</v>
      </c>
      <c r="C169" s="2">
        <f>IF(Suma!$B168=$A$1,Suma!E168,NA())</f>
        <v>0</v>
      </c>
      <c r="D169" s="2">
        <f>IF(Suma!$B168=$A$1,Suma!F168,NA())</f>
        <v>0</v>
      </c>
      <c r="E169" s="1">
        <f>IF(Suma!$B168=$A$1,Suma!P168,NA())</f>
        <v>0</v>
      </c>
      <c r="F169" s="10">
        <f t="shared" si="4"/>
        <v>0</v>
      </c>
      <c r="G169" s="1">
        <f>IF(Suma!$B168=$A$1,Suma!W168,NA())</f>
        <v>0</v>
      </c>
      <c r="H169" s="10">
        <f t="shared" si="5"/>
        <v>0</v>
      </c>
      <c r="I169" s="1">
        <f>IF(Suma!$B168=$A$1,Suma!AD168,NA())</f>
        <v>0</v>
      </c>
      <c r="J169" s="1">
        <f>IF(Suma!$B168=$A$1,Suma!AK168,NA())</f>
        <v>0</v>
      </c>
      <c r="K169" s="10">
        <f>IF(Suma!$B168=$A$1,Suma!AS168,NA())</f>
        <v>0</v>
      </c>
      <c r="L169" s="1">
        <f>IF(Suma!$B168=$A$1,Suma!G168,NA())</f>
        <v>0</v>
      </c>
      <c r="M169" s="1">
        <f>IF(Suma!$B168=$A$1,Suma!H168,NA())</f>
        <v>0</v>
      </c>
      <c r="N169" s="1">
        <f>IF(Suma!$B168=$A$1,Suma!AT168,NA())</f>
        <v>1900</v>
      </c>
      <c r="O169" s="1" t="str">
        <f>IF(Suma!$B168=$A$1,Suma!AU168,NA())</f>
        <v>enero</v>
      </c>
      <c r="P169" s="1">
        <f>IF(Suma!$B168=$A$1,Suma!AV168,NA())</f>
        <v>0</v>
      </c>
      <c r="Q169" s="1">
        <f>IF(Suma!$B168=$A$1,Suma!AW168,NA())</f>
        <v>0</v>
      </c>
      <c r="R169" s="10">
        <f>IF(Suma!$B168=$A$1,Suma!AX168,NA())</f>
        <v>0</v>
      </c>
      <c r="S169" s="10">
        <f>IF(Suma!$B168=$A$1,Suma!AY168,NA())</f>
        <v>0</v>
      </c>
      <c r="T169" s="10">
        <f>IF(Suma!$B168=$A$1,Suma!AZ168,NA())</f>
        <v>0</v>
      </c>
      <c r="U169" s="10">
        <f>IF(Suma!$B168=$A$1,Suma!J168,NA())</f>
        <v>0</v>
      </c>
      <c r="V169" s="10">
        <f>IF(Suma!$B168=$A$1,Suma!K168,NA())</f>
        <v>0</v>
      </c>
      <c r="W169" s="10">
        <f>IF(Suma!$B168=$A$1,Suma!L168,NA())</f>
        <v>0</v>
      </c>
      <c r="X169" s="10">
        <f>IF(Suma!$B168=$A$1,Suma!M168,NA())</f>
        <v>0</v>
      </c>
      <c r="Y169" s="10">
        <f>IF(Suma!$B168=$A$1,Suma!N168,NA())</f>
        <v>0</v>
      </c>
      <c r="Z169" s="10">
        <f>IF(Suma!$B168=$A$1,Suma!O168,NA())</f>
        <v>0</v>
      </c>
      <c r="AA169" s="10">
        <f>IF(Suma!$B168=$A$1,Suma!BC168,NA())</f>
        <v>0</v>
      </c>
      <c r="AB169" s="10">
        <f>IF(Suma!$B168=$A$1,Suma!BD168,NA())</f>
        <v>0</v>
      </c>
    </row>
    <row r="170" spans="1:28" x14ac:dyDescent="0.3">
      <c r="A170" s="1">
        <f>IF(Suma!$B169=$A$1,Suma!C169,NA())</f>
        <v>0</v>
      </c>
      <c r="B170" s="1">
        <f>IF(Suma!$B169=$A$1,Suma!D169,NA())</f>
        <v>0</v>
      </c>
      <c r="C170" s="2">
        <f>IF(Suma!$B169=$A$1,Suma!E169,NA())</f>
        <v>0</v>
      </c>
      <c r="D170" s="2">
        <f>IF(Suma!$B169=$A$1,Suma!F169,NA())</f>
        <v>0</v>
      </c>
      <c r="E170" s="1">
        <f>IF(Suma!$B169=$A$1,Suma!P169,NA())</f>
        <v>0</v>
      </c>
      <c r="F170" s="10">
        <f t="shared" si="4"/>
        <v>0</v>
      </c>
      <c r="G170" s="1">
        <f>IF(Suma!$B169=$A$1,Suma!W169,NA())</f>
        <v>0</v>
      </c>
      <c r="H170" s="10">
        <f t="shared" si="5"/>
        <v>0</v>
      </c>
      <c r="I170" s="1">
        <f>IF(Suma!$B169=$A$1,Suma!AD169,NA())</f>
        <v>0</v>
      </c>
      <c r="J170" s="1">
        <f>IF(Suma!$B169=$A$1,Suma!AK169,NA())</f>
        <v>0</v>
      </c>
      <c r="K170" s="10">
        <f>IF(Suma!$B169=$A$1,Suma!AS169,NA())</f>
        <v>0</v>
      </c>
      <c r="L170" s="1">
        <f>IF(Suma!$B169=$A$1,Suma!G169,NA())</f>
        <v>0</v>
      </c>
      <c r="M170" s="1">
        <f>IF(Suma!$B169=$A$1,Suma!H169,NA())</f>
        <v>0</v>
      </c>
      <c r="N170" s="1">
        <f>IF(Suma!$B169=$A$1,Suma!AT169,NA())</f>
        <v>1900</v>
      </c>
      <c r="O170" s="1" t="str">
        <f>IF(Suma!$B169=$A$1,Suma!AU169,NA())</f>
        <v>enero</v>
      </c>
      <c r="P170" s="1">
        <f>IF(Suma!$B169=$A$1,Suma!AV169,NA())</f>
        <v>0</v>
      </c>
      <c r="Q170" s="1">
        <f>IF(Suma!$B169=$A$1,Suma!AW169,NA())</f>
        <v>0</v>
      </c>
      <c r="R170" s="10">
        <f>IF(Suma!$B169=$A$1,Suma!AX169,NA())</f>
        <v>0</v>
      </c>
      <c r="S170" s="10">
        <f>IF(Suma!$B169=$A$1,Suma!AY169,NA())</f>
        <v>0</v>
      </c>
      <c r="T170" s="10">
        <f>IF(Suma!$B169=$A$1,Suma!AZ169,NA())</f>
        <v>0</v>
      </c>
      <c r="U170" s="10">
        <f>IF(Suma!$B169=$A$1,Suma!J169,NA())</f>
        <v>0</v>
      </c>
      <c r="V170" s="10">
        <f>IF(Suma!$B169=$A$1,Suma!K169,NA())</f>
        <v>0</v>
      </c>
      <c r="W170" s="10">
        <f>IF(Suma!$B169=$A$1,Suma!L169,NA())</f>
        <v>0</v>
      </c>
      <c r="X170" s="10">
        <f>IF(Suma!$B169=$A$1,Suma!M169,NA())</f>
        <v>0</v>
      </c>
      <c r="Y170" s="10">
        <f>IF(Suma!$B169=$A$1,Suma!N169,NA())</f>
        <v>0</v>
      </c>
      <c r="Z170" s="10">
        <f>IF(Suma!$B169=$A$1,Suma!O169,NA())</f>
        <v>0</v>
      </c>
      <c r="AA170" s="10">
        <f>IF(Suma!$B169=$A$1,Suma!BC169,NA())</f>
        <v>0</v>
      </c>
      <c r="AB170" s="10">
        <f>IF(Suma!$B169=$A$1,Suma!BD169,NA())</f>
        <v>0</v>
      </c>
    </row>
    <row r="171" spans="1:28" x14ac:dyDescent="0.3">
      <c r="A171" s="1">
        <f>IF(Suma!$B170=$A$1,Suma!C170,NA())</f>
        <v>0</v>
      </c>
      <c r="B171" s="1">
        <f>IF(Suma!$B170=$A$1,Suma!D170,NA())</f>
        <v>0</v>
      </c>
      <c r="C171" s="2">
        <f>IF(Suma!$B170=$A$1,Suma!E170,NA())</f>
        <v>0</v>
      </c>
      <c r="D171" s="2">
        <f>IF(Suma!$B170=$A$1,Suma!F170,NA())</f>
        <v>0</v>
      </c>
      <c r="E171" s="1">
        <f>IF(Suma!$B170=$A$1,Suma!P170,NA())</f>
        <v>0</v>
      </c>
      <c r="F171" s="10">
        <f t="shared" si="4"/>
        <v>0</v>
      </c>
      <c r="G171" s="1">
        <f>IF(Suma!$B170=$A$1,Suma!W170,NA())</f>
        <v>0</v>
      </c>
      <c r="H171" s="10">
        <f t="shared" si="5"/>
        <v>0</v>
      </c>
      <c r="I171" s="1">
        <f>IF(Suma!$B170=$A$1,Suma!AD170,NA())</f>
        <v>0</v>
      </c>
      <c r="J171" s="1">
        <f>IF(Suma!$B170=$A$1,Suma!AK170,NA())</f>
        <v>0</v>
      </c>
      <c r="K171" s="10">
        <f>IF(Suma!$B170=$A$1,Suma!AS170,NA())</f>
        <v>0</v>
      </c>
      <c r="L171" s="1">
        <f>IF(Suma!$B170=$A$1,Suma!G170,NA())</f>
        <v>0</v>
      </c>
      <c r="M171" s="1">
        <f>IF(Suma!$B170=$A$1,Suma!H170,NA())</f>
        <v>0</v>
      </c>
      <c r="N171" s="1">
        <f>IF(Suma!$B170=$A$1,Suma!AT170,NA())</f>
        <v>1900</v>
      </c>
      <c r="O171" s="1" t="str">
        <f>IF(Suma!$B170=$A$1,Suma!AU170,NA())</f>
        <v>enero</v>
      </c>
      <c r="P171" s="1">
        <f>IF(Suma!$B170=$A$1,Suma!AV170,NA())</f>
        <v>0</v>
      </c>
      <c r="Q171" s="1">
        <f>IF(Suma!$B170=$A$1,Suma!AW170,NA())</f>
        <v>0</v>
      </c>
      <c r="R171" s="10">
        <f>IF(Suma!$B170=$A$1,Suma!AX170,NA())</f>
        <v>0</v>
      </c>
      <c r="S171" s="10">
        <f>IF(Suma!$B170=$A$1,Suma!AY170,NA())</f>
        <v>0</v>
      </c>
      <c r="T171" s="10">
        <f>IF(Suma!$B170=$A$1,Suma!AZ170,NA())</f>
        <v>0</v>
      </c>
      <c r="U171" s="10">
        <f>IF(Suma!$B170=$A$1,Suma!J170,NA())</f>
        <v>0</v>
      </c>
      <c r="V171" s="10">
        <f>IF(Suma!$B170=$A$1,Suma!K170,NA())</f>
        <v>0</v>
      </c>
      <c r="W171" s="10">
        <f>IF(Suma!$B170=$A$1,Suma!L170,NA())</f>
        <v>0</v>
      </c>
      <c r="X171" s="10">
        <f>IF(Suma!$B170=$A$1,Suma!M170,NA())</f>
        <v>0</v>
      </c>
      <c r="Y171" s="10">
        <f>IF(Suma!$B170=$A$1,Suma!N170,NA())</f>
        <v>0</v>
      </c>
      <c r="Z171" s="10">
        <f>IF(Suma!$B170=$A$1,Suma!O170,NA())</f>
        <v>0</v>
      </c>
      <c r="AA171" s="10">
        <f>IF(Suma!$B170=$A$1,Suma!BC170,NA())</f>
        <v>0</v>
      </c>
      <c r="AB171" s="10">
        <f>IF(Suma!$B170=$A$1,Suma!BD170,NA())</f>
        <v>0</v>
      </c>
    </row>
    <row r="172" spans="1:28" x14ac:dyDescent="0.3">
      <c r="A172" s="1">
        <f>IF(Suma!$B171=$A$1,Suma!C171,NA())</f>
        <v>0</v>
      </c>
      <c r="B172" s="1">
        <f>IF(Suma!$B171=$A$1,Suma!D171,NA())</f>
        <v>0</v>
      </c>
      <c r="C172" s="2">
        <f>IF(Suma!$B171=$A$1,Suma!E171,NA())</f>
        <v>0</v>
      </c>
      <c r="D172" s="2">
        <f>IF(Suma!$B171=$A$1,Suma!F171,NA())</f>
        <v>0</v>
      </c>
      <c r="E172" s="1">
        <f>IF(Suma!$B171=$A$1,Suma!P171,NA())</f>
        <v>0</v>
      </c>
      <c r="F172" s="10">
        <f t="shared" si="4"/>
        <v>0</v>
      </c>
      <c r="G172" s="1">
        <f>IF(Suma!$B171=$A$1,Suma!W171,NA())</f>
        <v>0</v>
      </c>
      <c r="H172" s="10">
        <f t="shared" si="5"/>
        <v>0</v>
      </c>
      <c r="I172" s="1">
        <f>IF(Suma!$B171=$A$1,Suma!AD171,NA())</f>
        <v>0</v>
      </c>
      <c r="J172" s="1">
        <f>IF(Suma!$B171=$A$1,Suma!AK171,NA())</f>
        <v>0</v>
      </c>
      <c r="K172" s="10">
        <f>IF(Suma!$B171=$A$1,Suma!AS171,NA())</f>
        <v>0</v>
      </c>
      <c r="L172" s="1">
        <f>IF(Suma!$B171=$A$1,Suma!G171,NA())</f>
        <v>0</v>
      </c>
      <c r="M172" s="1">
        <f>IF(Suma!$B171=$A$1,Suma!H171,NA())</f>
        <v>0</v>
      </c>
      <c r="N172" s="1">
        <f>IF(Suma!$B171=$A$1,Suma!AT171,NA())</f>
        <v>1900</v>
      </c>
      <c r="O172" s="1" t="str">
        <f>IF(Suma!$B171=$A$1,Suma!AU171,NA())</f>
        <v>enero</v>
      </c>
      <c r="P172" s="1">
        <f>IF(Suma!$B171=$A$1,Suma!AV171,NA())</f>
        <v>0</v>
      </c>
      <c r="Q172" s="1">
        <f>IF(Suma!$B171=$A$1,Suma!AW171,NA())</f>
        <v>0</v>
      </c>
      <c r="R172" s="10">
        <f>IF(Suma!$B171=$A$1,Suma!AX171,NA())</f>
        <v>0</v>
      </c>
      <c r="S172" s="10">
        <f>IF(Suma!$B171=$A$1,Suma!AY171,NA())</f>
        <v>0</v>
      </c>
      <c r="T172" s="10">
        <f>IF(Suma!$B171=$A$1,Suma!AZ171,NA())</f>
        <v>0</v>
      </c>
      <c r="U172" s="10">
        <f>IF(Suma!$B171=$A$1,Suma!J171,NA())</f>
        <v>0</v>
      </c>
      <c r="V172" s="10">
        <f>IF(Suma!$B171=$A$1,Suma!K171,NA())</f>
        <v>0</v>
      </c>
      <c r="W172" s="10">
        <f>IF(Suma!$B171=$A$1,Suma!L171,NA())</f>
        <v>0</v>
      </c>
      <c r="X172" s="10">
        <f>IF(Suma!$B171=$A$1,Suma!M171,NA())</f>
        <v>0</v>
      </c>
      <c r="Y172" s="10">
        <f>IF(Suma!$B171=$A$1,Suma!N171,NA())</f>
        <v>0</v>
      </c>
      <c r="Z172" s="10">
        <f>IF(Suma!$B171=$A$1,Suma!O171,NA())</f>
        <v>0</v>
      </c>
      <c r="AA172" s="10">
        <f>IF(Suma!$B171=$A$1,Suma!BC171,NA())</f>
        <v>0</v>
      </c>
      <c r="AB172" s="10">
        <f>IF(Suma!$B171=$A$1,Suma!BD171,NA())</f>
        <v>0</v>
      </c>
    </row>
    <row r="173" spans="1:28" x14ac:dyDescent="0.3">
      <c r="A173" s="1">
        <f>IF(Suma!$B172=$A$1,Suma!C172,NA())</f>
        <v>0</v>
      </c>
      <c r="B173" s="1">
        <f>IF(Suma!$B172=$A$1,Suma!D172,NA())</f>
        <v>0</v>
      </c>
      <c r="C173" s="2">
        <f>IF(Suma!$B172=$A$1,Suma!E172,NA())</f>
        <v>0</v>
      </c>
      <c r="D173" s="2">
        <f>IF(Suma!$B172=$A$1,Suma!F172,NA())</f>
        <v>0</v>
      </c>
      <c r="E173" s="1">
        <f>IF(Suma!$B172=$A$1,Suma!P172,NA())</f>
        <v>0</v>
      </c>
      <c r="F173" s="10">
        <f t="shared" si="4"/>
        <v>0</v>
      </c>
      <c r="G173" s="1">
        <f>IF(Suma!$B172=$A$1,Suma!W172,NA())</f>
        <v>0</v>
      </c>
      <c r="H173" s="10">
        <f t="shared" si="5"/>
        <v>0</v>
      </c>
      <c r="I173" s="1">
        <f>IF(Suma!$B172=$A$1,Suma!AD172,NA())</f>
        <v>0</v>
      </c>
      <c r="J173" s="1">
        <f>IF(Suma!$B172=$A$1,Suma!AK172,NA())</f>
        <v>0</v>
      </c>
      <c r="K173" s="10">
        <f>IF(Suma!$B172=$A$1,Suma!AS172,NA())</f>
        <v>0</v>
      </c>
      <c r="L173" s="1">
        <f>IF(Suma!$B172=$A$1,Suma!G172,NA())</f>
        <v>0</v>
      </c>
      <c r="M173" s="1">
        <f>IF(Suma!$B172=$A$1,Suma!H172,NA())</f>
        <v>0</v>
      </c>
      <c r="N173" s="1">
        <f>IF(Suma!$B172=$A$1,Suma!AT172,NA())</f>
        <v>1900</v>
      </c>
      <c r="O173" s="1" t="str">
        <f>IF(Suma!$B172=$A$1,Suma!AU172,NA())</f>
        <v>enero</v>
      </c>
      <c r="P173" s="1">
        <f>IF(Suma!$B172=$A$1,Suma!AV172,NA())</f>
        <v>0</v>
      </c>
      <c r="Q173" s="1">
        <f>IF(Suma!$B172=$A$1,Suma!AW172,NA())</f>
        <v>0</v>
      </c>
      <c r="R173" s="10">
        <f>IF(Suma!$B172=$A$1,Suma!AX172,NA())</f>
        <v>0</v>
      </c>
      <c r="S173" s="10">
        <f>IF(Suma!$B172=$A$1,Suma!AY172,NA())</f>
        <v>0</v>
      </c>
      <c r="T173" s="10">
        <f>IF(Suma!$B172=$A$1,Suma!AZ172,NA())</f>
        <v>0</v>
      </c>
      <c r="U173" s="10">
        <f>IF(Suma!$B172=$A$1,Suma!J172,NA())</f>
        <v>0</v>
      </c>
      <c r="V173" s="10">
        <f>IF(Suma!$B172=$A$1,Suma!K172,NA())</f>
        <v>0</v>
      </c>
      <c r="W173" s="10">
        <f>IF(Suma!$B172=$A$1,Suma!L172,NA())</f>
        <v>0</v>
      </c>
      <c r="X173" s="10">
        <f>IF(Suma!$B172=$A$1,Suma!M172,NA())</f>
        <v>0</v>
      </c>
      <c r="Y173" s="10">
        <f>IF(Suma!$B172=$A$1,Suma!N172,NA())</f>
        <v>0</v>
      </c>
      <c r="Z173" s="10">
        <f>IF(Suma!$B172=$A$1,Suma!O172,NA())</f>
        <v>0</v>
      </c>
      <c r="AA173" s="10">
        <f>IF(Suma!$B172=$A$1,Suma!BC172,NA())</f>
        <v>0</v>
      </c>
      <c r="AB173" s="10">
        <f>IF(Suma!$B172=$A$1,Suma!BD172,NA())</f>
        <v>0</v>
      </c>
    </row>
    <row r="174" spans="1:28" x14ac:dyDescent="0.3">
      <c r="A174" s="1">
        <f>IF(Suma!$B173=$A$1,Suma!C173,NA())</f>
        <v>0</v>
      </c>
      <c r="B174" s="1">
        <f>IF(Suma!$B173=$A$1,Suma!D173,NA())</f>
        <v>0</v>
      </c>
      <c r="C174" s="2">
        <f>IF(Suma!$B173=$A$1,Suma!E173,NA())</f>
        <v>0</v>
      </c>
      <c r="D174" s="2">
        <f>IF(Suma!$B173=$A$1,Suma!F173,NA())</f>
        <v>0</v>
      </c>
      <c r="E174" s="1">
        <f>IF(Suma!$B173=$A$1,Suma!P173,NA())</f>
        <v>0</v>
      </c>
      <c r="F174" s="10">
        <f t="shared" si="4"/>
        <v>0</v>
      </c>
      <c r="G174" s="1">
        <f>IF(Suma!$B173=$A$1,Suma!W173,NA())</f>
        <v>0</v>
      </c>
      <c r="H174" s="10">
        <f t="shared" si="5"/>
        <v>0</v>
      </c>
      <c r="I174" s="1">
        <f>IF(Suma!$B173=$A$1,Suma!AD173,NA())</f>
        <v>0</v>
      </c>
      <c r="J174" s="1">
        <f>IF(Suma!$B173=$A$1,Suma!AK173,NA())</f>
        <v>0</v>
      </c>
      <c r="K174" s="10">
        <f>IF(Suma!$B173=$A$1,Suma!AS173,NA())</f>
        <v>0</v>
      </c>
      <c r="L174" s="1">
        <f>IF(Suma!$B173=$A$1,Suma!G173,NA())</f>
        <v>0</v>
      </c>
      <c r="M174" s="1">
        <f>IF(Suma!$B173=$A$1,Suma!H173,NA())</f>
        <v>0</v>
      </c>
      <c r="N174" s="1">
        <f>IF(Suma!$B173=$A$1,Suma!AT173,NA())</f>
        <v>1900</v>
      </c>
      <c r="O174" s="1" t="str">
        <f>IF(Suma!$B173=$A$1,Suma!AU173,NA())</f>
        <v>enero</v>
      </c>
      <c r="P174" s="1">
        <f>IF(Suma!$B173=$A$1,Suma!AV173,NA())</f>
        <v>0</v>
      </c>
      <c r="Q174" s="1">
        <f>IF(Suma!$B173=$A$1,Suma!AW173,NA())</f>
        <v>0</v>
      </c>
      <c r="R174" s="10">
        <f>IF(Suma!$B173=$A$1,Suma!AX173,NA())</f>
        <v>0</v>
      </c>
      <c r="S174" s="10">
        <f>IF(Suma!$B173=$A$1,Suma!AY173,NA())</f>
        <v>0</v>
      </c>
      <c r="T174" s="10">
        <f>IF(Suma!$B173=$A$1,Suma!AZ173,NA())</f>
        <v>0</v>
      </c>
      <c r="U174" s="10">
        <f>IF(Suma!$B173=$A$1,Suma!J173,NA())</f>
        <v>0</v>
      </c>
      <c r="V174" s="10">
        <f>IF(Suma!$B173=$A$1,Suma!K173,NA())</f>
        <v>0</v>
      </c>
      <c r="W174" s="10">
        <f>IF(Suma!$B173=$A$1,Suma!L173,NA())</f>
        <v>0</v>
      </c>
      <c r="X174" s="10">
        <f>IF(Suma!$B173=$A$1,Suma!M173,NA())</f>
        <v>0</v>
      </c>
      <c r="Y174" s="10">
        <f>IF(Suma!$B173=$A$1,Suma!N173,NA())</f>
        <v>0</v>
      </c>
      <c r="Z174" s="10">
        <f>IF(Suma!$B173=$A$1,Suma!O173,NA())</f>
        <v>0</v>
      </c>
      <c r="AA174" s="10">
        <f>IF(Suma!$B173=$A$1,Suma!BC173,NA())</f>
        <v>0</v>
      </c>
      <c r="AB174" s="10">
        <f>IF(Suma!$B173=$A$1,Suma!BD173,NA())</f>
        <v>0</v>
      </c>
    </row>
    <row r="175" spans="1:28" x14ac:dyDescent="0.3">
      <c r="A175" s="1">
        <f>IF(Suma!$B174=$A$1,Suma!C174,NA())</f>
        <v>0</v>
      </c>
      <c r="B175" s="1">
        <f>IF(Suma!$B174=$A$1,Suma!D174,NA())</f>
        <v>0</v>
      </c>
      <c r="C175" s="2">
        <f>IF(Suma!$B174=$A$1,Suma!E174,NA())</f>
        <v>0</v>
      </c>
      <c r="D175" s="2">
        <f>IF(Suma!$B174=$A$1,Suma!F174,NA())</f>
        <v>0</v>
      </c>
      <c r="E175" s="1">
        <f>IF(Suma!$B174=$A$1,Suma!P174,NA())</f>
        <v>0</v>
      </c>
      <c r="F175" s="10">
        <f t="shared" si="4"/>
        <v>0</v>
      </c>
      <c r="G175" s="1">
        <f>IF(Suma!$B174=$A$1,Suma!W174,NA())</f>
        <v>0</v>
      </c>
      <c r="H175" s="10">
        <f t="shared" si="5"/>
        <v>0</v>
      </c>
      <c r="I175" s="1">
        <f>IF(Suma!$B174=$A$1,Suma!AD174,NA())</f>
        <v>0</v>
      </c>
      <c r="J175" s="1">
        <f>IF(Suma!$B174=$A$1,Suma!AK174,NA())</f>
        <v>0</v>
      </c>
      <c r="K175" s="10">
        <f>IF(Suma!$B174=$A$1,Suma!AS174,NA())</f>
        <v>0</v>
      </c>
      <c r="L175" s="1">
        <f>IF(Suma!$B174=$A$1,Suma!G174,NA())</f>
        <v>0</v>
      </c>
      <c r="M175" s="1">
        <f>IF(Suma!$B174=$A$1,Suma!H174,NA())</f>
        <v>0</v>
      </c>
      <c r="N175" s="1">
        <f>IF(Suma!$B174=$A$1,Suma!AT174,NA())</f>
        <v>1900</v>
      </c>
      <c r="O175" s="1" t="str">
        <f>IF(Suma!$B174=$A$1,Suma!AU174,NA())</f>
        <v>enero</v>
      </c>
      <c r="P175" s="1">
        <f>IF(Suma!$B174=$A$1,Suma!AV174,NA())</f>
        <v>0</v>
      </c>
      <c r="Q175" s="1">
        <f>IF(Suma!$B174=$A$1,Suma!AW174,NA())</f>
        <v>0</v>
      </c>
      <c r="R175" s="10">
        <f>IF(Suma!$B174=$A$1,Suma!AX174,NA())</f>
        <v>0</v>
      </c>
      <c r="S175" s="10">
        <f>IF(Suma!$B174=$A$1,Suma!AY174,NA())</f>
        <v>0</v>
      </c>
      <c r="T175" s="10">
        <f>IF(Suma!$B174=$A$1,Suma!AZ174,NA())</f>
        <v>0</v>
      </c>
      <c r="U175" s="10">
        <f>IF(Suma!$B174=$A$1,Suma!J174,NA())</f>
        <v>0</v>
      </c>
      <c r="V175" s="10">
        <f>IF(Suma!$B174=$A$1,Suma!K174,NA())</f>
        <v>0</v>
      </c>
      <c r="W175" s="10">
        <f>IF(Suma!$B174=$A$1,Suma!L174,NA())</f>
        <v>0</v>
      </c>
      <c r="X175" s="10">
        <f>IF(Suma!$B174=$A$1,Suma!M174,NA())</f>
        <v>0</v>
      </c>
      <c r="Y175" s="10">
        <f>IF(Suma!$B174=$A$1,Suma!N174,NA())</f>
        <v>0</v>
      </c>
      <c r="Z175" s="10">
        <f>IF(Suma!$B174=$A$1,Suma!O174,NA())</f>
        <v>0</v>
      </c>
      <c r="AA175" s="10">
        <f>IF(Suma!$B174=$A$1,Suma!BC174,NA())</f>
        <v>0</v>
      </c>
      <c r="AB175" s="10">
        <f>IF(Suma!$B174=$A$1,Suma!BD174,NA())</f>
        <v>0</v>
      </c>
    </row>
    <row r="176" spans="1:28" x14ac:dyDescent="0.3">
      <c r="A176" s="1">
        <f>IF(Suma!$B175=$A$1,Suma!C175,NA())</f>
        <v>0</v>
      </c>
      <c r="B176" s="1">
        <f>IF(Suma!$B175=$A$1,Suma!D175,NA())</f>
        <v>0</v>
      </c>
      <c r="C176" s="2">
        <f>IF(Suma!$B175=$A$1,Suma!E175,NA())</f>
        <v>0</v>
      </c>
      <c r="D176" s="2">
        <f>IF(Suma!$B175=$A$1,Suma!F175,NA())</f>
        <v>0</v>
      </c>
      <c r="E176" s="1">
        <f>IF(Suma!$B175=$A$1,Suma!P175,NA())</f>
        <v>0</v>
      </c>
      <c r="F176" s="10">
        <f t="shared" si="4"/>
        <v>0</v>
      </c>
      <c r="G176" s="1">
        <f>IF(Suma!$B175=$A$1,Suma!W175,NA())</f>
        <v>0</v>
      </c>
      <c r="H176" s="10">
        <f t="shared" si="5"/>
        <v>0</v>
      </c>
      <c r="I176" s="1">
        <f>IF(Suma!$B175=$A$1,Suma!AD175,NA())</f>
        <v>0</v>
      </c>
      <c r="J176" s="1">
        <f>IF(Suma!$B175=$A$1,Suma!AK175,NA())</f>
        <v>0</v>
      </c>
      <c r="K176" s="10">
        <f>IF(Suma!$B175=$A$1,Suma!AS175,NA())</f>
        <v>0</v>
      </c>
      <c r="L176" s="1">
        <f>IF(Suma!$B175=$A$1,Suma!G175,NA())</f>
        <v>0</v>
      </c>
      <c r="M176" s="1">
        <f>IF(Suma!$B175=$A$1,Suma!H175,NA())</f>
        <v>0</v>
      </c>
      <c r="N176" s="1">
        <f>IF(Suma!$B175=$A$1,Suma!AT175,NA())</f>
        <v>1900</v>
      </c>
      <c r="O176" s="1" t="str">
        <f>IF(Suma!$B175=$A$1,Suma!AU175,NA())</f>
        <v>enero</v>
      </c>
      <c r="P176" s="1">
        <f>IF(Suma!$B175=$A$1,Suma!AV175,NA())</f>
        <v>0</v>
      </c>
      <c r="Q176" s="1">
        <f>IF(Suma!$B175=$A$1,Suma!AW175,NA())</f>
        <v>0</v>
      </c>
      <c r="R176" s="10">
        <f>IF(Suma!$B175=$A$1,Suma!AX175,NA())</f>
        <v>0</v>
      </c>
      <c r="S176" s="10">
        <f>IF(Suma!$B175=$A$1,Suma!AY175,NA())</f>
        <v>0</v>
      </c>
      <c r="T176" s="10">
        <f>IF(Suma!$B175=$A$1,Suma!AZ175,NA())</f>
        <v>0</v>
      </c>
      <c r="U176" s="10">
        <f>IF(Suma!$B175=$A$1,Suma!J175,NA())</f>
        <v>0</v>
      </c>
      <c r="V176" s="10">
        <f>IF(Suma!$B175=$A$1,Suma!K175,NA())</f>
        <v>0</v>
      </c>
      <c r="W176" s="10">
        <f>IF(Suma!$B175=$A$1,Suma!L175,NA())</f>
        <v>0</v>
      </c>
      <c r="X176" s="10">
        <f>IF(Suma!$B175=$A$1,Suma!M175,NA())</f>
        <v>0</v>
      </c>
      <c r="Y176" s="10">
        <f>IF(Suma!$B175=$A$1,Suma!N175,NA())</f>
        <v>0</v>
      </c>
      <c r="Z176" s="10">
        <f>IF(Suma!$B175=$A$1,Suma!O175,NA())</f>
        <v>0</v>
      </c>
      <c r="AA176" s="10">
        <f>IF(Suma!$B175=$A$1,Suma!BC175,NA())</f>
        <v>0</v>
      </c>
      <c r="AB176" s="10">
        <f>IF(Suma!$B175=$A$1,Suma!BD175,NA())</f>
        <v>0</v>
      </c>
    </row>
    <row r="177" spans="1:28" x14ac:dyDescent="0.3">
      <c r="A177" s="1">
        <f>IF(Suma!$B176=$A$1,Suma!C176,NA())</f>
        <v>0</v>
      </c>
      <c r="B177" s="1">
        <f>IF(Suma!$B176=$A$1,Suma!D176,NA())</f>
        <v>0</v>
      </c>
      <c r="C177" s="2">
        <f>IF(Suma!$B176=$A$1,Suma!E176,NA())</f>
        <v>0</v>
      </c>
      <c r="D177" s="2">
        <f>IF(Suma!$B176=$A$1,Suma!F176,NA())</f>
        <v>0</v>
      </c>
      <c r="E177" s="1">
        <f>IF(Suma!$B176=$A$1,Suma!P176,NA())</f>
        <v>0</v>
      </c>
      <c r="F177" s="10">
        <f t="shared" si="4"/>
        <v>0</v>
      </c>
      <c r="G177" s="1">
        <f>IF(Suma!$B176=$A$1,Suma!W176,NA())</f>
        <v>0</v>
      </c>
      <c r="H177" s="10">
        <f t="shared" si="5"/>
        <v>0</v>
      </c>
      <c r="I177" s="1">
        <f>IF(Suma!$B176=$A$1,Suma!AD176,NA())</f>
        <v>0</v>
      </c>
      <c r="J177" s="1">
        <f>IF(Suma!$B176=$A$1,Suma!AK176,NA())</f>
        <v>0</v>
      </c>
      <c r="K177" s="10">
        <f>IF(Suma!$B176=$A$1,Suma!AS176,NA())</f>
        <v>0</v>
      </c>
      <c r="L177" s="1">
        <f>IF(Suma!$B176=$A$1,Suma!G176,NA())</f>
        <v>0</v>
      </c>
      <c r="M177" s="1">
        <f>IF(Suma!$B176=$A$1,Suma!H176,NA())</f>
        <v>0</v>
      </c>
      <c r="N177" s="1">
        <f>IF(Suma!$B176=$A$1,Suma!AT176,NA())</f>
        <v>1900</v>
      </c>
      <c r="O177" s="1" t="str">
        <f>IF(Suma!$B176=$A$1,Suma!AU176,NA())</f>
        <v>enero</v>
      </c>
      <c r="P177" s="1">
        <f>IF(Suma!$B176=$A$1,Suma!AV176,NA())</f>
        <v>0</v>
      </c>
      <c r="Q177" s="1">
        <f>IF(Suma!$B176=$A$1,Suma!AW176,NA())</f>
        <v>0</v>
      </c>
      <c r="R177" s="10">
        <f>IF(Suma!$B176=$A$1,Suma!AX176,NA())</f>
        <v>0</v>
      </c>
      <c r="S177" s="10">
        <f>IF(Suma!$B176=$A$1,Suma!AY176,NA())</f>
        <v>0</v>
      </c>
      <c r="T177" s="10">
        <f>IF(Suma!$B176=$A$1,Suma!AZ176,NA())</f>
        <v>0</v>
      </c>
      <c r="U177" s="10">
        <f>IF(Suma!$B176=$A$1,Suma!J176,NA())</f>
        <v>0</v>
      </c>
      <c r="V177" s="10">
        <f>IF(Suma!$B176=$A$1,Suma!K176,NA())</f>
        <v>0</v>
      </c>
      <c r="W177" s="10">
        <f>IF(Suma!$B176=$A$1,Suma!L176,NA())</f>
        <v>0</v>
      </c>
      <c r="X177" s="10">
        <f>IF(Suma!$B176=$A$1,Suma!M176,NA())</f>
        <v>0</v>
      </c>
      <c r="Y177" s="10">
        <f>IF(Suma!$B176=$A$1,Suma!N176,NA())</f>
        <v>0</v>
      </c>
      <c r="Z177" s="10">
        <f>IF(Suma!$B176=$A$1,Suma!O176,NA())</f>
        <v>0</v>
      </c>
      <c r="AA177" s="10">
        <f>IF(Suma!$B176=$A$1,Suma!BC176,NA())</f>
        <v>0</v>
      </c>
      <c r="AB177" s="10">
        <f>IF(Suma!$B176=$A$1,Suma!BD176,NA())</f>
        <v>0</v>
      </c>
    </row>
    <row r="178" spans="1:28" x14ac:dyDescent="0.3">
      <c r="A178" s="1">
        <f>IF(Suma!$B177=$A$1,Suma!C177,NA())</f>
        <v>0</v>
      </c>
      <c r="B178" s="1">
        <f>IF(Suma!$B177=$A$1,Suma!D177,NA())</f>
        <v>0</v>
      </c>
      <c r="C178" s="2">
        <f>IF(Suma!$B177=$A$1,Suma!E177,NA())</f>
        <v>0</v>
      </c>
      <c r="D178" s="2">
        <f>IF(Suma!$B177=$A$1,Suma!F177,NA())</f>
        <v>0</v>
      </c>
      <c r="E178" s="1">
        <f>IF(Suma!$B177=$A$1,Suma!P177,NA())</f>
        <v>0</v>
      </c>
      <c r="F178" s="10">
        <f t="shared" si="4"/>
        <v>0</v>
      </c>
      <c r="G178" s="1">
        <f>IF(Suma!$B177=$A$1,Suma!W177,NA())</f>
        <v>0</v>
      </c>
      <c r="H178" s="10">
        <f t="shared" si="5"/>
        <v>0</v>
      </c>
      <c r="I178" s="1">
        <f>IF(Suma!$B177=$A$1,Suma!AD177,NA())</f>
        <v>0</v>
      </c>
      <c r="J178" s="1">
        <f>IF(Suma!$B177=$A$1,Suma!AK177,NA())</f>
        <v>0</v>
      </c>
      <c r="K178" s="10">
        <f>IF(Suma!$B177=$A$1,Suma!AS177,NA())</f>
        <v>0</v>
      </c>
      <c r="L178" s="1">
        <f>IF(Suma!$B177=$A$1,Suma!G177,NA())</f>
        <v>0</v>
      </c>
      <c r="M178" s="1">
        <f>IF(Suma!$B177=$A$1,Suma!H177,NA())</f>
        <v>0</v>
      </c>
      <c r="N178" s="1">
        <f>IF(Suma!$B177=$A$1,Suma!AT177,NA())</f>
        <v>1900</v>
      </c>
      <c r="O178" s="1" t="str">
        <f>IF(Suma!$B177=$A$1,Suma!AU177,NA())</f>
        <v>enero</v>
      </c>
      <c r="P178" s="1">
        <f>IF(Suma!$B177=$A$1,Suma!AV177,NA())</f>
        <v>0</v>
      </c>
      <c r="Q178" s="1">
        <f>IF(Suma!$B177=$A$1,Suma!AW177,NA())</f>
        <v>0</v>
      </c>
      <c r="R178" s="10">
        <f>IF(Suma!$B177=$A$1,Suma!AX177,NA())</f>
        <v>0</v>
      </c>
      <c r="S178" s="10">
        <f>IF(Suma!$B177=$A$1,Suma!AY177,NA())</f>
        <v>0</v>
      </c>
      <c r="T178" s="10">
        <f>IF(Suma!$B177=$A$1,Suma!AZ177,NA())</f>
        <v>0</v>
      </c>
      <c r="U178" s="10">
        <f>IF(Suma!$B177=$A$1,Suma!J177,NA())</f>
        <v>0</v>
      </c>
      <c r="V178" s="10">
        <f>IF(Suma!$B177=$A$1,Suma!K177,NA())</f>
        <v>0</v>
      </c>
      <c r="W178" s="10">
        <f>IF(Suma!$B177=$A$1,Suma!L177,NA())</f>
        <v>0</v>
      </c>
      <c r="X178" s="10">
        <f>IF(Suma!$B177=$A$1,Suma!M177,NA())</f>
        <v>0</v>
      </c>
      <c r="Y178" s="10">
        <f>IF(Suma!$B177=$A$1,Suma!N177,NA())</f>
        <v>0</v>
      </c>
      <c r="Z178" s="10">
        <f>IF(Suma!$B177=$A$1,Suma!O177,NA())</f>
        <v>0</v>
      </c>
      <c r="AA178" s="10">
        <f>IF(Suma!$B177=$A$1,Suma!BC177,NA())</f>
        <v>0</v>
      </c>
      <c r="AB178" s="10">
        <f>IF(Suma!$B177=$A$1,Suma!BD177,NA())</f>
        <v>0</v>
      </c>
    </row>
    <row r="179" spans="1:28" x14ac:dyDescent="0.3">
      <c r="A179" s="1">
        <f>IF(Suma!$B178=$A$1,Suma!C178,NA())</f>
        <v>0</v>
      </c>
      <c r="B179" s="1">
        <f>IF(Suma!$B178=$A$1,Suma!D178,NA())</f>
        <v>0</v>
      </c>
      <c r="C179" s="2">
        <f>IF(Suma!$B178=$A$1,Suma!E178,NA())</f>
        <v>0</v>
      </c>
      <c r="D179" s="2">
        <f>IF(Suma!$B178=$A$1,Suma!F178,NA())</f>
        <v>0</v>
      </c>
      <c r="E179" s="1">
        <f>IF(Suma!$B178=$A$1,Suma!P178,NA())</f>
        <v>0</v>
      </c>
      <c r="F179" s="10">
        <f t="shared" si="4"/>
        <v>0</v>
      </c>
      <c r="G179" s="1">
        <f>IF(Suma!$B178=$A$1,Suma!W178,NA())</f>
        <v>0</v>
      </c>
      <c r="H179" s="10">
        <f t="shared" si="5"/>
        <v>0</v>
      </c>
      <c r="I179" s="1">
        <f>IF(Suma!$B178=$A$1,Suma!AD178,NA())</f>
        <v>0</v>
      </c>
      <c r="J179" s="1">
        <f>IF(Suma!$B178=$A$1,Suma!AK178,NA())</f>
        <v>0</v>
      </c>
      <c r="K179" s="10">
        <f>IF(Suma!$B178=$A$1,Suma!AS178,NA())</f>
        <v>0</v>
      </c>
      <c r="L179" s="1">
        <f>IF(Suma!$B178=$A$1,Suma!G178,NA())</f>
        <v>0</v>
      </c>
      <c r="M179" s="1">
        <f>IF(Suma!$B178=$A$1,Suma!H178,NA())</f>
        <v>0</v>
      </c>
      <c r="N179" s="1">
        <f>IF(Suma!$B178=$A$1,Suma!AT178,NA())</f>
        <v>1900</v>
      </c>
      <c r="O179" s="1" t="str">
        <f>IF(Suma!$B178=$A$1,Suma!AU178,NA())</f>
        <v>enero</v>
      </c>
      <c r="P179" s="1">
        <f>IF(Suma!$B178=$A$1,Suma!AV178,NA())</f>
        <v>0</v>
      </c>
      <c r="Q179" s="1">
        <f>IF(Suma!$B178=$A$1,Suma!AW178,NA())</f>
        <v>0</v>
      </c>
      <c r="R179" s="10">
        <f>IF(Suma!$B178=$A$1,Suma!AX178,NA())</f>
        <v>0</v>
      </c>
      <c r="S179" s="10">
        <f>IF(Suma!$B178=$A$1,Suma!AY178,NA())</f>
        <v>0</v>
      </c>
      <c r="T179" s="10">
        <f>IF(Suma!$B178=$A$1,Suma!AZ178,NA())</f>
        <v>0</v>
      </c>
      <c r="U179" s="10">
        <f>IF(Suma!$B178=$A$1,Suma!J178,NA())</f>
        <v>0</v>
      </c>
      <c r="V179" s="10">
        <f>IF(Suma!$B178=$A$1,Suma!K178,NA())</f>
        <v>0</v>
      </c>
      <c r="W179" s="10">
        <f>IF(Suma!$B178=$A$1,Suma!L178,NA())</f>
        <v>0</v>
      </c>
      <c r="X179" s="10">
        <f>IF(Suma!$B178=$A$1,Suma!M178,NA())</f>
        <v>0</v>
      </c>
      <c r="Y179" s="10">
        <f>IF(Suma!$B178=$A$1,Suma!N178,NA())</f>
        <v>0</v>
      </c>
      <c r="Z179" s="10">
        <f>IF(Suma!$B178=$A$1,Suma!O178,NA())</f>
        <v>0</v>
      </c>
      <c r="AA179" s="10">
        <f>IF(Suma!$B178=$A$1,Suma!BC178,NA())</f>
        <v>0</v>
      </c>
      <c r="AB179" s="10">
        <f>IF(Suma!$B178=$A$1,Suma!BD178,NA())</f>
        <v>0</v>
      </c>
    </row>
    <row r="180" spans="1:28" x14ac:dyDescent="0.3">
      <c r="A180" s="1">
        <f>IF(Suma!$B179=$A$1,Suma!C179,NA())</f>
        <v>0</v>
      </c>
      <c r="B180" s="1">
        <f>IF(Suma!$B179=$A$1,Suma!D179,NA())</f>
        <v>0</v>
      </c>
      <c r="C180" s="2">
        <f>IF(Suma!$B179=$A$1,Suma!E179,NA())</f>
        <v>0</v>
      </c>
      <c r="D180" s="2">
        <f>IF(Suma!$B179=$A$1,Suma!F179,NA())</f>
        <v>0</v>
      </c>
      <c r="E180" s="1">
        <f>IF(Suma!$B179=$A$1,Suma!P179,NA())</f>
        <v>0</v>
      </c>
      <c r="F180" s="10">
        <f t="shared" si="4"/>
        <v>0</v>
      </c>
      <c r="G180" s="1">
        <f>IF(Suma!$B179=$A$1,Suma!W179,NA())</f>
        <v>0</v>
      </c>
      <c r="H180" s="10">
        <f t="shared" si="5"/>
        <v>0</v>
      </c>
      <c r="I180" s="1">
        <f>IF(Suma!$B179=$A$1,Suma!AD179,NA())</f>
        <v>0</v>
      </c>
      <c r="J180" s="1">
        <f>IF(Suma!$B179=$A$1,Suma!AK179,NA())</f>
        <v>0</v>
      </c>
      <c r="K180" s="10">
        <f>IF(Suma!$B179=$A$1,Suma!AS179,NA())</f>
        <v>0</v>
      </c>
      <c r="L180" s="1">
        <f>IF(Suma!$B179=$A$1,Suma!G179,NA())</f>
        <v>0</v>
      </c>
      <c r="M180" s="1">
        <f>IF(Suma!$B179=$A$1,Suma!H179,NA())</f>
        <v>0</v>
      </c>
      <c r="N180" s="1">
        <f>IF(Suma!$B179=$A$1,Suma!AT179,NA())</f>
        <v>1900</v>
      </c>
      <c r="O180" s="1" t="str">
        <f>IF(Suma!$B179=$A$1,Suma!AU179,NA())</f>
        <v>enero</v>
      </c>
      <c r="P180" s="1">
        <f>IF(Suma!$B179=$A$1,Suma!AV179,NA())</f>
        <v>0</v>
      </c>
      <c r="Q180" s="1">
        <f>IF(Suma!$B179=$A$1,Suma!AW179,NA())</f>
        <v>0</v>
      </c>
      <c r="R180" s="10">
        <f>IF(Suma!$B179=$A$1,Suma!AX179,NA())</f>
        <v>0</v>
      </c>
      <c r="S180" s="10">
        <f>IF(Suma!$B179=$A$1,Suma!AY179,NA())</f>
        <v>0</v>
      </c>
      <c r="T180" s="10">
        <f>IF(Suma!$B179=$A$1,Suma!AZ179,NA())</f>
        <v>0</v>
      </c>
      <c r="U180" s="10">
        <f>IF(Suma!$B179=$A$1,Suma!J179,NA())</f>
        <v>0</v>
      </c>
      <c r="V180" s="10">
        <f>IF(Suma!$B179=$A$1,Suma!K179,NA())</f>
        <v>0</v>
      </c>
      <c r="W180" s="10">
        <f>IF(Suma!$B179=$A$1,Suma!L179,NA())</f>
        <v>0</v>
      </c>
      <c r="X180" s="10">
        <f>IF(Suma!$B179=$A$1,Suma!M179,NA())</f>
        <v>0</v>
      </c>
      <c r="Y180" s="10">
        <f>IF(Suma!$B179=$A$1,Suma!N179,NA())</f>
        <v>0</v>
      </c>
      <c r="Z180" s="10">
        <f>IF(Suma!$B179=$A$1,Suma!O179,NA())</f>
        <v>0</v>
      </c>
      <c r="AA180" s="10">
        <f>IF(Suma!$B179=$A$1,Suma!BC179,NA())</f>
        <v>0</v>
      </c>
      <c r="AB180" s="10">
        <f>IF(Suma!$B179=$A$1,Suma!BD179,NA())</f>
        <v>0</v>
      </c>
    </row>
    <row r="181" spans="1:28" x14ac:dyDescent="0.3">
      <c r="A181" s="1">
        <f>IF(Suma!$B180=$A$1,Suma!C180,NA())</f>
        <v>0</v>
      </c>
      <c r="B181" s="1">
        <f>IF(Suma!$B180=$A$1,Suma!D180,NA())</f>
        <v>0</v>
      </c>
      <c r="C181" s="2">
        <f>IF(Suma!$B180=$A$1,Suma!E180,NA())</f>
        <v>0</v>
      </c>
      <c r="D181" s="2">
        <f>IF(Suma!$B180=$A$1,Suma!F180,NA())</f>
        <v>0</v>
      </c>
      <c r="E181" s="1">
        <f>IF(Suma!$B180=$A$1,Suma!P180,NA())</f>
        <v>0</v>
      </c>
      <c r="F181" s="10">
        <f t="shared" si="4"/>
        <v>0</v>
      </c>
      <c r="G181" s="1">
        <f>IF(Suma!$B180=$A$1,Suma!W180,NA())</f>
        <v>0</v>
      </c>
      <c r="H181" s="10">
        <f t="shared" si="5"/>
        <v>0</v>
      </c>
      <c r="I181" s="1">
        <f>IF(Suma!$B180=$A$1,Suma!AD180,NA())</f>
        <v>0</v>
      </c>
      <c r="J181" s="1">
        <f>IF(Suma!$B180=$A$1,Suma!AK180,NA())</f>
        <v>0</v>
      </c>
      <c r="K181" s="10">
        <f>IF(Suma!$B180=$A$1,Suma!AS180,NA())</f>
        <v>0</v>
      </c>
      <c r="L181" s="1">
        <f>IF(Suma!$B180=$A$1,Suma!G180,NA())</f>
        <v>0</v>
      </c>
      <c r="M181" s="1">
        <f>IF(Suma!$B180=$A$1,Suma!H180,NA())</f>
        <v>0</v>
      </c>
      <c r="N181" s="1">
        <f>IF(Suma!$B180=$A$1,Suma!AT180,NA())</f>
        <v>1900</v>
      </c>
      <c r="O181" s="1" t="str">
        <f>IF(Suma!$B180=$A$1,Suma!AU180,NA())</f>
        <v>enero</v>
      </c>
      <c r="P181" s="1">
        <f>IF(Suma!$B180=$A$1,Suma!AV180,NA())</f>
        <v>0</v>
      </c>
      <c r="Q181" s="1">
        <f>IF(Suma!$B180=$A$1,Suma!AW180,NA())</f>
        <v>0</v>
      </c>
      <c r="R181" s="10">
        <f>IF(Suma!$B180=$A$1,Suma!AX180,NA())</f>
        <v>0</v>
      </c>
      <c r="S181" s="10">
        <f>IF(Suma!$B180=$A$1,Suma!AY180,NA())</f>
        <v>0</v>
      </c>
      <c r="T181" s="10">
        <f>IF(Suma!$B180=$A$1,Suma!AZ180,NA())</f>
        <v>0</v>
      </c>
      <c r="U181" s="10">
        <f>IF(Suma!$B180=$A$1,Suma!J180,NA())</f>
        <v>0</v>
      </c>
      <c r="V181" s="10">
        <f>IF(Suma!$B180=$A$1,Suma!K180,NA())</f>
        <v>0</v>
      </c>
      <c r="W181" s="10">
        <f>IF(Suma!$B180=$A$1,Suma!L180,NA())</f>
        <v>0</v>
      </c>
      <c r="X181" s="10">
        <f>IF(Suma!$B180=$A$1,Suma!M180,NA())</f>
        <v>0</v>
      </c>
      <c r="Y181" s="10">
        <f>IF(Suma!$B180=$A$1,Suma!N180,NA())</f>
        <v>0</v>
      </c>
      <c r="Z181" s="10">
        <f>IF(Suma!$B180=$A$1,Suma!O180,NA())</f>
        <v>0</v>
      </c>
      <c r="AA181" s="10">
        <f>IF(Suma!$B180=$A$1,Suma!BC180,NA())</f>
        <v>0</v>
      </c>
      <c r="AB181" s="10">
        <f>IF(Suma!$B180=$A$1,Suma!BD180,NA())</f>
        <v>0</v>
      </c>
    </row>
    <row r="182" spans="1:28" x14ac:dyDescent="0.3">
      <c r="A182" s="1">
        <f>IF(Suma!$B181=$A$1,Suma!C181,NA())</f>
        <v>0</v>
      </c>
      <c r="B182" s="1">
        <f>IF(Suma!$B181=$A$1,Suma!D181,NA())</f>
        <v>0</v>
      </c>
      <c r="C182" s="2">
        <f>IF(Suma!$B181=$A$1,Suma!E181,NA())</f>
        <v>0</v>
      </c>
      <c r="D182" s="2">
        <f>IF(Suma!$B181=$A$1,Suma!F181,NA())</f>
        <v>0</v>
      </c>
      <c r="E182" s="1">
        <f>IF(Suma!$B181=$A$1,Suma!P181,NA())</f>
        <v>0</v>
      </c>
      <c r="F182" s="10">
        <f t="shared" si="4"/>
        <v>0</v>
      </c>
      <c r="G182" s="1">
        <f>IF(Suma!$B181=$A$1,Suma!W181,NA())</f>
        <v>0</v>
      </c>
      <c r="H182" s="10">
        <f t="shared" si="5"/>
        <v>0</v>
      </c>
      <c r="I182" s="1">
        <f>IF(Suma!$B181=$A$1,Suma!AD181,NA())</f>
        <v>0</v>
      </c>
      <c r="J182" s="1">
        <f>IF(Suma!$B181=$A$1,Suma!AK181,NA())</f>
        <v>0</v>
      </c>
      <c r="K182" s="10">
        <f>IF(Suma!$B181=$A$1,Suma!AS181,NA())</f>
        <v>0</v>
      </c>
      <c r="L182" s="1">
        <f>IF(Suma!$B181=$A$1,Suma!G181,NA())</f>
        <v>0</v>
      </c>
      <c r="M182" s="1">
        <f>IF(Suma!$B181=$A$1,Suma!H181,NA())</f>
        <v>0</v>
      </c>
      <c r="N182" s="1">
        <f>IF(Suma!$B181=$A$1,Suma!AT181,NA())</f>
        <v>1900</v>
      </c>
      <c r="O182" s="1" t="str">
        <f>IF(Suma!$B181=$A$1,Suma!AU181,NA())</f>
        <v>enero</v>
      </c>
      <c r="P182" s="1">
        <f>IF(Suma!$B181=$A$1,Suma!AV181,NA())</f>
        <v>0</v>
      </c>
      <c r="Q182" s="1">
        <f>IF(Suma!$B181=$A$1,Suma!AW181,NA())</f>
        <v>0</v>
      </c>
      <c r="R182" s="10">
        <f>IF(Suma!$B181=$A$1,Suma!AX181,NA())</f>
        <v>0</v>
      </c>
      <c r="S182" s="10">
        <f>IF(Suma!$B181=$A$1,Suma!AY181,NA())</f>
        <v>0</v>
      </c>
      <c r="T182" s="10">
        <f>IF(Suma!$B181=$A$1,Suma!AZ181,NA())</f>
        <v>0</v>
      </c>
      <c r="U182" s="10">
        <f>IF(Suma!$B181=$A$1,Suma!J181,NA())</f>
        <v>0</v>
      </c>
      <c r="V182" s="10">
        <f>IF(Suma!$B181=$A$1,Suma!K181,NA())</f>
        <v>0</v>
      </c>
      <c r="W182" s="10">
        <f>IF(Suma!$B181=$A$1,Suma!L181,NA())</f>
        <v>0</v>
      </c>
      <c r="X182" s="10">
        <f>IF(Suma!$B181=$A$1,Suma!M181,NA())</f>
        <v>0</v>
      </c>
      <c r="Y182" s="10">
        <f>IF(Suma!$B181=$A$1,Suma!N181,NA())</f>
        <v>0</v>
      </c>
      <c r="Z182" s="10">
        <f>IF(Suma!$B181=$A$1,Suma!O181,NA())</f>
        <v>0</v>
      </c>
      <c r="AA182" s="10">
        <f>IF(Suma!$B181=$A$1,Suma!BC181,NA())</f>
        <v>0</v>
      </c>
      <c r="AB182" s="10">
        <f>IF(Suma!$B181=$A$1,Suma!BD181,NA())</f>
        <v>0</v>
      </c>
    </row>
    <row r="183" spans="1:28" x14ac:dyDescent="0.3">
      <c r="A183" s="1">
        <f>IF(Suma!$B182=$A$1,Suma!C182,NA())</f>
        <v>0</v>
      </c>
      <c r="B183" s="1">
        <f>IF(Suma!$B182=$A$1,Suma!D182,NA())</f>
        <v>0</v>
      </c>
      <c r="C183" s="2">
        <f>IF(Suma!$B182=$A$1,Suma!E182,NA())</f>
        <v>0</v>
      </c>
      <c r="D183" s="2">
        <f>IF(Suma!$B182=$A$1,Suma!F182,NA())</f>
        <v>0</v>
      </c>
      <c r="E183" s="1">
        <f>IF(Suma!$B182=$A$1,Suma!P182,NA())</f>
        <v>0</v>
      </c>
      <c r="F183" s="10">
        <f t="shared" si="4"/>
        <v>0</v>
      </c>
      <c r="G183" s="1">
        <f>IF(Suma!$B182=$A$1,Suma!W182,NA())</f>
        <v>0</v>
      </c>
      <c r="H183" s="10">
        <f t="shared" si="5"/>
        <v>0</v>
      </c>
      <c r="I183" s="1">
        <f>IF(Suma!$B182=$A$1,Suma!AD182,NA())</f>
        <v>0</v>
      </c>
      <c r="J183" s="1">
        <f>IF(Suma!$B182=$A$1,Suma!AK182,NA())</f>
        <v>0</v>
      </c>
      <c r="K183" s="10">
        <f>IF(Suma!$B182=$A$1,Suma!AS182,NA())</f>
        <v>0</v>
      </c>
      <c r="L183" s="1">
        <f>IF(Suma!$B182=$A$1,Suma!G182,NA())</f>
        <v>0</v>
      </c>
      <c r="M183" s="1">
        <f>IF(Suma!$B182=$A$1,Suma!H182,NA())</f>
        <v>0</v>
      </c>
      <c r="N183" s="1">
        <f>IF(Suma!$B182=$A$1,Suma!AT182,NA())</f>
        <v>1900</v>
      </c>
      <c r="O183" s="1" t="str">
        <f>IF(Suma!$B182=$A$1,Suma!AU182,NA())</f>
        <v>enero</v>
      </c>
      <c r="P183" s="1">
        <f>IF(Suma!$B182=$A$1,Suma!AV182,NA())</f>
        <v>0</v>
      </c>
      <c r="Q183" s="1">
        <f>IF(Suma!$B182=$A$1,Suma!AW182,NA())</f>
        <v>0</v>
      </c>
      <c r="R183" s="10">
        <f>IF(Suma!$B182=$A$1,Suma!AX182,NA())</f>
        <v>0</v>
      </c>
      <c r="S183" s="10">
        <f>IF(Suma!$B182=$A$1,Suma!AY182,NA())</f>
        <v>0</v>
      </c>
      <c r="T183" s="10">
        <f>IF(Suma!$B182=$A$1,Suma!AZ182,NA())</f>
        <v>0</v>
      </c>
      <c r="U183" s="10">
        <f>IF(Suma!$B182=$A$1,Suma!J182,NA())</f>
        <v>0</v>
      </c>
      <c r="V183" s="10">
        <f>IF(Suma!$B182=$A$1,Suma!K182,NA())</f>
        <v>0</v>
      </c>
      <c r="W183" s="10">
        <f>IF(Suma!$B182=$A$1,Suma!L182,NA())</f>
        <v>0</v>
      </c>
      <c r="X183" s="10">
        <f>IF(Suma!$B182=$A$1,Suma!M182,NA())</f>
        <v>0</v>
      </c>
      <c r="Y183" s="10">
        <f>IF(Suma!$B182=$A$1,Suma!N182,NA())</f>
        <v>0</v>
      </c>
      <c r="Z183" s="10">
        <f>IF(Suma!$B182=$A$1,Suma!O182,NA())</f>
        <v>0</v>
      </c>
      <c r="AA183" s="10">
        <f>IF(Suma!$B182=$A$1,Suma!BC182,NA())</f>
        <v>0</v>
      </c>
      <c r="AB183" s="10">
        <f>IF(Suma!$B182=$A$1,Suma!BD182,NA())</f>
        <v>0</v>
      </c>
    </row>
    <row r="184" spans="1:28" x14ac:dyDescent="0.3">
      <c r="A184" s="1">
        <f>IF(Suma!$B183=$A$1,Suma!C183,NA())</f>
        <v>0</v>
      </c>
      <c r="B184" s="1">
        <f>IF(Suma!$B183=$A$1,Suma!D183,NA())</f>
        <v>0</v>
      </c>
      <c r="C184" s="2">
        <f>IF(Suma!$B183=$A$1,Suma!E183,NA())</f>
        <v>0</v>
      </c>
      <c r="D184" s="2">
        <f>IF(Suma!$B183=$A$1,Suma!F183,NA())</f>
        <v>0</v>
      </c>
      <c r="E184" s="1">
        <f>IF(Suma!$B183=$A$1,Suma!P183,NA())</f>
        <v>0</v>
      </c>
      <c r="F184" s="10">
        <f t="shared" si="4"/>
        <v>0</v>
      </c>
      <c r="G184" s="1">
        <f>IF(Suma!$B183=$A$1,Suma!W183,NA())</f>
        <v>0</v>
      </c>
      <c r="H184" s="10">
        <f t="shared" si="5"/>
        <v>0</v>
      </c>
      <c r="I184" s="1">
        <f>IF(Suma!$B183=$A$1,Suma!AD183,NA())</f>
        <v>0</v>
      </c>
      <c r="J184" s="1">
        <f>IF(Suma!$B183=$A$1,Suma!AK183,NA())</f>
        <v>0</v>
      </c>
      <c r="K184" s="10">
        <f>IF(Suma!$B183=$A$1,Suma!AS183,NA())</f>
        <v>0</v>
      </c>
      <c r="L184" s="1">
        <f>IF(Suma!$B183=$A$1,Suma!G183,NA())</f>
        <v>0</v>
      </c>
      <c r="M184" s="1">
        <f>IF(Suma!$B183=$A$1,Suma!H183,NA())</f>
        <v>0</v>
      </c>
      <c r="N184" s="1">
        <f>IF(Suma!$B183=$A$1,Suma!AT183,NA())</f>
        <v>1900</v>
      </c>
      <c r="O184" s="1" t="str">
        <f>IF(Suma!$B183=$A$1,Suma!AU183,NA())</f>
        <v>enero</v>
      </c>
      <c r="P184" s="1">
        <f>IF(Suma!$B183=$A$1,Suma!AV183,NA())</f>
        <v>0</v>
      </c>
      <c r="Q184" s="1">
        <f>IF(Suma!$B183=$A$1,Suma!AW183,NA())</f>
        <v>0</v>
      </c>
      <c r="R184" s="10">
        <f>IF(Suma!$B183=$A$1,Suma!AX183,NA())</f>
        <v>0</v>
      </c>
      <c r="S184" s="10">
        <f>IF(Suma!$B183=$A$1,Suma!AY183,NA())</f>
        <v>0</v>
      </c>
      <c r="T184" s="10">
        <f>IF(Suma!$B183=$A$1,Suma!AZ183,NA())</f>
        <v>0</v>
      </c>
      <c r="U184" s="10">
        <f>IF(Suma!$B183=$A$1,Suma!J183,NA())</f>
        <v>0</v>
      </c>
      <c r="V184" s="10">
        <f>IF(Suma!$B183=$A$1,Suma!K183,NA())</f>
        <v>0</v>
      </c>
      <c r="W184" s="10">
        <f>IF(Suma!$B183=$A$1,Suma!L183,NA())</f>
        <v>0</v>
      </c>
      <c r="X184" s="10">
        <f>IF(Suma!$B183=$A$1,Suma!M183,NA())</f>
        <v>0</v>
      </c>
      <c r="Y184" s="10">
        <f>IF(Suma!$B183=$A$1,Suma!N183,NA())</f>
        <v>0</v>
      </c>
      <c r="Z184" s="10">
        <f>IF(Suma!$B183=$A$1,Suma!O183,NA())</f>
        <v>0</v>
      </c>
      <c r="AA184" s="10">
        <f>IF(Suma!$B183=$A$1,Suma!BC183,NA())</f>
        <v>0</v>
      </c>
      <c r="AB184" s="10">
        <f>IF(Suma!$B183=$A$1,Suma!BD183,NA())</f>
        <v>0</v>
      </c>
    </row>
    <row r="185" spans="1:28" x14ac:dyDescent="0.3">
      <c r="A185" s="1">
        <f>IF(Suma!$B184=$A$1,Suma!C184,NA())</f>
        <v>0</v>
      </c>
      <c r="B185" s="1">
        <f>IF(Suma!$B184=$A$1,Suma!D184,NA())</f>
        <v>0</v>
      </c>
      <c r="C185" s="2">
        <f>IF(Suma!$B184=$A$1,Suma!E184,NA())</f>
        <v>0</v>
      </c>
      <c r="D185" s="2">
        <f>IF(Suma!$B184=$A$1,Suma!F184,NA())</f>
        <v>0</v>
      </c>
      <c r="E185" s="1">
        <f>IF(Suma!$B184=$A$1,Suma!P184,NA())</f>
        <v>0</v>
      </c>
      <c r="F185" s="10">
        <f t="shared" si="4"/>
        <v>0</v>
      </c>
      <c r="G185" s="1">
        <f>IF(Suma!$B184=$A$1,Suma!W184,NA())</f>
        <v>0</v>
      </c>
      <c r="H185" s="10">
        <f t="shared" si="5"/>
        <v>0</v>
      </c>
      <c r="I185" s="1">
        <f>IF(Suma!$B184=$A$1,Suma!AD184,NA())</f>
        <v>0</v>
      </c>
      <c r="J185" s="1">
        <f>IF(Suma!$B184=$A$1,Suma!AK184,NA())</f>
        <v>0</v>
      </c>
      <c r="K185" s="10">
        <f>IF(Suma!$B184=$A$1,Suma!AS184,NA())</f>
        <v>0</v>
      </c>
      <c r="L185" s="1">
        <f>IF(Suma!$B184=$A$1,Suma!G184,NA())</f>
        <v>0</v>
      </c>
      <c r="M185" s="1">
        <f>IF(Suma!$B184=$A$1,Suma!H184,NA())</f>
        <v>0</v>
      </c>
      <c r="N185" s="1">
        <f>IF(Suma!$B184=$A$1,Suma!AT184,NA())</f>
        <v>1900</v>
      </c>
      <c r="O185" s="1" t="str">
        <f>IF(Suma!$B184=$A$1,Suma!AU184,NA())</f>
        <v>enero</v>
      </c>
      <c r="P185" s="1">
        <f>IF(Suma!$B184=$A$1,Suma!AV184,NA())</f>
        <v>0</v>
      </c>
      <c r="Q185" s="1">
        <f>IF(Suma!$B184=$A$1,Suma!AW184,NA())</f>
        <v>0</v>
      </c>
      <c r="R185" s="10">
        <f>IF(Suma!$B184=$A$1,Suma!AX184,NA())</f>
        <v>0</v>
      </c>
      <c r="S185" s="10">
        <f>IF(Suma!$B184=$A$1,Suma!AY184,NA())</f>
        <v>0</v>
      </c>
      <c r="T185" s="10">
        <f>IF(Suma!$B184=$A$1,Suma!AZ184,NA())</f>
        <v>0</v>
      </c>
      <c r="U185" s="10">
        <f>IF(Suma!$B184=$A$1,Suma!J184,NA())</f>
        <v>0</v>
      </c>
      <c r="V185" s="10">
        <f>IF(Suma!$B184=$A$1,Suma!K184,NA())</f>
        <v>0</v>
      </c>
      <c r="W185" s="10">
        <f>IF(Suma!$B184=$A$1,Suma!L184,NA())</f>
        <v>0</v>
      </c>
      <c r="X185" s="10">
        <f>IF(Suma!$B184=$A$1,Suma!M184,NA())</f>
        <v>0</v>
      </c>
      <c r="Y185" s="10">
        <f>IF(Suma!$B184=$A$1,Suma!N184,NA())</f>
        <v>0</v>
      </c>
      <c r="Z185" s="10">
        <f>IF(Suma!$B184=$A$1,Suma!O184,NA())</f>
        <v>0</v>
      </c>
      <c r="AA185" s="10">
        <f>IF(Suma!$B184=$A$1,Suma!BC184,NA())</f>
        <v>0</v>
      </c>
      <c r="AB185" s="10">
        <f>IF(Suma!$B184=$A$1,Suma!BD184,NA())</f>
        <v>0</v>
      </c>
    </row>
    <row r="186" spans="1:28" x14ac:dyDescent="0.3">
      <c r="A186" s="1">
        <f>IF(Suma!$B185=$A$1,Suma!C185,NA())</f>
        <v>0</v>
      </c>
      <c r="B186" s="1">
        <f>IF(Suma!$B185=$A$1,Suma!D185,NA())</f>
        <v>0</v>
      </c>
      <c r="C186" s="2">
        <f>IF(Suma!$B185=$A$1,Suma!E185,NA())</f>
        <v>0</v>
      </c>
      <c r="D186" s="2">
        <f>IF(Suma!$B185=$A$1,Suma!F185,NA())</f>
        <v>0</v>
      </c>
      <c r="E186" s="1">
        <f>IF(Suma!$B185=$A$1,Suma!P185,NA())</f>
        <v>0</v>
      </c>
      <c r="F186" s="10">
        <f t="shared" si="4"/>
        <v>0</v>
      </c>
      <c r="G186" s="1">
        <f>IF(Suma!$B185=$A$1,Suma!W185,NA())</f>
        <v>0</v>
      </c>
      <c r="H186" s="10">
        <f t="shared" si="5"/>
        <v>0</v>
      </c>
      <c r="I186" s="1">
        <f>IF(Suma!$B185=$A$1,Suma!AD185,NA())</f>
        <v>0</v>
      </c>
      <c r="J186" s="1">
        <f>IF(Suma!$B185=$A$1,Suma!AK185,NA())</f>
        <v>0</v>
      </c>
      <c r="K186" s="10">
        <f>IF(Suma!$B185=$A$1,Suma!AS185,NA())</f>
        <v>0</v>
      </c>
      <c r="L186" s="1">
        <f>IF(Suma!$B185=$A$1,Suma!G185,NA())</f>
        <v>0</v>
      </c>
      <c r="M186" s="1">
        <f>IF(Suma!$B185=$A$1,Suma!H185,NA())</f>
        <v>0</v>
      </c>
      <c r="N186" s="1">
        <f>IF(Suma!$B185=$A$1,Suma!AT185,NA())</f>
        <v>1900</v>
      </c>
      <c r="O186" s="1" t="str">
        <f>IF(Suma!$B185=$A$1,Suma!AU185,NA())</f>
        <v>enero</v>
      </c>
      <c r="P186" s="1">
        <f>IF(Suma!$B185=$A$1,Suma!AV185,NA())</f>
        <v>0</v>
      </c>
      <c r="Q186" s="1">
        <f>IF(Suma!$B185=$A$1,Suma!AW185,NA())</f>
        <v>0</v>
      </c>
      <c r="R186" s="10">
        <f>IF(Suma!$B185=$A$1,Suma!AX185,NA())</f>
        <v>0</v>
      </c>
      <c r="S186" s="10">
        <f>IF(Suma!$B185=$A$1,Suma!AY185,NA())</f>
        <v>0</v>
      </c>
      <c r="T186" s="10">
        <f>IF(Suma!$B185=$A$1,Suma!AZ185,NA())</f>
        <v>0</v>
      </c>
      <c r="U186" s="10">
        <f>IF(Suma!$B185=$A$1,Suma!J185,NA())</f>
        <v>0</v>
      </c>
      <c r="V186" s="10">
        <f>IF(Suma!$B185=$A$1,Suma!K185,NA())</f>
        <v>0</v>
      </c>
      <c r="W186" s="10">
        <f>IF(Suma!$B185=$A$1,Suma!L185,NA())</f>
        <v>0</v>
      </c>
      <c r="X186" s="10">
        <f>IF(Suma!$B185=$A$1,Suma!M185,NA())</f>
        <v>0</v>
      </c>
      <c r="Y186" s="10">
        <f>IF(Suma!$B185=$A$1,Suma!N185,NA())</f>
        <v>0</v>
      </c>
      <c r="Z186" s="10">
        <f>IF(Suma!$B185=$A$1,Suma!O185,NA())</f>
        <v>0</v>
      </c>
      <c r="AA186" s="10">
        <f>IF(Suma!$B185=$A$1,Suma!BC185,NA())</f>
        <v>0</v>
      </c>
      <c r="AB186" s="10">
        <f>IF(Suma!$B185=$A$1,Suma!BD185,NA())</f>
        <v>0</v>
      </c>
    </row>
    <row r="187" spans="1:28" x14ac:dyDescent="0.3">
      <c r="A187" s="1">
        <f>IF(Suma!$B186=$A$1,Suma!C186,NA())</f>
        <v>0</v>
      </c>
      <c r="B187" s="1">
        <f>IF(Suma!$B186=$A$1,Suma!D186,NA())</f>
        <v>0</v>
      </c>
      <c r="C187" s="2">
        <f>IF(Suma!$B186=$A$1,Suma!E186,NA())</f>
        <v>0</v>
      </c>
      <c r="D187" s="2">
        <f>IF(Suma!$B186=$A$1,Suma!F186,NA())</f>
        <v>0</v>
      </c>
      <c r="E187" s="1">
        <f>IF(Suma!$B186=$A$1,Suma!P186,NA())</f>
        <v>0</v>
      </c>
      <c r="F187" s="10">
        <f t="shared" si="4"/>
        <v>0</v>
      </c>
      <c r="G187" s="1">
        <f>IF(Suma!$B186=$A$1,Suma!W186,NA())</f>
        <v>0</v>
      </c>
      <c r="H187" s="10">
        <f t="shared" si="5"/>
        <v>0</v>
      </c>
      <c r="I187" s="1">
        <f>IF(Suma!$B186=$A$1,Suma!AD186,NA())</f>
        <v>0</v>
      </c>
      <c r="J187" s="1">
        <f>IF(Suma!$B186=$A$1,Suma!AK186,NA())</f>
        <v>0</v>
      </c>
      <c r="K187" s="10">
        <f>IF(Suma!$B186=$A$1,Suma!AS186,NA())</f>
        <v>0</v>
      </c>
      <c r="L187" s="1">
        <f>IF(Suma!$B186=$A$1,Suma!G186,NA())</f>
        <v>0</v>
      </c>
      <c r="M187" s="1">
        <f>IF(Suma!$B186=$A$1,Suma!H186,NA())</f>
        <v>0</v>
      </c>
      <c r="N187" s="1">
        <f>IF(Suma!$B186=$A$1,Suma!AT186,NA())</f>
        <v>1900</v>
      </c>
      <c r="O187" s="1" t="str">
        <f>IF(Suma!$B186=$A$1,Suma!AU186,NA())</f>
        <v>enero</v>
      </c>
      <c r="P187" s="1">
        <f>IF(Suma!$B186=$A$1,Suma!AV186,NA())</f>
        <v>0</v>
      </c>
      <c r="Q187" s="1">
        <f>IF(Suma!$B186=$A$1,Suma!AW186,NA())</f>
        <v>0</v>
      </c>
      <c r="R187" s="10">
        <f>IF(Suma!$B186=$A$1,Suma!AX186,NA())</f>
        <v>0</v>
      </c>
      <c r="S187" s="10">
        <f>IF(Suma!$B186=$A$1,Suma!AY186,NA())</f>
        <v>0</v>
      </c>
      <c r="T187" s="10">
        <f>IF(Suma!$B186=$A$1,Suma!AZ186,NA())</f>
        <v>0</v>
      </c>
      <c r="U187" s="10">
        <f>IF(Suma!$B186=$A$1,Suma!J186,NA())</f>
        <v>0</v>
      </c>
      <c r="V187" s="10">
        <f>IF(Suma!$B186=$A$1,Suma!K186,NA())</f>
        <v>0</v>
      </c>
      <c r="W187" s="10">
        <f>IF(Suma!$B186=$A$1,Suma!L186,NA())</f>
        <v>0</v>
      </c>
      <c r="X187" s="10">
        <f>IF(Suma!$B186=$A$1,Suma!M186,NA())</f>
        <v>0</v>
      </c>
      <c r="Y187" s="10">
        <f>IF(Suma!$B186=$A$1,Suma!N186,NA())</f>
        <v>0</v>
      </c>
      <c r="Z187" s="10">
        <f>IF(Suma!$B186=$A$1,Suma!O186,NA())</f>
        <v>0</v>
      </c>
      <c r="AA187" s="10">
        <f>IF(Suma!$B186=$A$1,Suma!BC186,NA())</f>
        <v>0</v>
      </c>
      <c r="AB187" s="10">
        <f>IF(Suma!$B186=$A$1,Suma!BD186,NA())</f>
        <v>0</v>
      </c>
    </row>
    <row r="188" spans="1:28" x14ac:dyDescent="0.3">
      <c r="A188" s="1">
        <f>IF(Suma!$B187=$A$1,Suma!C187,NA())</f>
        <v>0</v>
      </c>
      <c r="B188" s="1">
        <f>IF(Suma!$B187=$A$1,Suma!D187,NA())</f>
        <v>0</v>
      </c>
      <c r="C188" s="2">
        <f>IF(Suma!$B187=$A$1,Suma!E187,NA())</f>
        <v>0</v>
      </c>
      <c r="D188" s="2">
        <f>IF(Suma!$B187=$A$1,Suma!F187,NA())</f>
        <v>0</v>
      </c>
      <c r="E188" s="1">
        <f>IF(Suma!$B187=$A$1,Suma!P187,NA())</f>
        <v>0</v>
      </c>
      <c r="F188" s="10">
        <f t="shared" si="4"/>
        <v>0</v>
      </c>
      <c r="G188" s="1">
        <f>IF(Suma!$B187=$A$1,Suma!W187,NA())</f>
        <v>0</v>
      </c>
      <c r="H188" s="10">
        <f t="shared" si="5"/>
        <v>0</v>
      </c>
      <c r="I188" s="1">
        <f>IF(Suma!$B187=$A$1,Suma!AD187,NA())</f>
        <v>0</v>
      </c>
      <c r="J188" s="1">
        <f>IF(Suma!$B187=$A$1,Suma!AK187,NA())</f>
        <v>0</v>
      </c>
      <c r="K188" s="10">
        <f>IF(Suma!$B187=$A$1,Suma!AS187,NA())</f>
        <v>0</v>
      </c>
      <c r="L188" s="1">
        <f>IF(Suma!$B187=$A$1,Suma!G187,NA())</f>
        <v>0</v>
      </c>
      <c r="M188" s="1">
        <f>IF(Suma!$B187=$A$1,Suma!H187,NA())</f>
        <v>0</v>
      </c>
      <c r="N188" s="1">
        <f>IF(Suma!$B187=$A$1,Suma!AT187,NA())</f>
        <v>1900</v>
      </c>
      <c r="O188" s="1" t="str">
        <f>IF(Suma!$B187=$A$1,Suma!AU187,NA())</f>
        <v>enero</v>
      </c>
      <c r="P188" s="1">
        <f>IF(Suma!$B187=$A$1,Suma!AV187,NA())</f>
        <v>0</v>
      </c>
      <c r="Q188" s="1">
        <f>IF(Suma!$B187=$A$1,Suma!AW187,NA())</f>
        <v>0</v>
      </c>
      <c r="R188" s="10">
        <f>IF(Suma!$B187=$A$1,Suma!AX187,NA())</f>
        <v>0</v>
      </c>
      <c r="S188" s="10">
        <f>IF(Suma!$B187=$A$1,Suma!AY187,NA())</f>
        <v>0</v>
      </c>
      <c r="T188" s="10">
        <f>IF(Suma!$B187=$A$1,Suma!AZ187,NA())</f>
        <v>0</v>
      </c>
      <c r="U188" s="10">
        <f>IF(Suma!$B187=$A$1,Suma!J187,NA())</f>
        <v>0</v>
      </c>
      <c r="V188" s="10">
        <f>IF(Suma!$B187=$A$1,Suma!K187,NA())</f>
        <v>0</v>
      </c>
      <c r="W188" s="10">
        <f>IF(Suma!$B187=$A$1,Suma!L187,NA())</f>
        <v>0</v>
      </c>
      <c r="X188" s="10">
        <f>IF(Suma!$B187=$A$1,Suma!M187,NA())</f>
        <v>0</v>
      </c>
      <c r="Y188" s="10">
        <f>IF(Suma!$B187=$A$1,Suma!N187,NA())</f>
        <v>0</v>
      </c>
      <c r="Z188" s="10">
        <f>IF(Suma!$B187=$A$1,Suma!O187,NA())</f>
        <v>0</v>
      </c>
      <c r="AA188" s="10">
        <f>IF(Suma!$B187=$A$1,Suma!BC187,NA())</f>
        <v>0</v>
      </c>
      <c r="AB188" s="10">
        <f>IF(Suma!$B187=$A$1,Suma!BD187,NA())</f>
        <v>0</v>
      </c>
    </row>
    <row r="189" spans="1:28" x14ac:dyDescent="0.3">
      <c r="A189" s="1">
        <f>IF(Suma!$B188=$A$1,Suma!C188,NA())</f>
        <v>0</v>
      </c>
      <c r="B189" s="1">
        <f>IF(Suma!$B188=$A$1,Suma!D188,NA())</f>
        <v>0</v>
      </c>
      <c r="C189" s="2">
        <f>IF(Suma!$B188=$A$1,Suma!E188,NA())</f>
        <v>0</v>
      </c>
      <c r="D189" s="2">
        <f>IF(Suma!$B188=$A$1,Suma!F188,NA())</f>
        <v>0</v>
      </c>
      <c r="E189" s="1">
        <f>IF(Suma!$B188=$A$1,Suma!P188,NA())</f>
        <v>0</v>
      </c>
      <c r="F189" s="10">
        <f t="shared" si="4"/>
        <v>0</v>
      </c>
      <c r="G189" s="1">
        <f>IF(Suma!$B188=$A$1,Suma!W188,NA())</f>
        <v>0</v>
      </c>
      <c r="H189" s="10">
        <f t="shared" si="5"/>
        <v>0</v>
      </c>
      <c r="I189" s="1">
        <f>IF(Suma!$B188=$A$1,Suma!AD188,NA())</f>
        <v>0</v>
      </c>
      <c r="J189" s="1">
        <f>IF(Suma!$B188=$A$1,Suma!AK188,NA())</f>
        <v>0</v>
      </c>
      <c r="K189" s="10">
        <f>IF(Suma!$B188=$A$1,Suma!AS188,NA())</f>
        <v>0</v>
      </c>
      <c r="L189" s="1">
        <f>IF(Suma!$B188=$A$1,Suma!G188,NA())</f>
        <v>0</v>
      </c>
      <c r="M189" s="1">
        <f>IF(Suma!$B188=$A$1,Suma!H188,NA())</f>
        <v>0</v>
      </c>
      <c r="N189" s="1">
        <f>IF(Suma!$B188=$A$1,Suma!AT188,NA())</f>
        <v>1900</v>
      </c>
      <c r="O189" s="1" t="str">
        <f>IF(Suma!$B188=$A$1,Suma!AU188,NA())</f>
        <v>enero</v>
      </c>
      <c r="P189" s="1">
        <f>IF(Suma!$B188=$A$1,Suma!AV188,NA())</f>
        <v>0</v>
      </c>
      <c r="Q189" s="1">
        <f>IF(Suma!$B188=$A$1,Suma!AW188,NA())</f>
        <v>0</v>
      </c>
      <c r="R189" s="10">
        <f>IF(Suma!$B188=$A$1,Suma!AX188,NA())</f>
        <v>0</v>
      </c>
      <c r="S189" s="10">
        <f>IF(Suma!$B188=$A$1,Suma!AY188,NA())</f>
        <v>0</v>
      </c>
      <c r="T189" s="10">
        <f>IF(Suma!$B188=$A$1,Suma!AZ188,NA())</f>
        <v>0</v>
      </c>
      <c r="U189" s="10">
        <f>IF(Suma!$B188=$A$1,Suma!J188,NA())</f>
        <v>0</v>
      </c>
      <c r="V189" s="10">
        <f>IF(Suma!$B188=$A$1,Suma!K188,NA())</f>
        <v>0</v>
      </c>
      <c r="W189" s="10">
        <f>IF(Suma!$B188=$A$1,Suma!L188,NA())</f>
        <v>0</v>
      </c>
      <c r="X189" s="10">
        <f>IF(Suma!$B188=$A$1,Suma!M188,NA())</f>
        <v>0</v>
      </c>
      <c r="Y189" s="10">
        <f>IF(Suma!$B188=$A$1,Suma!N188,NA())</f>
        <v>0</v>
      </c>
      <c r="Z189" s="10">
        <f>IF(Suma!$B188=$A$1,Suma!O188,NA())</f>
        <v>0</v>
      </c>
      <c r="AA189" s="10">
        <f>IF(Suma!$B188=$A$1,Suma!BC188,NA())</f>
        <v>0</v>
      </c>
      <c r="AB189" s="10">
        <f>IF(Suma!$B188=$A$1,Suma!BD188,NA())</f>
        <v>0</v>
      </c>
    </row>
    <row r="190" spans="1:28" x14ac:dyDescent="0.3">
      <c r="A190" s="1">
        <f>IF(Suma!$B189=$A$1,Suma!C189,NA())</f>
        <v>0</v>
      </c>
      <c r="B190" s="1">
        <f>IF(Suma!$B189=$A$1,Suma!D189,NA())</f>
        <v>0</v>
      </c>
      <c r="C190" s="2">
        <f>IF(Suma!$B189=$A$1,Suma!E189,NA())</f>
        <v>0</v>
      </c>
      <c r="D190" s="2">
        <f>IF(Suma!$B189=$A$1,Suma!F189,NA())</f>
        <v>0</v>
      </c>
      <c r="E190" s="1">
        <f>IF(Suma!$B189=$A$1,Suma!P189,NA())</f>
        <v>0</v>
      </c>
      <c r="F190" s="10">
        <f t="shared" si="4"/>
        <v>0</v>
      </c>
      <c r="G190" s="1">
        <f>IF(Suma!$B189=$A$1,Suma!W189,NA())</f>
        <v>0</v>
      </c>
      <c r="H190" s="10">
        <f t="shared" si="5"/>
        <v>0</v>
      </c>
      <c r="I190" s="1">
        <f>IF(Suma!$B189=$A$1,Suma!AD189,NA())</f>
        <v>0</v>
      </c>
      <c r="J190" s="1">
        <f>IF(Suma!$B189=$A$1,Suma!AK189,NA())</f>
        <v>0</v>
      </c>
      <c r="K190" s="10">
        <f>IF(Suma!$B189=$A$1,Suma!AS189,NA())</f>
        <v>0</v>
      </c>
      <c r="L190" s="1">
        <f>IF(Suma!$B189=$A$1,Suma!G189,NA())</f>
        <v>0</v>
      </c>
      <c r="M190" s="1">
        <f>IF(Suma!$B189=$A$1,Suma!H189,NA())</f>
        <v>0</v>
      </c>
      <c r="N190" s="1">
        <f>IF(Suma!$B189=$A$1,Suma!AT189,NA())</f>
        <v>1900</v>
      </c>
      <c r="O190" s="1" t="str">
        <f>IF(Suma!$B189=$A$1,Suma!AU189,NA())</f>
        <v>enero</v>
      </c>
      <c r="P190" s="1">
        <f>IF(Suma!$B189=$A$1,Suma!AV189,NA())</f>
        <v>0</v>
      </c>
      <c r="Q190" s="1">
        <f>IF(Suma!$B189=$A$1,Suma!AW189,NA())</f>
        <v>0</v>
      </c>
      <c r="R190" s="10">
        <f>IF(Suma!$B189=$A$1,Suma!AX189,NA())</f>
        <v>0</v>
      </c>
      <c r="S190" s="10">
        <f>IF(Suma!$B189=$A$1,Suma!AY189,NA())</f>
        <v>0</v>
      </c>
      <c r="T190" s="10">
        <f>IF(Suma!$B189=$A$1,Suma!AZ189,NA())</f>
        <v>0</v>
      </c>
      <c r="U190" s="10">
        <f>IF(Suma!$B189=$A$1,Suma!J189,NA())</f>
        <v>0</v>
      </c>
      <c r="V190" s="10">
        <f>IF(Suma!$B189=$A$1,Suma!K189,NA())</f>
        <v>0</v>
      </c>
      <c r="W190" s="10">
        <f>IF(Suma!$B189=$A$1,Suma!L189,NA())</f>
        <v>0</v>
      </c>
      <c r="X190" s="10">
        <f>IF(Suma!$B189=$A$1,Suma!M189,NA())</f>
        <v>0</v>
      </c>
      <c r="Y190" s="10">
        <f>IF(Suma!$B189=$A$1,Suma!N189,NA())</f>
        <v>0</v>
      </c>
      <c r="Z190" s="10">
        <f>IF(Suma!$B189=$A$1,Suma!O189,NA())</f>
        <v>0</v>
      </c>
      <c r="AA190" s="10">
        <f>IF(Suma!$B189=$A$1,Suma!BC189,NA())</f>
        <v>0</v>
      </c>
      <c r="AB190" s="10">
        <f>IF(Suma!$B189=$A$1,Suma!BD189,NA())</f>
        <v>0</v>
      </c>
    </row>
    <row r="191" spans="1:28" x14ac:dyDescent="0.3">
      <c r="A191" s="1">
        <f>IF(Suma!$B190=$A$1,Suma!C190,NA())</f>
        <v>0</v>
      </c>
      <c r="B191" s="1">
        <f>IF(Suma!$B190=$A$1,Suma!D190,NA())</f>
        <v>0</v>
      </c>
      <c r="C191" s="2">
        <f>IF(Suma!$B190=$A$1,Suma!E190,NA())</f>
        <v>0</v>
      </c>
      <c r="D191" s="2">
        <f>IF(Suma!$B190=$A$1,Suma!F190,NA())</f>
        <v>0</v>
      </c>
      <c r="E191" s="1">
        <f>IF(Suma!$B190=$A$1,Suma!P190,NA())</f>
        <v>0</v>
      </c>
      <c r="F191" s="10">
        <f t="shared" si="4"/>
        <v>0</v>
      </c>
      <c r="G191" s="1">
        <f>IF(Suma!$B190=$A$1,Suma!W190,NA())</f>
        <v>0</v>
      </c>
      <c r="H191" s="10">
        <f t="shared" si="5"/>
        <v>0</v>
      </c>
      <c r="I191" s="1">
        <f>IF(Suma!$B190=$A$1,Suma!AD190,NA())</f>
        <v>0</v>
      </c>
      <c r="J191" s="1">
        <f>IF(Suma!$B190=$A$1,Suma!AK190,NA())</f>
        <v>0</v>
      </c>
      <c r="K191" s="10">
        <f>IF(Suma!$B190=$A$1,Suma!AS190,NA())</f>
        <v>0</v>
      </c>
      <c r="L191" s="1">
        <f>IF(Suma!$B190=$A$1,Suma!G190,NA())</f>
        <v>0</v>
      </c>
      <c r="M191" s="1">
        <f>IF(Suma!$B190=$A$1,Suma!H190,NA())</f>
        <v>0</v>
      </c>
      <c r="N191" s="1">
        <f>IF(Suma!$B190=$A$1,Suma!AT190,NA())</f>
        <v>1900</v>
      </c>
      <c r="O191" s="1" t="str">
        <f>IF(Suma!$B190=$A$1,Suma!AU190,NA())</f>
        <v>enero</v>
      </c>
      <c r="P191" s="1">
        <f>IF(Suma!$B190=$A$1,Suma!AV190,NA())</f>
        <v>0</v>
      </c>
      <c r="Q191" s="1">
        <f>IF(Suma!$B190=$A$1,Suma!AW190,NA())</f>
        <v>0</v>
      </c>
      <c r="R191" s="10">
        <f>IF(Suma!$B190=$A$1,Suma!AX190,NA())</f>
        <v>0</v>
      </c>
      <c r="S191" s="10">
        <f>IF(Suma!$B190=$A$1,Suma!AY190,NA())</f>
        <v>0</v>
      </c>
      <c r="T191" s="10">
        <f>IF(Suma!$B190=$A$1,Suma!AZ190,NA())</f>
        <v>0</v>
      </c>
      <c r="U191" s="10">
        <f>IF(Suma!$B190=$A$1,Suma!J190,NA())</f>
        <v>0</v>
      </c>
      <c r="V191" s="10">
        <f>IF(Suma!$B190=$A$1,Suma!K190,NA())</f>
        <v>0</v>
      </c>
      <c r="W191" s="10">
        <f>IF(Suma!$B190=$A$1,Suma!L190,NA())</f>
        <v>0</v>
      </c>
      <c r="X191" s="10">
        <f>IF(Suma!$B190=$A$1,Suma!M190,NA())</f>
        <v>0</v>
      </c>
      <c r="Y191" s="10">
        <f>IF(Suma!$B190=$A$1,Suma!N190,NA())</f>
        <v>0</v>
      </c>
      <c r="Z191" s="10">
        <f>IF(Suma!$B190=$A$1,Suma!O190,NA())</f>
        <v>0</v>
      </c>
      <c r="AA191" s="10">
        <f>IF(Suma!$B190=$A$1,Suma!BC190,NA())</f>
        <v>0</v>
      </c>
      <c r="AB191" s="10">
        <f>IF(Suma!$B190=$A$1,Suma!BD190,NA())</f>
        <v>0</v>
      </c>
    </row>
    <row r="192" spans="1:28" x14ac:dyDescent="0.3">
      <c r="A192" s="1">
        <f>IF(Suma!$B191=$A$1,Suma!C191,NA())</f>
        <v>0</v>
      </c>
      <c r="B192" s="1">
        <f>IF(Suma!$B191=$A$1,Suma!D191,NA())</f>
        <v>0</v>
      </c>
      <c r="C192" s="2">
        <f>IF(Suma!$B191=$A$1,Suma!E191,NA())</f>
        <v>0</v>
      </c>
      <c r="D192" s="2">
        <f>IF(Suma!$B191=$A$1,Suma!F191,NA())</f>
        <v>0</v>
      </c>
      <c r="E192" s="1">
        <f>IF(Suma!$B191=$A$1,Suma!P191,NA())</f>
        <v>0</v>
      </c>
      <c r="F192" s="10">
        <f t="shared" si="4"/>
        <v>0</v>
      </c>
      <c r="G192" s="1">
        <f>IF(Suma!$B191=$A$1,Suma!W191,NA())</f>
        <v>0</v>
      </c>
      <c r="H192" s="10">
        <f t="shared" si="5"/>
        <v>0</v>
      </c>
      <c r="I192" s="1">
        <f>IF(Suma!$B191=$A$1,Suma!AD191,NA())</f>
        <v>0</v>
      </c>
      <c r="J192" s="1">
        <f>IF(Suma!$B191=$A$1,Suma!AK191,NA())</f>
        <v>0</v>
      </c>
      <c r="K192" s="10">
        <f>IF(Suma!$B191=$A$1,Suma!AS191,NA())</f>
        <v>0</v>
      </c>
      <c r="L192" s="1">
        <f>IF(Suma!$B191=$A$1,Suma!G191,NA())</f>
        <v>0</v>
      </c>
      <c r="M192" s="1">
        <f>IF(Suma!$B191=$A$1,Suma!H191,NA())</f>
        <v>0</v>
      </c>
      <c r="N192" s="1">
        <f>IF(Suma!$B191=$A$1,Suma!AT191,NA())</f>
        <v>1900</v>
      </c>
      <c r="O192" s="1" t="str">
        <f>IF(Suma!$B191=$A$1,Suma!AU191,NA())</f>
        <v>enero</v>
      </c>
      <c r="P192" s="1">
        <f>IF(Suma!$B191=$A$1,Suma!AV191,NA())</f>
        <v>0</v>
      </c>
      <c r="Q192" s="1">
        <f>IF(Suma!$B191=$A$1,Suma!AW191,NA())</f>
        <v>0</v>
      </c>
      <c r="R192" s="10">
        <f>IF(Suma!$B191=$A$1,Suma!AX191,NA())</f>
        <v>0</v>
      </c>
      <c r="S192" s="10">
        <f>IF(Suma!$B191=$A$1,Suma!AY191,NA())</f>
        <v>0</v>
      </c>
      <c r="T192" s="10">
        <f>IF(Suma!$B191=$A$1,Suma!AZ191,NA())</f>
        <v>0</v>
      </c>
      <c r="U192" s="10">
        <f>IF(Suma!$B191=$A$1,Suma!J191,NA())</f>
        <v>0</v>
      </c>
      <c r="V192" s="10">
        <f>IF(Suma!$B191=$A$1,Suma!K191,NA())</f>
        <v>0</v>
      </c>
      <c r="W192" s="10">
        <f>IF(Suma!$B191=$A$1,Suma!L191,NA())</f>
        <v>0</v>
      </c>
      <c r="X192" s="10">
        <f>IF(Suma!$B191=$A$1,Suma!M191,NA())</f>
        <v>0</v>
      </c>
      <c r="Y192" s="10">
        <f>IF(Suma!$B191=$A$1,Suma!N191,NA())</f>
        <v>0</v>
      </c>
      <c r="Z192" s="10">
        <f>IF(Suma!$B191=$A$1,Suma!O191,NA())</f>
        <v>0</v>
      </c>
      <c r="AA192" s="10">
        <f>IF(Suma!$B191=$A$1,Suma!BC191,NA())</f>
        <v>0</v>
      </c>
      <c r="AB192" s="10">
        <f>IF(Suma!$B191=$A$1,Suma!BD191,NA())</f>
        <v>0</v>
      </c>
    </row>
    <row r="193" spans="1:28" x14ac:dyDescent="0.3">
      <c r="A193" s="1">
        <f>IF(Suma!$B192=$A$1,Suma!C192,NA())</f>
        <v>0</v>
      </c>
      <c r="B193" s="1">
        <f>IF(Suma!$B192=$A$1,Suma!D192,NA())</f>
        <v>0</v>
      </c>
      <c r="C193" s="2">
        <f>IF(Suma!$B192=$A$1,Suma!E192,NA())</f>
        <v>0</v>
      </c>
      <c r="D193" s="2">
        <f>IF(Suma!$B192=$A$1,Suma!F192,NA())</f>
        <v>0</v>
      </c>
      <c r="E193" s="1">
        <f>IF(Suma!$B192=$A$1,Suma!P192,NA())</f>
        <v>0</v>
      </c>
      <c r="F193" s="10">
        <f t="shared" si="4"/>
        <v>0</v>
      </c>
      <c r="G193" s="1">
        <f>IF(Suma!$B192=$A$1,Suma!W192,NA())</f>
        <v>0</v>
      </c>
      <c r="H193" s="10">
        <f t="shared" si="5"/>
        <v>0</v>
      </c>
      <c r="I193" s="1">
        <f>IF(Suma!$B192=$A$1,Suma!AD192,NA())</f>
        <v>0</v>
      </c>
      <c r="J193" s="1">
        <f>IF(Suma!$B192=$A$1,Suma!AK192,NA())</f>
        <v>0</v>
      </c>
      <c r="K193" s="10">
        <f>IF(Suma!$B192=$A$1,Suma!AS192,NA())</f>
        <v>0</v>
      </c>
      <c r="L193" s="1">
        <f>IF(Suma!$B192=$A$1,Suma!G192,NA())</f>
        <v>0</v>
      </c>
      <c r="M193" s="1">
        <f>IF(Suma!$B192=$A$1,Suma!H192,NA())</f>
        <v>0</v>
      </c>
      <c r="N193" s="1">
        <f>IF(Suma!$B192=$A$1,Suma!AT192,NA())</f>
        <v>1900</v>
      </c>
      <c r="O193" s="1" t="str">
        <f>IF(Suma!$B192=$A$1,Suma!AU192,NA())</f>
        <v>enero</v>
      </c>
      <c r="P193" s="1">
        <f>IF(Suma!$B192=$A$1,Suma!AV192,NA())</f>
        <v>0</v>
      </c>
      <c r="Q193" s="1">
        <f>IF(Suma!$B192=$A$1,Suma!AW192,NA())</f>
        <v>0</v>
      </c>
      <c r="R193" s="10">
        <f>IF(Suma!$B192=$A$1,Suma!AX192,NA())</f>
        <v>0</v>
      </c>
      <c r="S193" s="10">
        <f>IF(Suma!$B192=$A$1,Suma!AY192,NA())</f>
        <v>0</v>
      </c>
      <c r="T193" s="10">
        <f>IF(Suma!$B192=$A$1,Suma!AZ192,NA())</f>
        <v>0</v>
      </c>
      <c r="U193" s="10">
        <f>IF(Suma!$B192=$A$1,Suma!J192,NA())</f>
        <v>0</v>
      </c>
      <c r="V193" s="10">
        <f>IF(Suma!$B192=$A$1,Suma!K192,NA())</f>
        <v>0</v>
      </c>
      <c r="W193" s="10">
        <f>IF(Suma!$B192=$A$1,Suma!L192,NA())</f>
        <v>0</v>
      </c>
      <c r="X193" s="10">
        <f>IF(Suma!$B192=$A$1,Suma!M192,NA())</f>
        <v>0</v>
      </c>
      <c r="Y193" s="10">
        <f>IF(Suma!$B192=$A$1,Suma!N192,NA())</f>
        <v>0</v>
      </c>
      <c r="Z193" s="10">
        <f>IF(Suma!$B192=$A$1,Suma!O192,NA())</f>
        <v>0</v>
      </c>
      <c r="AA193" s="10">
        <f>IF(Suma!$B192=$A$1,Suma!BC192,NA())</f>
        <v>0</v>
      </c>
      <c r="AB193" s="10">
        <f>IF(Suma!$B192=$A$1,Suma!BD192,NA())</f>
        <v>0</v>
      </c>
    </row>
    <row r="194" spans="1:28" x14ac:dyDescent="0.3">
      <c r="A194" s="1">
        <f>IF(Suma!$B193=$A$1,Suma!C193,NA())</f>
        <v>0</v>
      </c>
      <c r="B194" s="1">
        <f>IF(Suma!$B193=$A$1,Suma!D193,NA())</f>
        <v>0</v>
      </c>
      <c r="C194" s="2">
        <f>IF(Suma!$B193=$A$1,Suma!E193,NA())</f>
        <v>0</v>
      </c>
      <c r="D194" s="2">
        <f>IF(Suma!$B193=$A$1,Suma!F193,NA())</f>
        <v>0</v>
      </c>
      <c r="E194" s="1">
        <f>IF(Suma!$B193=$A$1,Suma!P193,NA())</f>
        <v>0</v>
      </c>
      <c r="F194" s="10">
        <f t="shared" si="4"/>
        <v>0</v>
      </c>
      <c r="G194" s="1">
        <f>IF(Suma!$B193=$A$1,Suma!W193,NA())</f>
        <v>0</v>
      </c>
      <c r="H194" s="10">
        <f t="shared" si="5"/>
        <v>0</v>
      </c>
      <c r="I194" s="1">
        <f>IF(Suma!$B193=$A$1,Suma!AD193,NA())</f>
        <v>0</v>
      </c>
      <c r="J194" s="1">
        <f>IF(Suma!$B193=$A$1,Suma!AK193,NA())</f>
        <v>0</v>
      </c>
      <c r="K194" s="10">
        <f>IF(Suma!$B193=$A$1,Suma!AS193,NA())</f>
        <v>0</v>
      </c>
      <c r="L194" s="1">
        <f>IF(Suma!$B193=$A$1,Suma!G193,NA())</f>
        <v>0</v>
      </c>
      <c r="M194" s="1">
        <f>IF(Suma!$B193=$A$1,Suma!H193,NA())</f>
        <v>0</v>
      </c>
      <c r="N194" s="1">
        <f>IF(Suma!$B193=$A$1,Suma!AT193,NA())</f>
        <v>1900</v>
      </c>
      <c r="O194" s="1" t="str">
        <f>IF(Suma!$B193=$A$1,Suma!AU193,NA())</f>
        <v>enero</v>
      </c>
      <c r="P194" s="1">
        <f>IF(Suma!$B193=$A$1,Suma!AV193,NA())</f>
        <v>0</v>
      </c>
      <c r="Q194" s="1">
        <f>IF(Suma!$B193=$A$1,Suma!AW193,NA())</f>
        <v>0</v>
      </c>
      <c r="R194" s="10">
        <f>IF(Suma!$B193=$A$1,Suma!AX193,NA())</f>
        <v>0</v>
      </c>
      <c r="S194" s="10">
        <f>IF(Suma!$B193=$A$1,Suma!AY193,NA())</f>
        <v>0</v>
      </c>
      <c r="T194" s="10">
        <f>IF(Suma!$B193=$A$1,Suma!AZ193,NA())</f>
        <v>0</v>
      </c>
      <c r="U194" s="10">
        <f>IF(Suma!$B193=$A$1,Suma!J193,NA())</f>
        <v>0</v>
      </c>
      <c r="V194" s="10">
        <f>IF(Suma!$B193=$A$1,Suma!K193,NA())</f>
        <v>0</v>
      </c>
      <c r="W194" s="10">
        <f>IF(Suma!$B193=$A$1,Suma!L193,NA())</f>
        <v>0</v>
      </c>
      <c r="X194" s="10">
        <f>IF(Suma!$B193=$A$1,Suma!M193,NA())</f>
        <v>0</v>
      </c>
      <c r="Y194" s="10">
        <f>IF(Suma!$B193=$A$1,Suma!N193,NA())</f>
        <v>0</v>
      </c>
      <c r="Z194" s="10">
        <f>IF(Suma!$B193=$A$1,Suma!O193,NA())</f>
        <v>0</v>
      </c>
      <c r="AA194" s="10">
        <f>IF(Suma!$B193=$A$1,Suma!BC193,NA())</f>
        <v>0</v>
      </c>
      <c r="AB194" s="10">
        <f>IF(Suma!$B193=$A$1,Suma!BD193,NA())</f>
        <v>0</v>
      </c>
    </row>
    <row r="195" spans="1:28" x14ac:dyDescent="0.3">
      <c r="A195" s="1">
        <f>IF(Suma!$B194=$A$1,Suma!C194,NA())</f>
        <v>0</v>
      </c>
      <c r="B195" s="1">
        <f>IF(Suma!$B194=$A$1,Suma!D194,NA())</f>
        <v>0</v>
      </c>
      <c r="C195" s="2">
        <f>IF(Suma!$B194=$A$1,Suma!E194,NA())</f>
        <v>0</v>
      </c>
      <c r="D195" s="2">
        <f>IF(Suma!$B194=$A$1,Suma!F194,NA())</f>
        <v>0</v>
      </c>
      <c r="E195" s="1">
        <f>IF(Suma!$B194=$A$1,Suma!P194,NA())</f>
        <v>0</v>
      </c>
      <c r="F195" s="10">
        <f t="shared" si="4"/>
        <v>0</v>
      </c>
      <c r="G195" s="1">
        <f>IF(Suma!$B194=$A$1,Suma!W194,NA())</f>
        <v>0</v>
      </c>
      <c r="H195" s="10">
        <f t="shared" si="5"/>
        <v>0</v>
      </c>
      <c r="I195" s="1">
        <f>IF(Suma!$B194=$A$1,Suma!AD194,NA())</f>
        <v>0</v>
      </c>
      <c r="J195" s="1">
        <f>IF(Suma!$B194=$A$1,Suma!AK194,NA())</f>
        <v>0</v>
      </c>
      <c r="K195" s="10">
        <f>IF(Suma!$B194=$A$1,Suma!AS194,NA())</f>
        <v>0</v>
      </c>
      <c r="L195" s="1">
        <f>IF(Suma!$B194=$A$1,Suma!G194,NA())</f>
        <v>0</v>
      </c>
      <c r="M195" s="1">
        <f>IF(Suma!$B194=$A$1,Suma!H194,NA())</f>
        <v>0</v>
      </c>
      <c r="N195" s="1">
        <f>IF(Suma!$B194=$A$1,Suma!AT194,NA())</f>
        <v>1900</v>
      </c>
      <c r="O195" s="1" t="str">
        <f>IF(Suma!$B194=$A$1,Suma!AU194,NA())</f>
        <v>enero</v>
      </c>
      <c r="P195" s="1">
        <f>IF(Suma!$B194=$A$1,Suma!AV194,NA())</f>
        <v>0</v>
      </c>
      <c r="Q195" s="1">
        <f>IF(Suma!$B194=$A$1,Suma!AW194,NA())</f>
        <v>0</v>
      </c>
      <c r="R195" s="10">
        <f>IF(Suma!$B194=$A$1,Suma!AX194,NA())</f>
        <v>0</v>
      </c>
      <c r="S195" s="10">
        <f>IF(Suma!$B194=$A$1,Suma!AY194,NA())</f>
        <v>0</v>
      </c>
      <c r="T195" s="10">
        <f>IF(Suma!$B194=$A$1,Suma!AZ194,NA())</f>
        <v>0</v>
      </c>
      <c r="U195" s="10">
        <f>IF(Suma!$B194=$A$1,Suma!J194,NA())</f>
        <v>0</v>
      </c>
      <c r="V195" s="10">
        <f>IF(Suma!$B194=$A$1,Suma!K194,NA())</f>
        <v>0</v>
      </c>
      <c r="W195" s="10">
        <f>IF(Suma!$B194=$A$1,Suma!L194,NA())</f>
        <v>0</v>
      </c>
      <c r="X195" s="10">
        <f>IF(Suma!$B194=$A$1,Suma!M194,NA())</f>
        <v>0</v>
      </c>
      <c r="Y195" s="10">
        <f>IF(Suma!$B194=$A$1,Suma!N194,NA())</f>
        <v>0</v>
      </c>
      <c r="Z195" s="10">
        <f>IF(Suma!$B194=$A$1,Suma!O194,NA())</f>
        <v>0</v>
      </c>
      <c r="AA195" s="10">
        <f>IF(Suma!$B194=$A$1,Suma!BC194,NA())</f>
        <v>0</v>
      </c>
      <c r="AB195" s="10">
        <f>IF(Suma!$B194=$A$1,Suma!BD194,NA())</f>
        <v>0</v>
      </c>
    </row>
    <row r="196" spans="1:28" x14ac:dyDescent="0.3">
      <c r="A196" s="1">
        <f>IF(Suma!$B195=$A$1,Suma!C195,NA())</f>
        <v>0</v>
      </c>
      <c r="B196" s="1">
        <f>IF(Suma!$B195=$A$1,Suma!D195,NA())</f>
        <v>0</v>
      </c>
      <c r="C196" s="2">
        <f>IF(Suma!$B195=$A$1,Suma!E195,NA())</f>
        <v>0</v>
      </c>
      <c r="D196" s="2">
        <f>IF(Suma!$B195=$A$1,Suma!F195,NA())</f>
        <v>0</v>
      </c>
      <c r="E196" s="1">
        <f>IF(Suma!$B195=$A$1,Suma!P195,NA())</f>
        <v>0</v>
      </c>
      <c r="F196" s="10">
        <f t="shared" ref="F196:F200" si="6">IFERROR(E196/(($D196-$C196)+1),NA())</f>
        <v>0</v>
      </c>
      <c r="G196" s="1">
        <f>IF(Suma!$B195=$A$1,Suma!W195,NA())</f>
        <v>0</v>
      </c>
      <c r="H196" s="10">
        <f t="shared" ref="H196:H200" si="7">IFERROR((G196/($D196-$C196+1)),NA())</f>
        <v>0</v>
      </c>
      <c r="I196" s="1">
        <f>IF(Suma!$B195=$A$1,Suma!AD195,NA())</f>
        <v>0</v>
      </c>
      <c r="J196" s="1">
        <f>IF(Suma!$B195=$A$1,Suma!AK195,NA())</f>
        <v>0</v>
      </c>
      <c r="K196" s="10">
        <f>IF(Suma!$B195=$A$1,Suma!AS195,NA())</f>
        <v>0</v>
      </c>
      <c r="L196" s="1">
        <f>IF(Suma!$B195=$A$1,Suma!G195,NA())</f>
        <v>0</v>
      </c>
      <c r="M196" s="1">
        <f>IF(Suma!$B195=$A$1,Suma!H195,NA())</f>
        <v>0</v>
      </c>
      <c r="N196" s="1">
        <f>IF(Suma!$B195=$A$1,Suma!AT195,NA())</f>
        <v>1900</v>
      </c>
      <c r="O196" s="1" t="str">
        <f>IF(Suma!$B195=$A$1,Suma!AU195,NA())</f>
        <v>enero</v>
      </c>
      <c r="P196" s="1">
        <f>IF(Suma!$B195=$A$1,Suma!AV195,NA())</f>
        <v>0</v>
      </c>
      <c r="Q196" s="1">
        <f>IF(Suma!$B195=$A$1,Suma!AW195,NA())</f>
        <v>0</v>
      </c>
      <c r="R196" s="10">
        <f>IF(Suma!$B195=$A$1,Suma!AX195,NA())</f>
        <v>0</v>
      </c>
      <c r="S196" s="10">
        <f>IF(Suma!$B195=$A$1,Suma!AY195,NA())</f>
        <v>0</v>
      </c>
      <c r="T196" s="10">
        <f>IF(Suma!$B195=$A$1,Suma!AZ195,NA())</f>
        <v>0</v>
      </c>
      <c r="U196" s="10">
        <f>IF(Suma!$B195=$A$1,Suma!J195,NA())</f>
        <v>0</v>
      </c>
      <c r="V196" s="10">
        <f>IF(Suma!$B195=$A$1,Suma!K195,NA())</f>
        <v>0</v>
      </c>
      <c r="W196" s="10">
        <f>IF(Suma!$B195=$A$1,Suma!L195,NA())</f>
        <v>0</v>
      </c>
      <c r="X196" s="10">
        <f>IF(Suma!$B195=$A$1,Suma!M195,NA())</f>
        <v>0</v>
      </c>
      <c r="Y196" s="10">
        <f>IF(Suma!$B195=$A$1,Suma!N195,NA())</f>
        <v>0</v>
      </c>
      <c r="Z196" s="10">
        <f>IF(Suma!$B195=$A$1,Suma!O195,NA())</f>
        <v>0</v>
      </c>
      <c r="AA196" s="10">
        <f>IF(Suma!$B195=$A$1,Suma!BC195,NA())</f>
        <v>0</v>
      </c>
      <c r="AB196" s="10">
        <f>IF(Suma!$B195=$A$1,Suma!BD195,NA())</f>
        <v>0</v>
      </c>
    </row>
    <row r="197" spans="1:28" x14ac:dyDescent="0.3">
      <c r="A197" s="1">
        <f>IF(Suma!$B196=$A$1,Suma!C196,NA())</f>
        <v>0</v>
      </c>
      <c r="B197" s="1">
        <f>IF(Suma!$B196=$A$1,Suma!D196,NA())</f>
        <v>0</v>
      </c>
      <c r="C197" s="2">
        <f>IF(Suma!$B196=$A$1,Suma!E196,NA())</f>
        <v>0</v>
      </c>
      <c r="D197" s="2">
        <f>IF(Suma!$B196=$A$1,Suma!F196,NA())</f>
        <v>0</v>
      </c>
      <c r="E197" s="1">
        <f>IF(Suma!$B196=$A$1,Suma!P196,NA())</f>
        <v>0</v>
      </c>
      <c r="F197" s="10">
        <f t="shared" si="6"/>
        <v>0</v>
      </c>
      <c r="G197" s="1">
        <f>IF(Suma!$B196=$A$1,Suma!W196,NA())</f>
        <v>0</v>
      </c>
      <c r="H197" s="10">
        <f t="shared" si="7"/>
        <v>0</v>
      </c>
      <c r="I197" s="1">
        <f>IF(Suma!$B196=$A$1,Suma!AD196,NA())</f>
        <v>0</v>
      </c>
      <c r="J197" s="1">
        <f>IF(Suma!$B196=$A$1,Suma!AK196,NA())</f>
        <v>0</v>
      </c>
      <c r="K197" s="10">
        <f>IF(Suma!$B196=$A$1,Suma!AS196,NA())</f>
        <v>0</v>
      </c>
      <c r="L197" s="1">
        <f>IF(Suma!$B196=$A$1,Suma!G196,NA())</f>
        <v>0</v>
      </c>
      <c r="M197" s="1">
        <f>IF(Suma!$B196=$A$1,Suma!H196,NA())</f>
        <v>0</v>
      </c>
      <c r="N197" s="1">
        <f>IF(Suma!$B196=$A$1,Suma!AT196,NA())</f>
        <v>1900</v>
      </c>
      <c r="O197" s="1" t="str">
        <f>IF(Suma!$B196=$A$1,Suma!AU196,NA())</f>
        <v>enero</v>
      </c>
      <c r="P197" s="1">
        <f>IF(Suma!$B196=$A$1,Suma!AV196,NA())</f>
        <v>0</v>
      </c>
      <c r="Q197" s="1">
        <f>IF(Suma!$B196=$A$1,Suma!AW196,NA())</f>
        <v>0</v>
      </c>
      <c r="R197" s="10">
        <f>IF(Suma!$B196=$A$1,Suma!AX196,NA())</f>
        <v>0</v>
      </c>
      <c r="S197" s="10">
        <f>IF(Suma!$B196=$A$1,Suma!AY196,NA())</f>
        <v>0</v>
      </c>
      <c r="T197" s="10">
        <f>IF(Suma!$B196=$A$1,Suma!AZ196,NA())</f>
        <v>0</v>
      </c>
      <c r="U197" s="10">
        <f>IF(Suma!$B196=$A$1,Suma!J196,NA())</f>
        <v>0</v>
      </c>
      <c r="V197" s="10">
        <f>IF(Suma!$B196=$A$1,Suma!K196,NA())</f>
        <v>0</v>
      </c>
      <c r="W197" s="10">
        <f>IF(Suma!$B196=$A$1,Suma!L196,NA())</f>
        <v>0</v>
      </c>
      <c r="X197" s="10">
        <f>IF(Suma!$B196=$A$1,Suma!M196,NA())</f>
        <v>0</v>
      </c>
      <c r="Y197" s="10">
        <f>IF(Suma!$B196=$A$1,Suma!N196,NA())</f>
        <v>0</v>
      </c>
      <c r="Z197" s="10">
        <f>IF(Suma!$B196=$A$1,Suma!O196,NA())</f>
        <v>0</v>
      </c>
      <c r="AA197" s="10">
        <f>IF(Suma!$B196=$A$1,Suma!BC196,NA())</f>
        <v>0</v>
      </c>
      <c r="AB197" s="10">
        <f>IF(Suma!$B196=$A$1,Suma!BD196,NA())</f>
        <v>0</v>
      </c>
    </row>
    <row r="198" spans="1:28" x14ac:dyDescent="0.3">
      <c r="A198" s="1">
        <f>IF(Suma!$B197=$A$1,Suma!C197,NA())</f>
        <v>0</v>
      </c>
      <c r="B198" s="1">
        <f>IF(Suma!$B197=$A$1,Suma!D197,NA())</f>
        <v>0</v>
      </c>
      <c r="C198" s="2">
        <f>IF(Suma!$B197=$A$1,Suma!E197,NA())</f>
        <v>0</v>
      </c>
      <c r="D198" s="2">
        <f>IF(Suma!$B197=$A$1,Suma!F197,NA())</f>
        <v>0</v>
      </c>
      <c r="E198" s="1">
        <f>IF(Suma!$B197=$A$1,Suma!P197,NA())</f>
        <v>0</v>
      </c>
      <c r="F198" s="10">
        <f t="shared" si="6"/>
        <v>0</v>
      </c>
      <c r="G198" s="1">
        <f>IF(Suma!$B197=$A$1,Suma!W197,NA())</f>
        <v>0</v>
      </c>
      <c r="H198" s="10">
        <f t="shared" si="7"/>
        <v>0</v>
      </c>
      <c r="I198" s="1">
        <f>IF(Suma!$B197=$A$1,Suma!AD197,NA())</f>
        <v>0</v>
      </c>
      <c r="J198" s="1">
        <f>IF(Suma!$B197=$A$1,Suma!AK197,NA())</f>
        <v>0</v>
      </c>
      <c r="K198" s="10">
        <f>IF(Suma!$B197=$A$1,Suma!AS197,NA())</f>
        <v>0</v>
      </c>
      <c r="L198" s="1">
        <f>IF(Suma!$B197=$A$1,Suma!G197,NA())</f>
        <v>0</v>
      </c>
      <c r="M198" s="1">
        <f>IF(Suma!$B197=$A$1,Suma!H197,NA())</f>
        <v>0</v>
      </c>
      <c r="N198" s="1">
        <f>IF(Suma!$B197=$A$1,Suma!AT197,NA())</f>
        <v>1900</v>
      </c>
      <c r="O198" s="1" t="str">
        <f>IF(Suma!$B197=$A$1,Suma!AU197,NA())</f>
        <v>enero</v>
      </c>
      <c r="P198" s="1">
        <f>IF(Suma!$B197=$A$1,Suma!AV197,NA())</f>
        <v>0</v>
      </c>
      <c r="Q198" s="1">
        <f>IF(Suma!$B197=$A$1,Suma!AW197,NA())</f>
        <v>0</v>
      </c>
      <c r="R198" s="10">
        <f>IF(Suma!$B197=$A$1,Suma!AX197,NA())</f>
        <v>0</v>
      </c>
      <c r="S198" s="10">
        <f>IF(Suma!$B197=$A$1,Suma!AY197,NA())</f>
        <v>0</v>
      </c>
      <c r="T198" s="10">
        <f>IF(Suma!$B197=$A$1,Suma!AZ197,NA())</f>
        <v>0</v>
      </c>
      <c r="U198" s="10">
        <f>IF(Suma!$B197=$A$1,Suma!J197,NA())</f>
        <v>0</v>
      </c>
      <c r="V198" s="10">
        <f>IF(Suma!$B197=$A$1,Suma!K197,NA())</f>
        <v>0</v>
      </c>
      <c r="W198" s="10">
        <f>IF(Suma!$B197=$A$1,Suma!L197,NA())</f>
        <v>0</v>
      </c>
      <c r="X198" s="10">
        <f>IF(Suma!$B197=$A$1,Suma!M197,NA())</f>
        <v>0</v>
      </c>
      <c r="Y198" s="10">
        <f>IF(Suma!$B197=$A$1,Suma!N197,NA())</f>
        <v>0</v>
      </c>
      <c r="Z198" s="10">
        <f>IF(Suma!$B197=$A$1,Suma!O197,NA())</f>
        <v>0</v>
      </c>
      <c r="AA198" s="10">
        <f>IF(Suma!$B197=$A$1,Suma!BC197,NA())</f>
        <v>0</v>
      </c>
      <c r="AB198" s="10">
        <f>IF(Suma!$B197=$A$1,Suma!BD197,NA())</f>
        <v>0</v>
      </c>
    </row>
    <row r="199" spans="1:28" x14ac:dyDescent="0.3">
      <c r="A199" s="1">
        <f>IF(Suma!$B198=$A$1,Suma!C198,NA())</f>
        <v>0</v>
      </c>
      <c r="B199" s="1">
        <f>IF(Suma!$B198=$A$1,Suma!D198,NA())</f>
        <v>0</v>
      </c>
      <c r="C199" s="2">
        <f>IF(Suma!$B198=$A$1,Suma!E198,NA())</f>
        <v>0</v>
      </c>
      <c r="D199" s="2">
        <f>IF(Suma!$B198=$A$1,Suma!F198,NA())</f>
        <v>0</v>
      </c>
      <c r="E199" s="1">
        <f>IF(Suma!$B198=$A$1,Suma!P198,NA())</f>
        <v>0</v>
      </c>
      <c r="F199" s="10">
        <f t="shared" si="6"/>
        <v>0</v>
      </c>
      <c r="G199" s="1">
        <f>IF(Suma!$B198=$A$1,Suma!W198,NA())</f>
        <v>0</v>
      </c>
      <c r="H199" s="10">
        <f t="shared" si="7"/>
        <v>0</v>
      </c>
      <c r="I199" s="1">
        <f>IF(Suma!$B198=$A$1,Suma!AD198,NA())</f>
        <v>0</v>
      </c>
      <c r="J199" s="1">
        <f>IF(Suma!$B198=$A$1,Suma!AK198,NA())</f>
        <v>0</v>
      </c>
      <c r="K199" s="10">
        <f>IF(Suma!$B198=$A$1,Suma!AS198,NA())</f>
        <v>0</v>
      </c>
      <c r="L199" s="1">
        <f>IF(Suma!$B198=$A$1,Suma!G198,NA())</f>
        <v>0</v>
      </c>
      <c r="M199" s="1">
        <f>IF(Suma!$B198=$A$1,Suma!H198,NA())</f>
        <v>0</v>
      </c>
      <c r="N199" s="1">
        <f>IF(Suma!$B198=$A$1,Suma!AT198,NA())</f>
        <v>1900</v>
      </c>
      <c r="O199" s="1" t="str">
        <f>IF(Suma!$B198=$A$1,Suma!AU198,NA())</f>
        <v>enero</v>
      </c>
      <c r="P199" s="1">
        <f>IF(Suma!$B198=$A$1,Suma!AV198,NA())</f>
        <v>0</v>
      </c>
      <c r="Q199" s="1">
        <f>IF(Suma!$B198=$A$1,Suma!AW198,NA())</f>
        <v>0</v>
      </c>
      <c r="R199" s="10">
        <f>IF(Suma!$B198=$A$1,Suma!AX198,NA())</f>
        <v>0</v>
      </c>
      <c r="S199" s="10">
        <f>IF(Suma!$B198=$A$1,Suma!AY198,NA())</f>
        <v>0</v>
      </c>
      <c r="T199" s="10">
        <f>IF(Suma!$B198=$A$1,Suma!AZ198,NA())</f>
        <v>0</v>
      </c>
      <c r="U199" s="10">
        <f>IF(Suma!$B198=$A$1,Suma!J198,NA())</f>
        <v>0</v>
      </c>
      <c r="V199" s="10">
        <f>IF(Suma!$B198=$A$1,Suma!K198,NA())</f>
        <v>0</v>
      </c>
      <c r="W199" s="10">
        <f>IF(Suma!$B198=$A$1,Suma!L198,NA())</f>
        <v>0</v>
      </c>
      <c r="X199" s="10">
        <f>IF(Suma!$B198=$A$1,Suma!M198,NA())</f>
        <v>0</v>
      </c>
      <c r="Y199" s="10">
        <f>IF(Suma!$B198=$A$1,Suma!N198,NA())</f>
        <v>0</v>
      </c>
      <c r="Z199" s="10">
        <f>IF(Suma!$B198=$A$1,Suma!O198,NA())</f>
        <v>0</v>
      </c>
      <c r="AA199" s="10">
        <f>IF(Suma!$B198=$A$1,Suma!BC198,NA())</f>
        <v>0</v>
      </c>
      <c r="AB199" s="10">
        <f>IF(Suma!$B198=$A$1,Suma!BD198,NA())</f>
        <v>0</v>
      </c>
    </row>
    <row r="200" spans="1:28" x14ac:dyDescent="0.3">
      <c r="A200" s="1">
        <f>IF(Suma!$B199=$A$1,Suma!C199,NA())</f>
        <v>0</v>
      </c>
      <c r="B200" s="1">
        <f>IF(Suma!$B199=$A$1,Suma!D199,NA())</f>
        <v>0</v>
      </c>
      <c r="C200" s="2">
        <f>IF(Suma!$B199=$A$1,Suma!E199,NA())</f>
        <v>0</v>
      </c>
      <c r="D200" s="2">
        <f>IF(Suma!$B199=$A$1,Suma!F199,NA())</f>
        <v>0</v>
      </c>
      <c r="E200" s="1">
        <f>IF(Suma!$B199=$A$1,Suma!P199,NA())</f>
        <v>0</v>
      </c>
      <c r="F200" s="10">
        <f t="shared" si="6"/>
        <v>0</v>
      </c>
      <c r="G200" s="1">
        <f>IF(Suma!$B199=$A$1,Suma!W199,NA())</f>
        <v>0</v>
      </c>
      <c r="H200" s="10">
        <f t="shared" si="7"/>
        <v>0</v>
      </c>
      <c r="I200" s="1">
        <f>IF(Suma!$B199=$A$1,Suma!AD199,NA())</f>
        <v>0</v>
      </c>
      <c r="J200" s="1">
        <f>IF(Suma!$B199=$A$1,Suma!AK199,NA())</f>
        <v>0</v>
      </c>
      <c r="K200" s="10">
        <f>IF(Suma!$B199=$A$1,Suma!AS199,NA())</f>
        <v>0</v>
      </c>
      <c r="L200" s="1">
        <f>IF(Suma!$B199=$A$1,Suma!G199,NA())</f>
        <v>0</v>
      </c>
      <c r="M200" s="1">
        <f>IF(Suma!$B199=$A$1,Suma!H199,NA())</f>
        <v>0</v>
      </c>
      <c r="N200" s="1">
        <f>IF(Suma!$B199=$A$1,Suma!AT199,NA())</f>
        <v>1900</v>
      </c>
      <c r="O200" s="1" t="str">
        <f>IF(Suma!$B199=$A$1,Suma!AU199,NA())</f>
        <v>enero</v>
      </c>
      <c r="P200" s="1">
        <f>IF(Suma!$B199=$A$1,Suma!AV199,NA())</f>
        <v>0</v>
      </c>
      <c r="Q200" s="1">
        <f>IF(Suma!$B199=$A$1,Suma!AW199,NA())</f>
        <v>0</v>
      </c>
      <c r="R200" s="10">
        <f>IF(Suma!$B199=$A$1,Suma!AX199,NA())</f>
        <v>0</v>
      </c>
      <c r="S200" s="10">
        <f>IF(Suma!$B199=$A$1,Suma!AY199,NA())</f>
        <v>0</v>
      </c>
      <c r="T200" s="10">
        <f>IF(Suma!$B199=$A$1,Suma!AZ199,NA())</f>
        <v>0</v>
      </c>
      <c r="U200" s="10">
        <f>IF(Suma!$B199=$A$1,Suma!J199,NA())</f>
        <v>0</v>
      </c>
      <c r="V200" s="10">
        <f>IF(Suma!$B199=$A$1,Suma!K199,NA())</f>
        <v>0</v>
      </c>
      <c r="W200" s="10">
        <f>IF(Suma!$B199=$A$1,Suma!L199,NA())</f>
        <v>0</v>
      </c>
      <c r="X200" s="10">
        <f>IF(Suma!$B199=$A$1,Suma!M199,NA())</f>
        <v>0</v>
      </c>
      <c r="Y200" s="10">
        <f>IF(Suma!$B199=$A$1,Suma!N199,NA())</f>
        <v>0</v>
      </c>
      <c r="Z200" s="10">
        <f>IF(Suma!$B199=$A$1,Suma!O199,NA())</f>
        <v>0</v>
      </c>
      <c r="AA200" s="10">
        <f>IF(Suma!$B199=$A$1,Suma!BC199,NA())</f>
        <v>0</v>
      </c>
      <c r="AB200" s="10">
        <f>IF(Suma!$B199=$A$1,Suma!BD199,NA())</f>
        <v>0</v>
      </c>
    </row>
    <row r="201" spans="1:28" x14ac:dyDescent="0.3">
      <c r="A201" s="1"/>
      <c r="B201" s="1"/>
      <c r="D201" s="2"/>
      <c r="F201" s="10"/>
      <c r="H201" s="10"/>
    </row>
    <row r="202" spans="1:28" x14ac:dyDescent="0.3">
      <c r="A202" s="1"/>
      <c r="B202" s="1"/>
      <c r="D202" s="2"/>
      <c r="F202" s="10"/>
      <c r="H202" s="10"/>
    </row>
    <row r="203" spans="1:28" x14ac:dyDescent="0.3">
      <c r="A203" s="1"/>
      <c r="B203" s="1"/>
      <c r="D203" s="2"/>
      <c r="F203" s="10"/>
      <c r="H203" s="10"/>
    </row>
    <row r="204" spans="1:28" x14ac:dyDescent="0.3">
      <c r="A204" s="1"/>
      <c r="B204" s="1"/>
      <c r="D204" s="2"/>
      <c r="F204" s="10"/>
      <c r="H204" s="10"/>
    </row>
    <row r="205" spans="1:28" x14ac:dyDescent="0.3">
      <c r="A205" s="1"/>
      <c r="B205" s="1"/>
      <c r="D205" s="2"/>
      <c r="F205" s="10"/>
      <c r="H205" s="10"/>
    </row>
    <row r="206" spans="1:28" x14ac:dyDescent="0.3">
      <c r="A206" s="1"/>
      <c r="B206" s="1"/>
      <c r="D206" s="2"/>
      <c r="F206" s="10"/>
      <c r="H206" s="10"/>
    </row>
    <row r="207" spans="1:28" x14ac:dyDescent="0.3">
      <c r="A207" s="1"/>
      <c r="B207" s="1"/>
      <c r="D207" s="2"/>
      <c r="F207" s="10"/>
      <c r="H207" s="10"/>
    </row>
    <row r="208" spans="1:28" x14ac:dyDescent="0.3">
      <c r="A208" s="1"/>
      <c r="B208" s="1"/>
      <c r="D208" s="2"/>
      <c r="F208" s="10"/>
      <c r="H208" s="10"/>
    </row>
    <row r="209" spans="1:8" x14ac:dyDescent="0.3">
      <c r="A209" s="1"/>
      <c r="B209" s="1"/>
      <c r="D209" s="2"/>
      <c r="F209" s="10"/>
      <c r="H209" s="10"/>
    </row>
    <row r="210" spans="1:8" x14ac:dyDescent="0.3">
      <c r="A210" s="1"/>
      <c r="B210" s="1"/>
      <c r="D210" s="2"/>
      <c r="F210" s="10"/>
      <c r="H210" s="10"/>
    </row>
    <row r="211" spans="1:8" x14ac:dyDescent="0.3">
      <c r="A211" s="1"/>
      <c r="B211" s="1"/>
      <c r="D211" s="2"/>
      <c r="F211" s="10"/>
      <c r="H211" s="10"/>
    </row>
    <row r="212" spans="1:8" x14ac:dyDescent="0.3">
      <c r="A212" s="1"/>
      <c r="B212" s="1"/>
      <c r="D212" s="2"/>
      <c r="F212" s="10"/>
      <c r="H212" s="10"/>
    </row>
    <row r="213" spans="1:8" x14ac:dyDescent="0.3">
      <c r="A213" s="1"/>
      <c r="B213" s="1"/>
      <c r="D213" s="2"/>
      <c r="F213" s="10"/>
      <c r="H213" s="10"/>
    </row>
    <row r="214" spans="1:8" x14ac:dyDescent="0.3">
      <c r="A214" s="1"/>
      <c r="B214" s="1"/>
      <c r="D214" s="2"/>
      <c r="F214" s="10"/>
      <c r="H214" s="10"/>
    </row>
    <row r="215" spans="1:8" x14ac:dyDescent="0.3">
      <c r="A215" s="1"/>
      <c r="B215" s="1"/>
      <c r="D215" s="2"/>
      <c r="F215" s="10"/>
      <c r="H215" s="10"/>
    </row>
    <row r="216" spans="1:8" x14ac:dyDescent="0.3">
      <c r="A216" s="1"/>
      <c r="B216" s="1"/>
      <c r="D216" s="2"/>
      <c r="F216" s="10"/>
      <c r="H216" s="10"/>
    </row>
    <row r="217" spans="1:8" x14ac:dyDescent="0.3">
      <c r="A217" s="1"/>
      <c r="B217" s="1"/>
      <c r="D217" s="2"/>
      <c r="F217" s="10"/>
      <c r="H217" s="10"/>
    </row>
    <row r="218" spans="1:8" x14ac:dyDescent="0.3">
      <c r="A218" s="1"/>
      <c r="B218" s="1"/>
      <c r="D218" s="2"/>
      <c r="F218" s="10"/>
      <c r="H218" s="10"/>
    </row>
    <row r="219" spans="1:8" x14ac:dyDescent="0.3">
      <c r="A219" s="1"/>
      <c r="B219" s="1"/>
      <c r="D219" s="2"/>
      <c r="F219" s="10"/>
      <c r="H219" s="10"/>
    </row>
    <row r="220" spans="1:8" x14ac:dyDescent="0.3">
      <c r="A220" s="1"/>
      <c r="B220" s="1"/>
      <c r="D220" s="2"/>
      <c r="F220" s="10"/>
      <c r="H220" s="10"/>
    </row>
    <row r="221" spans="1:8" x14ac:dyDescent="0.3">
      <c r="A221" s="1"/>
      <c r="B221" s="1"/>
      <c r="D221" s="2"/>
      <c r="F221" s="10"/>
      <c r="H221" s="10"/>
    </row>
    <row r="222" spans="1:8" x14ac:dyDescent="0.3">
      <c r="A222" s="1"/>
      <c r="B222" s="1"/>
      <c r="D222" s="2"/>
      <c r="F222" s="10"/>
      <c r="H222" s="10"/>
    </row>
    <row r="223" spans="1:8" x14ac:dyDescent="0.3">
      <c r="A223" s="1"/>
      <c r="B223" s="1"/>
      <c r="D223" s="2"/>
      <c r="F223" s="10"/>
      <c r="H223" s="10"/>
    </row>
    <row r="224" spans="1:8" x14ac:dyDescent="0.3">
      <c r="A224" s="1"/>
      <c r="B224" s="1"/>
      <c r="D224" s="2"/>
      <c r="F224" s="10"/>
      <c r="H224" s="10"/>
    </row>
    <row r="225" spans="1:8" x14ac:dyDescent="0.3">
      <c r="A225" s="1"/>
      <c r="B225" s="1"/>
      <c r="D225" s="2"/>
      <c r="F225" s="10"/>
      <c r="H225" s="10"/>
    </row>
    <row r="226" spans="1:8" x14ac:dyDescent="0.3">
      <c r="A226" s="1"/>
      <c r="B226" s="1"/>
      <c r="D226" s="2"/>
      <c r="F226" s="10"/>
      <c r="H226" s="10"/>
    </row>
    <row r="227" spans="1:8" x14ac:dyDescent="0.3">
      <c r="A227" s="1"/>
      <c r="B227" s="1"/>
      <c r="D227" s="2"/>
      <c r="F227" s="10"/>
      <c r="H227" s="10"/>
    </row>
    <row r="228" spans="1:8" x14ac:dyDescent="0.3">
      <c r="A228" s="1"/>
      <c r="B228" s="1"/>
      <c r="D228" s="2"/>
      <c r="F228" s="10"/>
      <c r="H228" s="10"/>
    </row>
    <row r="229" spans="1:8" x14ac:dyDescent="0.3">
      <c r="A229" s="1"/>
      <c r="B229" s="1"/>
      <c r="D229" s="2"/>
      <c r="F229" s="10"/>
      <c r="H229" s="10"/>
    </row>
    <row r="230" spans="1:8" x14ac:dyDescent="0.3">
      <c r="A230" s="1"/>
      <c r="B230" s="1"/>
      <c r="D230" s="2"/>
      <c r="F230" s="10"/>
      <c r="H230" s="10"/>
    </row>
    <row r="231" spans="1:8" x14ac:dyDescent="0.3">
      <c r="A231" s="1"/>
      <c r="B231" s="1"/>
      <c r="D231" s="2"/>
      <c r="F231" s="10"/>
      <c r="H231" s="10"/>
    </row>
    <row r="232" spans="1:8" x14ac:dyDescent="0.3">
      <c r="A232" s="1"/>
      <c r="B232" s="1"/>
      <c r="D232" s="2"/>
      <c r="F232" s="10"/>
      <c r="H232" s="10"/>
    </row>
    <row r="233" spans="1:8" x14ac:dyDescent="0.3">
      <c r="A233" s="1"/>
      <c r="B233" s="1"/>
      <c r="D233" s="2"/>
      <c r="F233" s="10"/>
      <c r="H233" s="10"/>
    </row>
    <row r="234" spans="1:8" x14ac:dyDescent="0.3">
      <c r="A234" s="1"/>
      <c r="B234" s="1"/>
      <c r="D234" s="2"/>
      <c r="F234" s="10"/>
      <c r="H234" s="10"/>
    </row>
    <row r="235" spans="1:8" x14ac:dyDescent="0.3">
      <c r="A235" s="1"/>
      <c r="B235" s="1"/>
      <c r="D235" s="2"/>
      <c r="F235" s="10"/>
      <c r="H235" s="10"/>
    </row>
    <row r="236" spans="1:8" x14ac:dyDescent="0.3">
      <c r="A236" s="1"/>
      <c r="B236" s="1"/>
      <c r="D236" s="2"/>
      <c r="F236" s="10"/>
      <c r="H236" s="10"/>
    </row>
    <row r="237" spans="1:8" x14ac:dyDescent="0.3">
      <c r="A237" s="1"/>
      <c r="B237" s="1"/>
      <c r="D237" s="2"/>
      <c r="F237" s="10"/>
      <c r="H237" s="10"/>
    </row>
    <row r="238" spans="1:8" x14ac:dyDescent="0.3">
      <c r="A238" s="1"/>
      <c r="B238" s="1"/>
      <c r="D238" s="2"/>
      <c r="F238" s="10"/>
      <c r="H238" s="10"/>
    </row>
    <row r="239" spans="1:8" x14ac:dyDescent="0.3">
      <c r="A239" s="1"/>
      <c r="B239" s="1"/>
      <c r="D239" s="2"/>
      <c r="F239" s="10"/>
      <c r="H239" s="10"/>
    </row>
    <row r="240" spans="1:8" x14ac:dyDescent="0.3">
      <c r="A240" s="1"/>
      <c r="B240" s="1"/>
      <c r="D240" s="2"/>
      <c r="F240" s="10"/>
      <c r="H240" s="10"/>
    </row>
    <row r="241" spans="1:8" x14ac:dyDescent="0.3">
      <c r="A241" s="1"/>
      <c r="B241" s="1"/>
      <c r="D241" s="2"/>
      <c r="F241" s="10"/>
      <c r="H241" s="10"/>
    </row>
    <row r="242" spans="1:8" x14ac:dyDescent="0.3">
      <c r="A242" s="1"/>
      <c r="B242" s="1"/>
      <c r="D242" s="2"/>
      <c r="F242" s="10"/>
      <c r="H242" s="10"/>
    </row>
    <row r="243" spans="1:8" x14ac:dyDescent="0.3">
      <c r="A243" s="1"/>
      <c r="B243" s="1"/>
      <c r="D243" s="2"/>
      <c r="F243" s="10"/>
      <c r="H243" s="10"/>
    </row>
    <row r="244" spans="1:8" x14ac:dyDescent="0.3">
      <c r="A244" s="1"/>
      <c r="B244" s="1"/>
      <c r="D244" s="2"/>
      <c r="F244" s="10"/>
      <c r="H244" s="10"/>
    </row>
    <row r="245" spans="1:8" x14ac:dyDescent="0.3">
      <c r="A245" s="1"/>
      <c r="B245" s="1"/>
      <c r="D245" s="2"/>
      <c r="F245" s="10"/>
      <c r="H245" s="10"/>
    </row>
    <row r="246" spans="1:8" x14ac:dyDescent="0.3">
      <c r="A246" s="1"/>
      <c r="B246" s="1"/>
      <c r="D246" s="2"/>
      <c r="F246" s="10"/>
      <c r="H246" s="10"/>
    </row>
    <row r="247" spans="1:8" x14ac:dyDescent="0.3">
      <c r="A247" s="1"/>
      <c r="B247" s="1"/>
      <c r="D247" s="2"/>
      <c r="F247" s="10"/>
      <c r="H247" s="10"/>
    </row>
    <row r="248" spans="1:8" x14ac:dyDescent="0.3">
      <c r="A248" s="1"/>
      <c r="B248" s="1"/>
      <c r="D248" s="2"/>
      <c r="F248" s="10"/>
      <c r="H248" s="10"/>
    </row>
    <row r="249" spans="1:8" x14ac:dyDescent="0.3">
      <c r="A249" s="1"/>
      <c r="B249" s="1"/>
      <c r="D249" s="2"/>
      <c r="F249" s="10"/>
      <c r="H249" s="10"/>
    </row>
    <row r="250" spans="1:8" x14ac:dyDescent="0.3">
      <c r="A250" s="1"/>
      <c r="B250" s="1"/>
      <c r="D250" s="2"/>
      <c r="F250" s="10"/>
      <c r="H250" s="10"/>
    </row>
  </sheetData>
  <sheetProtection algorithmName="SHA-512" hashValue="Nk3O/5wiiWckhzzodlEqDw7TMHrZSAjx0p4/KYskY690zJvWIqQgasqjWOr4+bdZG0wieNo/Edx40/2bW+ojKg==" saltValue="3g1DtdmnjbG1G7Gm5rvbNg==" spinCount="100000" sheet="1" objects="1" scenarios="1"/>
  <mergeCells count="1">
    <mergeCell ref="A1:B1"/>
  </mergeCells>
  <pageMargins left="0.7" right="0.7" top="0.75" bottom="0.75" header="0.3" footer="0.3"/>
  <pageSetup paperSize="9" orientation="portrait" r:id="rId1"/>
  <headerFooter>
    <oddHeader>&amp;C&amp;"Arial"&amp;8&amp;K000000INTERNAL&amp;1#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I202"/>
  <sheetViews>
    <sheetView showGridLines="0" showZeros="0" zoomScaleNormal="100" workbookViewId="0">
      <pane ySplit="22" topLeftCell="A23" activePane="bottomLeft" state="frozen"/>
      <selection pane="bottomLeft" activeCell="AE2" sqref="AE2"/>
    </sheetView>
  </sheetViews>
  <sheetFormatPr baseColWidth="10" defaultColWidth="14.5546875" defaultRowHeight="14.4" x14ac:dyDescent="0.3"/>
  <cols>
    <col min="1" max="1" width="10.6640625" style="14" customWidth="1"/>
    <col min="2" max="4" width="12.6640625" style="14" customWidth="1"/>
    <col min="5" max="5" width="16.5546875" style="19" bestFit="1" customWidth="1"/>
    <col min="6" max="6" width="18.88671875" style="37" bestFit="1" customWidth="1"/>
    <col min="7" max="8" width="13.44140625" style="38" bestFit="1" customWidth="1"/>
    <col min="9" max="9" width="12.6640625" style="13" customWidth="1"/>
    <col min="10" max="10" width="5" style="13" bestFit="1" customWidth="1"/>
    <col min="11" max="18" width="4" style="13" customWidth="1"/>
    <col min="19" max="121" width="5" style="13" customWidth="1"/>
    <col min="122" max="123" width="6" style="13" customWidth="1"/>
    <col min="124" max="124" width="9.6640625" style="13" customWidth="1"/>
    <col min="125" max="141" width="4" style="13" customWidth="1"/>
    <col min="142" max="244" width="5" style="13" customWidth="1"/>
    <col min="245" max="246" width="6" style="13" customWidth="1"/>
    <col min="247" max="247" width="10.88671875" style="13" customWidth="1"/>
    <col min="248" max="264" width="4" style="13" customWidth="1"/>
    <col min="265" max="367" width="5" style="13" customWidth="1"/>
    <col min="368" max="369" width="6" style="13" customWidth="1"/>
    <col min="370" max="370" width="12.5546875" style="13" customWidth="1"/>
    <col min="371" max="387" width="4" style="13" customWidth="1"/>
    <col min="388" max="490" width="5" style="13" customWidth="1"/>
    <col min="491" max="492" width="6" style="13" customWidth="1"/>
    <col min="493" max="494" width="13.44140625" style="13" customWidth="1"/>
    <col min="495" max="495" width="12.44140625" style="13" customWidth="1"/>
    <col min="496" max="496" width="12.5546875" style="13" customWidth="1"/>
    <col min="497" max="16384" width="14.5546875" style="13"/>
  </cols>
  <sheetData>
    <row r="1" spans="1:9" x14ac:dyDescent="0.3">
      <c r="A1" s="55"/>
      <c r="B1" s="102" t="s">
        <v>5</v>
      </c>
      <c r="C1" s="102"/>
      <c r="D1" s="102"/>
      <c r="E1" s="102"/>
      <c r="F1" s="102"/>
      <c r="G1" s="102"/>
      <c r="H1" s="102"/>
      <c r="I1" s="102"/>
    </row>
    <row r="2" spans="1:9" ht="57.6" x14ac:dyDescent="0.3">
      <c r="A2" s="103" t="s">
        <v>8</v>
      </c>
      <c r="B2" s="105" t="s">
        <v>10</v>
      </c>
      <c r="C2" s="105" t="s">
        <v>9</v>
      </c>
      <c r="D2" s="104" t="s">
        <v>6</v>
      </c>
      <c r="E2" s="104" t="s">
        <v>7</v>
      </c>
      <c r="F2" s="104" t="s">
        <v>24</v>
      </c>
      <c r="G2" s="104" t="s">
        <v>27</v>
      </c>
      <c r="H2" s="104" t="s">
        <v>36</v>
      </c>
      <c r="I2" s="102" t="s">
        <v>46</v>
      </c>
    </row>
    <row r="3" spans="1:9" x14ac:dyDescent="0.3">
      <c r="A3" s="102">
        <v>2018</v>
      </c>
      <c r="B3" s="105">
        <v>43108</v>
      </c>
      <c r="C3" s="105">
        <v>43472</v>
      </c>
      <c r="D3" s="102">
        <v>25</v>
      </c>
      <c r="E3" s="102">
        <v>0</v>
      </c>
      <c r="F3" s="106">
        <v>0</v>
      </c>
      <c r="G3" s="102">
        <v>12</v>
      </c>
      <c r="H3" s="102">
        <v>353</v>
      </c>
      <c r="I3" s="106">
        <v>7.0821529745042494E-2</v>
      </c>
    </row>
    <row r="4" spans="1:9" x14ac:dyDescent="0.3">
      <c r="A4" s="102">
        <v>2019</v>
      </c>
      <c r="B4" s="105">
        <v>43473</v>
      </c>
      <c r="C4" s="105">
        <v>43836</v>
      </c>
      <c r="D4" s="102">
        <v>2</v>
      </c>
      <c r="E4" s="102">
        <v>0</v>
      </c>
      <c r="F4" s="106">
        <v>0</v>
      </c>
      <c r="G4" s="102">
        <v>12</v>
      </c>
      <c r="H4" s="102">
        <v>352</v>
      </c>
      <c r="I4" s="106">
        <v>5.681818181818182E-3</v>
      </c>
    </row>
    <row r="5" spans="1:9" x14ac:dyDescent="0.3">
      <c r="A5" s="102">
        <v>2020</v>
      </c>
      <c r="B5" s="105">
        <v>43837</v>
      </c>
      <c r="C5" s="105">
        <v>44203</v>
      </c>
      <c r="D5" s="102">
        <v>0</v>
      </c>
      <c r="E5" s="102">
        <v>0</v>
      </c>
      <c r="F5" s="106">
        <v>0</v>
      </c>
      <c r="G5" s="102">
        <v>12</v>
      </c>
      <c r="H5" s="102">
        <v>355</v>
      </c>
      <c r="I5" s="106">
        <v>0</v>
      </c>
    </row>
    <row r="6" spans="1:9" x14ac:dyDescent="0.3">
      <c r="A6" s="102">
        <v>2021</v>
      </c>
      <c r="B6" s="105">
        <v>44204</v>
      </c>
      <c r="C6" s="105">
        <v>44561</v>
      </c>
      <c r="D6" s="102">
        <v>115</v>
      </c>
      <c r="E6" s="102">
        <v>0</v>
      </c>
      <c r="F6" s="106">
        <v>0</v>
      </c>
      <c r="G6" s="102">
        <v>12</v>
      </c>
      <c r="H6" s="102">
        <v>346</v>
      </c>
      <c r="I6" s="106">
        <v>0.33236994219653176</v>
      </c>
    </row>
    <row r="7" spans="1:9" x14ac:dyDescent="0.3">
      <c r="A7" s="102">
        <v>2022</v>
      </c>
      <c r="B7" s="105">
        <v>44562</v>
      </c>
      <c r="C7" s="105">
        <v>44917</v>
      </c>
      <c r="D7" s="102">
        <v>76</v>
      </c>
      <c r="E7" s="102">
        <v>0</v>
      </c>
      <c r="F7" s="106">
        <v>0</v>
      </c>
      <c r="G7" s="102">
        <v>12</v>
      </c>
      <c r="H7" s="102">
        <v>316</v>
      </c>
      <c r="I7" s="106">
        <v>0.24050632911392406</v>
      </c>
    </row>
    <row r="8" spans="1:9" x14ac:dyDescent="0.3">
      <c r="A8" s="102">
        <v>2023</v>
      </c>
      <c r="B8" s="105">
        <v>44949</v>
      </c>
      <c r="C8" s="105">
        <v>45311</v>
      </c>
      <c r="D8" s="102">
        <v>0</v>
      </c>
      <c r="E8" s="102">
        <v>0</v>
      </c>
      <c r="F8" s="106">
        <v>0</v>
      </c>
      <c r="G8" s="102">
        <v>12</v>
      </c>
      <c r="H8" s="102">
        <v>351</v>
      </c>
      <c r="I8" s="106">
        <v>0</v>
      </c>
    </row>
    <row r="9" spans="1:9" x14ac:dyDescent="0.3">
      <c r="A9" s="102">
        <v>2024</v>
      </c>
      <c r="B9" s="105">
        <v>45312</v>
      </c>
      <c r="C9" s="105">
        <v>45670</v>
      </c>
      <c r="D9" s="102">
        <v>25</v>
      </c>
      <c r="E9" s="102">
        <v>0</v>
      </c>
      <c r="F9" s="106">
        <v>0</v>
      </c>
      <c r="G9" s="102">
        <v>10</v>
      </c>
      <c r="H9" s="102">
        <v>292</v>
      </c>
      <c r="I9" s="106">
        <v>8.5616438356164379E-2</v>
      </c>
    </row>
    <row r="10" spans="1:9" x14ac:dyDescent="0.3">
      <c r="A10" s="102">
        <v>2025</v>
      </c>
      <c r="B10" s="105">
        <v>45671</v>
      </c>
      <c r="C10" s="105">
        <v>45908</v>
      </c>
      <c r="D10" s="102">
        <v>106</v>
      </c>
      <c r="E10" s="102">
        <v>0</v>
      </c>
      <c r="F10" s="106">
        <v>0</v>
      </c>
      <c r="G10" s="102">
        <v>8</v>
      </c>
      <c r="H10" s="102">
        <v>230</v>
      </c>
      <c r="I10" s="106">
        <v>0.46086956521739131</v>
      </c>
    </row>
    <row r="11" spans="1:9" x14ac:dyDescent="0.3">
      <c r="A11"/>
      <c r="B11"/>
      <c r="C11"/>
      <c r="D11"/>
      <c r="E11"/>
      <c r="F11"/>
      <c r="G11"/>
      <c r="H11"/>
      <c r="I11"/>
    </row>
    <row r="12" spans="1:9" x14ac:dyDescent="0.3">
      <c r="A12"/>
      <c r="B12"/>
      <c r="C12"/>
      <c r="D12"/>
      <c r="E12"/>
      <c r="F12"/>
      <c r="G12"/>
      <c r="H12"/>
      <c r="I12"/>
    </row>
    <row r="13" spans="1:9" x14ac:dyDescent="0.3">
      <c r="A13"/>
      <c r="B13"/>
      <c r="C13"/>
      <c r="D13"/>
      <c r="E13"/>
      <c r="F13"/>
      <c r="G13"/>
      <c r="H13"/>
      <c r="I13"/>
    </row>
    <row r="14" spans="1:9" x14ac:dyDescent="0.3">
      <c r="A14"/>
      <c r="B14"/>
      <c r="C14"/>
      <c r="D14"/>
      <c r="E14"/>
      <c r="F14"/>
      <c r="G14"/>
      <c r="H14"/>
      <c r="I14"/>
    </row>
    <row r="15" spans="1:9" x14ac:dyDescent="0.3">
      <c r="A15" s="43"/>
      <c r="B15" s="44"/>
      <c r="C15" s="44"/>
      <c r="D15" s="43"/>
      <c r="E15" s="43"/>
      <c r="F15" s="45"/>
      <c r="G15" s="46"/>
      <c r="H15" s="46"/>
      <c r="I15" s="47"/>
    </row>
    <row r="16" spans="1:9" x14ac:dyDescent="0.3">
      <c r="A16" s="43"/>
      <c r="B16" s="44"/>
      <c r="C16" s="44"/>
      <c r="D16" s="43"/>
      <c r="E16" s="43"/>
      <c r="F16" s="45"/>
      <c r="G16" s="46"/>
      <c r="H16" s="46"/>
      <c r="I16" s="47"/>
    </row>
    <row r="17" spans="1:9" x14ac:dyDescent="0.3">
      <c r="A17" s="43"/>
      <c r="B17" s="44"/>
      <c r="C17" s="44"/>
      <c r="D17" s="43"/>
      <c r="E17" s="43"/>
      <c r="F17" s="45"/>
      <c r="G17" s="46"/>
      <c r="H17" s="46"/>
      <c r="I17" s="47"/>
    </row>
    <row r="18" spans="1:9" x14ac:dyDescent="0.3">
      <c r="A18" s="43"/>
      <c r="B18" s="44"/>
      <c r="C18" s="44"/>
      <c r="D18" s="43"/>
      <c r="E18" s="43"/>
      <c r="F18" s="45"/>
      <c r="G18" s="46"/>
      <c r="H18" s="46"/>
      <c r="I18" s="47"/>
    </row>
    <row r="19" spans="1:9" x14ac:dyDescent="0.3">
      <c r="A19" s="42"/>
      <c r="B19" s="42"/>
      <c r="C19" s="42"/>
      <c r="D19" s="42"/>
      <c r="E19" s="42"/>
      <c r="F19" s="48"/>
      <c r="G19" s="48"/>
      <c r="H19" s="48"/>
      <c r="I19" s="42"/>
    </row>
    <row r="51" spans="1:8" x14ac:dyDescent="0.3">
      <c r="A51" s="35" t="s">
        <v>8</v>
      </c>
      <c r="B51" s="14" t="s">
        <v>39</v>
      </c>
      <c r="E51" s="34" t="s">
        <v>8</v>
      </c>
      <c r="F51" t="s">
        <v>165</v>
      </c>
    </row>
    <row r="52" spans="1:8" x14ac:dyDescent="0.3">
      <c r="A52" s="35" t="s">
        <v>28</v>
      </c>
      <c r="B52" s="14" t="s">
        <v>39</v>
      </c>
      <c r="E52" s="34" t="s">
        <v>28</v>
      </c>
      <c r="F52" t="s">
        <v>39</v>
      </c>
    </row>
    <row r="54" spans="1:8" x14ac:dyDescent="0.3">
      <c r="B54" s="35" t="s">
        <v>5</v>
      </c>
      <c r="E54"/>
      <c r="F54" s="34" t="s">
        <v>5</v>
      </c>
      <c r="G54"/>
      <c r="H54"/>
    </row>
    <row r="55" spans="1:8" ht="43.2" x14ac:dyDescent="0.3">
      <c r="A55" s="35" t="s">
        <v>42</v>
      </c>
      <c r="B55" s="26" t="s">
        <v>11</v>
      </c>
      <c r="C55" s="14" t="s">
        <v>44</v>
      </c>
      <c r="D55" s="14" t="s">
        <v>40</v>
      </c>
      <c r="E55" s="36" t="s">
        <v>42</v>
      </c>
      <c r="F55" s="90" t="s">
        <v>11</v>
      </c>
      <c r="G55" t="s">
        <v>107</v>
      </c>
      <c r="H55" t="s">
        <v>108</v>
      </c>
    </row>
    <row r="56" spans="1:8" x14ac:dyDescent="0.3">
      <c r="B56" s="14">
        <v>0</v>
      </c>
      <c r="C56" s="14">
        <v>0</v>
      </c>
      <c r="D56" s="14">
        <v>0</v>
      </c>
      <c r="E56" s="60">
        <v>43137</v>
      </c>
      <c r="F56" s="100">
        <v>0.3</v>
      </c>
      <c r="G56" s="100">
        <v>0</v>
      </c>
      <c r="H56" s="100">
        <v>0</v>
      </c>
    </row>
    <row r="57" spans="1:8" x14ac:dyDescent="0.3">
      <c r="A57" s="19">
        <v>43137</v>
      </c>
      <c r="B57" s="14">
        <v>0.3</v>
      </c>
      <c r="C57" s="14">
        <v>0</v>
      </c>
      <c r="D57" s="14">
        <v>0</v>
      </c>
      <c r="E57" s="60">
        <v>43165</v>
      </c>
      <c r="F57" s="100">
        <v>0.14285714285714285</v>
      </c>
      <c r="G57" s="100">
        <v>0</v>
      </c>
      <c r="H57" s="100">
        <v>0</v>
      </c>
    </row>
    <row r="58" spans="1:8" x14ac:dyDescent="0.3">
      <c r="A58" s="19">
        <v>43165</v>
      </c>
      <c r="B58" s="14">
        <v>0.14285714285714285</v>
      </c>
      <c r="C58" s="14">
        <v>0</v>
      </c>
      <c r="D58" s="14">
        <v>0</v>
      </c>
      <c r="E58" s="60">
        <v>43195</v>
      </c>
      <c r="F58" s="100">
        <v>6.6666666666666666E-2</v>
      </c>
      <c r="G58" s="100">
        <v>0</v>
      </c>
      <c r="H58" s="100">
        <v>0</v>
      </c>
    </row>
    <row r="59" spans="1:8" x14ac:dyDescent="0.3">
      <c r="A59" s="19">
        <v>43195</v>
      </c>
      <c r="B59" s="14">
        <v>6.6666666666666666E-2</v>
      </c>
      <c r="C59" s="14">
        <v>0</v>
      </c>
      <c r="D59" s="14">
        <v>0</v>
      </c>
      <c r="E59" s="60">
        <v>43227</v>
      </c>
      <c r="F59" s="100">
        <v>9.375E-2</v>
      </c>
      <c r="G59" s="100">
        <v>0</v>
      </c>
      <c r="H59" s="100">
        <v>0</v>
      </c>
    </row>
    <row r="60" spans="1:8" x14ac:dyDescent="0.3">
      <c r="A60" s="19">
        <v>43227</v>
      </c>
      <c r="B60" s="14">
        <v>9.375E-2</v>
      </c>
      <c r="C60" s="14">
        <v>0</v>
      </c>
      <c r="D60" s="14">
        <v>0</v>
      </c>
      <c r="E60" s="60">
        <v>43257</v>
      </c>
      <c r="F60" s="100">
        <v>0.1</v>
      </c>
      <c r="G60" s="100">
        <v>0</v>
      </c>
      <c r="H60" s="100">
        <v>0</v>
      </c>
    </row>
    <row r="61" spans="1:8" x14ac:dyDescent="0.3">
      <c r="A61" s="19">
        <v>43257</v>
      </c>
      <c r="B61" s="14">
        <v>0.1</v>
      </c>
      <c r="C61" s="14">
        <v>0</v>
      </c>
      <c r="D61" s="14">
        <v>0</v>
      </c>
      <c r="E61" s="60">
        <v>43287</v>
      </c>
      <c r="F61" s="100">
        <v>6.6666666666666666E-2</v>
      </c>
      <c r="G61" s="100">
        <v>0</v>
      </c>
      <c r="H61" s="100">
        <v>0</v>
      </c>
    </row>
    <row r="62" spans="1:8" x14ac:dyDescent="0.3">
      <c r="A62" s="19">
        <v>43287</v>
      </c>
      <c r="B62" s="14">
        <v>6.6666666666666666E-2</v>
      </c>
      <c r="C62" s="14">
        <v>0</v>
      </c>
      <c r="D62" s="14">
        <v>0</v>
      </c>
      <c r="E62" s="60">
        <v>43318</v>
      </c>
      <c r="F62" s="100">
        <v>6.4516129032258063E-2</v>
      </c>
      <c r="G62" s="100">
        <v>0</v>
      </c>
      <c r="H62" s="100">
        <v>0</v>
      </c>
    </row>
    <row r="63" spans="1:8" x14ac:dyDescent="0.3">
      <c r="A63" s="19">
        <v>43318</v>
      </c>
      <c r="B63" s="14">
        <v>6.4516129032258063E-2</v>
      </c>
      <c r="C63" s="14">
        <v>0</v>
      </c>
      <c r="D63" s="14">
        <v>0</v>
      </c>
      <c r="E63" s="60">
        <v>43346</v>
      </c>
      <c r="F63" s="100">
        <v>0</v>
      </c>
      <c r="G63" s="100">
        <v>0</v>
      </c>
      <c r="H63" s="100">
        <v>0</v>
      </c>
    </row>
    <row r="64" spans="1:8" x14ac:dyDescent="0.3">
      <c r="A64" s="19">
        <v>43346</v>
      </c>
      <c r="B64" s="14">
        <v>0</v>
      </c>
      <c r="C64" s="14">
        <v>0</v>
      </c>
      <c r="D64" s="14">
        <v>0</v>
      </c>
      <c r="E64" s="60">
        <v>43375</v>
      </c>
      <c r="F64" s="100">
        <v>0</v>
      </c>
      <c r="G64" s="100">
        <v>0</v>
      </c>
      <c r="H64" s="100">
        <v>0</v>
      </c>
    </row>
    <row r="65" spans="1:8" x14ac:dyDescent="0.3">
      <c r="A65" s="19">
        <v>43375</v>
      </c>
      <c r="B65" s="14">
        <v>0</v>
      </c>
      <c r="C65" s="14">
        <v>0</v>
      </c>
      <c r="D65" s="14">
        <v>0</v>
      </c>
      <c r="E65" s="60">
        <v>43410</v>
      </c>
      <c r="F65" s="100">
        <v>0</v>
      </c>
      <c r="G65" s="100">
        <v>0</v>
      </c>
      <c r="H65" s="100">
        <v>0</v>
      </c>
    </row>
    <row r="66" spans="1:8" x14ac:dyDescent="0.3">
      <c r="A66" s="19">
        <v>43410</v>
      </c>
      <c r="B66" s="14">
        <v>0</v>
      </c>
      <c r="C66" s="14">
        <v>0</v>
      </c>
      <c r="D66" s="14">
        <v>0</v>
      </c>
      <c r="E66" s="60">
        <v>43438</v>
      </c>
      <c r="F66" s="100">
        <v>0</v>
      </c>
      <c r="G66" s="100">
        <v>0</v>
      </c>
      <c r="H66" s="100">
        <v>0</v>
      </c>
    </row>
    <row r="67" spans="1:8" x14ac:dyDescent="0.3">
      <c r="A67" s="19">
        <v>43438</v>
      </c>
      <c r="B67" s="14">
        <v>0</v>
      </c>
      <c r="C67" s="14">
        <v>0</v>
      </c>
      <c r="D67" s="14">
        <v>0</v>
      </c>
      <c r="E67" s="60">
        <v>43472</v>
      </c>
      <c r="F67" s="100">
        <v>0</v>
      </c>
      <c r="G67" s="100">
        <v>0</v>
      </c>
      <c r="H67" s="100">
        <v>0</v>
      </c>
    </row>
    <row r="68" spans="1:8" x14ac:dyDescent="0.3">
      <c r="A68" s="19">
        <v>43472</v>
      </c>
      <c r="B68" s="14">
        <v>0</v>
      </c>
      <c r="C68" s="14">
        <v>0</v>
      </c>
      <c r="D68" s="14">
        <v>0</v>
      </c>
      <c r="E68" s="60">
        <v>43500</v>
      </c>
      <c r="F68" s="100">
        <v>0</v>
      </c>
      <c r="G68" s="100">
        <v>0</v>
      </c>
      <c r="H68" s="100">
        <v>0</v>
      </c>
    </row>
    <row r="69" spans="1:8" x14ac:dyDescent="0.3">
      <c r="A69" s="19">
        <v>43500</v>
      </c>
      <c r="B69" s="14">
        <v>0</v>
      </c>
      <c r="C69" s="14">
        <v>0</v>
      </c>
      <c r="D69" s="14">
        <v>0</v>
      </c>
      <c r="E69" s="60">
        <v>43529</v>
      </c>
      <c r="F69" s="100">
        <v>0</v>
      </c>
      <c r="G69" s="100">
        <v>0</v>
      </c>
      <c r="H69" s="100">
        <v>0</v>
      </c>
    </row>
    <row r="70" spans="1:8" x14ac:dyDescent="0.3">
      <c r="A70" s="19">
        <v>43529</v>
      </c>
      <c r="B70" s="14">
        <v>0</v>
      </c>
      <c r="C70" s="14">
        <v>0</v>
      </c>
      <c r="D70" s="14">
        <v>0</v>
      </c>
      <c r="E70" s="60">
        <v>43556</v>
      </c>
      <c r="F70" s="100">
        <v>0</v>
      </c>
      <c r="G70" s="100">
        <v>0</v>
      </c>
      <c r="H70" s="100">
        <v>0</v>
      </c>
    </row>
    <row r="71" spans="1:8" x14ac:dyDescent="0.3">
      <c r="A71" s="19">
        <v>43556</v>
      </c>
      <c r="B71" s="14">
        <v>0</v>
      </c>
      <c r="C71" s="14">
        <v>0</v>
      </c>
      <c r="D71" s="14">
        <v>0</v>
      </c>
      <c r="E71" s="60">
        <v>43589</v>
      </c>
      <c r="F71" s="100">
        <v>0</v>
      </c>
      <c r="G71" s="100">
        <v>0</v>
      </c>
      <c r="H71" s="100">
        <v>0</v>
      </c>
    </row>
    <row r="72" spans="1:8" x14ac:dyDescent="0.3">
      <c r="A72" s="19">
        <v>43589</v>
      </c>
      <c r="B72" s="14">
        <v>0</v>
      </c>
      <c r="C72" s="14">
        <v>0</v>
      </c>
      <c r="D72" s="14">
        <v>0</v>
      </c>
      <c r="E72" s="60">
        <v>43620</v>
      </c>
      <c r="F72" s="100">
        <v>0</v>
      </c>
      <c r="G72" s="100">
        <v>0</v>
      </c>
      <c r="H72" s="100">
        <v>0</v>
      </c>
    </row>
    <row r="73" spans="1:8" x14ac:dyDescent="0.3">
      <c r="A73" s="19">
        <v>43620</v>
      </c>
      <c r="B73" s="14">
        <v>0</v>
      </c>
      <c r="C73" s="14">
        <v>0</v>
      </c>
      <c r="D73" s="14">
        <v>0</v>
      </c>
      <c r="E73" s="60">
        <v>43648</v>
      </c>
      <c r="F73" s="100">
        <v>0</v>
      </c>
      <c r="G73" s="100">
        <v>0</v>
      </c>
      <c r="H73" s="100">
        <v>0</v>
      </c>
    </row>
    <row r="74" spans="1:8" x14ac:dyDescent="0.3">
      <c r="A74" s="19">
        <v>43648</v>
      </c>
      <c r="B74" s="14">
        <v>0</v>
      </c>
      <c r="C74" s="14">
        <v>0</v>
      </c>
      <c r="D74" s="14">
        <v>0</v>
      </c>
      <c r="E74" s="60">
        <v>43681</v>
      </c>
      <c r="F74" s="100">
        <v>6.0606060606060608E-2</v>
      </c>
      <c r="G74" s="100">
        <v>0</v>
      </c>
      <c r="H74" s="100">
        <v>0</v>
      </c>
    </row>
    <row r="75" spans="1:8" x14ac:dyDescent="0.3">
      <c r="A75" s="19">
        <v>43681</v>
      </c>
      <c r="B75" s="14">
        <v>6.0606060606060608E-2</v>
      </c>
      <c r="C75" s="14">
        <v>0</v>
      </c>
      <c r="D75" s="14">
        <v>0</v>
      </c>
      <c r="E75" s="60">
        <v>43710</v>
      </c>
      <c r="F75" s="100">
        <v>0</v>
      </c>
      <c r="G75" s="100">
        <v>0</v>
      </c>
      <c r="H75" s="100">
        <v>0</v>
      </c>
    </row>
    <row r="76" spans="1:8" x14ac:dyDescent="0.3">
      <c r="A76" s="19">
        <v>43710</v>
      </c>
      <c r="B76" s="14">
        <v>0</v>
      </c>
      <c r="C76" s="14">
        <v>0</v>
      </c>
      <c r="D76" s="14">
        <v>0</v>
      </c>
      <c r="E76" s="60">
        <v>43740</v>
      </c>
      <c r="F76" s="100">
        <v>0</v>
      </c>
      <c r="G76" s="100">
        <v>0</v>
      </c>
      <c r="H76" s="100">
        <v>0</v>
      </c>
    </row>
    <row r="77" spans="1:8" x14ac:dyDescent="0.3">
      <c r="A77" s="19">
        <v>43740</v>
      </c>
      <c r="B77" s="14">
        <v>0</v>
      </c>
      <c r="C77" s="14">
        <v>0</v>
      </c>
      <c r="D77" s="14">
        <v>0</v>
      </c>
      <c r="E77" s="60">
        <v>43773</v>
      </c>
      <c r="F77" s="100">
        <v>0</v>
      </c>
      <c r="G77" s="100">
        <v>0</v>
      </c>
      <c r="H77" s="100">
        <v>0</v>
      </c>
    </row>
    <row r="78" spans="1:8" x14ac:dyDescent="0.3">
      <c r="A78" s="19">
        <v>43773</v>
      </c>
      <c r="B78" s="14">
        <v>0</v>
      </c>
      <c r="C78" s="14">
        <v>0</v>
      </c>
      <c r="D78" s="14">
        <v>0</v>
      </c>
      <c r="E78" s="60">
        <v>43801</v>
      </c>
      <c r="F78" s="100">
        <v>0</v>
      </c>
      <c r="G78" s="100">
        <v>0</v>
      </c>
      <c r="H78" s="100">
        <v>0</v>
      </c>
    </row>
    <row r="79" spans="1:8" x14ac:dyDescent="0.3">
      <c r="A79" s="19">
        <v>43801</v>
      </c>
      <c r="B79" s="14">
        <v>0</v>
      </c>
      <c r="C79" s="14">
        <v>0</v>
      </c>
      <c r="D79" s="14">
        <v>0</v>
      </c>
      <c r="E79" s="60">
        <v>43836</v>
      </c>
      <c r="F79" s="100">
        <v>0</v>
      </c>
      <c r="G79" s="100">
        <v>0</v>
      </c>
      <c r="H79" s="100">
        <v>0</v>
      </c>
    </row>
    <row r="80" spans="1:8" x14ac:dyDescent="0.3">
      <c r="A80" s="19">
        <v>43836</v>
      </c>
      <c r="B80" s="14">
        <v>0</v>
      </c>
      <c r="C80" s="14">
        <v>0</v>
      </c>
      <c r="D80" s="14">
        <v>0</v>
      </c>
      <c r="E80" s="60">
        <v>43864</v>
      </c>
      <c r="F80" s="100">
        <v>0</v>
      </c>
      <c r="G80" s="100">
        <v>0</v>
      </c>
      <c r="H80" s="100">
        <v>0</v>
      </c>
    </row>
    <row r="81" spans="1:8" x14ac:dyDescent="0.3">
      <c r="A81" s="19">
        <v>43864</v>
      </c>
      <c r="B81" s="14">
        <v>0</v>
      </c>
      <c r="C81" s="14">
        <v>0</v>
      </c>
      <c r="D81" s="14">
        <v>0</v>
      </c>
      <c r="E81" s="60">
        <v>43892</v>
      </c>
      <c r="F81" s="100">
        <v>0</v>
      </c>
      <c r="G81" s="100">
        <v>0</v>
      </c>
      <c r="H81" s="100">
        <v>0</v>
      </c>
    </row>
    <row r="82" spans="1:8" x14ac:dyDescent="0.3">
      <c r="A82" s="19">
        <v>43892</v>
      </c>
      <c r="B82" s="14">
        <v>0</v>
      </c>
      <c r="C82" s="14">
        <v>0</v>
      </c>
      <c r="D82" s="14">
        <v>0</v>
      </c>
      <c r="E82" s="60">
        <v>43925</v>
      </c>
      <c r="F82" s="100">
        <v>0</v>
      </c>
      <c r="G82" s="100">
        <v>0</v>
      </c>
      <c r="H82" s="100">
        <v>0</v>
      </c>
    </row>
    <row r="83" spans="1:8" x14ac:dyDescent="0.3">
      <c r="A83" s="19">
        <v>43925</v>
      </c>
      <c r="B83" s="14">
        <v>0</v>
      </c>
      <c r="C83" s="14">
        <v>0</v>
      </c>
      <c r="D83" s="14">
        <v>0</v>
      </c>
      <c r="E83" s="60">
        <v>43956</v>
      </c>
      <c r="F83" s="100">
        <v>0</v>
      </c>
      <c r="G83" s="100">
        <v>0</v>
      </c>
      <c r="H83" s="100">
        <v>0</v>
      </c>
    </row>
    <row r="84" spans="1:8" x14ac:dyDescent="0.3">
      <c r="A84" s="19">
        <v>43956</v>
      </c>
      <c r="B84" s="14">
        <v>0</v>
      </c>
      <c r="C84" s="14">
        <v>0</v>
      </c>
      <c r="D84" s="14">
        <v>0</v>
      </c>
      <c r="E84" s="60">
        <v>43984</v>
      </c>
      <c r="F84" s="100">
        <v>0</v>
      </c>
      <c r="G84" s="100">
        <v>0</v>
      </c>
      <c r="H84" s="100">
        <v>0</v>
      </c>
    </row>
    <row r="85" spans="1:8" x14ac:dyDescent="0.3">
      <c r="A85" s="19">
        <v>43984</v>
      </c>
      <c r="B85" s="14">
        <v>0</v>
      </c>
      <c r="C85" s="14">
        <v>0</v>
      </c>
      <c r="D85" s="14">
        <v>0</v>
      </c>
      <c r="E85" s="60">
        <v>44017</v>
      </c>
      <c r="F85" s="100">
        <v>0</v>
      </c>
      <c r="G85" s="100">
        <v>0</v>
      </c>
      <c r="H85" s="100">
        <v>0</v>
      </c>
    </row>
    <row r="86" spans="1:8" x14ac:dyDescent="0.3">
      <c r="A86" s="19">
        <v>44017</v>
      </c>
      <c r="B86" s="14">
        <v>0</v>
      </c>
      <c r="C86" s="14">
        <v>0</v>
      </c>
      <c r="D86" s="14">
        <v>0</v>
      </c>
      <c r="E86" s="60">
        <v>44047</v>
      </c>
      <c r="F86" s="100">
        <v>0</v>
      </c>
      <c r="G86" s="100">
        <v>0</v>
      </c>
      <c r="H86" s="100">
        <v>0</v>
      </c>
    </row>
    <row r="87" spans="1:8" x14ac:dyDescent="0.3">
      <c r="A87" s="19">
        <v>44047</v>
      </c>
      <c r="B87" s="14">
        <v>0</v>
      </c>
      <c r="C87" s="14">
        <v>0</v>
      </c>
      <c r="D87" s="14">
        <v>0</v>
      </c>
      <c r="E87" s="60">
        <v>44076</v>
      </c>
      <c r="F87" s="100">
        <v>0</v>
      </c>
      <c r="G87" s="100">
        <v>0</v>
      </c>
      <c r="H87" s="100">
        <v>0</v>
      </c>
    </row>
    <row r="88" spans="1:8" x14ac:dyDescent="0.3">
      <c r="A88" s="19">
        <v>44076</v>
      </c>
      <c r="B88" s="14">
        <v>0</v>
      </c>
      <c r="C88" s="14">
        <v>0</v>
      </c>
      <c r="D88" s="14">
        <v>0</v>
      </c>
      <c r="E88" s="60">
        <v>44108</v>
      </c>
      <c r="F88" s="100">
        <v>0</v>
      </c>
      <c r="G88" s="100">
        <v>0</v>
      </c>
      <c r="H88" s="100">
        <v>0</v>
      </c>
    </row>
    <row r="89" spans="1:8" x14ac:dyDescent="0.3">
      <c r="A89" s="19">
        <v>44108</v>
      </c>
      <c r="B89" s="14">
        <v>0</v>
      </c>
      <c r="C89" s="14">
        <v>0</v>
      </c>
      <c r="D89" s="14">
        <v>0</v>
      </c>
      <c r="E89" s="60">
        <v>44140</v>
      </c>
      <c r="F89" s="100">
        <v>0</v>
      </c>
      <c r="G89" s="100">
        <v>0</v>
      </c>
      <c r="H89" s="100">
        <v>0</v>
      </c>
    </row>
    <row r="90" spans="1:8" x14ac:dyDescent="0.3">
      <c r="A90" s="19">
        <v>44140</v>
      </c>
      <c r="B90" s="14">
        <v>0</v>
      </c>
      <c r="C90" s="14">
        <v>0</v>
      </c>
      <c r="D90" s="14">
        <v>0</v>
      </c>
      <c r="E90" s="60">
        <v>44168</v>
      </c>
      <c r="F90" s="100">
        <v>0</v>
      </c>
      <c r="G90" s="100">
        <v>0</v>
      </c>
      <c r="H90" s="100">
        <v>0</v>
      </c>
    </row>
    <row r="91" spans="1:8" x14ac:dyDescent="0.3">
      <c r="A91" s="19">
        <v>44168</v>
      </c>
      <c r="B91" s="14">
        <v>0</v>
      </c>
      <c r="C91" s="14">
        <v>0</v>
      </c>
      <c r="D91" s="14">
        <v>0</v>
      </c>
      <c r="E91" s="60">
        <v>44203</v>
      </c>
      <c r="F91" s="100">
        <v>0</v>
      </c>
      <c r="G91" s="100">
        <v>0</v>
      </c>
      <c r="H91" s="100">
        <v>0</v>
      </c>
    </row>
    <row r="92" spans="1:8" x14ac:dyDescent="0.3">
      <c r="A92" s="19">
        <v>44203</v>
      </c>
      <c r="B92" s="14">
        <v>0</v>
      </c>
      <c r="C92" s="14">
        <v>0</v>
      </c>
      <c r="D92" s="14">
        <v>0</v>
      </c>
      <c r="E92" s="60">
        <v>44230</v>
      </c>
      <c r="F92" s="100">
        <v>0</v>
      </c>
      <c r="G92" s="100">
        <v>0</v>
      </c>
      <c r="H92" s="100">
        <v>0</v>
      </c>
    </row>
    <row r="93" spans="1:8" x14ac:dyDescent="0.3">
      <c r="A93" s="19">
        <v>44230</v>
      </c>
      <c r="B93" s="14">
        <v>0</v>
      </c>
      <c r="C93" s="14">
        <v>0</v>
      </c>
      <c r="D93" s="14">
        <v>0</v>
      </c>
      <c r="E93" s="60">
        <v>44259</v>
      </c>
      <c r="F93" s="100">
        <v>0</v>
      </c>
      <c r="G93" s="100">
        <v>0</v>
      </c>
      <c r="H93" s="100">
        <v>0</v>
      </c>
    </row>
    <row r="94" spans="1:8" x14ac:dyDescent="0.3">
      <c r="A94" s="19">
        <v>44259</v>
      </c>
      <c r="B94" s="14">
        <v>0</v>
      </c>
      <c r="C94" s="14">
        <v>0</v>
      </c>
      <c r="D94" s="14">
        <v>0</v>
      </c>
      <c r="E94" s="60">
        <v>44293</v>
      </c>
      <c r="F94" s="100">
        <v>3.3235294117647061</v>
      </c>
      <c r="G94" s="100">
        <v>0</v>
      </c>
      <c r="H94" s="100">
        <v>0</v>
      </c>
    </row>
    <row r="95" spans="1:8" x14ac:dyDescent="0.3">
      <c r="A95" s="19">
        <v>44293</v>
      </c>
      <c r="B95" s="14">
        <v>3.3235294117647061</v>
      </c>
      <c r="C95" s="14">
        <v>0</v>
      </c>
      <c r="D95" s="14">
        <v>0</v>
      </c>
      <c r="E95" s="60">
        <v>44321</v>
      </c>
      <c r="F95" s="100">
        <v>0</v>
      </c>
      <c r="G95" s="100">
        <v>0</v>
      </c>
      <c r="H95" s="100">
        <v>0</v>
      </c>
    </row>
    <row r="96" spans="1:8" x14ac:dyDescent="0.3">
      <c r="A96" s="19">
        <v>44321</v>
      </c>
      <c r="B96" s="14">
        <v>0</v>
      </c>
      <c r="C96" s="14">
        <v>0</v>
      </c>
      <c r="D96" s="14">
        <v>0</v>
      </c>
      <c r="E96" s="60">
        <v>44347</v>
      </c>
      <c r="F96" s="100">
        <v>0</v>
      </c>
      <c r="G96" s="100">
        <v>0</v>
      </c>
      <c r="H96" s="100">
        <v>0</v>
      </c>
    </row>
    <row r="97" spans="1:8" x14ac:dyDescent="0.3">
      <c r="A97" s="19">
        <v>44347</v>
      </c>
      <c r="B97" s="14">
        <v>0</v>
      </c>
      <c r="C97" s="14">
        <v>0</v>
      </c>
      <c r="D97" s="14">
        <v>0</v>
      </c>
      <c r="E97" s="60">
        <v>44381</v>
      </c>
      <c r="F97" s="100">
        <v>0</v>
      </c>
      <c r="G97" s="100">
        <v>0</v>
      </c>
      <c r="H97" s="100">
        <v>0</v>
      </c>
    </row>
    <row r="98" spans="1:8" x14ac:dyDescent="0.3">
      <c r="A98" s="19">
        <v>44381</v>
      </c>
      <c r="B98" s="14">
        <v>0</v>
      </c>
      <c r="C98" s="14">
        <v>0</v>
      </c>
      <c r="D98" s="14">
        <v>0</v>
      </c>
      <c r="E98" s="60">
        <v>44411</v>
      </c>
      <c r="F98" s="100">
        <v>0</v>
      </c>
      <c r="G98" s="100">
        <v>0</v>
      </c>
      <c r="H98" s="100">
        <v>0</v>
      </c>
    </row>
    <row r="99" spans="1:8" x14ac:dyDescent="0.3">
      <c r="A99" s="19">
        <v>44411</v>
      </c>
      <c r="B99" s="14">
        <v>0</v>
      </c>
      <c r="C99" s="14">
        <v>0</v>
      </c>
      <c r="D99" s="14">
        <v>0</v>
      </c>
      <c r="E99" s="60">
        <v>44443</v>
      </c>
      <c r="F99" s="100">
        <v>3.125E-2</v>
      </c>
      <c r="G99" s="100">
        <v>0</v>
      </c>
      <c r="H99" s="100">
        <v>0</v>
      </c>
    </row>
    <row r="100" spans="1:8" x14ac:dyDescent="0.3">
      <c r="A100" s="19">
        <v>44443</v>
      </c>
      <c r="B100" s="14">
        <v>3.125E-2</v>
      </c>
      <c r="C100" s="14">
        <v>0</v>
      </c>
      <c r="D100" s="14">
        <v>0</v>
      </c>
      <c r="E100" s="60">
        <v>44473</v>
      </c>
      <c r="F100" s="100">
        <v>3.3333333333333333E-2</v>
      </c>
      <c r="G100" s="100">
        <v>0</v>
      </c>
      <c r="H100" s="100">
        <v>0</v>
      </c>
    </row>
    <row r="101" spans="1:8" x14ac:dyDescent="0.3">
      <c r="A101" s="19">
        <v>44473</v>
      </c>
      <c r="B101" s="14">
        <v>3.3333333333333333E-2</v>
      </c>
      <c r="C101" s="14">
        <v>0</v>
      </c>
      <c r="D101" s="14">
        <v>0</v>
      </c>
      <c r="E101" s="60">
        <v>44502</v>
      </c>
      <c r="F101" s="100">
        <v>0</v>
      </c>
      <c r="G101" s="100">
        <v>0</v>
      </c>
      <c r="H101" s="100">
        <v>0</v>
      </c>
    </row>
    <row r="102" spans="1:8" x14ac:dyDescent="0.3">
      <c r="A102" s="19">
        <v>44502</v>
      </c>
      <c r="B102" s="14">
        <v>0</v>
      </c>
      <c r="C102" s="14">
        <v>0</v>
      </c>
      <c r="D102" s="14">
        <v>0</v>
      </c>
      <c r="E102" s="60">
        <v>44530</v>
      </c>
      <c r="F102" s="100">
        <v>0</v>
      </c>
      <c r="G102" s="100">
        <v>0</v>
      </c>
      <c r="H102" s="100">
        <v>0</v>
      </c>
    </row>
    <row r="103" spans="1:8" x14ac:dyDescent="0.3">
      <c r="A103" s="19">
        <v>44530</v>
      </c>
      <c r="B103" s="14">
        <v>0</v>
      </c>
      <c r="C103" s="14">
        <v>0</v>
      </c>
      <c r="D103" s="14">
        <v>0</v>
      </c>
      <c r="E103" s="60">
        <v>44561</v>
      </c>
      <c r="F103" s="100">
        <v>0</v>
      </c>
      <c r="G103" s="100">
        <v>0</v>
      </c>
      <c r="H103" s="100">
        <v>0</v>
      </c>
    </row>
    <row r="104" spans="1:8" x14ac:dyDescent="0.3">
      <c r="A104" s="19">
        <v>44561</v>
      </c>
      <c r="B104" s="14">
        <v>0</v>
      </c>
      <c r="C104" s="14">
        <v>0</v>
      </c>
      <c r="D104" s="14">
        <v>0</v>
      </c>
      <c r="E104" s="60">
        <v>44591</v>
      </c>
      <c r="F104" s="100">
        <v>0.56666666666666665</v>
      </c>
      <c r="G104" s="100">
        <v>0</v>
      </c>
      <c r="H104" s="100">
        <v>0</v>
      </c>
    </row>
    <row r="105" spans="1:8" x14ac:dyDescent="0.3">
      <c r="A105" s="19">
        <v>44591</v>
      </c>
      <c r="B105" s="14">
        <v>0.56666666666666665</v>
      </c>
      <c r="C105" s="14">
        <v>0</v>
      </c>
      <c r="D105" s="14">
        <v>0</v>
      </c>
      <c r="E105" s="60">
        <v>44617</v>
      </c>
      <c r="F105" s="100">
        <v>1.8076923076923077</v>
      </c>
      <c r="G105" s="100">
        <v>0</v>
      </c>
      <c r="H105" s="100">
        <v>0</v>
      </c>
    </row>
    <row r="106" spans="1:8" x14ac:dyDescent="0.3">
      <c r="A106" s="19">
        <v>44617</v>
      </c>
      <c r="B106" s="14">
        <v>1.8076923076923077</v>
      </c>
      <c r="C106" s="14">
        <v>0</v>
      </c>
      <c r="D106" s="14">
        <v>0</v>
      </c>
      <c r="E106" s="60">
        <v>44623</v>
      </c>
      <c r="F106" s="100">
        <v>0</v>
      </c>
      <c r="G106" s="100">
        <v>0</v>
      </c>
      <c r="H106" s="100">
        <v>0</v>
      </c>
    </row>
    <row r="107" spans="1:8" x14ac:dyDescent="0.3">
      <c r="A107" s="19">
        <v>44623</v>
      </c>
      <c r="B107" s="14">
        <v>0</v>
      </c>
      <c r="C107" s="14">
        <v>0</v>
      </c>
      <c r="D107" s="14">
        <v>0</v>
      </c>
      <c r="E107" s="60">
        <v>44653</v>
      </c>
      <c r="F107" s="100">
        <v>0.1</v>
      </c>
      <c r="G107" s="100">
        <v>0</v>
      </c>
      <c r="H107" s="100">
        <v>0</v>
      </c>
    </row>
    <row r="108" spans="1:8" x14ac:dyDescent="0.3">
      <c r="A108" s="19">
        <v>44653</v>
      </c>
      <c r="B108" s="14">
        <v>0.1</v>
      </c>
      <c r="C108" s="14">
        <v>0</v>
      </c>
      <c r="D108" s="14">
        <v>0</v>
      </c>
      <c r="E108" s="60">
        <v>44683</v>
      </c>
      <c r="F108" s="100">
        <v>3.3333333333333333E-2</v>
      </c>
      <c r="G108" s="100">
        <v>0</v>
      </c>
      <c r="H108" s="100">
        <v>0</v>
      </c>
    </row>
    <row r="109" spans="1:8" x14ac:dyDescent="0.3">
      <c r="A109" s="19">
        <v>44683</v>
      </c>
      <c r="B109" s="14">
        <v>3.3333333333333333E-2</v>
      </c>
      <c r="C109" s="14">
        <v>0</v>
      </c>
      <c r="D109" s="14">
        <v>0</v>
      </c>
      <c r="E109" s="60">
        <v>44709</v>
      </c>
      <c r="F109" s="100">
        <v>0</v>
      </c>
      <c r="G109" s="100">
        <v>0</v>
      </c>
      <c r="H109" s="100">
        <v>0</v>
      </c>
    </row>
    <row r="110" spans="1:8" x14ac:dyDescent="0.3">
      <c r="A110" s="19">
        <v>44709</v>
      </c>
      <c r="B110" s="14">
        <v>0</v>
      </c>
      <c r="C110" s="14">
        <v>0</v>
      </c>
      <c r="D110" s="14">
        <v>0</v>
      </c>
      <c r="E110" s="60">
        <v>44744</v>
      </c>
      <c r="F110" s="100">
        <v>0</v>
      </c>
      <c r="G110" s="100">
        <v>0</v>
      </c>
      <c r="H110" s="100">
        <v>0</v>
      </c>
    </row>
    <row r="111" spans="1:8" x14ac:dyDescent="0.3">
      <c r="A111" s="19">
        <v>44744</v>
      </c>
      <c r="B111" s="14">
        <v>0</v>
      </c>
      <c r="C111" s="14">
        <v>0</v>
      </c>
      <c r="D111" s="14">
        <v>0</v>
      </c>
      <c r="E111" s="60">
        <v>44767</v>
      </c>
      <c r="F111" s="100">
        <v>0</v>
      </c>
      <c r="G111" s="100">
        <v>0</v>
      </c>
      <c r="H111" s="100">
        <v>0</v>
      </c>
    </row>
    <row r="112" spans="1:8" x14ac:dyDescent="0.3">
      <c r="A112" s="19">
        <v>44767</v>
      </c>
      <c r="B112" s="14">
        <v>0</v>
      </c>
      <c r="C112" s="14">
        <v>0</v>
      </c>
      <c r="D112" s="14">
        <v>0</v>
      </c>
      <c r="E112" s="60">
        <v>44793</v>
      </c>
      <c r="F112" s="100">
        <v>0</v>
      </c>
      <c r="G112" s="100">
        <v>0</v>
      </c>
      <c r="H112" s="100">
        <v>0</v>
      </c>
    </row>
    <row r="113" spans="1:8" x14ac:dyDescent="0.3">
      <c r="A113" s="19">
        <v>44793</v>
      </c>
      <c r="B113" s="14">
        <v>0</v>
      </c>
      <c r="C113" s="14">
        <v>0</v>
      </c>
      <c r="D113" s="14">
        <v>0</v>
      </c>
      <c r="E113" s="60">
        <v>44827</v>
      </c>
      <c r="F113" s="100">
        <v>0.23529411764705882</v>
      </c>
      <c r="G113" s="100">
        <v>0</v>
      </c>
      <c r="H113" s="100">
        <v>0</v>
      </c>
    </row>
    <row r="114" spans="1:8" x14ac:dyDescent="0.3">
      <c r="A114" s="19">
        <v>44827</v>
      </c>
      <c r="B114" s="14">
        <v>0.23529411764705882</v>
      </c>
      <c r="C114" s="14">
        <v>0</v>
      </c>
      <c r="D114" s="14">
        <v>0</v>
      </c>
      <c r="E114" s="60">
        <v>44857</v>
      </c>
      <c r="F114" s="100">
        <v>0</v>
      </c>
      <c r="G114" s="100">
        <v>0</v>
      </c>
      <c r="H114" s="100">
        <v>0</v>
      </c>
    </row>
    <row r="115" spans="1:8" x14ac:dyDescent="0.3">
      <c r="A115" s="19">
        <v>44857</v>
      </c>
      <c r="B115" s="14">
        <v>0</v>
      </c>
      <c r="C115" s="14">
        <v>0</v>
      </c>
      <c r="D115" s="14">
        <v>0</v>
      </c>
      <c r="E115" s="60">
        <v>44917</v>
      </c>
      <c r="F115" s="100">
        <v>0</v>
      </c>
      <c r="G115" s="100">
        <v>0</v>
      </c>
      <c r="H115" s="100">
        <v>0</v>
      </c>
    </row>
    <row r="116" spans="1:8" x14ac:dyDescent="0.3">
      <c r="A116" s="19">
        <v>44917</v>
      </c>
      <c r="B116" s="14">
        <v>0</v>
      </c>
      <c r="C116" s="14">
        <v>0</v>
      </c>
      <c r="D116" s="14">
        <v>0</v>
      </c>
      <c r="E116" s="60">
        <v>44973</v>
      </c>
      <c r="F116" s="100">
        <v>0</v>
      </c>
      <c r="G116" s="100">
        <v>0</v>
      </c>
      <c r="H116" s="100">
        <v>0</v>
      </c>
    </row>
    <row r="117" spans="1:8" x14ac:dyDescent="0.3">
      <c r="A117" s="19">
        <v>44973</v>
      </c>
      <c r="B117" s="14">
        <v>0</v>
      </c>
      <c r="C117" s="14">
        <v>0</v>
      </c>
      <c r="D117" s="14">
        <v>0</v>
      </c>
      <c r="E117" s="60">
        <v>45002</v>
      </c>
      <c r="F117" s="100">
        <v>0</v>
      </c>
      <c r="G117" s="100">
        <v>0</v>
      </c>
      <c r="H117" s="100">
        <v>0</v>
      </c>
    </row>
    <row r="118" spans="1:8" x14ac:dyDescent="0.3">
      <c r="A118" s="19">
        <v>45002</v>
      </c>
      <c r="B118" s="14">
        <v>0</v>
      </c>
      <c r="C118" s="14">
        <v>0</v>
      </c>
      <c r="D118" s="14">
        <v>0</v>
      </c>
      <c r="E118" s="60">
        <v>45037</v>
      </c>
      <c r="F118" s="100">
        <v>0</v>
      </c>
      <c r="G118" s="100">
        <v>0</v>
      </c>
      <c r="H118" s="100">
        <v>0</v>
      </c>
    </row>
    <row r="119" spans="1:8" x14ac:dyDescent="0.3">
      <c r="A119" s="19">
        <v>45037</v>
      </c>
      <c r="B119" s="14">
        <v>0</v>
      </c>
      <c r="C119" s="14">
        <v>0</v>
      </c>
      <c r="D119" s="14">
        <v>0</v>
      </c>
      <c r="E119" s="60">
        <v>45062</v>
      </c>
      <c r="F119" s="100">
        <v>0</v>
      </c>
      <c r="G119" s="100">
        <v>0</v>
      </c>
      <c r="H119" s="100">
        <v>0</v>
      </c>
    </row>
    <row r="120" spans="1:8" x14ac:dyDescent="0.3">
      <c r="A120" s="19">
        <v>45062</v>
      </c>
      <c r="B120" s="14">
        <v>0</v>
      </c>
      <c r="C120" s="14">
        <v>0</v>
      </c>
      <c r="D120" s="14">
        <v>0</v>
      </c>
      <c r="E120" s="60">
        <v>45094</v>
      </c>
      <c r="F120" s="100">
        <v>0</v>
      </c>
      <c r="G120" s="100">
        <v>0</v>
      </c>
      <c r="H120" s="100">
        <v>0</v>
      </c>
    </row>
    <row r="121" spans="1:8" x14ac:dyDescent="0.3">
      <c r="A121" s="19">
        <v>45094</v>
      </c>
      <c r="B121" s="14">
        <v>0</v>
      </c>
      <c r="C121" s="14">
        <v>0</v>
      </c>
      <c r="D121" s="14">
        <v>0</v>
      </c>
      <c r="E121" s="60">
        <v>45096</v>
      </c>
      <c r="F121" s="100">
        <v>0</v>
      </c>
      <c r="G121" s="100">
        <v>0</v>
      </c>
      <c r="H121" s="100">
        <v>0</v>
      </c>
    </row>
    <row r="122" spans="1:8" x14ac:dyDescent="0.3">
      <c r="A122" s="19">
        <v>45096</v>
      </c>
      <c r="B122" s="14">
        <v>0</v>
      </c>
      <c r="C122" s="14">
        <v>0</v>
      </c>
      <c r="D122" s="14">
        <v>0</v>
      </c>
      <c r="E122" s="60">
        <v>45158</v>
      </c>
      <c r="F122" s="100">
        <v>0</v>
      </c>
      <c r="G122" s="100">
        <v>0</v>
      </c>
      <c r="H122" s="100">
        <v>0</v>
      </c>
    </row>
    <row r="123" spans="1:8" x14ac:dyDescent="0.3">
      <c r="A123" s="19">
        <v>45158</v>
      </c>
      <c r="B123" s="14">
        <v>0</v>
      </c>
      <c r="C123" s="14">
        <v>0</v>
      </c>
      <c r="D123" s="14">
        <v>0</v>
      </c>
      <c r="E123" s="60">
        <v>45184</v>
      </c>
      <c r="F123" s="100">
        <v>0</v>
      </c>
      <c r="G123" s="100">
        <v>0</v>
      </c>
      <c r="H123" s="100">
        <v>0</v>
      </c>
    </row>
    <row r="124" spans="1:8" x14ac:dyDescent="0.3">
      <c r="A124" s="19">
        <v>45184</v>
      </c>
      <c r="B124" s="14">
        <v>0</v>
      </c>
      <c r="C124" s="14">
        <v>0</v>
      </c>
      <c r="D124" s="14">
        <v>0</v>
      </c>
      <c r="E124" s="60">
        <v>45219</v>
      </c>
      <c r="F124" s="100">
        <v>0</v>
      </c>
      <c r="G124" s="100">
        <v>0</v>
      </c>
      <c r="H124" s="100">
        <v>0</v>
      </c>
    </row>
    <row r="125" spans="1:8" x14ac:dyDescent="0.3">
      <c r="A125" s="19">
        <v>45219</v>
      </c>
      <c r="B125" s="14">
        <v>0</v>
      </c>
      <c r="C125" s="14">
        <v>0</v>
      </c>
      <c r="D125" s="14">
        <v>0</v>
      </c>
      <c r="E125" s="60">
        <v>45254</v>
      </c>
      <c r="F125" s="100">
        <v>0</v>
      </c>
      <c r="G125" s="100">
        <v>0</v>
      </c>
      <c r="H125" s="100">
        <v>0</v>
      </c>
    </row>
    <row r="126" spans="1:8" x14ac:dyDescent="0.3">
      <c r="A126" s="19">
        <v>45254</v>
      </c>
      <c r="B126" s="14">
        <v>0</v>
      </c>
      <c r="C126" s="14">
        <v>0</v>
      </c>
      <c r="D126" s="14">
        <v>0</v>
      </c>
      <c r="E126" s="60">
        <v>45280</v>
      </c>
      <c r="F126" s="100">
        <v>0</v>
      </c>
      <c r="G126" s="100">
        <v>0</v>
      </c>
      <c r="H126" s="100">
        <v>0</v>
      </c>
    </row>
    <row r="127" spans="1:8" x14ac:dyDescent="0.3">
      <c r="A127" s="19">
        <v>45280</v>
      </c>
      <c r="B127" s="14">
        <v>0</v>
      </c>
      <c r="C127" s="14">
        <v>0</v>
      </c>
      <c r="D127" s="14">
        <v>0</v>
      </c>
      <c r="E127" s="60">
        <v>45311</v>
      </c>
      <c r="F127" s="100">
        <v>0</v>
      </c>
      <c r="G127" s="100">
        <v>0</v>
      </c>
      <c r="H127" s="100">
        <v>0</v>
      </c>
    </row>
    <row r="128" spans="1:8" x14ac:dyDescent="0.3">
      <c r="A128" s="19">
        <v>45311</v>
      </c>
      <c r="B128" s="14">
        <v>0</v>
      </c>
      <c r="C128" s="14">
        <v>0</v>
      </c>
      <c r="D128" s="14">
        <v>0</v>
      </c>
      <c r="E128" s="60">
        <v>45341</v>
      </c>
      <c r="F128" s="100">
        <v>0</v>
      </c>
      <c r="G128" s="100">
        <v>0</v>
      </c>
      <c r="H128" s="100">
        <v>0</v>
      </c>
    </row>
    <row r="129" spans="1:8" x14ac:dyDescent="0.3">
      <c r="A129" s="19">
        <v>45341</v>
      </c>
      <c r="B129" s="14">
        <v>0</v>
      </c>
      <c r="C129" s="14">
        <v>0</v>
      </c>
      <c r="D129" s="14">
        <v>0</v>
      </c>
      <c r="E129" s="60">
        <v>45363</v>
      </c>
      <c r="F129" s="100">
        <v>0</v>
      </c>
      <c r="G129" s="100">
        <v>0</v>
      </c>
      <c r="H129" s="100">
        <v>0</v>
      </c>
    </row>
    <row r="130" spans="1:8" x14ac:dyDescent="0.3">
      <c r="A130" s="19">
        <v>45363</v>
      </c>
      <c r="B130" s="14">
        <v>0</v>
      </c>
      <c r="C130" s="14">
        <v>0</v>
      </c>
      <c r="D130" s="14">
        <v>0</v>
      </c>
      <c r="E130" s="60">
        <v>45400</v>
      </c>
      <c r="F130" s="100">
        <v>0</v>
      </c>
      <c r="G130" s="100">
        <v>0</v>
      </c>
      <c r="H130" s="100">
        <v>0</v>
      </c>
    </row>
    <row r="131" spans="1:8" x14ac:dyDescent="0.3">
      <c r="A131" s="19">
        <v>45400</v>
      </c>
      <c r="B131" s="14">
        <v>0</v>
      </c>
      <c r="C131" s="14">
        <v>0</v>
      </c>
      <c r="D131" s="14">
        <v>0</v>
      </c>
      <c r="E131" s="60">
        <v>45433</v>
      </c>
      <c r="F131" s="100">
        <v>0</v>
      </c>
      <c r="G131" s="100">
        <v>0</v>
      </c>
      <c r="H131" s="100">
        <v>0</v>
      </c>
    </row>
    <row r="132" spans="1:8" x14ac:dyDescent="0.3">
      <c r="A132" s="19">
        <v>45433</v>
      </c>
      <c r="B132" s="14">
        <v>0</v>
      </c>
      <c r="C132" s="14">
        <v>0</v>
      </c>
      <c r="D132" s="14">
        <v>0</v>
      </c>
      <c r="E132" s="60">
        <v>45491</v>
      </c>
      <c r="F132" s="100">
        <v>0</v>
      </c>
      <c r="G132" s="100">
        <v>0</v>
      </c>
      <c r="H132" s="100">
        <v>0</v>
      </c>
    </row>
    <row r="133" spans="1:8" x14ac:dyDescent="0.3">
      <c r="A133" s="19">
        <v>45491</v>
      </c>
      <c r="B133" s="14">
        <v>0</v>
      </c>
      <c r="C133" s="14">
        <v>0</v>
      </c>
      <c r="D133" s="14">
        <v>0</v>
      </c>
      <c r="E133" s="60">
        <v>45553</v>
      </c>
      <c r="F133" s="100">
        <v>0</v>
      </c>
      <c r="G133" s="100">
        <v>0</v>
      </c>
      <c r="H133" s="100">
        <v>0</v>
      </c>
    </row>
    <row r="134" spans="1:8" x14ac:dyDescent="0.3">
      <c r="A134" s="19">
        <v>45553</v>
      </c>
      <c r="B134" s="14">
        <v>0</v>
      </c>
      <c r="C134" s="14">
        <v>0</v>
      </c>
      <c r="D134" s="14">
        <v>0</v>
      </c>
      <c r="E134" s="60">
        <v>45583</v>
      </c>
      <c r="F134" s="100">
        <v>0</v>
      </c>
      <c r="G134" s="100">
        <v>0</v>
      </c>
      <c r="H134" s="100">
        <v>0</v>
      </c>
    </row>
    <row r="135" spans="1:8" x14ac:dyDescent="0.3">
      <c r="A135" s="19">
        <v>45583</v>
      </c>
      <c r="B135" s="14">
        <v>0</v>
      </c>
      <c r="C135" s="14">
        <v>0</v>
      </c>
      <c r="D135" s="14">
        <v>0</v>
      </c>
      <c r="E135" s="60">
        <v>45611</v>
      </c>
      <c r="F135" s="100">
        <v>0</v>
      </c>
      <c r="G135" s="100">
        <v>0</v>
      </c>
      <c r="H135" s="100">
        <v>0</v>
      </c>
    </row>
    <row r="136" spans="1:8" x14ac:dyDescent="0.3">
      <c r="A136" s="19">
        <v>45611</v>
      </c>
      <c r="B136" s="14">
        <v>0</v>
      </c>
      <c r="C136" s="14">
        <v>0</v>
      </c>
      <c r="D136" s="14">
        <v>0</v>
      </c>
      <c r="E136" s="60">
        <v>45640</v>
      </c>
      <c r="F136" s="100">
        <v>0.44827586206896552</v>
      </c>
      <c r="G136" s="100">
        <v>0</v>
      </c>
      <c r="H136" s="100">
        <v>0</v>
      </c>
    </row>
    <row r="137" spans="1:8" x14ac:dyDescent="0.3">
      <c r="A137" s="19">
        <v>45640</v>
      </c>
      <c r="B137" s="14">
        <v>0.44827586206896552</v>
      </c>
      <c r="C137" s="14">
        <v>0</v>
      </c>
      <c r="D137" s="14">
        <v>0</v>
      </c>
      <c r="E137" s="60">
        <v>45670</v>
      </c>
      <c r="F137" s="100">
        <v>0.4</v>
      </c>
      <c r="G137" s="100">
        <v>0</v>
      </c>
      <c r="H137" s="100">
        <v>0</v>
      </c>
    </row>
    <row r="138" spans="1:8" x14ac:dyDescent="0.3">
      <c r="A138" s="19">
        <v>45670</v>
      </c>
      <c r="B138" s="14">
        <v>0.4</v>
      </c>
      <c r="C138" s="14">
        <v>0</v>
      </c>
      <c r="D138" s="14">
        <v>0</v>
      </c>
      <c r="E138" s="60">
        <v>45696</v>
      </c>
      <c r="F138" s="100">
        <v>0.46153846153846156</v>
      </c>
      <c r="G138" s="100">
        <v>0</v>
      </c>
      <c r="H138" s="100">
        <v>0</v>
      </c>
    </row>
    <row r="139" spans="1:8" x14ac:dyDescent="0.3">
      <c r="A139" s="19">
        <v>45696</v>
      </c>
      <c r="B139" s="14">
        <v>0.46153846153846156</v>
      </c>
      <c r="C139" s="14">
        <v>0</v>
      </c>
      <c r="D139" s="14">
        <v>0</v>
      </c>
      <c r="E139" s="60">
        <v>45727</v>
      </c>
      <c r="F139" s="100">
        <v>0.5161290322580645</v>
      </c>
      <c r="G139" s="100">
        <v>0</v>
      </c>
      <c r="H139" s="100">
        <v>0</v>
      </c>
    </row>
    <row r="140" spans="1:8" x14ac:dyDescent="0.3">
      <c r="A140" s="19">
        <v>45727</v>
      </c>
      <c r="B140" s="14">
        <v>0.5161290322580645</v>
      </c>
      <c r="C140" s="14">
        <v>0</v>
      </c>
      <c r="D140" s="14">
        <v>0</v>
      </c>
      <c r="E140" s="60">
        <v>45755</v>
      </c>
      <c r="F140" s="100">
        <v>0.5357142857142857</v>
      </c>
      <c r="G140" s="100">
        <v>0</v>
      </c>
      <c r="H140" s="100">
        <v>0</v>
      </c>
    </row>
    <row r="141" spans="1:8" x14ac:dyDescent="0.3">
      <c r="A141" s="19">
        <v>45755</v>
      </c>
      <c r="B141" s="14">
        <v>0.5357142857142857</v>
      </c>
      <c r="C141" s="14">
        <v>0</v>
      </c>
      <c r="D141" s="14">
        <v>0</v>
      </c>
      <c r="E141" s="60">
        <v>45788</v>
      </c>
      <c r="F141" s="100">
        <v>0.39393939393939392</v>
      </c>
      <c r="G141" s="100">
        <v>0</v>
      </c>
      <c r="H141" s="100">
        <v>0</v>
      </c>
    </row>
    <row r="142" spans="1:8" x14ac:dyDescent="0.3">
      <c r="A142" s="19">
        <v>45788</v>
      </c>
      <c r="B142" s="14">
        <v>0.39393939393939392</v>
      </c>
      <c r="C142" s="14">
        <v>0</v>
      </c>
      <c r="D142" s="14">
        <v>0</v>
      </c>
      <c r="E142" s="60">
        <v>45818</v>
      </c>
      <c r="F142" s="100">
        <v>0.33333333333333331</v>
      </c>
      <c r="G142" s="100">
        <v>0</v>
      </c>
      <c r="H142" s="100">
        <v>0</v>
      </c>
    </row>
    <row r="143" spans="1:8" x14ac:dyDescent="0.3">
      <c r="A143" s="19">
        <v>45818</v>
      </c>
      <c r="B143" s="14">
        <v>0.33333333333333331</v>
      </c>
      <c r="C143" s="14">
        <v>0</v>
      </c>
      <c r="D143" s="14">
        <v>0</v>
      </c>
      <c r="E143" s="60">
        <v>45843</v>
      </c>
      <c r="F143" s="100">
        <v>0.36</v>
      </c>
      <c r="G143" s="100">
        <v>0</v>
      </c>
      <c r="H143" s="100">
        <v>0</v>
      </c>
    </row>
    <row r="144" spans="1:8" x14ac:dyDescent="0.3">
      <c r="A144" s="19">
        <v>45843</v>
      </c>
      <c r="B144" s="14">
        <v>0.36</v>
      </c>
      <c r="C144" s="14">
        <v>0</v>
      </c>
      <c r="D144" s="14">
        <v>0</v>
      </c>
      <c r="E144" s="60">
        <v>45879</v>
      </c>
      <c r="F144" s="100">
        <v>0.44444444444444442</v>
      </c>
      <c r="G144" s="100">
        <v>0</v>
      </c>
      <c r="H144" s="100">
        <v>0</v>
      </c>
    </row>
    <row r="145" spans="1:8" x14ac:dyDescent="0.3">
      <c r="A145" s="19">
        <v>45879</v>
      </c>
      <c r="B145" s="14">
        <v>0.44444444444444442</v>
      </c>
      <c r="C145" s="14">
        <v>0</v>
      </c>
      <c r="D145" s="14">
        <v>0</v>
      </c>
      <c r="E145" s="60">
        <v>45908</v>
      </c>
      <c r="F145" s="100">
        <v>0.51724137931034486</v>
      </c>
      <c r="G145" s="100">
        <v>0</v>
      </c>
      <c r="H145" s="100">
        <v>0</v>
      </c>
    </row>
    <row r="146" spans="1:8" x14ac:dyDescent="0.3">
      <c r="A146" s="19">
        <v>45908</v>
      </c>
      <c r="B146" s="14">
        <v>0.51724137931034486</v>
      </c>
      <c r="C146" s="14">
        <v>0</v>
      </c>
      <c r="D146" s="14">
        <v>0</v>
      </c>
      <c r="E146"/>
      <c r="F146"/>
      <c r="G146"/>
      <c r="H146"/>
    </row>
    <row r="147" spans="1:8" x14ac:dyDescent="0.3">
      <c r="A147"/>
      <c r="B147"/>
      <c r="C147"/>
      <c r="D147"/>
      <c r="E147"/>
      <c r="F147"/>
      <c r="G147"/>
      <c r="H147"/>
    </row>
    <row r="148" spans="1:8" x14ac:dyDescent="0.3">
      <c r="A148"/>
      <c r="B148"/>
      <c r="C148"/>
      <c r="D148"/>
      <c r="E148"/>
      <c r="F148"/>
      <c r="G148"/>
      <c r="H148"/>
    </row>
    <row r="149" spans="1:8" x14ac:dyDescent="0.3">
      <c r="A149"/>
      <c r="B149"/>
      <c r="C149"/>
      <c r="D149"/>
      <c r="E149"/>
      <c r="F149"/>
      <c r="G149"/>
      <c r="H149"/>
    </row>
    <row r="150" spans="1:8" x14ac:dyDescent="0.3">
      <c r="A150"/>
      <c r="B150"/>
      <c r="C150"/>
      <c r="D150"/>
      <c r="E150"/>
      <c r="F150"/>
      <c r="G150"/>
      <c r="H150"/>
    </row>
    <row r="151" spans="1:8" x14ac:dyDescent="0.3">
      <c r="A151"/>
      <c r="B151"/>
      <c r="C151"/>
      <c r="D151"/>
      <c r="E151"/>
      <c r="F151"/>
      <c r="G151"/>
      <c r="H151"/>
    </row>
    <row r="152" spans="1:8" x14ac:dyDescent="0.3">
      <c r="A152"/>
      <c r="B152"/>
      <c r="C152"/>
      <c r="D152"/>
      <c r="E152"/>
      <c r="F152"/>
      <c r="G152"/>
      <c r="H152"/>
    </row>
    <row r="153" spans="1:8" x14ac:dyDescent="0.3">
      <c r="A153"/>
      <c r="B153"/>
      <c r="C153"/>
      <c r="D153"/>
      <c r="E153"/>
      <c r="F153"/>
      <c r="G153"/>
      <c r="H153"/>
    </row>
    <row r="154" spans="1:8" x14ac:dyDescent="0.3">
      <c r="A154"/>
      <c r="B154"/>
      <c r="C154"/>
      <c r="D154"/>
      <c r="E154"/>
      <c r="F154"/>
      <c r="G154"/>
      <c r="H154"/>
    </row>
    <row r="155" spans="1:8" x14ac:dyDescent="0.3">
      <c r="A155"/>
      <c r="B155"/>
      <c r="C155"/>
      <c r="D155"/>
    </row>
    <row r="201" spans="1:1" x14ac:dyDescent="0.3">
      <c r="A201">
        <f>Resumen!D2</f>
        <v>0</v>
      </c>
    </row>
    <row r="202" spans="1:1" x14ac:dyDescent="0.3">
      <c r="A202" s="24">
        <f>Resumen!F1</f>
        <v>0</v>
      </c>
    </row>
  </sheetData>
  <sheetProtection formatCells="0" formatColumns="0" formatRows="0" insertColumns="0" insertRows="0" insertHyperlinks="0" deleteColumns="0" deleteRows="0" sort="0" autoFilter="0" pivotTables="0"/>
  <conditionalFormatting sqref="D49:D52">
    <cfRule type="dataBar" priority="14">
      <dataBar>
        <cfvo type="min"/>
        <cfvo type="max"/>
        <color rgb="FF63C384"/>
      </dataBar>
    </cfRule>
  </conditionalFormatting>
  <conditionalFormatting pivot="1" sqref="D3:D10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{00000000-000E-0000-0300-000003000000}</x14:id>
        </ext>
      </extLst>
    </cfRule>
  </conditionalFormatting>
  <conditionalFormatting pivot="1" sqref="F3:F10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{5BD5CD18-71C3-4819-A875-E90C12FC9299}</x14:id>
        </ext>
      </extLst>
    </cfRule>
  </conditionalFormatting>
  <conditionalFormatting pivot="1" sqref="E3:E10">
    <cfRule type="dataBar" priority="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{2E800A78-1504-4C81-9156-044C7589F1D1}</x14:id>
        </ext>
      </extLst>
    </cfRule>
  </conditionalFormatting>
  <conditionalFormatting sqref="D20:D48">
    <cfRule type="dataBar" priority="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{C5476E4E-793F-4903-87E6-95ECA7C6F1CC}</x14:id>
        </ext>
      </extLst>
    </cfRule>
  </conditionalFormatting>
  <conditionalFormatting sqref="F20:F47 E51:E52">
    <cfRule type="dataBar" priority="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{35F2E669-81DD-4DEF-A624-27B6F4902BB7}</x14:id>
        </ext>
      </extLst>
    </cfRule>
  </conditionalFormatting>
  <conditionalFormatting sqref="I20:I21">
    <cfRule type="dataBar" priority="17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{00000000-000E-0000-0300-000002000000}</x14:id>
        </ext>
      </extLst>
    </cfRule>
  </conditionalFormatting>
  <conditionalFormatting pivot="1" sqref="I3:I10">
    <cfRule type="dataBar" priority="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{24524D08-9F33-4AD7-88F7-AFC90D853060}</x14:id>
        </ext>
      </extLst>
    </cfRule>
  </conditionalFormatting>
  <pageMargins left="0.70866141732283472" right="0.70866141732283472" top="0.74803149606299213" bottom="0.74803149606299213" header="0.31496062992125984" footer="0.31496062992125984"/>
  <pageSetup paperSize="9" orientation="landscape" r:id="rId4"/>
  <headerFooter>
    <oddHeader>&amp;C&amp;"Arial"&amp;8&amp;K000000INTERNAL&amp;1#</oddHeader>
  </headerFooter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6" r:id="rId7" name="Option Button 8">
              <controlPr defaultSize="0" autoFill="0" autoLine="0" autoPict="0" macro="[0]!Cambiar_inicio_mes">
                <anchor moveWithCells="1">
                  <from>
                    <xdr:col>11</xdr:col>
                    <xdr:colOff>22860</xdr:colOff>
                    <xdr:row>3</xdr:row>
                    <xdr:rowOff>114300</xdr:rowOff>
                  </from>
                  <to>
                    <xdr:col>19</xdr:col>
                    <xdr:colOff>274320</xdr:colOff>
                    <xdr:row>5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8" name="Option Button 9">
              <controlPr defaultSize="0" autoFill="0" autoLine="0" autoPict="0" macro="[0]!Volver_atras_macro_anterior">
                <anchor moveWithCells="1">
                  <from>
                    <xdr:col>11</xdr:col>
                    <xdr:colOff>22860</xdr:colOff>
                    <xdr:row>2</xdr:row>
                    <xdr:rowOff>83820</xdr:rowOff>
                  </from>
                  <to>
                    <xdr:col>19</xdr:col>
                    <xdr:colOff>312420</xdr:colOff>
                    <xdr:row>4</xdr:row>
                    <xdr:rowOff>68580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 pivot="1">
          <x14:cfRule type="dataBar" id="{00000000-000E-0000-0300-000003000000}">
            <x14:dataBar border="1" negativeBarColorSameAsPositive="1" negativeBarBorderColorSameAsPositive="0" axisPosition="none">
              <x14:cfvo type="min"/>
              <x14:cfvo type="max"/>
              <x14:borderColor rgb="FF638EC6"/>
              <x14:negativeBorderColor rgb="FF63C384"/>
            </x14:dataBar>
          </x14:cfRule>
          <xm:sqref>D3:D10</xm:sqref>
        </x14:conditionalFormatting>
        <x14:conditionalFormatting xmlns:xm="http://schemas.microsoft.com/office/excel/2006/main" pivot="1">
          <x14:cfRule type="dataBar" id="{5BD5CD18-71C3-4819-A875-E90C12FC929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F3:F10</xm:sqref>
        </x14:conditionalFormatting>
        <x14:conditionalFormatting xmlns:xm="http://schemas.microsoft.com/office/excel/2006/main" pivot="1">
          <x14:cfRule type="dataBar" id="{2E800A78-1504-4C81-9156-044C7589F1D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E3:E10</xm:sqref>
        </x14:conditionalFormatting>
        <x14:conditionalFormatting xmlns:xm="http://schemas.microsoft.com/office/excel/2006/main">
          <x14:cfRule type="dataBar" id="{C5476E4E-793F-4903-87E6-95ECA7C6F1C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D20:D48</xm:sqref>
        </x14:conditionalFormatting>
        <x14:conditionalFormatting xmlns:xm="http://schemas.microsoft.com/office/excel/2006/main">
          <x14:cfRule type="dataBar" id="{35F2E669-81DD-4DEF-A624-27B6F4902BB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F20:F47 E51:E52</xm:sqref>
        </x14:conditionalFormatting>
        <x14:conditionalFormatting xmlns:xm="http://schemas.microsoft.com/office/excel/2006/main">
          <x14:cfRule type="dataBar" id="{00000000-000E-0000-0300-000002000000}">
            <x14:dataBar border="1" negativeBarColorSameAsPositive="1" negativeBarBorderColorSameAsPositive="0" axisPosition="none">
              <x14:cfvo type="min"/>
              <x14:cfvo type="max"/>
              <x14:borderColor rgb="FFFFB628"/>
              <x14:negativeBorderColor rgb="FFFFB628"/>
            </x14:dataBar>
          </x14:cfRule>
          <xm:sqref>I20:I21</xm:sqref>
        </x14:conditionalFormatting>
        <x14:conditionalFormatting xmlns:xm="http://schemas.microsoft.com/office/excel/2006/main" pivot="1">
          <x14:cfRule type="dataBar" id="{24524D08-9F33-4AD7-88F7-AFC90D85306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I3:I10</xm:sqref>
        </x14:conditionalFormatting>
      </x14:conditionalFormattings>
    </ext>
    <ext xmlns:x14="http://schemas.microsoft.com/office/spreadsheetml/2009/9/main" uri="{A8765BA9-456A-4dab-B4F3-ACF838C121DE}">
      <x14:slicerList>
        <x14:slicer r:id="rId9"/>
      </x14:slicerList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6"/>
  <dimension ref="A2:L202"/>
  <sheetViews>
    <sheetView showGridLines="0" topLeftCell="A7" workbookViewId="0">
      <selection activeCell="J11" sqref="J11"/>
    </sheetView>
  </sheetViews>
  <sheetFormatPr baseColWidth="10" defaultRowHeight="14.4" x14ac:dyDescent="0.3"/>
  <cols>
    <col min="1" max="1" width="19" style="1" customWidth="1"/>
    <col min="2" max="12" width="10.6640625" style="1" customWidth="1"/>
    <col min="13" max="13" width="8.6640625" customWidth="1"/>
    <col min="14" max="14" width="14.88671875" customWidth="1"/>
    <col min="15" max="16" width="12.5546875" customWidth="1"/>
    <col min="17" max="17" width="6.88671875" customWidth="1"/>
    <col min="18" max="22" width="3" customWidth="1"/>
    <col min="23" max="23" width="9.88671875" customWidth="1"/>
    <col min="24" max="24" width="6.88671875" customWidth="1"/>
    <col min="25" max="35" width="3" customWidth="1"/>
    <col min="36" max="36" width="9.88671875" customWidth="1"/>
    <col min="37" max="37" width="6.88671875" customWidth="1"/>
    <col min="38" max="48" width="3" customWidth="1"/>
    <col min="49" max="49" width="9.88671875" customWidth="1"/>
    <col min="50" max="50" width="6.88671875" customWidth="1"/>
    <col min="51" max="61" width="3" customWidth="1"/>
    <col min="62" max="62" width="9.88671875" customWidth="1"/>
    <col min="63" max="63" width="6.88671875" customWidth="1"/>
    <col min="64" max="70" width="3" customWidth="1"/>
    <col min="71" max="71" width="9.88671875" customWidth="1"/>
    <col min="72" max="72" width="6.88671875" customWidth="1"/>
    <col min="73" max="73" width="2" customWidth="1"/>
    <col min="74" max="76" width="3" customWidth="1"/>
    <col min="77" max="77" width="9.88671875" customWidth="1"/>
    <col min="78" max="78" width="6.88671875" customWidth="1"/>
    <col min="79" max="81" width="2" customWidth="1"/>
    <col min="82" max="84" width="3" customWidth="1"/>
    <col min="85" max="85" width="9.88671875" customWidth="1"/>
    <col min="86" max="86" width="6.88671875" customWidth="1"/>
    <col min="87" max="87" width="2" customWidth="1"/>
    <col min="88" max="91" width="3" customWidth="1"/>
    <col min="92" max="92" width="9.88671875" customWidth="1"/>
    <col min="93" max="93" width="2" customWidth="1"/>
    <col min="94" max="94" width="5.88671875" customWidth="1"/>
    <col min="95" max="95" width="12.88671875" bestFit="1" customWidth="1"/>
    <col min="96" max="96" width="15.88671875" bestFit="1" customWidth="1"/>
    <col min="97" max="97" width="12.5546875" bestFit="1" customWidth="1"/>
  </cols>
  <sheetData>
    <row r="2" spans="1:11" x14ac:dyDescent="0.3">
      <c r="A2" s="118" t="s">
        <v>32</v>
      </c>
      <c r="B2" s="118"/>
      <c r="C2" s="118"/>
    </row>
    <row r="3" spans="1:11" s="41" customFormat="1" x14ac:dyDescent="0.3">
      <c r="A3" s="98" t="s">
        <v>6</v>
      </c>
      <c r="B3" s="98" t="s">
        <v>8</v>
      </c>
      <c r="C3" s="98"/>
      <c r="D3" s="98"/>
      <c r="E3" s="98"/>
      <c r="F3" s="98"/>
      <c r="G3" s="98"/>
      <c r="H3" s="98"/>
      <c r="I3" s="98"/>
      <c r="J3"/>
      <c r="K3"/>
    </row>
    <row r="4" spans="1:11" s="41" customFormat="1" x14ac:dyDescent="0.3">
      <c r="A4" s="98" t="s">
        <v>28</v>
      </c>
      <c r="B4" s="98">
        <v>2018</v>
      </c>
      <c r="C4" s="98">
        <v>2019</v>
      </c>
      <c r="D4" s="98">
        <v>2020</v>
      </c>
      <c r="E4" s="98">
        <v>2021</v>
      </c>
      <c r="F4" s="98">
        <v>2022</v>
      </c>
      <c r="G4" s="98">
        <v>2023</v>
      </c>
      <c r="H4" s="98">
        <v>2024</v>
      </c>
      <c r="I4" s="98">
        <v>2025</v>
      </c>
      <c r="J4"/>
      <c r="K4"/>
    </row>
    <row r="5" spans="1:11" x14ac:dyDescent="0.3">
      <c r="A5" s="101" t="s">
        <v>45</v>
      </c>
      <c r="B5" s="107">
        <v>9</v>
      </c>
      <c r="C5" s="107">
        <v>0</v>
      </c>
      <c r="D5" s="107">
        <v>0</v>
      </c>
      <c r="E5" s="107">
        <v>0</v>
      </c>
      <c r="F5" s="107">
        <v>64</v>
      </c>
      <c r="G5" s="107">
        <v>0</v>
      </c>
      <c r="H5" s="107">
        <v>0</v>
      </c>
      <c r="I5" s="107">
        <v>12</v>
      </c>
      <c r="J5"/>
      <c r="K5"/>
    </row>
    <row r="6" spans="1:11" x14ac:dyDescent="0.3">
      <c r="A6" s="101" t="s">
        <v>166</v>
      </c>
      <c r="B6" s="107">
        <v>4</v>
      </c>
      <c r="C6" s="107">
        <v>0</v>
      </c>
      <c r="D6" s="107">
        <v>0</v>
      </c>
      <c r="E6" s="107">
        <v>0</v>
      </c>
      <c r="F6" s="107">
        <v>0</v>
      </c>
      <c r="G6" s="107">
        <v>0</v>
      </c>
      <c r="H6" s="107">
        <v>0</v>
      </c>
      <c r="I6" s="107">
        <v>16</v>
      </c>
      <c r="J6"/>
      <c r="K6"/>
    </row>
    <row r="7" spans="1:11" x14ac:dyDescent="0.3">
      <c r="A7" s="101" t="s">
        <v>167</v>
      </c>
      <c r="B7" s="107">
        <v>2</v>
      </c>
      <c r="C7" s="107">
        <v>0</v>
      </c>
      <c r="D7" s="107">
        <v>0</v>
      </c>
      <c r="E7" s="107">
        <v>113</v>
      </c>
      <c r="F7" s="107">
        <v>3</v>
      </c>
      <c r="G7" s="107">
        <v>0</v>
      </c>
      <c r="H7" s="107">
        <v>0</v>
      </c>
      <c r="I7" s="107">
        <v>15</v>
      </c>
      <c r="J7"/>
      <c r="K7"/>
    </row>
    <row r="8" spans="1:11" x14ac:dyDescent="0.3">
      <c r="A8" s="101" t="s">
        <v>168</v>
      </c>
      <c r="B8" s="107">
        <v>3</v>
      </c>
      <c r="C8" s="107">
        <v>0</v>
      </c>
      <c r="D8" s="107">
        <v>0</v>
      </c>
      <c r="E8" s="107">
        <v>0</v>
      </c>
      <c r="F8" s="107">
        <v>1</v>
      </c>
      <c r="G8" s="107">
        <v>0</v>
      </c>
      <c r="H8" s="107">
        <v>0</v>
      </c>
      <c r="I8" s="107">
        <v>13</v>
      </c>
      <c r="J8"/>
      <c r="K8"/>
    </row>
    <row r="9" spans="1:11" x14ac:dyDescent="0.3">
      <c r="A9" s="101" t="s">
        <v>169</v>
      </c>
      <c r="B9" s="107">
        <v>3</v>
      </c>
      <c r="C9" s="107">
        <v>0</v>
      </c>
      <c r="D9" s="107">
        <v>0</v>
      </c>
      <c r="E9" s="107">
        <v>0</v>
      </c>
      <c r="F9" s="107">
        <v>0</v>
      </c>
      <c r="G9" s="107">
        <v>0</v>
      </c>
      <c r="H9" s="107" t="s">
        <v>170</v>
      </c>
      <c r="I9" s="107">
        <v>10</v>
      </c>
      <c r="J9"/>
      <c r="K9"/>
    </row>
    <row r="10" spans="1:11" x14ac:dyDescent="0.3">
      <c r="A10" s="101" t="s">
        <v>171</v>
      </c>
      <c r="B10" s="107">
        <v>2</v>
      </c>
      <c r="C10" s="107">
        <v>0</v>
      </c>
      <c r="D10" s="107">
        <v>0</v>
      </c>
      <c r="E10" s="107">
        <v>0</v>
      </c>
      <c r="F10" s="107" t="s">
        <v>170</v>
      </c>
      <c r="G10" s="107">
        <v>0</v>
      </c>
      <c r="H10" s="107">
        <v>0</v>
      </c>
      <c r="I10" s="107">
        <v>9</v>
      </c>
      <c r="J10"/>
      <c r="K10"/>
    </row>
    <row r="11" spans="1:11" x14ac:dyDescent="0.3">
      <c r="A11" s="101" t="s">
        <v>172</v>
      </c>
      <c r="B11" s="107">
        <v>2</v>
      </c>
      <c r="C11" s="107">
        <v>2</v>
      </c>
      <c r="D11" s="107">
        <v>0</v>
      </c>
      <c r="E11" s="107">
        <v>0</v>
      </c>
      <c r="F11" s="107">
        <v>0</v>
      </c>
      <c r="G11" s="107" t="s">
        <v>170</v>
      </c>
      <c r="H11" s="107" t="s">
        <v>170</v>
      </c>
      <c r="I11" s="107">
        <v>16</v>
      </c>
      <c r="J11"/>
      <c r="K11"/>
    </row>
    <row r="12" spans="1:11" x14ac:dyDescent="0.3">
      <c r="A12" s="101" t="s">
        <v>173</v>
      </c>
      <c r="B12" s="107">
        <v>0</v>
      </c>
      <c r="C12" s="107">
        <v>0</v>
      </c>
      <c r="D12" s="107">
        <v>0</v>
      </c>
      <c r="E12" s="107">
        <v>1</v>
      </c>
      <c r="F12" s="107">
        <v>8</v>
      </c>
      <c r="G12" s="107">
        <v>0</v>
      </c>
      <c r="H12" s="107">
        <v>0</v>
      </c>
      <c r="I12" s="107">
        <v>15</v>
      </c>
      <c r="J12"/>
      <c r="K12"/>
    </row>
    <row r="13" spans="1:11" x14ac:dyDescent="0.3">
      <c r="A13" s="101" t="s">
        <v>174</v>
      </c>
      <c r="B13" s="107">
        <v>0</v>
      </c>
      <c r="C13" s="107">
        <v>0</v>
      </c>
      <c r="D13" s="107">
        <v>0</v>
      </c>
      <c r="E13" s="107">
        <v>1</v>
      </c>
      <c r="F13" s="107">
        <v>0</v>
      </c>
      <c r="G13" s="107">
        <v>0</v>
      </c>
      <c r="H13" s="107">
        <v>0</v>
      </c>
      <c r="I13" s="107" t="s">
        <v>170</v>
      </c>
      <c r="J13"/>
      <c r="K13"/>
    </row>
    <row r="14" spans="1:11" x14ac:dyDescent="0.3">
      <c r="A14" s="101" t="s">
        <v>175</v>
      </c>
      <c r="B14" s="107">
        <v>0</v>
      </c>
      <c r="C14" s="107">
        <v>0</v>
      </c>
      <c r="D14" s="107">
        <v>0</v>
      </c>
      <c r="E14" s="107">
        <v>0</v>
      </c>
      <c r="F14" s="107" t="s">
        <v>170</v>
      </c>
      <c r="G14" s="107">
        <v>0</v>
      </c>
      <c r="H14" s="107">
        <v>0</v>
      </c>
      <c r="I14" s="107" t="s">
        <v>170</v>
      </c>
      <c r="J14"/>
      <c r="K14"/>
    </row>
    <row r="15" spans="1:11" x14ac:dyDescent="0.3">
      <c r="A15" s="101" t="s">
        <v>176</v>
      </c>
      <c r="B15" s="107">
        <v>0</v>
      </c>
      <c r="C15" s="107">
        <v>0</v>
      </c>
      <c r="D15" s="107">
        <v>0</v>
      </c>
      <c r="E15" s="107">
        <v>0</v>
      </c>
      <c r="F15" s="107">
        <v>0</v>
      </c>
      <c r="G15" s="107">
        <v>0</v>
      </c>
      <c r="H15" s="107">
        <v>13</v>
      </c>
      <c r="I15" s="107" t="s">
        <v>170</v>
      </c>
      <c r="J15"/>
      <c r="K15"/>
    </row>
    <row r="16" spans="1:11" x14ac:dyDescent="0.3">
      <c r="A16" s="101" t="s">
        <v>177</v>
      </c>
      <c r="B16" s="107">
        <v>0</v>
      </c>
      <c r="C16" s="107">
        <v>0</v>
      </c>
      <c r="D16" s="107">
        <v>0</v>
      </c>
      <c r="E16" s="107">
        <v>0</v>
      </c>
      <c r="F16" s="107" t="s">
        <v>170</v>
      </c>
      <c r="G16" s="107">
        <v>0</v>
      </c>
      <c r="H16" s="107">
        <v>12</v>
      </c>
      <c r="I16" s="107" t="s">
        <v>170</v>
      </c>
      <c r="J16"/>
      <c r="K16"/>
    </row>
    <row r="17" spans="1:11" x14ac:dyDescent="0.3">
      <c r="A17" s="98" t="s">
        <v>30</v>
      </c>
      <c r="B17" s="107">
        <v>25</v>
      </c>
      <c r="C17" s="107">
        <v>2</v>
      </c>
      <c r="D17" s="107">
        <v>0</v>
      </c>
      <c r="E17" s="107">
        <v>115</v>
      </c>
      <c r="F17" s="107">
        <v>76</v>
      </c>
      <c r="G17" s="107">
        <v>0</v>
      </c>
      <c r="H17" s="107">
        <v>25</v>
      </c>
      <c r="I17" s="107">
        <v>106</v>
      </c>
      <c r="J17"/>
      <c r="K17"/>
    </row>
    <row r="19" spans="1:11" x14ac:dyDescent="0.3">
      <c r="A19" s="119" t="s">
        <v>33</v>
      </c>
      <c r="B19" s="119"/>
      <c r="C19" s="119"/>
    </row>
    <row r="20" spans="1:11" s="41" customFormat="1" x14ac:dyDescent="0.3">
      <c r="A20" s="98" t="s">
        <v>106</v>
      </c>
      <c r="B20" s="98" t="s">
        <v>43</v>
      </c>
      <c r="C20" s="98"/>
      <c r="D20" s="98"/>
      <c r="E20" s="98"/>
      <c r="F20" s="98"/>
      <c r="G20" s="98"/>
      <c r="H20" s="98"/>
      <c r="I20" s="98"/>
      <c r="J20"/>
      <c r="K20"/>
    </row>
    <row r="21" spans="1:11" s="41" customFormat="1" x14ac:dyDescent="0.3">
      <c r="A21" s="98" t="s">
        <v>42</v>
      </c>
      <c r="B21" s="98">
        <v>2018</v>
      </c>
      <c r="C21" s="98">
        <v>2019</v>
      </c>
      <c r="D21" s="98">
        <v>2020</v>
      </c>
      <c r="E21" s="98">
        <v>2021</v>
      </c>
      <c r="F21" s="98">
        <v>2022</v>
      </c>
      <c r="G21" s="98">
        <v>2023</v>
      </c>
      <c r="H21" s="98">
        <v>2024</v>
      </c>
      <c r="I21" s="98">
        <v>2025</v>
      </c>
      <c r="J21"/>
      <c r="K21"/>
    </row>
    <row r="22" spans="1:11" x14ac:dyDescent="0.3">
      <c r="A22" s="101" t="s">
        <v>45</v>
      </c>
      <c r="B22" s="98">
        <v>9</v>
      </c>
      <c r="C22" s="98">
        <v>0</v>
      </c>
      <c r="D22" s="98">
        <v>0</v>
      </c>
      <c r="E22" s="98">
        <v>0</v>
      </c>
      <c r="F22" s="98">
        <v>64</v>
      </c>
      <c r="G22" s="98">
        <v>0</v>
      </c>
      <c r="H22" s="98">
        <v>0</v>
      </c>
      <c r="I22" s="98">
        <v>12</v>
      </c>
      <c r="J22"/>
      <c r="K22"/>
    </row>
    <row r="23" spans="1:11" x14ac:dyDescent="0.3">
      <c r="A23" s="101" t="s">
        <v>166</v>
      </c>
      <c r="B23" s="98">
        <v>4</v>
      </c>
      <c r="C23" s="98">
        <v>0</v>
      </c>
      <c r="D23" s="98">
        <v>0</v>
      </c>
      <c r="E23" s="98">
        <v>0</v>
      </c>
      <c r="F23" s="98">
        <v>0</v>
      </c>
      <c r="G23" s="98">
        <v>0</v>
      </c>
      <c r="H23" s="98">
        <v>0</v>
      </c>
      <c r="I23" s="98">
        <v>16</v>
      </c>
      <c r="J23"/>
      <c r="K23"/>
    </row>
    <row r="24" spans="1:11" x14ac:dyDescent="0.3">
      <c r="A24" s="101" t="s">
        <v>167</v>
      </c>
      <c r="B24" s="98">
        <v>2</v>
      </c>
      <c r="C24" s="98">
        <v>0</v>
      </c>
      <c r="D24" s="98">
        <v>0</v>
      </c>
      <c r="E24" s="98">
        <v>113</v>
      </c>
      <c r="F24" s="98">
        <v>3</v>
      </c>
      <c r="G24" s="98">
        <v>0</v>
      </c>
      <c r="H24" s="98">
        <v>0</v>
      </c>
      <c r="I24" s="98">
        <v>15</v>
      </c>
      <c r="J24"/>
      <c r="K24"/>
    </row>
    <row r="25" spans="1:11" x14ac:dyDescent="0.3">
      <c r="A25" s="101" t="s">
        <v>168</v>
      </c>
      <c r="B25" s="98">
        <v>3</v>
      </c>
      <c r="C25" s="98">
        <v>0</v>
      </c>
      <c r="D25" s="98">
        <v>0</v>
      </c>
      <c r="E25" s="98">
        <v>0</v>
      </c>
      <c r="F25" s="98">
        <v>1</v>
      </c>
      <c r="G25" s="98">
        <v>0</v>
      </c>
      <c r="H25" s="98">
        <v>0</v>
      </c>
      <c r="I25" s="98">
        <v>13</v>
      </c>
      <c r="J25"/>
      <c r="K25"/>
    </row>
    <row r="26" spans="1:11" x14ac:dyDescent="0.3">
      <c r="A26" s="101" t="s">
        <v>169</v>
      </c>
      <c r="B26" s="98">
        <v>3</v>
      </c>
      <c r="C26" s="98">
        <v>0</v>
      </c>
      <c r="D26" s="98">
        <v>0</v>
      </c>
      <c r="E26" s="98">
        <v>0</v>
      </c>
      <c r="F26" s="98">
        <v>0</v>
      </c>
      <c r="G26" s="98">
        <v>0</v>
      </c>
      <c r="H26" s="98" t="s">
        <v>170</v>
      </c>
      <c r="I26" s="98">
        <v>10</v>
      </c>
      <c r="J26"/>
      <c r="K26"/>
    </row>
    <row r="27" spans="1:11" x14ac:dyDescent="0.3">
      <c r="A27" s="101" t="s">
        <v>171</v>
      </c>
      <c r="B27" s="98">
        <v>2</v>
      </c>
      <c r="C27" s="98">
        <v>0</v>
      </c>
      <c r="D27" s="98">
        <v>0</v>
      </c>
      <c r="E27" s="98">
        <v>0</v>
      </c>
      <c r="F27" s="98" t="s">
        <v>170</v>
      </c>
      <c r="G27" s="98">
        <v>0</v>
      </c>
      <c r="H27" s="98">
        <v>0</v>
      </c>
      <c r="I27" s="98">
        <v>9</v>
      </c>
      <c r="J27"/>
      <c r="K27"/>
    </row>
    <row r="28" spans="1:11" x14ac:dyDescent="0.3">
      <c r="A28" s="101" t="s">
        <v>172</v>
      </c>
      <c r="B28" s="98">
        <v>2</v>
      </c>
      <c r="C28" s="98">
        <v>2</v>
      </c>
      <c r="D28" s="98">
        <v>0</v>
      </c>
      <c r="E28" s="98">
        <v>0</v>
      </c>
      <c r="F28" s="98">
        <v>0</v>
      </c>
      <c r="G28" s="98" t="s">
        <v>170</v>
      </c>
      <c r="H28" s="98" t="s">
        <v>170</v>
      </c>
      <c r="I28" s="98">
        <v>16</v>
      </c>
      <c r="J28"/>
      <c r="K28"/>
    </row>
    <row r="29" spans="1:11" x14ac:dyDescent="0.3">
      <c r="A29" s="101" t="s">
        <v>173</v>
      </c>
      <c r="B29" s="98">
        <v>0</v>
      </c>
      <c r="C29" s="98">
        <v>0</v>
      </c>
      <c r="D29" s="98">
        <v>0</v>
      </c>
      <c r="E29" s="98">
        <v>1</v>
      </c>
      <c r="F29" s="98">
        <v>8</v>
      </c>
      <c r="G29" s="98">
        <v>0</v>
      </c>
      <c r="H29" s="98">
        <v>0</v>
      </c>
      <c r="I29" s="98">
        <v>15</v>
      </c>
      <c r="J29"/>
      <c r="K29"/>
    </row>
    <row r="30" spans="1:11" x14ac:dyDescent="0.3">
      <c r="A30" s="101" t="s">
        <v>174</v>
      </c>
      <c r="B30" s="98">
        <v>0</v>
      </c>
      <c r="C30" s="98">
        <v>0</v>
      </c>
      <c r="D30" s="98">
        <v>0</v>
      </c>
      <c r="E30" s="98">
        <v>1</v>
      </c>
      <c r="F30" s="98">
        <v>0</v>
      </c>
      <c r="G30" s="98">
        <v>0</v>
      </c>
      <c r="H30" s="98">
        <v>0</v>
      </c>
      <c r="I30" s="98" t="s">
        <v>170</v>
      </c>
      <c r="J30"/>
      <c r="K30"/>
    </row>
    <row r="31" spans="1:11" x14ac:dyDescent="0.3">
      <c r="A31" s="101" t="s">
        <v>175</v>
      </c>
      <c r="B31" s="98">
        <v>0</v>
      </c>
      <c r="C31" s="98">
        <v>0</v>
      </c>
      <c r="D31" s="98">
        <v>0</v>
      </c>
      <c r="E31" s="98">
        <v>0</v>
      </c>
      <c r="F31" s="98" t="s">
        <v>170</v>
      </c>
      <c r="G31" s="98">
        <v>0</v>
      </c>
      <c r="H31" s="98">
        <v>0</v>
      </c>
      <c r="I31" s="98" t="s">
        <v>170</v>
      </c>
      <c r="J31"/>
      <c r="K31"/>
    </row>
    <row r="32" spans="1:11" x14ac:dyDescent="0.3">
      <c r="A32" s="101" t="s">
        <v>176</v>
      </c>
      <c r="B32" s="98">
        <v>0</v>
      </c>
      <c r="C32" s="98">
        <v>0</v>
      </c>
      <c r="D32" s="98">
        <v>0</v>
      </c>
      <c r="E32" s="98">
        <v>0</v>
      </c>
      <c r="F32" s="98">
        <v>0</v>
      </c>
      <c r="G32" s="98">
        <v>0</v>
      </c>
      <c r="H32" s="98">
        <v>13</v>
      </c>
      <c r="I32" s="98" t="s">
        <v>170</v>
      </c>
      <c r="J32"/>
      <c r="K32"/>
    </row>
    <row r="33" spans="1:11" x14ac:dyDescent="0.3">
      <c r="A33" s="101" t="s">
        <v>177</v>
      </c>
      <c r="B33" s="98">
        <v>0</v>
      </c>
      <c r="C33" s="98">
        <v>0</v>
      </c>
      <c r="D33" s="98">
        <v>0</v>
      </c>
      <c r="E33" s="98">
        <v>0</v>
      </c>
      <c r="F33" s="98" t="s">
        <v>170</v>
      </c>
      <c r="G33" s="98">
        <v>0</v>
      </c>
      <c r="H33" s="98">
        <v>12</v>
      </c>
      <c r="I33" s="98" t="s">
        <v>170</v>
      </c>
      <c r="J33"/>
      <c r="K33"/>
    </row>
    <row r="34" spans="1:11" x14ac:dyDescent="0.3">
      <c r="A34" s="98" t="s">
        <v>30</v>
      </c>
      <c r="B34" s="98">
        <v>25</v>
      </c>
      <c r="C34" s="98">
        <v>2</v>
      </c>
      <c r="D34" s="98">
        <v>0</v>
      </c>
      <c r="E34" s="98">
        <v>115</v>
      </c>
      <c r="F34" s="98">
        <v>76</v>
      </c>
      <c r="G34" s="98">
        <v>0</v>
      </c>
      <c r="H34" s="98">
        <v>25</v>
      </c>
      <c r="I34" s="98">
        <v>106</v>
      </c>
      <c r="J34"/>
      <c r="K34"/>
    </row>
    <row r="36" spans="1:11" x14ac:dyDescent="0.3">
      <c r="A36" s="118" t="s">
        <v>38</v>
      </c>
      <c r="B36" s="118"/>
      <c r="C36" s="118"/>
    </row>
    <row r="37" spans="1:11" s="41" customFormat="1" x14ac:dyDescent="0.3">
      <c r="A37" s="107" t="s">
        <v>11</v>
      </c>
      <c r="B37" s="107" t="s">
        <v>8</v>
      </c>
      <c r="C37" s="107"/>
      <c r="D37" s="107"/>
      <c r="E37" s="107"/>
      <c r="F37" s="107"/>
      <c r="G37" s="107"/>
      <c r="H37" s="107"/>
      <c r="I37" s="107"/>
      <c r="J37"/>
      <c r="K37"/>
    </row>
    <row r="38" spans="1:11" s="41" customFormat="1" x14ac:dyDescent="0.3">
      <c r="A38" s="107" t="s">
        <v>28</v>
      </c>
      <c r="B38" s="107">
        <v>2018</v>
      </c>
      <c r="C38" s="107">
        <v>2019</v>
      </c>
      <c r="D38" s="107">
        <v>2020</v>
      </c>
      <c r="E38" s="107">
        <v>2021</v>
      </c>
      <c r="F38" s="107">
        <v>2022</v>
      </c>
      <c r="G38" s="107">
        <v>2023</v>
      </c>
      <c r="H38" s="107">
        <v>2024</v>
      </c>
      <c r="I38" s="107">
        <v>2025</v>
      </c>
      <c r="J38"/>
      <c r="K38"/>
    </row>
    <row r="39" spans="1:11" x14ac:dyDescent="0.3">
      <c r="A39" s="108" t="s">
        <v>45</v>
      </c>
      <c r="B39" s="107">
        <v>0.3</v>
      </c>
      <c r="C39" s="107">
        <v>0</v>
      </c>
      <c r="D39" s="107">
        <v>0</v>
      </c>
      <c r="E39" s="107">
        <v>0</v>
      </c>
      <c r="F39" s="107">
        <v>2.3743589743589744</v>
      </c>
      <c r="G39" s="107">
        <v>0</v>
      </c>
      <c r="H39" s="107">
        <v>0</v>
      </c>
      <c r="I39" s="107">
        <v>0.46153846153846156</v>
      </c>
      <c r="J39"/>
      <c r="K39"/>
    </row>
    <row r="40" spans="1:11" x14ac:dyDescent="0.3">
      <c r="A40" s="108" t="s">
        <v>166</v>
      </c>
      <c r="B40" s="107">
        <v>0.14285714285714285</v>
      </c>
      <c r="C40" s="107">
        <v>0</v>
      </c>
      <c r="D40" s="107">
        <v>0</v>
      </c>
      <c r="E40" s="107">
        <v>0</v>
      </c>
      <c r="F40" s="107">
        <v>0</v>
      </c>
      <c r="G40" s="107">
        <v>0</v>
      </c>
      <c r="H40" s="107">
        <v>0</v>
      </c>
      <c r="I40" s="107">
        <v>0.5161290322580645</v>
      </c>
      <c r="J40"/>
      <c r="K40"/>
    </row>
    <row r="41" spans="1:11" x14ac:dyDescent="0.3">
      <c r="A41" s="108" t="s">
        <v>167</v>
      </c>
      <c r="B41" s="107">
        <v>6.6666666666666666E-2</v>
      </c>
      <c r="C41" s="107">
        <v>0</v>
      </c>
      <c r="D41" s="107">
        <v>0</v>
      </c>
      <c r="E41" s="107">
        <v>3.3235294117647061</v>
      </c>
      <c r="F41" s="107">
        <v>0.1</v>
      </c>
      <c r="G41" s="107">
        <v>0</v>
      </c>
      <c r="H41" s="107">
        <v>0</v>
      </c>
      <c r="I41" s="107">
        <v>0.5357142857142857</v>
      </c>
      <c r="J41"/>
      <c r="K41"/>
    </row>
    <row r="42" spans="1:11" x14ac:dyDescent="0.3">
      <c r="A42" s="108" t="s">
        <v>168</v>
      </c>
      <c r="B42" s="107">
        <v>9.375E-2</v>
      </c>
      <c r="C42" s="107">
        <v>0</v>
      </c>
      <c r="D42" s="107">
        <v>0</v>
      </c>
      <c r="E42" s="107">
        <v>0</v>
      </c>
      <c r="F42" s="107">
        <v>3.3333333333333333E-2</v>
      </c>
      <c r="G42" s="107">
        <v>0</v>
      </c>
      <c r="H42" s="107">
        <v>0</v>
      </c>
      <c r="I42" s="107">
        <v>0.39393939393939392</v>
      </c>
      <c r="J42"/>
      <c r="K42"/>
    </row>
    <row r="43" spans="1:11" x14ac:dyDescent="0.3">
      <c r="A43" s="108" t="s">
        <v>169</v>
      </c>
      <c r="B43" s="107">
        <v>0.1</v>
      </c>
      <c r="C43" s="107">
        <v>0</v>
      </c>
      <c r="D43" s="107">
        <v>0</v>
      </c>
      <c r="E43" s="107">
        <v>0</v>
      </c>
      <c r="F43" s="107">
        <v>0</v>
      </c>
      <c r="G43" s="107">
        <v>0</v>
      </c>
      <c r="H43" s="107" t="s">
        <v>170</v>
      </c>
      <c r="I43" s="107">
        <v>0.33333333333333331</v>
      </c>
      <c r="J43"/>
      <c r="K43"/>
    </row>
    <row r="44" spans="1:11" x14ac:dyDescent="0.3">
      <c r="A44" s="108" t="s">
        <v>171</v>
      </c>
      <c r="B44" s="107">
        <v>6.6666666666666666E-2</v>
      </c>
      <c r="C44" s="107">
        <v>0</v>
      </c>
      <c r="D44" s="107">
        <v>0</v>
      </c>
      <c r="E44" s="107">
        <v>0</v>
      </c>
      <c r="F44" s="107" t="s">
        <v>170</v>
      </c>
      <c r="G44" s="107">
        <v>0</v>
      </c>
      <c r="H44" s="107">
        <v>0</v>
      </c>
      <c r="I44" s="107">
        <v>0.36</v>
      </c>
      <c r="J44"/>
      <c r="K44"/>
    </row>
    <row r="45" spans="1:11" x14ac:dyDescent="0.3">
      <c r="A45" s="108" t="s">
        <v>172</v>
      </c>
      <c r="B45" s="107">
        <v>6.4516129032258063E-2</v>
      </c>
      <c r="C45" s="107">
        <v>6.0606060606060608E-2</v>
      </c>
      <c r="D45" s="107">
        <v>0</v>
      </c>
      <c r="E45" s="107">
        <v>0</v>
      </c>
      <c r="F45" s="107">
        <v>0</v>
      </c>
      <c r="G45" s="107" t="s">
        <v>170</v>
      </c>
      <c r="H45" s="107" t="s">
        <v>170</v>
      </c>
      <c r="I45" s="107">
        <v>0.44444444444444442</v>
      </c>
      <c r="J45"/>
      <c r="K45"/>
    </row>
    <row r="46" spans="1:11" x14ac:dyDescent="0.3">
      <c r="A46" s="108" t="s">
        <v>173</v>
      </c>
      <c r="B46" s="107">
        <v>0</v>
      </c>
      <c r="C46" s="107">
        <v>0</v>
      </c>
      <c r="D46" s="107">
        <v>0</v>
      </c>
      <c r="E46" s="107">
        <v>3.125E-2</v>
      </c>
      <c r="F46" s="107">
        <v>0.23529411764705882</v>
      </c>
      <c r="G46" s="107">
        <v>0</v>
      </c>
      <c r="H46" s="107">
        <v>0</v>
      </c>
      <c r="I46" s="107">
        <v>0.51724137931034486</v>
      </c>
      <c r="J46"/>
      <c r="K46"/>
    </row>
    <row r="47" spans="1:11" x14ac:dyDescent="0.3">
      <c r="A47" s="108" t="s">
        <v>174</v>
      </c>
      <c r="B47" s="107">
        <v>0</v>
      </c>
      <c r="C47" s="107">
        <v>0</v>
      </c>
      <c r="D47" s="107">
        <v>0</v>
      </c>
      <c r="E47" s="107">
        <v>3.3333333333333333E-2</v>
      </c>
      <c r="F47" s="107">
        <v>0</v>
      </c>
      <c r="G47" s="107">
        <v>0</v>
      </c>
      <c r="H47" s="107">
        <v>0</v>
      </c>
      <c r="I47" s="107" t="s">
        <v>170</v>
      </c>
      <c r="J47"/>
      <c r="K47"/>
    </row>
    <row r="48" spans="1:11" x14ac:dyDescent="0.3">
      <c r="A48" s="108" t="s">
        <v>175</v>
      </c>
      <c r="B48" s="107">
        <v>0</v>
      </c>
      <c r="C48" s="107">
        <v>0</v>
      </c>
      <c r="D48" s="107">
        <v>0</v>
      </c>
      <c r="E48" s="107">
        <v>0</v>
      </c>
      <c r="F48" s="107" t="s">
        <v>170</v>
      </c>
      <c r="G48" s="107">
        <v>0</v>
      </c>
      <c r="H48" s="107">
        <v>0</v>
      </c>
      <c r="I48" s="107" t="s">
        <v>170</v>
      </c>
      <c r="J48"/>
      <c r="K48"/>
    </row>
    <row r="49" spans="1:11" x14ac:dyDescent="0.3">
      <c r="A49" s="108" t="s">
        <v>176</v>
      </c>
      <c r="B49" s="107">
        <v>0</v>
      </c>
      <c r="C49" s="107">
        <v>0</v>
      </c>
      <c r="D49" s="107">
        <v>0</v>
      </c>
      <c r="E49" s="107">
        <v>0</v>
      </c>
      <c r="F49" s="107">
        <v>0</v>
      </c>
      <c r="G49" s="107">
        <v>0</v>
      </c>
      <c r="H49" s="107">
        <v>0.44827586206896552</v>
      </c>
      <c r="I49" s="107" t="s">
        <v>170</v>
      </c>
      <c r="J49"/>
      <c r="K49"/>
    </row>
    <row r="50" spans="1:11" x14ac:dyDescent="0.3">
      <c r="A50" s="108" t="s">
        <v>177</v>
      </c>
      <c r="B50" s="107">
        <v>0</v>
      </c>
      <c r="C50" s="107">
        <v>0</v>
      </c>
      <c r="D50" s="107">
        <v>0</v>
      </c>
      <c r="E50" s="107">
        <v>0</v>
      </c>
      <c r="F50" s="107" t="s">
        <v>170</v>
      </c>
      <c r="G50" s="107">
        <v>0</v>
      </c>
      <c r="H50" s="107">
        <v>0.4</v>
      </c>
      <c r="I50" s="107" t="s">
        <v>170</v>
      </c>
      <c r="J50"/>
      <c r="K50"/>
    </row>
    <row r="51" spans="1:11" x14ac:dyDescent="0.3">
      <c r="A51" s="107" t="s">
        <v>30</v>
      </c>
      <c r="B51" s="107">
        <v>0.83445660522273424</v>
      </c>
      <c r="C51" s="107">
        <v>6.0606060606060608E-2</v>
      </c>
      <c r="D51" s="107">
        <v>0</v>
      </c>
      <c r="E51" s="107">
        <v>3.3881127450980393</v>
      </c>
      <c r="F51" s="107">
        <v>2.7429864253393665</v>
      </c>
      <c r="G51" s="107">
        <v>0</v>
      </c>
      <c r="H51" s="107">
        <v>0.84827586206896555</v>
      </c>
      <c r="I51" s="107">
        <v>3.5623403305383285</v>
      </c>
      <c r="J51"/>
      <c r="K51"/>
    </row>
    <row r="53" spans="1:11" x14ac:dyDescent="0.3">
      <c r="A53" s="89" t="s">
        <v>19</v>
      </c>
      <c r="B53"/>
    </row>
    <row r="54" spans="1:11" s="41" customFormat="1" x14ac:dyDescent="0.3">
      <c r="A54" s="54" t="s">
        <v>40</v>
      </c>
      <c r="B54" s="54" t="s">
        <v>43</v>
      </c>
      <c r="C54" s="42"/>
      <c r="D54" s="42"/>
      <c r="E54" s="42"/>
      <c r="F54" s="42"/>
      <c r="G54" s="42"/>
      <c r="H54" s="42"/>
      <c r="I54" s="42"/>
      <c r="J54"/>
      <c r="K54"/>
    </row>
    <row r="55" spans="1:11" s="41" customFormat="1" x14ac:dyDescent="0.3">
      <c r="A55" s="54" t="s">
        <v>42</v>
      </c>
      <c r="B55" s="98">
        <v>2018</v>
      </c>
      <c r="C55" s="42">
        <v>2019</v>
      </c>
      <c r="D55" s="42">
        <v>2020</v>
      </c>
      <c r="E55" s="42">
        <v>2021</v>
      </c>
      <c r="F55" s="42">
        <v>2022</v>
      </c>
      <c r="G55" s="42">
        <v>2023</v>
      </c>
      <c r="H55" s="42">
        <v>2024</v>
      </c>
      <c r="I55" s="42">
        <v>2025</v>
      </c>
      <c r="J55"/>
      <c r="K55"/>
    </row>
    <row r="56" spans="1:11" x14ac:dyDescent="0.3">
      <c r="A56" s="101" t="s">
        <v>45</v>
      </c>
      <c r="B56" s="99">
        <v>0</v>
      </c>
      <c r="C56" s="99">
        <v>0</v>
      </c>
      <c r="D56" s="99">
        <v>0</v>
      </c>
      <c r="E56" s="99">
        <v>0</v>
      </c>
      <c r="F56" s="99">
        <v>0</v>
      </c>
      <c r="G56" s="99">
        <v>0</v>
      </c>
      <c r="H56" s="99">
        <v>0</v>
      </c>
      <c r="I56" s="99">
        <v>0</v>
      </c>
      <c r="J56"/>
      <c r="K56"/>
    </row>
    <row r="57" spans="1:11" x14ac:dyDescent="0.3">
      <c r="A57" s="101" t="s">
        <v>166</v>
      </c>
      <c r="B57" s="99">
        <v>0</v>
      </c>
      <c r="C57" s="99">
        <v>0</v>
      </c>
      <c r="D57" s="99">
        <v>0</v>
      </c>
      <c r="E57" s="99">
        <v>0</v>
      </c>
      <c r="F57" s="99">
        <v>0</v>
      </c>
      <c r="G57" s="99">
        <v>0</v>
      </c>
      <c r="H57" s="99">
        <v>0</v>
      </c>
      <c r="I57" s="99">
        <v>0</v>
      </c>
      <c r="J57"/>
      <c r="K57"/>
    </row>
    <row r="58" spans="1:11" x14ac:dyDescent="0.3">
      <c r="A58" s="101" t="s">
        <v>167</v>
      </c>
      <c r="B58" s="99">
        <v>0</v>
      </c>
      <c r="C58" s="99">
        <v>0</v>
      </c>
      <c r="D58" s="99">
        <v>0</v>
      </c>
      <c r="E58" s="99">
        <v>0</v>
      </c>
      <c r="F58" s="99">
        <v>0</v>
      </c>
      <c r="G58" s="99">
        <v>0</v>
      </c>
      <c r="H58" s="99">
        <v>0</v>
      </c>
      <c r="I58" s="99">
        <v>0</v>
      </c>
      <c r="J58"/>
      <c r="K58"/>
    </row>
    <row r="59" spans="1:11" x14ac:dyDescent="0.3">
      <c r="A59" s="101" t="s">
        <v>168</v>
      </c>
      <c r="B59" s="99">
        <v>0</v>
      </c>
      <c r="C59" s="99">
        <v>0</v>
      </c>
      <c r="D59" s="99">
        <v>0</v>
      </c>
      <c r="E59" s="99">
        <v>0</v>
      </c>
      <c r="F59" s="99">
        <v>0</v>
      </c>
      <c r="G59" s="99">
        <v>0</v>
      </c>
      <c r="H59" s="99">
        <v>0</v>
      </c>
      <c r="I59" s="99">
        <v>0</v>
      </c>
      <c r="J59"/>
      <c r="K59"/>
    </row>
    <row r="60" spans="1:11" x14ac:dyDescent="0.3">
      <c r="A60" s="101" t="s">
        <v>169</v>
      </c>
      <c r="B60" s="99">
        <v>0</v>
      </c>
      <c r="C60" s="99">
        <v>0</v>
      </c>
      <c r="D60" s="99">
        <v>0</v>
      </c>
      <c r="E60" s="99">
        <v>0</v>
      </c>
      <c r="F60" s="99">
        <v>0</v>
      </c>
      <c r="G60" s="99">
        <v>0</v>
      </c>
      <c r="H60" s="99"/>
      <c r="I60" s="99">
        <v>0</v>
      </c>
      <c r="J60"/>
      <c r="K60"/>
    </row>
    <row r="61" spans="1:11" x14ac:dyDescent="0.3">
      <c r="A61" s="101" t="s">
        <v>171</v>
      </c>
      <c r="B61" s="99">
        <v>0</v>
      </c>
      <c r="C61" s="99">
        <v>0</v>
      </c>
      <c r="D61" s="99">
        <v>0</v>
      </c>
      <c r="E61" s="99">
        <v>0</v>
      </c>
      <c r="F61" s="99"/>
      <c r="G61" s="99">
        <v>0</v>
      </c>
      <c r="H61" s="99">
        <v>0</v>
      </c>
      <c r="I61" s="99">
        <v>0</v>
      </c>
      <c r="J61"/>
      <c r="K61"/>
    </row>
    <row r="62" spans="1:11" x14ac:dyDescent="0.3">
      <c r="A62" s="101" t="s">
        <v>172</v>
      </c>
      <c r="B62" s="99">
        <v>0</v>
      </c>
      <c r="C62" s="99">
        <v>0</v>
      </c>
      <c r="D62" s="99">
        <v>0</v>
      </c>
      <c r="E62" s="99">
        <v>0</v>
      </c>
      <c r="F62" s="99">
        <v>0</v>
      </c>
      <c r="G62" s="99"/>
      <c r="H62" s="99"/>
      <c r="I62" s="99">
        <v>0</v>
      </c>
      <c r="J62"/>
      <c r="K62"/>
    </row>
    <row r="63" spans="1:11" x14ac:dyDescent="0.3">
      <c r="A63" s="101" t="s">
        <v>173</v>
      </c>
      <c r="B63" s="99">
        <v>0</v>
      </c>
      <c r="C63" s="99">
        <v>0</v>
      </c>
      <c r="D63" s="99">
        <v>0</v>
      </c>
      <c r="E63" s="99">
        <v>0</v>
      </c>
      <c r="F63" s="99">
        <v>0</v>
      </c>
      <c r="G63" s="99">
        <v>0</v>
      </c>
      <c r="H63" s="99">
        <v>0</v>
      </c>
      <c r="I63" s="99">
        <v>0</v>
      </c>
      <c r="J63"/>
      <c r="K63"/>
    </row>
    <row r="64" spans="1:11" x14ac:dyDescent="0.3">
      <c r="A64" s="101" t="s">
        <v>174</v>
      </c>
      <c r="B64" s="99">
        <v>0</v>
      </c>
      <c r="C64" s="99">
        <v>0</v>
      </c>
      <c r="D64" s="99">
        <v>0</v>
      </c>
      <c r="E64" s="99">
        <v>0</v>
      </c>
      <c r="F64" s="99">
        <v>0</v>
      </c>
      <c r="G64" s="99">
        <v>0</v>
      </c>
      <c r="H64" s="99">
        <v>0</v>
      </c>
      <c r="I64" s="99"/>
      <c r="J64"/>
      <c r="K64"/>
    </row>
    <row r="65" spans="1:11" x14ac:dyDescent="0.3">
      <c r="A65" s="101" t="s">
        <v>175</v>
      </c>
      <c r="B65" s="99">
        <v>0</v>
      </c>
      <c r="C65" s="99">
        <v>0</v>
      </c>
      <c r="D65" s="99">
        <v>0</v>
      </c>
      <c r="E65" s="99">
        <v>0</v>
      </c>
      <c r="F65" s="99"/>
      <c r="G65" s="99">
        <v>0</v>
      </c>
      <c r="H65" s="99">
        <v>0</v>
      </c>
      <c r="I65" s="99"/>
      <c r="J65"/>
      <c r="K65"/>
    </row>
    <row r="66" spans="1:11" x14ac:dyDescent="0.3">
      <c r="A66" s="101" t="s">
        <v>176</v>
      </c>
      <c r="B66" s="99">
        <v>0</v>
      </c>
      <c r="C66" s="99">
        <v>0</v>
      </c>
      <c r="D66" s="99">
        <v>0</v>
      </c>
      <c r="E66" s="99">
        <v>0</v>
      </c>
      <c r="F66" s="99">
        <v>0</v>
      </c>
      <c r="G66" s="99">
        <v>0</v>
      </c>
      <c r="H66" s="99">
        <v>0</v>
      </c>
      <c r="I66" s="99"/>
      <c r="J66"/>
      <c r="K66"/>
    </row>
    <row r="67" spans="1:11" x14ac:dyDescent="0.3">
      <c r="A67" s="101" t="s">
        <v>177</v>
      </c>
      <c r="B67" s="99">
        <v>0</v>
      </c>
      <c r="C67" s="99">
        <v>0</v>
      </c>
      <c r="D67" s="99">
        <v>0</v>
      </c>
      <c r="E67" s="99">
        <v>0</v>
      </c>
      <c r="F67" s="99"/>
      <c r="G67" s="99">
        <v>0</v>
      </c>
      <c r="H67" s="99">
        <v>0</v>
      </c>
      <c r="I67" s="99"/>
      <c r="J67"/>
      <c r="K67"/>
    </row>
    <row r="201" spans="1:1" x14ac:dyDescent="0.3">
      <c r="A201" s="1">
        <f>Resumen!D2</f>
        <v>0</v>
      </c>
    </row>
    <row r="202" spans="1:1" x14ac:dyDescent="0.3">
      <c r="A202" s="10">
        <f>Resumen!F1</f>
        <v>0</v>
      </c>
    </row>
  </sheetData>
  <mergeCells count="3">
    <mergeCell ref="A2:C2"/>
    <mergeCell ref="A36:C36"/>
    <mergeCell ref="A19:C19"/>
  </mergeCells>
  <conditionalFormatting pivot="1" sqref="B5:I17">
    <cfRule type="aboveAverage" dxfId="138" priority="20"/>
  </conditionalFormatting>
  <conditionalFormatting pivot="1" sqref="B5:I17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B39:I51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B5:I17">
    <cfRule type="cellIs" dxfId="137" priority="11" operator="lessThan">
      <formula>2</formula>
    </cfRule>
  </conditionalFormatting>
  <conditionalFormatting pivot="1" sqref="B39:I51">
    <cfRule type="cellIs" dxfId="136" priority="10" operator="lessThan">
      <formula>0.01</formula>
    </cfRule>
  </conditionalFormatting>
  <conditionalFormatting pivot="1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56:A68 N56:N68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56:A6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B56:I6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B22:I3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5"/>
  <headerFooter>
    <oddHeader>&amp;C&amp;"Arial"&amp;8&amp;K000000INTERNAL&amp;1#</oddHeader>
  </headerFooter>
  <drawing r:id="rId6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7" filterMode="1"/>
  <dimension ref="A1:AE202"/>
  <sheetViews>
    <sheetView showGridLines="0" zoomScaleNormal="100" workbookViewId="0">
      <pane ySplit="2" topLeftCell="A72" activePane="bottomLeft" state="frozen"/>
      <selection activeCell="A2" sqref="A2"/>
      <selection pane="bottomLeft" activeCell="AF12" sqref="AF12"/>
    </sheetView>
  </sheetViews>
  <sheetFormatPr baseColWidth="10" defaultRowHeight="14.4" x14ac:dyDescent="0.3"/>
  <cols>
    <col min="1" max="1" width="13.33203125" style="24" bestFit="1" customWidth="1"/>
    <col min="2" max="2" width="11.6640625" customWidth="1"/>
    <col min="3" max="4" width="14.6640625" style="18" customWidth="1"/>
    <col min="5" max="5" width="11.6640625" style="17" customWidth="1"/>
    <col min="6" max="6" width="11.6640625" customWidth="1"/>
    <col min="7" max="7" width="11.6640625" style="17" customWidth="1"/>
    <col min="8" max="8" width="11.6640625" style="15" customWidth="1"/>
    <col min="9" max="9" width="9.6640625" customWidth="1"/>
    <col min="10" max="10" width="8.6640625" hidden="1" customWidth="1"/>
    <col min="11" max="11" width="11.6640625" style="32" customWidth="1"/>
    <col min="12" max="12" width="10.6640625" customWidth="1"/>
    <col min="13" max="13" width="16" hidden="1" customWidth="1"/>
    <col min="14" max="14" width="5" hidden="1" customWidth="1"/>
    <col min="15" max="15" width="6.33203125" hidden="1" customWidth="1"/>
    <col min="16" max="16" width="24.6640625" hidden="1" customWidth="1"/>
    <col min="17" max="17" width="4.6640625" hidden="1" customWidth="1"/>
    <col min="18" max="18" width="18.5546875" hidden="1" customWidth="1"/>
    <col min="19" max="19" width="12.33203125" hidden="1" customWidth="1"/>
    <col min="20" max="20" width="10.109375" hidden="1" customWidth="1"/>
    <col min="21" max="26" width="3.109375" hidden="1" customWidth="1"/>
    <col min="27" max="27" width="9.33203125" hidden="1" customWidth="1"/>
    <col min="28" max="28" width="12.6640625" hidden="1" customWidth="1"/>
    <col min="29" max="29" width="5.109375" customWidth="1"/>
    <col min="30" max="30" width="13.44140625" customWidth="1"/>
    <col min="31" max="31" width="13" customWidth="1"/>
    <col min="32" max="48" width="10.6640625" customWidth="1"/>
    <col min="49" max="49" width="12.5546875" bestFit="1" customWidth="1"/>
  </cols>
  <sheetData>
    <row r="1" spans="1:28" s="1" customFormat="1" hidden="1" x14ac:dyDescent="0.3">
      <c r="A1" s="116"/>
      <c r="B1" s="117"/>
      <c r="C1" s="12"/>
      <c r="D1" s="2"/>
      <c r="E1" s="28"/>
      <c r="G1" s="28"/>
      <c r="H1" s="16"/>
      <c r="K1" s="31"/>
    </row>
    <row r="2" spans="1:28" s="9" customFormat="1" ht="43.2" x14ac:dyDescent="0.3">
      <c r="A2" s="92" t="str">
        <f>'Temp Hisfa'!A2</f>
        <v>Contrato</v>
      </c>
      <c r="B2" s="49" t="str">
        <f>'Temp Hisfa'!B2</f>
        <v>Secuencial factura</v>
      </c>
      <c r="C2" s="50" t="str">
        <f>'Temp Hisfa'!C2</f>
        <v>Fecha Inicio</v>
      </c>
      <c r="D2" s="50" t="str">
        <f>'Temp Hisfa'!D2</f>
        <v>Fecha fin</v>
      </c>
      <c r="E2" s="50" t="str">
        <f>'Temp Hisfa'!E2</f>
        <v>Consumo Activa</v>
      </c>
      <c r="F2" s="50" t="str">
        <f>'Temp Hisfa'!F2</f>
        <v>Promedio Activa</v>
      </c>
      <c r="G2" s="50" t="str">
        <f>'Temp Hisfa'!G2</f>
        <v>Consumo Reactiva</v>
      </c>
      <c r="H2" s="51" t="str">
        <f>'Temp Hisfa'!H2</f>
        <v>Promedio Reactiva</v>
      </c>
      <c r="I2" s="49" t="str">
        <f>'Temp Hisfa'!I2</f>
        <v>Cargo abono total</v>
      </c>
      <c r="J2" s="11" t="str">
        <f>'Temp Hisfa'!J2</f>
        <v>Pérdidas Total</v>
      </c>
      <c r="K2" s="51" t="str">
        <f>'Temp Hisfa'!K2</f>
        <v>Maxímetro</v>
      </c>
      <c r="L2" s="50" t="str">
        <f>'Temp Hisfa'!L2</f>
        <v>Lectura</v>
      </c>
      <c r="M2" s="50" t="str">
        <f>'Temp Hisfa'!M2</f>
        <v>Fuente</v>
      </c>
      <c r="N2" s="11" t="str">
        <f>'Temp Hisfa'!N2</f>
        <v>Año</v>
      </c>
      <c r="O2" s="11" t="str">
        <f>'Temp Hisfa'!O2</f>
        <v>Mes</v>
      </c>
      <c r="P2" s="11" t="str">
        <f>'Temp Hisfa'!P2</f>
        <v>Energía Total Reconstruida</v>
      </c>
      <c r="Q2" s="11" t="str">
        <f>'Temp Hisfa'!Q2</f>
        <v>Días</v>
      </c>
      <c r="R2" s="11" t="str">
        <f>'Temp Hisfa'!R2</f>
        <v>Consumo promedio ciclo</v>
      </c>
      <c r="S2" s="11" t="s">
        <v>41</v>
      </c>
      <c r="T2" s="63" t="s">
        <v>102</v>
      </c>
      <c r="U2" s="63" t="s">
        <v>60</v>
      </c>
      <c r="V2" s="63" t="s">
        <v>61</v>
      </c>
      <c r="W2" s="63" t="s">
        <v>62</v>
      </c>
      <c r="X2" s="63" t="s">
        <v>63</v>
      </c>
      <c r="Y2" s="63" t="s">
        <v>64</v>
      </c>
      <c r="Z2" s="63" t="s">
        <v>65</v>
      </c>
      <c r="AA2" s="63" t="s">
        <v>104</v>
      </c>
      <c r="AB2" s="63" t="s">
        <v>105</v>
      </c>
    </row>
    <row r="3" spans="1:28" x14ac:dyDescent="0.3">
      <c r="A3" s="22">
        <f t="array" ref="A3">IFERROR(INDEX('Temp Hisfa'!A$3:A$200, SMALL(IF(ISERROR('Temp Hisfa'!A$3:A$200), "", ROW('Temp Hisfa'!A$3:A$200)-MIN(ROW('Temp Hisfa'!A$3:A$200))+1), ROW(1:200))),"")</f>
        <v>0</v>
      </c>
      <c r="B3" s="4">
        <f t="array" ref="B3">IFERROR(INDEX('Temp Hisfa'!B$3:B$200, SMALL(IF(ISERROR('Temp Hisfa'!B$3:B$200), "", ROW('Temp Hisfa'!B$3:B$200)-MIN(ROW('Temp Hisfa'!B$3:B$200))+1), ROW(1:200))),"")</f>
        <v>0</v>
      </c>
      <c r="C3" s="3">
        <f t="array" ref="C3">IFERROR(INDEX('Temp Hisfa'!C$3:C$200, SMALL(IF(ISERROR('Temp Hisfa'!C$3:C$200), "", ROW('Temp Hisfa'!C$3:C$200)-MIN(ROW('Temp Hisfa'!C$3:C$200))+1), ROW(1:200))),"")</f>
        <v>0</v>
      </c>
      <c r="D3" s="3">
        <f t="array" ref="D3">IFERROR(INDEX('Temp Hisfa'!D$3:D$200, SMALL(IF(ISERROR('Temp Hisfa'!D$3:D$200), "", ROW('Temp Hisfa'!D$3:D$200)-MIN(ROW('Temp Hisfa'!D$3:D$200))+1), ROW(1:200))),"")</f>
        <v>0</v>
      </c>
      <c r="E3" s="29">
        <f t="array" ref="E3">IFERROR(INDEX('Temp Hisfa'!E$3:E$200, SMALL(IF(ISERROR('Temp Hisfa'!E$3:E$200), "", ROW('Temp Hisfa'!E$3:E$200)-MIN(ROW('Temp Hisfa'!E$3:E$200))+1), ROW(1:200))),"")</f>
        <v>0</v>
      </c>
      <c r="F3" s="22">
        <f t="array" ref="F3">IFERROR(INDEX('Temp Hisfa'!F$3:F$200, SMALL(IF(ISERROR('Temp Hisfa'!F$3:F$200), "", ROW('Temp Hisfa'!F$3:F$200)-MIN(ROW('Temp Hisfa'!F$3:F$200))+1), ROW(1:200))),"")</f>
        <v>0</v>
      </c>
      <c r="G3" s="30">
        <f t="array" ref="G3">IFERROR(INDEX('Temp Hisfa'!G$3:G$200, SMALL(IF(ISERROR('Temp Hisfa'!G$3:G$200), "", ROW('Temp Hisfa'!G$3:G$200)-MIN(ROW('Temp Hisfa'!G$3:G$200))+1), ROW(1:200))),"")</f>
        <v>0</v>
      </c>
      <c r="H3" s="22">
        <f t="array" ref="H3">IFERROR(INDEX('Temp Hisfa'!H$3:H$200, SMALL(IF(ISERROR('Temp Hisfa'!H$3:H$200), "", ROW('Temp Hisfa'!H$3:H$200)-MIN(ROW('Temp Hisfa'!H$3:H$200))+1), ROW(1:200))),"")</f>
        <v>0</v>
      </c>
      <c r="I3" s="22">
        <f t="array" ref="I3">IFERROR(INDEX('Temp Hisfa'!I$3:I$200, SMALL(IF(ISERROR('Temp Hisfa'!I$3:I$200), "", ROW('Temp Hisfa'!I$3:I$200)-MIN(ROW('Temp Hisfa'!I$3:I$200))+1), ROW(1:200))),"")</f>
        <v>0</v>
      </c>
      <c r="J3" s="22">
        <f t="array" ref="J3">IFERROR(INDEX('Temp Hisfa'!J$3:J$200, SMALL(IF(ISERROR('Temp Hisfa'!J$3:J$200), "", ROW('Temp Hisfa'!J$3:J$200)-MIN(ROW('Temp Hisfa'!J$3:J$200))+1), ROW(1:200))),"")</f>
        <v>0</v>
      </c>
      <c r="K3" s="30">
        <f t="array" ref="K3">IFERROR(INDEX('Temp Hisfa'!K$3:K$200, SMALL(IF(ISERROR('Temp Hisfa'!K$3:K$200), "", ROW('Temp Hisfa'!K$3:K$200)-MIN(ROW('Temp Hisfa'!K$3:K$200))+1), ROW(1:200))),"")</f>
        <v>0</v>
      </c>
      <c r="L3" s="22">
        <f t="array" ref="L3">IFERROR(INDEX('Temp Hisfa'!L$3:L$200, SMALL(IF(ISERROR('Temp Hisfa'!L$3:L$200), "", ROW('Temp Hisfa'!L$3:L$200)-MIN(ROW('Temp Hisfa'!L$3:L$200))+1), ROW(1:200))),"")</f>
        <v>0</v>
      </c>
      <c r="M3" s="22">
        <f t="array" ref="M3">IFERROR(INDEX('Temp Hisfa'!M$3:M$200, SMALL(IF(ISERROR('Temp Hisfa'!M$3:M$200), "", ROW('Temp Hisfa'!M$3:M$200)-MIN(ROW('Temp Hisfa'!M$3:M$200))+1), ROW(1:200))),"")</f>
        <v>0</v>
      </c>
      <c r="N3" s="22">
        <f t="array" ref="N3">IFERROR(INDEX('Temp Hisfa'!N$3:N$200, SMALL(IF(ISERROR('Temp Hisfa'!N$3:N$200), "", ROW('Temp Hisfa'!N$3:N$200)-MIN(ROW('Temp Hisfa'!N$3:N$200))+1), ROW(1:200))),"")</f>
        <v>1900</v>
      </c>
      <c r="O3" s="22" t="str">
        <f t="array" ref="O3">IFERROR(INDEX('Temp Hisfa'!O$3:O$200, SMALL(IF(ISERROR('Temp Hisfa'!O$3:O$200), "", ROW('Temp Hisfa'!O$3:O$200)-MIN(ROW('Temp Hisfa'!O$3:O$200))+1), ROW(1:200))),"")</f>
        <v>enero</v>
      </c>
      <c r="P3" s="22">
        <f t="array" ref="P3">IFERROR(INDEX('Temp Hisfa'!P$3:P$200, SMALL(IF(ISERROR('Temp Hisfa'!P$3:P$200), "", ROW('Temp Hisfa'!P$3:P$200)-MIN(ROW('Temp Hisfa'!P$3:P$200))+1), ROW(1:200))),"")</f>
        <v>0</v>
      </c>
      <c r="Q3" s="22">
        <f t="array" ref="Q3">IFERROR(INDEX('Temp Hisfa'!Q$3:Q$200, SMALL(IF(ISERROR('Temp Hisfa'!Q$3:Q$200), "", ROW('Temp Hisfa'!Q$3:Q$200)-MIN(ROW('Temp Hisfa'!Q$3:Q$200))+1), ROW(1:200))),"")</f>
        <v>0</v>
      </c>
      <c r="R3" s="22">
        <f t="array" ref="R3">IFERROR(INDEX('Temp Hisfa'!R$3:R$200, SMALL(IF(ISERROR('Temp Hisfa'!R$3:R$200), "", ROW('Temp Hisfa'!R$3:R$200)-MIN(ROW('Temp Hisfa'!R$3:R$200))+1), ROW(1:200))),"")</f>
        <v>0</v>
      </c>
      <c r="S3" s="22">
        <f t="array" ref="S3">IFERROR(INDEX('Temp Hisfa'!S$3:S$200, SMALL(IF(ISERROR('Temp Hisfa'!S$3:S$200), "", ROW('Temp Hisfa'!S$3:S$200)-MIN(ROW('Temp Hisfa'!S$3:S$200))+1), ROW(1:200))),"")</f>
        <v>0</v>
      </c>
      <c r="T3" s="22">
        <f t="array" ref="T3">IFERROR(INDEX('Temp Hisfa'!T$3:T$200, SMALL(IF(ISERROR('Temp Hisfa'!T$3:T$200), "", ROW('Temp Hisfa'!T$3:T$200)-MIN(ROW('Temp Hisfa'!T$3:T$200))+1), ROW(1:200))),"")</f>
        <v>0</v>
      </c>
      <c r="U3" s="22">
        <f t="array" ref="U3">IFERROR(INDEX('Temp Hisfa'!U$3:U$200, SMALL(IF(ISERROR('Temp Hisfa'!U$3:U$200), "", ROW('Temp Hisfa'!U$3:U$200)-MIN(ROW('Temp Hisfa'!U$3:U$200))+1), ROW(1:200))),"")</f>
        <v>0</v>
      </c>
      <c r="V3" s="22">
        <f t="array" ref="V3">IFERROR(INDEX('Temp Hisfa'!V$3:V$200, SMALL(IF(ISERROR('Temp Hisfa'!V$3:V$200), "", ROW('Temp Hisfa'!V$3:V$200)-MIN(ROW('Temp Hisfa'!V$3:V$200))+1), ROW(1:200))),"")</f>
        <v>0</v>
      </c>
      <c r="W3" s="22">
        <f t="array" ref="W3">IFERROR(INDEX('Temp Hisfa'!W$3:W$200, SMALL(IF(ISERROR('Temp Hisfa'!W$3:W$200), "", ROW('Temp Hisfa'!W$3:W$200)-MIN(ROW('Temp Hisfa'!W$3:W$200))+1), ROW(1:200))),"")</f>
        <v>0</v>
      </c>
      <c r="X3" s="22">
        <f t="array" ref="X3">IFERROR(INDEX('Temp Hisfa'!X$3:X$200, SMALL(IF(ISERROR('Temp Hisfa'!X$3:X$200), "", ROW('Temp Hisfa'!X$3:X$200)-MIN(ROW('Temp Hisfa'!X$3:X$200))+1), ROW(1:200))),"")</f>
        <v>0</v>
      </c>
      <c r="Y3" s="22">
        <f t="array" ref="Y3">IFERROR(INDEX('Temp Hisfa'!Y$3:Y$200, SMALL(IF(ISERROR('Temp Hisfa'!Y$3:Y$200), "", ROW('Temp Hisfa'!Y$3:Y$200)-MIN(ROW('Temp Hisfa'!Y$3:Y$200))+1), ROW(1:200))),"")</f>
        <v>0</v>
      </c>
      <c r="Z3" s="22">
        <f t="array" ref="Z3">IFERROR(INDEX('Temp Hisfa'!Z$3:Z$200, SMALL(IF(ISERROR('Temp Hisfa'!Z$3:Z$200), "", ROW('Temp Hisfa'!Z$3:Z$200)-MIN(ROW('Temp Hisfa'!Z$3:Z$200))+1), ROW(1:200))),"")</f>
        <v>0</v>
      </c>
      <c r="AA3" s="22">
        <f t="array" ref="AA3">IFERROR(INDEX('Temp Hisfa'!AA$3:AA$200, SMALL(IF(ISERROR('Temp Hisfa'!AA$3:AA$200), "", ROW('Temp Hisfa'!AA$3:AA$200)-MIN(ROW('Temp Hisfa'!AA$3:AA$200))+1), ROW(1:200))),"")</f>
        <v>0</v>
      </c>
      <c r="AB3" s="22">
        <f t="array" ref="AB3">IFERROR(INDEX('Temp Hisfa'!AB$3:AB$200, SMALL(IF(ISERROR('Temp Hisfa'!AB$3:AB$200), "", ROW('Temp Hisfa'!AB$3:AB$200)-MIN(ROW('Temp Hisfa'!AB$3:AB$200))+1), ROW(1:200))),"")</f>
        <v>0</v>
      </c>
    </row>
    <row r="4" spans="1:28" x14ac:dyDescent="0.3">
      <c r="A4" s="22">
        <f t="array" ref="A4">IFERROR(INDEX('Temp Hisfa'!A$3:A$200, SMALL(IF(ISERROR('Temp Hisfa'!A$3:A$200), "", ROW('Temp Hisfa'!A$3:A$200)-MIN(ROW('Temp Hisfa'!A$3:A$200))+1), ROW(2:200))),"")</f>
        <v>0</v>
      </c>
      <c r="B4" s="4">
        <f t="array" ref="B4">IFERROR(INDEX('Temp Hisfa'!B$3:B$200, SMALL(IF(ISERROR('Temp Hisfa'!B$3:B$200), "", ROW('Temp Hisfa'!B$3:B$200)-MIN(ROW('Temp Hisfa'!B$3:B$200))+1), ROW(2:200))),"")</f>
        <v>0</v>
      </c>
      <c r="C4" s="3">
        <f t="array" ref="C4">IFERROR(INDEX('Temp Hisfa'!C$3:C$200, SMALL(IF(ISERROR('Temp Hisfa'!C$3:C$200), "", ROW('Temp Hisfa'!C$3:C$200)-MIN(ROW('Temp Hisfa'!C$3:C$200))+1), ROW(2:200))),"")</f>
        <v>0</v>
      </c>
      <c r="D4" s="3">
        <f t="array" ref="D4">IFERROR(INDEX('Temp Hisfa'!D$3:D$200, SMALL(IF(ISERROR('Temp Hisfa'!D$3:D$200), "", ROW('Temp Hisfa'!D$3:D$200)-MIN(ROW('Temp Hisfa'!D$3:D$200))+1), ROW(2:200))),"")</f>
        <v>0</v>
      </c>
      <c r="E4" s="29">
        <f t="array" ref="E4">IFERROR(INDEX('Temp Hisfa'!E$3:E$200, SMALL(IF(ISERROR('Temp Hisfa'!E$3:E$200), "", ROW('Temp Hisfa'!E$3:E$200)-MIN(ROW('Temp Hisfa'!E$3:E$200))+1), ROW(2:201))),"")</f>
        <v>0</v>
      </c>
      <c r="F4" s="22">
        <f t="array" ref="F4">IFERROR(INDEX('Temp Hisfa'!F$3:F$200, SMALL(IF(ISERROR('Temp Hisfa'!F$3:F$200), "", ROW('Temp Hisfa'!F$3:F$200)-MIN(ROW('Temp Hisfa'!F$3:F$200))+1), ROW(2:201))),"")</f>
        <v>0</v>
      </c>
      <c r="G4" s="30">
        <f t="array" ref="G4">IFERROR(INDEX('Temp Hisfa'!G$3:G$200, SMALL(IF(ISERROR('Temp Hisfa'!G$3:G$200), "", ROW('Temp Hisfa'!G$3:G$200)-MIN(ROW('Temp Hisfa'!G$3:G$200))+1), ROW(2:201))),"")</f>
        <v>0</v>
      </c>
      <c r="H4" s="22">
        <f t="array" ref="H4">IFERROR(INDEX('Temp Hisfa'!H$3:H$200, SMALL(IF(ISERROR('Temp Hisfa'!H$3:H$200), "", ROW('Temp Hisfa'!H$3:H$200)-MIN(ROW('Temp Hisfa'!H$3:H$200))+1), ROW(2:201))),"")</f>
        <v>0</v>
      </c>
      <c r="I4" s="22">
        <f t="array" ref="I4">IFERROR(INDEX('Temp Hisfa'!I$3:I$200, SMALL(IF(ISERROR('Temp Hisfa'!I$3:I$200), "", ROW('Temp Hisfa'!I$3:I$200)-MIN(ROW('Temp Hisfa'!I$3:I$200))+1), ROW(2:201))),"")</f>
        <v>0</v>
      </c>
      <c r="J4" s="22">
        <f t="array" ref="J4">IFERROR(INDEX('Temp Hisfa'!J$3:J$200, SMALL(IF(ISERROR('Temp Hisfa'!J$3:J$200), "", ROW('Temp Hisfa'!J$3:J$200)-MIN(ROW('Temp Hisfa'!J$3:J$200))+1), ROW(2:201))),"")</f>
        <v>0</v>
      </c>
      <c r="K4" s="30">
        <f t="array" ref="K4">IFERROR(INDEX('Temp Hisfa'!K$3:K$200, SMALL(IF(ISERROR('Temp Hisfa'!K$3:K$200), "", ROW('Temp Hisfa'!K$3:K$200)-MIN(ROW('Temp Hisfa'!K$3:K$200))+1), ROW(2:201))),"")</f>
        <v>0</v>
      </c>
      <c r="L4" s="22">
        <f t="array" ref="L4">IFERROR(INDEX('Temp Hisfa'!L$3:L$200, SMALL(IF(ISERROR('Temp Hisfa'!L$3:L$200), "", ROW('Temp Hisfa'!L$3:L$200)-MIN(ROW('Temp Hisfa'!L$3:L$200))+1), ROW(2:201))),"")</f>
        <v>0</v>
      </c>
      <c r="M4" s="22">
        <f t="array" ref="M4">IFERROR(INDEX('Temp Hisfa'!M$3:M$200, SMALL(IF(ISERROR('Temp Hisfa'!M$3:M$200), "", ROW('Temp Hisfa'!M$3:M$200)-MIN(ROW('Temp Hisfa'!M$3:M$200))+1), ROW(2:201))),"")</f>
        <v>0</v>
      </c>
      <c r="N4" s="22">
        <f t="array" ref="N4">IFERROR(INDEX('Temp Hisfa'!N$3:N$200, SMALL(IF(ISERROR('Temp Hisfa'!N$3:N$200), "", ROW('Temp Hisfa'!N$3:N$200)-MIN(ROW('Temp Hisfa'!N$3:N$200))+1), ROW(2:201))),"")</f>
        <v>1900</v>
      </c>
      <c r="O4" s="22" t="str">
        <f t="array" ref="O4">IFERROR(INDEX('Temp Hisfa'!O$3:O$200, SMALL(IF(ISERROR('Temp Hisfa'!O$3:O$200), "", ROW('Temp Hisfa'!O$3:O$200)-MIN(ROW('Temp Hisfa'!O$3:O$200))+1), ROW(2:201))),"")</f>
        <v>enero</v>
      </c>
      <c r="P4" s="22">
        <f t="array" ref="P4">IFERROR(INDEX('Temp Hisfa'!P$3:P$200, SMALL(IF(ISERROR('Temp Hisfa'!P$3:P$200), "", ROW('Temp Hisfa'!P$3:P$200)-MIN(ROW('Temp Hisfa'!P$3:P$200))+1), ROW(2:201))),"")</f>
        <v>0</v>
      </c>
      <c r="Q4" s="22">
        <f t="array" ref="Q4">IFERROR(INDEX('Temp Hisfa'!Q$3:Q$200, SMALL(IF(ISERROR('Temp Hisfa'!Q$3:Q$200), "", ROW('Temp Hisfa'!Q$3:Q$200)-MIN(ROW('Temp Hisfa'!Q$3:Q$200))+1), ROW(2:201))),"")</f>
        <v>0</v>
      </c>
      <c r="R4" s="22">
        <f t="array" ref="R4">IFERROR(INDEX('Temp Hisfa'!R$3:R$200, SMALL(IF(ISERROR('Temp Hisfa'!R$3:R$200), "", ROW('Temp Hisfa'!R$3:R$200)-MIN(ROW('Temp Hisfa'!R$3:R$200))+1), ROW(2:201))),"")</f>
        <v>0</v>
      </c>
      <c r="S4" s="22">
        <f t="array" ref="S4">IFERROR(INDEX('Temp Hisfa'!S$3:S$200, SMALL(IF(ISERROR('Temp Hisfa'!S$3:S$200), "", ROW('Temp Hisfa'!S$3:S$200)-MIN(ROW('Temp Hisfa'!S$3:S$200))+1), ROW(2:201))),"")</f>
        <v>0</v>
      </c>
      <c r="T4" s="22">
        <f t="array" ref="T4">IFERROR(INDEX('Temp Hisfa'!T$3:T$200, SMALL(IF(ISERROR('Temp Hisfa'!T$3:T$200), "", ROW('Temp Hisfa'!T$3:T$200)-MIN(ROW('Temp Hisfa'!T$3:T$200))+1), ROW(2:201))),"")</f>
        <v>0</v>
      </c>
      <c r="U4" s="22">
        <f t="array" ref="U4">IFERROR(INDEX('Temp Hisfa'!U$3:U$200, SMALL(IF(ISERROR('Temp Hisfa'!U$3:U$200), "", ROW('Temp Hisfa'!U$3:U$200)-MIN(ROW('Temp Hisfa'!U$3:U$200))+1), ROW(2:201))),"")</f>
        <v>0</v>
      </c>
      <c r="V4" s="22">
        <f t="array" ref="V4">IFERROR(INDEX('Temp Hisfa'!V$3:V$200, SMALL(IF(ISERROR('Temp Hisfa'!V$3:V$200), "", ROW('Temp Hisfa'!V$3:V$200)-MIN(ROW('Temp Hisfa'!V$3:V$200))+1), ROW(2:201))),"")</f>
        <v>0</v>
      </c>
      <c r="W4" s="22">
        <f t="array" ref="W4">IFERROR(INDEX('Temp Hisfa'!W$3:W$200, SMALL(IF(ISERROR('Temp Hisfa'!W$3:W$200), "", ROW('Temp Hisfa'!W$3:W$200)-MIN(ROW('Temp Hisfa'!W$3:W$200))+1), ROW(2:201))),"")</f>
        <v>0</v>
      </c>
      <c r="X4" s="22">
        <f t="array" ref="X4">IFERROR(INDEX('Temp Hisfa'!X$3:X$200, SMALL(IF(ISERROR('Temp Hisfa'!X$3:X$200), "", ROW('Temp Hisfa'!X$3:X$200)-MIN(ROW('Temp Hisfa'!X$3:X$200))+1), ROW(2:201))),"")</f>
        <v>0</v>
      </c>
      <c r="Y4" s="22">
        <f t="array" ref="Y4">IFERROR(INDEX('Temp Hisfa'!Y$3:Y$200, SMALL(IF(ISERROR('Temp Hisfa'!Y$3:Y$200), "", ROW('Temp Hisfa'!Y$3:Y$200)-MIN(ROW('Temp Hisfa'!Y$3:Y$200))+1), ROW(2:201))),"")</f>
        <v>0</v>
      </c>
      <c r="Z4" s="22">
        <f t="array" ref="Z4">IFERROR(INDEX('Temp Hisfa'!Z$3:Z$200, SMALL(IF(ISERROR('Temp Hisfa'!Z$3:Z$200), "", ROW('Temp Hisfa'!Z$3:Z$200)-MIN(ROW('Temp Hisfa'!Z$3:Z$200))+1), ROW(2:201))),"")</f>
        <v>0</v>
      </c>
      <c r="AA4" s="22">
        <f t="array" ref="AA4">IFERROR(INDEX('Temp Hisfa'!AA$3:AA$200, SMALL(IF(ISERROR('Temp Hisfa'!AA$3:AA$200), "", ROW('Temp Hisfa'!AA$3:AA$200)-MIN(ROW('Temp Hisfa'!AA$3:AA$200))+1), ROW(2:201))),"")</f>
        <v>0</v>
      </c>
      <c r="AB4" s="22">
        <f t="array" ref="AB4">IFERROR(INDEX('Temp Hisfa'!AB$3:AB$200, SMALL(IF(ISERROR('Temp Hisfa'!AB$3:AB$200), "", ROW('Temp Hisfa'!AB$3:AB$200)-MIN(ROW('Temp Hisfa'!AB$3:AB$200))+1), ROW(2:201))),"")</f>
        <v>0</v>
      </c>
    </row>
    <row r="5" spans="1:28" x14ac:dyDescent="0.3">
      <c r="A5" s="22">
        <f t="array" ref="A5">IFERROR(INDEX('Temp Hisfa'!A$3:A$200, SMALL(IF(ISERROR('Temp Hisfa'!A$3:A$200), "", ROW('Temp Hisfa'!A$3:A$200)-MIN(ROW('Temp Hisfa'!A$3:A$200))+1), ROW(3:201))),"")</f>
        <v>0</v>
      </c>
      <c r="B5" s="4">
        <f t="array" ref="B5">IFERROR(INDEX('Temp Hisfa'!B$3:B$200, SMALL(IF(ISERROR('Temp Hisfa'!B$3:B$200), "", ROW('Temp Hisfa'!B$3:B$200)-MIN(ROW('Temp Hisfa'!B$3:B$200))+1), ROW(3:201))),"")</f>
        <v>0</v>
      </c>
      <c r="C5" s="3">
        <f t="array" ref="C5">IFERROR(INDEX('Temp Hisfa'!C$3:C$200, SMALL(IF(ISERROR('Temp Hisfa'!C$3:C$200), "", ROW('Temp Hisfa'!C$3:C$200)-MIN(ROW('Temp Hisfa'!C$3:C$200))+1), ROW(3:201))),"")</f>
        <v>0</v>
      </c>
      <c r="D5" s="3">
        <f t="array" ref="D5">IFERROR(INDEX('Temp Hisfa'!D$3:D$200, SMALL(IF(ISERROR('Temp Hisfa'!D$3:D$200), "", ROW('Temp Hisfa'!D$3:D$200)-MIN(ROW('Temp Hisfa'!D$3:D$200))+1), ROW(3:201))),"")</f>
        <v>0</v>
      </c>
      <c r="E5" s="29">
        <f t="array" ref="E5">IFERROR(INDEX('Temp Hisfa'!E$3:E$200, SMALL(IF(ISERROR('Temp Hisfa'!E$3:E$200), "", ROW('Temp Hisfa'!E$3:E$200)-MIN(ROW('Temp Hisfa'!E$3:E$200))+1), ROW(3:202))),"")</f>
        <v>0</v>
      </c>
      <c r="F5" s="22">
        <f t="array" ref="F5">IFERROR(INDEX('Temp Hisfa'!F$3:F$200, SMALL(IF(ISERROR('Temp Hisfa'!F$3:F$200), "", ROW('Temp Hisfa'!F$3:F$200)-MIN(ROW('Temp Hisfa'!F$3:F$200))+1), ROW(3:202))),"")</f>
        <v>0</v>
      </c>
      <c r="G5" s="30">
        <f t="array" ref="G5">IFERROR(INDEX('Temp Hisfa'!G$3:G$200, SMALL(IF(ISERROR('Temp Hisfa'!G$3:G$200), "", ROW('Temp Hisfa'!G$3:G$200)-MIN(ROW('Temp Hisfa'!G$3:G$200))+1), ROW(3:202))),"")</f>
        <v>0</v>
      </c>
      <c r="H5" s="22">
        <f t="array" ref="H5">IFERROR(INDEX('Temp Hisfa'!H$3:H$200, SMALL(IF(ISERROR('Temp Hisfa'!H$3:H$200), "", ROW('Temp Hisfa'!H$3:H$200)-MIN(ROW('Temp Hisfa'!H$3:H$200))+1), ROW(3:202))),"")</f>
        <v>0</v>
      </c>
      <c r="I5" s="22">
        <f t="array" ref="I5">IFERROR(INDEX('Temp Hisfa'!I$3:I$200, SMALL(IF(ISERROR('Temp Hisfa'!I$3:I$200), "", ROW('Temp Hisfa'!I$3:I$200)-MIN(ROW('Temp Hisfa'!I$3:I$200))+1), ROW(3:202))),"")</f>
        <v>0</v>
      </c>
      <c r="J5" s="22">
        <f t="array" ref="J5">IFERROR(INDEX('Temp Hisfa'!J$3:J$200, SMALL(IF(ISERROR('Temp Hisfa'!J$3:J$200), "", ROW('Temp Hisfa'!J$3:J$200)-MIN(ROW('Temp Hisfa'!J$3:J$200))+1), ROW(3:202))),"")</f>
        <v>0</v>
      </c>
      <c r="K5" s="30">
        <f t="array" ref="K5">IFERROR(INDEX('Temp Hisfa'!K$3:K$200, SMALL(IF(ISERROR('Temp Hisfa'!K$3:K$200), "", ROW('Temp Hisfa'!K$3:K$200)-MIN(ROW('Temp Hisfa'!K$3:K$200))+1), ROW(3:202))),"")</f>
        <v>0</v>
      </c>
      <c r="L5" s="22">
        <f t="array" ref="L5">IFERROR(INDEX('Temp Hisfa'!L$3:L$200, SMALL(IF(ISERROR('Temp Hisfa'!L$3:L$200), "", ROW('Temp Hisfa'!L$3:L$200)-MIN(ROW('Temp Hisfa'!L$3:L$200))+1), ROW(3:202))),"")</f>
        <v>0</v>
      </c>
      <c r="M5" s="22">
        <f t="array" ref="M5">IFERROR(INDEX('Temp Hisfa'!M$3:M$200, SMALL(IF(ISERROR('Temp Hisfa'!M$3:M$200), "", ROW('Temp Hisfa'!M$3:M$200)-MIN(ROW('Temp Hisfa'!M$3:M$200))+1), ROW(3:202))),"")</f>
        <v>0</v>
      </c>
      <c r="N5" s="22">
        <f t="array" ref="N5">IFERROR(INDEX('Temp Hisfa'!N$3:N$200, SMALL(IF(ISERROR('Temp Hisfa'!N$3:N$200), "", ROW('Temp Hisfa'!N$3:N$200)-MIN(ROW('Temp Hisfa'!N$3:N$200))+1), ROW(3:202))),"")</f>
        <v>1900</v>
      </c>
      <c r="O5" s="22" t="str">
        <f t="array" ref="O5">IFERROR(INDEX('Temp Hisfa'!O$3:O$200, SMALL(IF(ISERROR('Temp Hisfa'!O$3:O$200), "", ROW('Temp Hisfa'!O$3:O$200)-MIN(ROW('Temp Hisfa'!O$3:O$200))+1), ROW(3:202))),"")</f>
        <v>enero</v>
      </c>
      <c r="P5" s="22">
        <f t="array" ref="P5">IFERROR(INDEX('Temp Hisfa'!P$3:P$200, SMALL(IF(ISERROR('Temp Hisfa'!P$3:P$200), "", ROW('Temp Hisfa'!P$3:P$200)-MIN(ROW('Temp Hisfa'!P$3:P$200))+1), ROW(3:202))),"")</f>
        <v>0</v>
      </c>
      <c r="Q5" s="22">
        <f t="array" ref="Q5">IFERROR(INDEX('Temp Hisfa'!Q$3:Q$200, SMALL(IF(ISERROR('Temp Hisfa'!Q$3:Q$200), "", ROW('Temp Hisfa'!Q$3:Q$200)-MIN(ROW('Temp Hisfa'!Q$3:Q$200))+1), ROW(3:202))),"")</f>
        <v>0</v>
      </c>
      <c r="R5" s="22">
        <f t="array" ref="R5">IFERROR(INDEX('Temp Hisfa'!R$3:R$200, SMALL(IF(ISERROR('Temp Hisfa'!R$3:R$200), "", ROW('Temp Hisfa'!R$3:R$200)-MIN(ROW('Temp Hisfa'!R$3:R$200))+1), ROW(3:202))),"")</f>
        <v>0</v>
      </c>
      <c r="S5" s="22">
        <f t="array" ref="S5">IFERROR(INDEX('Temp Hisfa'!S$3:S$200, SMALL(IF(ISERROR('Temp Hisfa'!S$3:S$200), "", ROW('Temp Hisfa'!S$3:S$200)-MIN(ROW('Temp Hisfa'!S$3:S$200))+1), ROW(3:202))),"")</f>
        <v>0</v>
      </c>
      <c r="T5" s="22">
        <f t="array" ref="T5">IFERROR(INDEX('Temp Hisfa'!T$3:T$200, SMALL(IF(ISERROR('Temp Hisfa'!T$3:T$200), "", ROW('Temp Hisfa'!T$3:T$200)-MIN(ROW('Temp Hisfa'!T$3:T$200))+1), ROW(3:202))),"")</f>
        <v>0</v>
      </c>
      <c r="U5" s="22">
        <f t="array" ref="U5">IFERROR(INDEX('Temp Hisfa'!U$3:U$200, SMALL(IF(ISERROR('Temp Hisfa'!U$3:U$200), "", ROW('Temp Hisfa'!U$3:U$200)-MIN(ROW('Temp Hisfa'!U$3:U$200))+1), ROW(3:202))),"")</f>
        <v>0</v>
      </c>
      <c r="V5" s="22">
        <f t="array" ref="V5">IFERROR(INDEX('Temp Hisfa'!V$3:V$200, SMALL(IF(ISERROR('Temp Hisfa'!V$3:V$200), "", ROW('Temp Hisfa'!V$3:V$200)-MIN(ROW('Temp Hisfa'!V$3:V$200))+1), ROW(3:202))),"")</f>
        <v>0</v>
      </c>
      <c r="W5" s="22">
        <f t="array" ref="W5">IFERROR(INDEX('Temp Hisfa'!W$3:W$200, SMALL(IF(ISERROR('Temp Hisfa'!W$3:W$200), "", ROW('Temp Hisfa'!W$3:W$200)-MIN(ROW('Temp Hisfa'!W$3:W$200))+1), ROW(3:202))),"")</f>
        <v>0</v>
      </c>
      <c r="X5" s="22">
        <f t="array" ref="X5">IFERROR(INDEX('Temp Hisfa'!X$3:X$200, SMALL(IF(ISERROR('Temp Hisfa'!X$3:X$200), "", ROW('Temp Hisfa'!X$3:X$200)-MIN(ROW('Temp Hisfa'!X$3:X$200))+1), ROW(3:202))),"")</f>
        <v>0</v>
      </c>
      <c r="Y5" s="22">
        <f t="array" ref="Y5">IFERROR(INDEX('Temp Hisfa'!Y$3:Y$200, SMALL(IF(ISERROR('Temp Hisfa'!Y$3:Y$200), "", ROW('Temp Hisfa'!Y$3:Y$200)-MIN(ROW('Temp Hisfa'!Y$3:Y$200))+1), ROW(3:202))),"")</f>
        <v>0</v>
      </c>
      <c r="Z5" s="22">
        <f t="array" ref="Z5">IFERROR(INDEX('Temp Hisfa'!Z$3:Z$200, SMALL(IF(ISERROR('Temp Hisfa'!Z$3:Z$200), "", ROW('Temp Hisfa'!Z$3:Z$200)-MIN(ROW('Temp Hisfa'!Z$3:Z$200))+1), ROW(3:202))),"")</f>
        <v>0</v>
      </c>
      <c r="AA5" s="22">
        <f t="array" ref="AA5">IFERROR(INDEX('Temp Hisfa'!AA$3:AA$200, SMALL(IF(ISERROR('Temp Hisfa'!AA$3:AA$200), "", ROW('Temp Hisfa'!AA$3:AA$200)-MIN(ROW('Temp Hisfa'!AA$3:AA$200))+1), ROW(3:202))),"")</f>
        <v>0</v>
      </c>
      <c r="AB5" s="22">
        <f t="array" ref="AB5">IFERROR(INDEX('Temp Hisfa'!AB$3:AB$200, SMALL(IF(ISERROR('Temp Hisfa'!AB$3:AB$200), "", ROW('Temp Hisfa'!AB$3:AB$200)-MIN(ROW('Temp Hisfa'!AB$3:AB$200))+1), ROW(3:202))),"")</f>
        <v>0</v>
      </c>
    </row>
    <row r="6" spans="1:28" x14ac:dyDescent="0.3">
      <c r="A6" s="22">
        <f t="array" ref="A6">IFERROR(INDEX('Temp Hisfa'!A$3:A$200, SMALL(IF(ISERROR('Temp Hisfa'!A$3:A$200), "", ROW('Temp Hisfa'!A$3:A$200)-MIN(ROW('Temp Hisfa'!A$3:A$200))+1), ROW(4:202))),"")</f>
        <v>0</v>
      </c>
      <c r="B6" s="4">
        <f t="array" ref="B6">IFERROR(INDEX('Temp Hisfa'!B$3:B$200, SMALL(IF(ISERROR('Temp Hisfa'!B$3:B$200), "", ROW('Temp Hisfa'!B$3:B$200)-MIN(ROW('Temp Hisfa'!B$3:B$200))+1), ROW(4:202))),"")</f>
        <v>0</v>
      </c>
      <c r="C6" s="3">
        <f t="array" ref="C6">IFERROR(INDEX('Temp Hisfa'!C$3:C$200, SMALL(IF(ISERROR('Temp Hisfa'!C$3:C$200), "", ROW('Temp Hisfa'!C$3:C$200)-MIN(ROW('Temp Hisfa'!C$3:C$200))+1), ROW(4:202))),"")</f>
        <v>0</v>
      </c>
      <c r="D6" s="3">
        <f t="array" ref="D6">IFERROR(INDEX('Temp Hisfa'!D$3:D$200, SMALL(IF(ISERROR('Temp Hisfa'!D$3:D$200), "", ROW('Temp Hisfa'!D$3:D$200)-MIN(ROW('Temp Hisfa'!D$3:D$200))+1), ROW(4:202))),"")</f>
        <v>0</v>
      </c>
      <c r="E6" s="29">
        <f t="array" ref="E6">IFERROR(INDEX('Temp Hisfa'!E$3:E$200, SMALL(IF(ISERROR('Temp Hisfa'!E$3:E$200), "", ROW('Temp Hisfa'!E$3:E$200)-MIN(ROW('Temp Hisfa'!E$3:E$200))+1), ROW(4:203))),"")</f>
        <v>0</v>
      </c>
      <c r="F6" s="22">
        <f t="array" ref="F6">IFERROR(INDEX('Temp Hisfa'!F$3:F$200, SMALL(IF(ISERROR('Temp Hisfa'!F$3:F$200), "", ROW('Temp Hisfa'!F$3:F$200)-MIN(ROW('Temp Hisfa'!F$3:F$200))+1), ROW(4:203))),"")</f>
        <v>0</v>
      </c>
      <c r="G6" s="30">
        <f t="array" ref="G6">IFERROR(INDEX('Temp Hisfa'!G$3:G$200, SMALL(IF(ISERROR('Temp Hisfa'!G$3:G$200), "", ROW('Temp Hisfa'!G$3:G$200)-MIN(ROW('Temp Hisfa'!G$3:G$200))+1), ROW(4:203))),"")</f>
        <v>0</v>
      </c>
      <c r="H6" s="22">
        <f t="array" ref="H6">IFERROR(INDEX('Temp Hisfa'!H$3:H$200, SMALL(IF(ISERROR('Temp Hisfa'!H$3:H$200), "", ROW('Temp Hisfa'!H$3:H$200)-MIN(ROW('Temp Hisfa'!H$3:H$200))+1), ROW(4:203))),"")</f>
        <v>0</v>
      </c>
      <c r="I6" s="22">
        <f t="array" ref="I6">IFERROR(INDEX('Temp Hisfa'!I$3:I$200, SMALL(IF(ISERROR('Temp Hisfa'!I$3:I$200), "", ROW('Temp Hisfa'!I$3:I$200)-MIN(ROW('Temp Hisfa'!I$3:I$200))+1), ROW(4:203))),"")</f>
        <v>0</v>
      </c>
      <c r="J6" s="22">
        <f t="array" ref="J6">IFERROR(INDEX('Temp Hisfa'!J$3:J$200, SMALL(IF(ISERROR('Temp Hisfa'!J$3:J$200), "", ROW('Temp Hisfa'!J$3:J$200)-MIN(ROW('Temp Hisfa'!J$3:J$200))+1), ROW(4:203))),"")</f>
        <v>0</v>
      </c>
      <c r="K6" s="30">
        <f t="array" ref="K6">IFERROR(INDEX('Temp Hisfa'!K$3:K$200, SMALL(IF(ISERROR('Temp Hisfa'!K$3:K$200), "", ROW('Temp Hisfa'!K$3:K$200)-MIN(ROW('Temp Hisfa'!K$3:K$200))+1), ROW(4:203))),"")</f>
        <v>0</v>
      </c>
      <c r="L6" s="22">
        <f t="array" ref="L6">IFERROR(INDEX('Temp Hisfa'!L$3:L$200, SMALL(IF(ISERROR('Temp Hisfa'!L$3:L$200), "", ROW('Temp Hisfa'!L$3:L$200)-MIN(ROW('Temp Hisfa'!L$3:L$200))+1), ROW(4:203))),"")</f>
        <v>0</v>
      </c>
      <c r="M6" s="22">
        <f t="array" ref="M6">IFERROR(INDEX('Temp Hisfa'!M$3:M$200, SMALL(IF(ISERROR('Temp Hisfa'!M$3:M$200), "", ROW('Temp Hisfa'!M$3:M$200)-MIN(ROW('Temp Hisfa'!M$3:M$200))+1), ROW(4:203))),"")</f>
        <v>0</v>
      </c>
      <c r="N6" s="22">
        <f t="array" ref="N6">IFERROR(INDEX('Temp Hisfa'!N$3:N$200, SMALL(IF(ISERROR('Temp Hisfa'!N$3:N$200), "", ROW('Temp Hisfa'!N$3:N$200)-MIN(ROW('Temp Hisfa'!N$3:N$200))+1), ROW(4:203))),"")</f>
        <v>1900</v>
      </c>
      <c r="O6" s="22" t="str">
        <f t="array" ref="O6">IFERROR(INDEX('Temp Hisfa'!O$3:O$200, SMALL(IF(ISERROR('Temp Hisfa'!O$3:O$200), "", ROW('Temp Hisfa'!O$3:O$200)-MIN(ROW('Temp Hisfa'!O$3:O$200))+1), ROW(4:203))),"")</f>
        <v>enero</v>
      </c>
      <c r="P6" s="22">
        <f t="array" ref="P6">IFERROR(INDEX('Temp Hisfa'!P$3:P$200, SMALL(IF(ISERROR('Temp Hisfa'!P$3:P$200), "", ROW('Temp Hisfa'!P$3:P$200)-MIN(ROW('Temp Hisfa'!P$3:P$200))+1), ROW(4:203))),"")</f>
        <v>0</v>
      </c>
      <c r="Q6" s="22">
        <f t="array" ref="Q6">IFERROR(INDEX('Temp Hisfa'!Q$3:Q$200, SMALL(IF(ISERROR('Temp Hisfa'!Q$3:Q$200), "", ROW('Temp Hisfa'!Q$3:Q$200)-MIN(ROW('Temp Hisfa'!Q$3:Q$200))+1), ROW(4:203))),"")</f>
        <v>0</v>
      </c>
      <c r="R6" s="22">
        <f t="array" ref="R6">IFERROR(INDEX('Temp Hisfa'!R$3:R$200, SMALL(IF(ISERROR('Temp Hisfa'!R$3:R$200), "", ROW('Temp Hisfa'!R$3:R$200)-MIN(ROW('Temp Hisfa'!R$3:R$200))+1), ROW(4:203))),"")</f>
        <v>0</v>
      </c>
      <c r="S6" s="22">
        <f t="array" ref="S6">IFERROR(INDEX('Temp Hisfa'!S$3:S$200, SMALL(IF(ISERROR('Temp Hisfa'!S$3:S$200), "", ROW('Temp Hisfa'!S$3:S$200)-MIN(ROW('Temp Hisfa'!S$3:S$200))+1), ROW(4:203))),"")</f>
        <v>0</v>
      </c>
      <c r="T6" s="22">
        <f t="array" ref="T6">IFERROR(INDEX('Temp Hisfa'!T$3:T$200, SMALL(IF(ISERROR('Temp Hisfa'!T$3:T$200), "", ROW('Temp Hisfa'!T$3:T$200)-MIN(ROW('Temp Hisfa'!T$3:T$200))+1), ROW(4:203))),"")</f>
        <v>0</v>
      </c>
      <c r="U6" s="22">
        <f t="array" ref="U6">IFERROR(INDEX('Temp Hisfa'!U$3:U$200, SMALL(IF(ISERROR('Temp Hisfa'!U$3:U$200), "", ROW('Temp Hisfa'!U$3:U$200)-MIN(ROW('Temp Hisfa'!U$3:U$200))+1), ROW(4:203))),"")</f>
        <v>0</v>
      </c>
      <c r="V6" s="22">
        <f t="array" ref="V6">IFERROR(INDEX('Temp Hisfa'!V$3:V$200, SMALL(IF(ISERROR('Temp Hisfa'!V$3:V$200), "", ROW('Temp Hisfa'!V$3:V$200)-MIN(ROW('Temp Hisfa'!V$3:V$200))+1), ROW(4:203))),"")</f>
        <v>0</v>
      </c>
      <c r="W6" s="22">
        <f t="array" ref="W6">IFERROR(INDEX('Temp Hisfa'!W$3:W$200, SMALL(IF(ISERROR('Temp Hisfa'!W$3:W$200), "", ROW('Temp Hisfa'!W$3:W$200)-MIN(ROW('Temp Hisfa'!W$3:W$200))+1), ROW(4:203))),"")</f>
        <v>0</v>
      </c>
      <c r="X6" s="22">
        <f t="array" ref="X6">IFERROR(INDEX('Temp Hisfa'!X$3:X$200, SMALL(IF(ISERROR('Temp Hisfa'!X$3:X$200), "", ROW('Temp Hisfa'!X$3:X$200)-MIN(ROW('Temp Hisfa'!X$3:X$200))+1), ROW(4:203))),"")</f>
        <v>0</v>
      </c>
      <c r="Y6" s="22">
        <f t="array" ref="Y6">IFERROR(INDEX('Temp Hisfa'!Y$3:Y$200, SMALL(IF(ISERROR('Temp Hisfa'!Y$3:Y$200), "", ROW('Temp Hisfa'!Y$3:Y$200)-MIN(ROW('Temp Hisfa'!Y$3:Y$200))+1), ROW(4:203))),"")</f>
        <v>0</v>
      </c>
      <c r="Z6" s="22">
        <f t="array" ref="Z6">IFERROR(INDEX('Temp Hisfa'!Z$3:Z$200, SMALL(IF(ISERROR('Temp Hisfa'!Z$3:Z$200), "", ROW('Temp Hisfa'!Z$3:Z$200)-MIN(ROW('Temp Hisfa'!Z$3:Z$200))+1), ROW(4:203))),"")</f>
        <v>0</v>
      </c>
      <c r="AA6" s="22">
        <f t="array" ref="AA6">IFERROR(INDEX('Temp Hisfa'!AA$3:AA$200, SMALL(IF(ISERROR('Temp Hisfa'!AA$3:AA$200), "", ROW('Temp Hisfa'!AA$3:AA$200)-MIN(ROW('Temp Hisfa'!AA$3:AA$200))+1), ROW(4:203))),"")</f>
        <v>0</v>
      </c>
      <c r="AB6" s="22">
        <f t="array" ref="AB6">IFERROR(INDEX('Temp Hisfa'!AB$3:AB$200, SMALL(IF(ISERROR('Temp Hisfa'!AB$3:AB$200), "", ROW('Temp Hisfa'!AB$3:AB$200)-MIN(ROW('Temp Hisfa'!AB$3:AB$200))+1), ROW(4:203))),"")</f>
        <v>0</v>
      </c>
    </row>
    <row r="7" spans="1:28" x14ac:dyDescent="0.3">
      <c r="A7" s="22">
        <f t="array" ref="A7">IFERROR(INDEX('Temp Hisfa'!A$3:A$200, SMALL(IF(ISERROR('Temp Hisfa'!A$3:A$200), "", ROW('Temp Hisfa'!A$3:A$200)-MIN(ROW('Temp Hisfa'!A$3:A$200))+1), ROW(5:203))),"")</f>
        <v>0</v>
      </c>
      <c r="B7" s="4">
        <f t="array" ref="B7">IFERROR(INDEX('Temp Hisfa'!B$3:B$200, SMALL(IF(ISERROR('Temp Hisfa'!B$3:B$200), "", ROW('Temp Hisfa'!B$3:B$200)-MIN(ROW('Temp Hisfa'!B$3:B$200))+1), ROW(5:203))),"")</f>
        <v>0</v>
      </c>
      <c r="C7" s="3">
        <f t="array" ref="C7">IFERROR(INDEX('Temp Hisfa'!C$3:C$200, SMALL(IF(ISERROR('Temp Hisfa'!C$3:C$200), "", ROW('Temp Hisfa'!C$3:C$200)-MIN(ROW('Temp Hisfa'!C$3:C$200))+1), ROW(5:203))),"")</f>
        <v>0</v>
      </c>
      <c r="D7" s="3">
        <f t="array" ref="D7">IFERROR(INDEX('Temp Hisfa'!D$3:D$200, SMALL(IF(ISERROR('Temp Hisfa'!D$3:D$200), "", ROW('Temp Hisfa'!D$3:D$200)-MIN(ROW('Temp Hisfa'!D$3:D$200))+1), ROW(5:203))),"")</f>
        <v>0</v>
      </c>
      <c r="E7" s="29">
        <f t="array" ref="E7">IFERROR(INDEX('Temp Hisfa'!E$3:E$200, SMALL(IF(ISERROR('Temp Hisfa'!E$3:E$200), "", ROW('Temp Hisfa'!E$3:E$200)-MIN(ROW('Temp Hisfa'!E$3:E$200))+1), ROW(5:204))),"")</f>
        <v>0</v>
      </c>
      <c r="F7" s="22">
        <f t="array" ref="F7">IFERROR(INDEX('Temp Hisfa'!F$3:F$200, SMALL(IF(ISERROR('Temp Hisfa'!F$3:F$200), "", ROW('Temp Hisfa'!F$3:F$200)-MIN(ROW('Temp Hisfa'!F$3:F$200))+1), ROW(5:204))),"")</f>
        <v>0</v>
      </c>
      <c r="G7" s="30">
        <f t="array" ref="G7">IFERROR(INDEX('Temp Hisfa'!G$3:G$200, SMALL(IF(ISERROR('Temp Hisfa'!G$3:G$200), "", ROW('Temp Hisfa'!G$3:G$200)-MIN(ROW('Temp Hisfa'!G$3:G$200))+1), ROW(5:204))),"")</f>
        <v>0</v>
      </c>
      <c r="H7" s="22">
        <f t="array" ref="H7">IFERROR(INDEX('Temp Hisfa'!H$3:H$200, SMALL(IF(ISERROR('Temp Hisfa'!H$3:H$200), "", ROW('Temp Hisfa'!H$3:H$200)-MIN(ROW('Temp Hisfa'!H$3:H$200))+1), ROW(5:204))),"")</f>
        <v>0</v>
      </c>
      <c r="I7" s="22">
        <f t="array" ref="I7">IFERROR(INDEX('Temp Hisfa'!I$3:I$200, SMALL(IF(ISERROR('Temp Hisfa'!I$3:I$200), "", ROW('Temp Hisfa'!I$3:I$200)-MIN(ROW('Temp Hisfa'!I$3:I$200))+1), ROW(5:204))),"")</f>
        <v>0</v>
      </c>
      <c r="J7" s="22">
        <f t="array" ref="J7">IFERROR(INDEX('Temp Hisfa'!J$3:J$200, SMALL(IF(ISERROR('Temp Hisfa'!J$3:J$200), "", ROW('Temp Hisfa'!J$3:J$200)-MIN(ROW('Temp Hisfa'!J$3:J$200))+1), ROW(5:204))),"")</f>
        <v>0</v>
      </c>
      <c r="K7" s="30">
        <f t="array" ref="K7">IFERROR(INDEX('Temp Hisfa'!K$3:K$200, SMALL(IF(ISERROR('Temp Hisfa'!K$3:K$200), "", ROW('Temp Hisfa'!K$3:K$200)-MIN(ROW('Temp Hisfa'!K$3:K$200))+1), ROW(5:204))),"")</f>
        <v>0</v>
      </c>
      <c r="L7" s="22">
        <f t="array" ref="L7">IFERROR(INDEX('Temp Hisfa'!L$3:L$200, SMALL(IF(ISERROR('Temp Hisfa'!L$3:L$200), "", ROW('Temp Hisfa'!L$3:L$200)-MIN(ROW('Temp Hisfa'!L$3:L$200))+1), ROW(5:204))),"")</f>
        <v>0</v>
      </c>
      <c r="M7" s="22">
        <f t="array" ref="M7">IFERROR(INDEX('Temp Hisfa'!M$3:M$200, SMALL(IF(ISERROR('Temp Hisfa'!M$3:M$200), "", ROW('Temp Hisfa'!M$3:M$200)-MIN(ROW('Temp Hisfa'!M$3:M$200))+1), ROW(5:204))),"")</f>
        <v>0</v>
      </c>
      <c r="N7" s="22">
        <f t="array" ref="N7">IFERROR(INDEX('Temp Hisfa'!N$3:N$200, SMALL(IF(ISERROR('Temp Hisfa'!N$3:N$200), "", ROW('Temp Hisfa'!N$3:N$200)-MIN(ROW('Temp Hisfa'!N$3:N$200))+1), ROW(5:204))),"")</f>
        <v>1900</v>
      </c>
      <c r="O7" s="22" t="str">
        <f t="array" ref="O7">IFERROR(INDEX('Temp Hisfa'!O$3:O$200, SMALL(IF(ISERROR('Temp Hisfa'!O$3:O$200), "", ROW('Temp Hisfa'!O$3:O$200)-MIN(ROW('Temp Hisfa'!O$3:O$200))+1), ROW(5:204))),"")</f>
        <v>enero</v>
      </c>
      <c r="P7" s="22">
        <f t="array" ref="P7">IFERROR(INDEX('Temp Hisfa'!P$3:P$200, SMALL(IF(ISERROR('Temp Hisfa'!P$3:P$200), "", ROW('Temp Hisfa'!P$3:P$200)-MIN(ROW('Temp Hisfa'!P$3:P$200))+1), ROW(5:204))),"")</f>
        <v>0</v>
      </c>
      <c r="Q7" s="22">
        <f t="array" ref="Q7">IFERROR(INDEX('Temp Hisfa'!Q$3:Q$200, SMALL(IF(ISERROR('Temp Hisfa'!Q$3:Q$200), "", ROW('Temp Hisfa'!Q$3:Q$200)-MIN(ROW('Temp Hisfa'!Q$3:Q$200))+1), ROW(5:204))),"")</f>
        <v>0</v>
      </c>
      <c r="R7" s="22">
        <f t="array" ref="R7">IFERROR(INDEX('Temp Hisfa'!R$3:R$200, SMALL(IF(ISERROR('Temp Hisfa'!R$3:R$200), "", ROW('Temp Hisfa'!R$3:R$200)-MIN(ROW('Temp Hisfa'!R$3:R$200))+1), ROW(5:204))),"")</f>
        <v>0</v>
      </c>
      <c r="S7" s="22">
        <f t="array" ref="S7">IFERROR(INDEX('Temp Hisfa'!S$3:S$200, SMALL(IF(ISERROR('Temp Hisfa'!S$3:S$200), "", ROW('Temp Hisfa'!S$3:S$200)-MIN(ROW('Temp Hisfa'!S$3:S$200))+1), ROW(5:204))),"")</f>
        <v>0</v>
      </c>
      <c r="T7" s="22">
        <f t="array" ref="T7">IFERROR(INDEX('Temp Hisfa'!T$3:T$200, SMALL(IF(ISERROR('Temp Hisfa'!T$3:T$200), "", ROW('Temp Hisfa'!T$3:T$200)-MIN(ROW('Temp Hisfa'!T$3:T$200))+1), ROW(5:204))),"")</f>
        <v>0</v>
      </c>
      <c r="U7" s="22">
        <f t="array" ref="U7">IFERROR(INDEX('Temp Hisfa'!U$3:U$200, SMALL(IF(ISERROR('Temp Hisfa'!U$3:U$200), "", ROW('Temp Hisfa'!U$3:U$200)-MIN(ROW('Temp Hisfa'!U$3:U$200))+1), ROW(5:204))),"")</f>
        <v>0</v>
      </c>
      <c r="V7" s="22">
        <f t="array" ref="V7">IFERROR(INDEX('Temp Hisfa'!V$3:V$200, SMALL(IF(ISERROR('Temp Hisfa'!V$3:V$200), "", ROW('Temp Hisfa'!V$3:V$200)-MIN(ROW('Temp Hisfa'!V$3:V$200))+1), ROW(5:204))),"")</f>
        <v>0</v>
      </c>
      <c r="W7" s="22">
        <f t="array" ref="W7">IFERROR(INDEX('Temp Hisfa'!W$3:W$200, SMALL(IF(ISERROR('Temp Hisfa'!W$3:W$200), "", ROW('Temp Hisfa'!W$3:W$200)-MIN(ROW('Temp Hisfa'!W$3:W$200))+1), ROW(5:204))),"")</f>
        <v>0</v>
      </c>
      <c r="X7" s="22">
        <f t="array" ref="X7">IFERROR(INDEX('Temp Hisfa'!X$3:X$200, SMALL(IF(ISERROR('Temp Hisfa'!X$3:X$200), "", ROW('Temp Hisfa'!X$3:X$200)-MIN(ROW('Temp Hisfa'!X$3:X$200))+1), ROW(5:204))),"")</f>
        <v>0</v>
      </c>
      <c r="Y7" s="22">
        <f t="array" ref="Y7">IFERROR(INDEX('Temp Hisfa'!Y$3:Y$200, SMALL(IF(ISERROR('Temp Hisfa'!Y$3:Y$200), "", ROW('Temp Hisfa'!Y$3:Y$200)-MIN(ROW('Temp Hisfa'!Y$3:Y$200))+1), ROW(5:204))),"")</f>
        <v>0</v>
      </c>
      <c r="Z7" s="22">
        <f t="array" ref="Z7">IFERROR(INDEX('Temp Hisfa'!Z$3:Z$200, SMALL(IF(ISERROR('Temp Hisfa'!Z$3:Z$200), "", ROW('Temp Hisfa'!Z$3:Z$200)-MIN(ROW('Temp Hisfa'!Z$3:Z$200))+1), ROW(5:204))),"")</f>
        <v>0</v>
      </c>
      <c r="AA7" s="22">
        <f t="array" ref="AA7">IFERROR(INDEX('Temp Hisfa'!AA$3:AA$200, SMALL(IF(ISERROR('Temp Hisfa'!AA$3:AA$200), "", ROW('Temp Hisfa'!AA$3:AA$200)-MIN(ROW('Temp Hisfa'!AA$3:AA$200))+1), ROW(5:204))),"")</f>
        <v>0</v>
      </c>
      <c r="AB7" s="22">
        <f t="array" ref="AB7">IFERROR(INDEX('Temp Hisfa'!AB$3:AB$200, SMALL(IF(ISERROR('Temp Hisfa'!AB$3:AB$200), "", ROW('Temp Hisfa'!AB$3:AB$200)-MIN(ROW('Temp Hisfa'!AB$3:AB$200))+1), ROW(5:204))),"")</f>
        <v>0</v>
      </c>
    </row>
    <row r="8" spans="1:28" x14ac:dyDescent="0.3">
      <c r="A8" s="22">
        <f t="array" ref="A8">IFERROR(INDEX('Temp Hisfa'!A$3:A$200, SMALL(IF(ISERROR('Temp Hisfa'!A$3:A$200), "", ROW('Temp Hisfa'!A$3:A$200)-MIN(ROW('Temp Hisfa'!A$3:A$200))+1), ROW(6:204))),"")</f>
        <v>0</v>
      </c>
      <c r="B8" s="4">
        <f t="array" ref="B8">IFERROR(INDEX('Temp Hisfa'!B$3:B$200, SMALL(IF(ISERROR('Temp Hisfa'!B$3:B$200), "", ROW('Temp Hisfa'!B$3:B$200)-MIN(ROW('Temp Hisfa'!B$3:B$200))+1), ROW(6:204))),"")</f>
        <v>0</v>
      </c>
      <c r="C8" s="3">
        <f t="array" ref="C8">IFERROR(INDEX('Temp Hisfa'!C$3:C$200, SMALL(IF(ISERROR('Temp Hisfa'!C$3:C$200), "", ROW('Temp Hisfa'!C$3:C$200)-MIN(ROW('Temp Hisfa'!C$3:C$200))+1), ROW(6:204))),"")</f>
        <v>0</v>
      </c>
      <c r="D8" s="3">
        <f t="array" ref="D8">IFERROR(INDEX('Temp Hisfa'!D$3:D$200, SMALL(IF(ISERROR('Temp Hisfa'!D$3:D$200), "", ROW('Temp Hisfa'!D$3:D$200)-MIN(ROW('Temp Hisfa'!D$3:D$200))+1), ROW(6:204))),"")</f>
        <v>0</v>
      </c>
      <c r="E8" s="29">
        <f t="array" ref="E8">IFERROR(INDEX('Temp Hisfa'!E$3:E$200, SMALL(IF(ISERROR('Temp Hisfa'!E$3:E$200), "", ROW('Temp Hisfa'!E$3:E$200)-MIN(ROW('Temp Hisfa'!E$3:E$200))+1), ROW(6:205))),"")</f>
        <v>0</v>
      </c>
      <c r="F8" s="22">
        <f t="array" ref="F8">IFERROR(INDEX('Temp Hisfa'!F$3:F$200, SMALL(IF(ISERROR('Temp Hisfa'!F$3:F$200), "", ROW('Temp Hisfa'!F$3:F$200)-MIN(ROW('Temp Hisfa'!F$3:F$200))+1), ROW(6:205))),"")</f>
        <v>0</v>
      </c>
      <c r="G8" s="30">
        <f t="array" ref="G8">IFERROR(INDEX('Temp Hisfa'!G$3:G$200, SMALL(IF(ISERROR('Temp Hisfa'!G$3:G$200), "", ROW('Temp Hisfa'!G$3:G$200)-MIN(ROW('Temp Hisfa'!G$3:G$200))+1), ROW(6:205))),"")</f>
        <v>0</v>
      </c>
      <c r="H8" s="22">
        <f t="array" ref="H8">IFERROR(INDEX('Temp Hisfa'!H$3:H$200, SMALL(IF(ISERROR('Temp Hisfa'!H$3:H$200), "", ROW('Temp Hisfa'!H$3:H$200)-MIN(ROW('Temp Hisfa'!H$3:H$200))+1), ROW(6:205))),"")</f>
        <v>0</v>
      </c>
      <c r="I8" s="22">
        <f t="array" ref="I8">IFERROR(INDEX('Temp Hisfa'!I$3:I$200, SMALL(IF(ISERROR('Temp Hisfa'!I$3:I$200), "", ROW('Temp Hisfa'!I$3:I$200)-MIN(ROW('Temp Hisfa'!I$3:I$200))+1), ROW(6:205))),"")</f>
        <v>0</v>
      </c>
      <c r="J8" s="22">
        <f t="array" ref="J8">IFERROR(INDEX('Temp Hisfa'!J$3:J$200, SMALL(IF(ISERROR('Temp Hisfa'!J$3:J$200), "", ROW('Temp Hisfa'!J$3:J$200)-MIN(ROW('Temp Hisfa'!J$3:J$200))+1), ROW(6:205))),"")</f>
        <v>0</v>
      </c>
      <c r="K8" s="30">
        <f t="array" ref="K8">IFERROR(INDEX('Temp Hisfa'!K$3:K$200, SMALL(IF(ISERROR('Temp Hisfa'!K$3:K$200), "", ROW('Temp Hisfa'!K$3:K$200)-MIN(ROW('Temp Hisfa'!K$3:K$200))+1), ROW(6:205))),"")</f>
        <v>0</v>
      </c>
      <c r="L8" s="22">
        <f t="array" ref="L8">IFERROR(INDEX('Temp Hisfa'!L$3:L$200, SMALL(IF(ISERROR('Temp Hisfa'!L$3:L$200), "", ROW('Temp Hisfa'!L$3:L$200)-MIN(ROW('Temp Hisfa'!L$3:L$200))+1), ROW(6:205))),"")</f>
        <v>0</v>
      </c>
      <c r="M8" s="22">
        <f t="array" ref="M8">IFERROR(INDEX('Temp Hisfa'!M$3:M$200, SMALL(IF(ISERROR('Temp Hisfa'!M$3:M$200), "", ROW('Temp Hisfa'!M$3:M$200)-MIN(ROW('Temp Hisfa'!M$3:M$200))+1), ROW(6:205))),"")</f>
        <v>0</v>
      </c>
      <c r="N8" s="22">
        <f t="array" ref="N8">IFERROR(INDEX('Temp Hisfa'!N$3:N$200, SMALL(IF(ISERROR('Temp Hisfa'!N$3:N$200), "", ROW('Temp Hisfa'!N$3:N$200)-MIN(ROW('Temp Hisfa'!N$3:N$200))+1), ROW(6:205))),"")</f>
        <v>1900</v>
      </c>
      <c r="O8" s="22" t="str">
        <f t="array" ref="O8">IFERROR(INDEX('Temp Hisfa'!O$3:O$200, SMALL(IF(ISERROR('Temp Hisfa'!O$3:O$200), "", ROW('Temp Hisfa'!O$3:O$200)-MIN(ROW('Temp Hisfa'!O$3:O$200))+1), ROW(6:205))),"")</f>
        <v>enero</v>
      </c>
      <c r="P8" s="22">
        <f t="array" ref="P8">IFERROR(INDEX('Temp Hisfa'!P$3:P$200, SMALL(IF(ISERROR('Temp Hisfa'!P$3:P$200), "", ROW('Temp Hisfa'!P$3:P$200)-MIN(ROW('Temp Hisfa'!P$3:P$200))+1), ROW(6:205))),"")</f>
        <v>0</v>
      </c>
      <c r="Q8" s="22">
        <f t="array" ref="Q8">IFERROR(INDEX('Temp Hisfa'!Q$3:Q$200, SMALL(IF(ISERROR('Temp Hisfa'!Q$3:Q$200), "", ROW('Temp Hisfa'!Q$3:Q$200)-MIN(ROW('Temp Hisfa'!Q$3:Q$200))+1), ROW(6:205))),"")</f>
        <v>0</v>
      </c>
      <c r="R8" s="22">
        <f t="array" ref="R8">IFERROR(INDEX('Temp Hisfa'!R$3:R$200, SMALL(IF(ISERROR('Temp Hisfa'!R$3:R$200), "", ROW('Temp Hisfa'!R$3:R$200)-MIN(ROW('Temp Hisfa'!R$3:R$200))+1), ROW(6:205))),"")</f>
        <v>0</v>
      </c>
      <c r="S8" s="22">
        <f t="array" ref="S8">IFERROR(INDEX('Temp Hisfa'!S$3:S$200, SMALL(IF(ISERROR('Temp Hisfa'!S$3:S$200), "", ROW('Temp Hisfa'!S$3:S$200)-MIN(ROW('Temp Hisfa'!S$3:S$200))+1), ROW(6:205))),"")</f>
        <v>0</v>
      </c>
      <c r="T8" s="22">
        <f t="array" ref="T8">IFERROR(INDEX('Temp Hisfa'!T$3:T$200, SMALL(IF(ISERROR('Temp Hisfa'!T$3:T$200), "", ROW('Temp Hisfa'!T$3:T$200)-MIN(ROW('Temp Hisfa'!T$3:T$200))+1), ROW(6:205))),"")</f>
        <v>0</v>
      </c>
      <c r="U8" s="22">
        <f t="array" ref="U8">IFERROR(INDEX('Temp Hisfa'!U$3:U$200, SMALL(IF(ISERROR('Temp Hisfa'!U$3:U$200), "", ROW('Temp Hisfa'!U$3:U$200)-MIN(ROW('Temp Hisfa'!U$3:U$200))+1), ROW(6:205))),"")</f>
        <v>0</v>
      </c>
      <c r="V8" s="22">
        <f t="array" ref="V8">IFERROR(INDEX('Temp Hisfa'!V$3:V$200, SMALL(IF(ISERROR('Temp Hisfa'!V$3:V$200), "", ROW('Temp Hisfa'!V$3:V$200)-MIN(ROW('Temp Hisfa'!V$3:V$200))+1), ROW(6:205))),"")</f>
        <v>0</v>
      </c>
      <c r="W8" s="22">
        <f t="array" ref="W8">IFERROR(INDEX('Temp Hisfa'!W$3:W$200, SMALL(IF(ISERROR('Temp Hisfa'!W$3:W$200), "", ROW('Temp Hisfa'!W$3:W$200)-MIN(ROW('Temp Hisfa'!W$3:W$200))+1), ROW(6:205))),"")</f>
        <v>0</v>
      </c>
      <c r="X8" s="22">
        <f t="array" ref="X8">IFERROR(INDEX('Temp Hisfa'!X$3:X$200, SMALL(IF(ISERROR('Temp Hisfa'!X$3:X$200), "", ROW('Temp Hisfa'!X$3:X$200)-MIN(ROW('Temp Hisfa'!X$3:X$200))+1), ROW(6:205))),"")</f>
        <v>0</v>
      </c>
      <c r="Y8" s="22">
        <f t="array" ref="Y8">IFERROR(INDEX('Temp Hisfa'!Y$3:Y$200, SMALL(IF(ISERROR('Temp Hisfa'!Y$3:Y$200), "", ROW('Temp Hisfa'!Y$3:Y$200)-MIN(ROW('Temp Hisfa'!Y$3:Y$200))+1), ROW(6:205))),"")</f>
        <v>0</v>
      </c>
      <c r="Z8" s="22">
        <f t="array" ref="Z8">IFERROR(INDEX('Temp Hisfa'!Z$3:Z$200, SMALL(IF(ISERROR('Temp Hisfa'!Z$3:Z$200), "", ROW('Temp Hisfa'!Z$3:Z$200)-MIN(ROW('Temp Hisfa'!Z$3:Z$200))+1), ROW(6:205))),"")</f>
        <v>0</v>
      </c>
      <c r="AA8" s="22">
        <f t="array" ref="AA8">IFERROR(INDEX('Temp Hisfa'!AA$3:AA$200, SMALL(IF(ISERROR('Temp Hisfa'!AA$3:AA$200), "", ROW('Temp Hisfa'!AA$3:AA$200)-MIN(ROW('Temp Hisfa'!AA$3:AA$200))+1), ROW(6:205))),"")</f>
        <v>0</v>
      </c>
      <c r="AB8" s="22">
        <f t="array" ref="AB8">IFERROR(INDEX('Temp Hisfa'!AB$3:AB$200, SMALL(IF(ISERROR('Temp Hisfa'!AB$3:AB$200), "", ROW('Temp Hisfa'!AB$3:AB$200)-MIN(ROW('Temp Hisfa'!AB$3:AB$200))+1), ROW(6:205))),"")</f>
        <v>0</v>
      </c>
    </row>
    <row r="9" spans="1:28" x14ac:dyDescent="0.3">
      <c r="A9" s="22">
        <f t="array" ref="A9">IFERROR(INDEX('Temp Hisfa'!A$3:A$200, SMALL(IF(ISERROR('Temp Hisfa'!A$3:A$200), "", ROW('Temp Hisfa'!A$3:A$200)-MIN(ROW('Temp Hisfa'!A$3:A$200))+1), ROW(7:205))),"")</f>
        <v>0</v>
      </c>
      <c r="B9" s="4">
        <f t="array" ref="B9">IFERROR(INDEX('Temp Hisfa'!B$3:B$200, SMALL(IF(ISERROR('Temp Hisfa'!B$3:B$200), "", ROW('Temp Hisfa'!B$3:B$200)-MIN(ROW('Temp Hisfa'!B$3:B$200))+1), ROW(7:205))),"")</f>
        <v>0</v>
      </c>
      <c r="C9" s="3">
        <f t="array" ref="C9">IFERROR(INDEX('Temp Hisfa'!C$3:C$200, SMALL(IF(ISERROR('Temp Hisfa'!C$3:C$200), "", ROW('Temp Hisfa'!C$3:C$200)-MIN(ROW('Temp Hisfa'!C$3:C$200))+1), ROW(7:205))),"")</f>
        <v>0</v>
      </c>
      <c r="D9" s="3">
        <f t="array" ref="D9">IFERROR(INDEX('Temp Hisfa'!D$3:D$200, SMALL(IF(ISERROR('Temp Hisfa'!D$3:D$200), "", ROW('Temp Hisfa'!D$3:D$200)-MIN(ROW('Temp Hisfa'!D$3:D$200))+1), ROW(7:205))),"")</f>
        <v>0</v>
      </c>
      <c r="E9" s="29">
        <f t="array" ref="E9">IFERROR(INDEX('Temp Hisfa'!E$3:E$200, SMALL(IF(ISERROR('Temp Hisfa'!E$3:E$200), "", ROW('Temp Hisfa'!E$3:E$200)-MIN(ROW('Temp Hisfa'!E$3:E$200))+1), ROW(7:206))),"")</f>
        <v>0</v>
      </c>
      <c r="F9" s="22">
        <f t="array" ref="F9">IFERROR(INDEX('Temp Hisfa'!F$3:F$200, SMALL(IF(ISERROR('Temp Hisfa'!F$3:F$200), "", ROW('Temp Hisfa'!F$3:F$200)-MIN(ROW('Temp Hisfa'!F$3:F$200))+1), ROW(7:206))),"")</f>
        <v>0</v>
      </c>
      <c r="G9" s="30">
        <f t="array" ref="G9">IFERROR(INDEX('Temp Hisfa'!G$3:G$200, SMALL(IF(ISERROR('Temp Hisfa'!G$3:G$200), "", ROW('Temp Hisfa'!G$3:G$200)-MIN(ROW('Temp Hisfa'!G$3:G$200))+1), ROW(7:206))),"")</f>
        <v>0</v>
      </c>
      <c r="H9" s="22">
        <f t="array" ref="H9">IFERROR(INDEX('Temp Hisfa'!H$3:H$200, SMALL(IF(ISERROR('Temp Hisfa'!H$3:H$200), "", ROW('Temp Hisfa'!H$3:H$200)-MIN(ROW('Temp Hisfa'!H$3:H$200))+1), ROW(7:206))),"")</f>
        <v>0</v>
      </c>
      <c r="I9" s="22">
        <f t="array" ref="I9">IFERROR(INDEX('Temp Hisfa'!I$3:I$200, SMALL(IF(ISERROR('Temp Hisfa'!I$3:I$200), "", ROW('Temp Hisfa'!I$3:I$200)-MIN(ROW('Temp Hisfa'!I$3:I$200))+1), ROW(7:206))),"")</f>
        <v>0</v>
      </c>
      <c r="J9" s="22">
        <f t="array" ref="J9">IFERROR(INDEX('Temp Hisfa'!J$3:J$200, SMALL(IF(ISERROR('Temp Hisfa'!J$3:J$200), "", ROW('Temp Hisfa'!J$3:J$200)-MIN(ROW('Temp Hisfa'!J$3:J$200))+1), ROW(7:206))),"")</f>
        <v>0</v>
      </c>
      <c r="K9" s="30">
        <f t="array" ref="K9">IFERROR(INDEX('Temp Hisfa'!K$3:K$200, SMALL(IF(ISERROR('Temp Hisfa'!K$3:K$200), "", ROW('Temp Hisfa'!K$3:K$200)-MIN(ROW('Temp Hisfa'!K$3:K$200))+1), ROW(7:206))),"")</f>
        <v>0</v>
      </c>
      <c r="L9" s="22">
        <f t="array" ref="L9">IFERROR(INDEX('Temp Hisfa'!L$3:L$200, SMALL(IF(ISERROR('Temp Hisfa'!L$3:L$200), "", ROW('Temp Hisfa'!L$3:L$200)-MIN(ROW('Temp Hisfa'!L$3:L$200))+1), ROW(7:206))),"")</f>
        <v>0</v>
      </c>
      <c r="M9" s="22">
        <f t="array" ref="M9">IFERROR(INDEX('Temp Hisfa'!M$3:M$200, SMALL(IF(ISERROR('Temp Hisfa'!M$3:M$200), "", ROW('Temp Hisfa'!M$3:M$200)-MIN(ROW('Temp Hisfa'!M$3:M$200))+1), ROW(7:206))),"")</f>
        <v>0</v>
      </c>
      <c r="N9" s="22">
        <f t="array" ref="N9">IFERROR(INDEX('Temp Hisfa'!N$3:N$200, SMALL(IF(ISERROR('Temp Hisfa'!N$3:N$200), "", ROW('Temp Hisfa'!N$3:N$200)-MIN(ROW('Temp Hisfa'!N$3:N$200))+1), ROW(7:206))),"")</f>
        <v>1900</v>
      </c>
      <c r="O9" s="22" t="str">
        <f t="array" ref="O9">IFERROR(INDEX('Temp Hisfa'!O$3:O$200, SMALL(IF(ISERROR('Temp Hisfa'!O$3:O$200), "", ROW('Temp Hisfa'!O$3:O$200)-MIN(ROW('Temp Hisfa'!O$3:O$200))+1), ROW(7:206))),"")</f>
        <v>enero</v>
      </c>
      <c r="P9" s="22">
        <f t="array" ref="P9">IFERROR(INDEX('Temp Hisfa'!P$3:P$200, SMALL(IF(ISERROR('Temp Hisfa'!P$3:P$200), "", ROW('Temp Hisfa'!P$3:P$200)-MIN(ROW('Temp Hisfa'!P$3:P$200))+1), ROW(7:206))),"")</f>
        <v>0</v>
      </c>
      <c r="Q9" s="22">
        <f t="array" ref="Q9">IFERROR(INDEX('Temp Hisfa'!Q$3:Q$200, SMALL(IF(ISERROR('Temp Hisfa'!Q$3:Q$200), "", ROW('Temp Hisfa'!Q$3:Q$200)-MIN(ROW('Temp Hisfa'!Q$3:Q$200))+1), ROW(7:206))),"")</f>
        <v>0</v>
      </c>
      <c r="R9" s="22">
        <f t="array" ref="R9">IFERROR(INDEX('Temp Hisfa'!R$3:R$200, SMALL(IF(ISERROR('Temp Hisfa'!R$3:R$200), "", ROW('Temp Hisfa'!R$3:R$200)-MIN(ROW('Temp Hisfa'!R$3:R$200))+1), ROW(7:206))),"")</f>
        <v>0</v>
      </c>
      <c r="S9" s="22">
        <f t="array" ref="S9">IFERROR(INDEX('Temp Hisfa'!S$3:S$200, SMALL(IF(ISERROR('Temp Hisfa'!S$3:S$200), "", ROW('Temp Hisfa'!S$3:S$200)-MIN(ROW('Temp Hisfa'!S$3:S$200))+1), ROW(7:206))),"")</f>
        <v>0</v>
      </c>
      <c r="T9" s="22">
        <f t="array" ref="T9">IFERROR(INDEX('Temp Hisfa'!T$3:T$200, SMALL(IF(ISERROR('Temp Hisfa'!T$3:T$200), "", ROW('Temp Hisfa'!T$3:T$200)-MIN(ROW('Temp Hisfa'!T$3:T$200))+1), ROW(7:206))),"")</f>
        <v>0</v>
      </c>
      <c r="U9" s="22">
        <f t="array" ref="U9">IFERROR(INDEX('Temp Hisfa'!U$3:U$200, SMALL(IF(ISERROR('Temp Hisfa'!U$3:U$200), "", ROW('Temp Hisfa'!U$3:U$200)-MIN(ROW('Temp Hisfa'!U$3:U$200))+1), ROW(7:206))),"")</f>
        <v>0</v>
      </c>
      <c r="V9" s="22">
        <f t="array" ref="V9">IFERROR(INDEX('Temp Hisfa'!V$3:V$200, SMALL(IF(ISERROR('Temp Hisfa'!V$3:V$200), "", ROW('Temp Hisfa'!V$3:V$200)-MIN(ROW('Temp Hisfa'!V$3:V$200))+1), ROW(7:206))),"")</f>
        <v>0</v>
      </c>
      <c r="W9" s="22">
        <f t="array" ref="W9">IFERROR(INDEX('Temp Hisfa'!W$3:W$200, SMALL(IF(ISERROR('Temp Hisfa'!W$3:W$200), "", ROW('Temp Hisfa'!W$3:W$200)-MIN(ROW('Temp Hisfa'!W$3:W$200))+1), ROW(7:206))),"")</f>
        <v>0</v>
      </c>
      <c r="X9" s="22">
        <f t="array" ref="X9">IFERROR(INDEX('Temp Hisfa'!X$3:X$200, SMALL(IF(ISERROR('Temp Hisfa'!X$3:X$200), "", ROW('Temp Hisfa'!X$3:X$200)-MIN(ROW('Temp Hisfa'!X$3:X$200))+1), ROW(7:206))),"")</f>
        <v>0</v>
      </c>
      <c r="Y9" s="22">
        <f t="array" ref="Y9">IFERROR(INDEX('Temp Hisfa'!Y$3:Y$200, SMALL(IF(ISERROR('Temp Hisfa'!Y$3:Y$200), "", ROW('Temp Hisfa'!Y$3:Y$200)-MIN(ROW('Temp Hisfa'!Y$3:Y$200))+1), ROW(7:206))),"")</f>
        <v>0</v>
      </c>
      <c r="Z9" s="22">
        <f t="array" ref="Z9">IFERROR(INDEX('Temp Hisfa'!Z$3:Z$200, SMALL(IF(ISERROR('Temp Hisfa'!Z$3:Z$200), "", ROW('Temp Hisfa'!Z$3:Z$200)-MIN(ROW('Temp Hisfa'!Z$3:Z$200))+1), ROW(7:206))),"")</f>
        <v>0</v>
      </c>
      <c r="AA9" s="22">
        <f t="array" ref="AA9">IFERROR(INDEX('Temp Hisfa'!AA$3:AA$200, SMALL(IF(ISERROR('Temp Hisfa'!AA$3:AA$200), "", ROW('Temp Hisfa'!AA$3:AA$200)-MIN(ROW('Temp Hisfa'!AA$3:AA$200))+1), ROW(7:206))),"")</f>
        <v>0</v>
      </c>
      <c r="AB9" s="22">
        <f t="array" ref="AB9">IFERROR(INDEX('Temp Hisfa'!AB$3:AB$200, SMALL(IF(ISERROR('Temp Hisfa'!AB$3:AB$200), "", ROW('Temp Hisfa'!AB$3:AB$200)-MIN(ROW('Temp Hisfa'!AB$3:AB$200))+1), ROW(7:206))),"")</f>
        <v>0</v>
      </c>
    </row>
    <row r="10" spans="1:28" x14ac:dyDescent="0.3">
      <c r="A10" s="22">
        <f t="array" ref="A10">IFERROR(INDEX('Temp Hisfa'!A$3:A$200, SMALL(IF(ISERROR('Temp Hisfa'!A$3:A$200), "", ROW('Temp Hisfa'!A$3:A$200)-MIN(ROW('Temp Hisfa'!A$3:A$200))+1), ROW(8:206))),"")</f>
        <v>0</v>
      </c>
      <c r="B10" s="4">
        <f t="array" ref="B10">IFERROR(INDEX('Temp Hisfa'!B$3:B$200, SMALL(IF(ISERROR('Temp Hisfa'!B$3:B$200), "", ROW('Temp Hisfa'!B$3:B$200)-MIN(ROW('Temp Hisfa'!B$3:B$200))+1), ROW(8:206))),"")</f>
        <v>0</v>
      </c>
      <c r="C10" s="3">
        <f t="array" ref="C10">IFERROR(INDEX('Temp Hisfa'!C$3:C$200, SMALL(IF(ISERROR('Temp Hisfa'!C$3:C$200), "", ROW('Temp Hisfa'!C$3:C$200)-MIN(ROW('Temp Hisfa'!C$3:C$200))+1), ROW(8:206))),"")</f>
        <v>0</v>
      </c>
      <c r="D10" s="3">
        <f t="array" ref="D10">IFERROR(INDEX('Temp Hisfa'!D$3:D$200, SMALL(IF(ISERROR('Temp Hisfa'!D$3:D$200), "", ROW('Temp Hisfa'!D$3:D$200)-MIN(ROW('Temp Hisfa'!D$3:D$200))+1), ROW(8:206))),"")</f>
        <v>0</v>
      </c>
      <c r="E10" s="29">
        <f t="array" ref="E10">IFERROR(INDEX('Temp Hisfa'!E$3:E$200, SMALL(IF(ISERROR('Temp Hisfa'!E$3:E$200), "", ROW('Temp Hisfa'!E$3:E$200)-MIN(ROW('Temp Hisfa'!E$3:E$200))+1), ROW(8:207))),"")</f>
        <v>0</v>
      </c>
      <c r="F10" s="22">
        <f t="array" ref="F10">IFERROR(INDEX('Temp Hisfa'!F$3:F$200, SMALL(IF(ISERROR('Temp Hisfa'!F$3:F$200), "", ROW('Temp Hisfa'!F$3:F$200)-MIN(ROW('Temp Hisfa'!F$3:F$200))+1), ROW(8:207))),"")</f>
        <v>0</v>
      </c>
      <c r="G10" s="30">
        <f t="array" ref="G10">IFERROR(INDEX('Temp Hisfa'!G$3:G$200, SMALL(IF(ISERROR('Temp Hisfa'!G$3:G$200), "", ROW('Temp Hisfa'!G$3:G$200)-MIN(ROW('Temp Hisfa'!G$3:G$200))+1), ROW(8:207))),"")</f>
        <v>0</v>
      </c>
      <c r="H10" s="22">
        <f t="array" ref="H10">IFERROR(INDEX('Temp Hisfa'!H$3:H$200, SMALL(IF(ISERROR('Temp Hisfa'!H$3:H$200), "", ROW('Temp Hisfa'!H$3:H$200)-MIN(ROW('Temp Hisfa'!H$3:H$200))+1), ROW(8:207))),"")</f>
        <v>0</v>
      </c>
      <c r="I10" s="22">
        <f t="array" ref="I10">IFERROR(INDEX('Temp Hisfa'!I$3:I$200, SMALL(IF(ISERROR('Temp Hisfa'!I$3:I$200), "", ROW('Temp Hisfa'!I$3:I$200)-MIN(ROW('Temp Hisfa'!I$3:I$200))+1), ROW(8:207))),"")</f>
        <v>0</v>
      </c>
      <c r="J10" s="22">
        <f t="array" ref="J10">IFERROR(INDEX('Temp Hisfa'!J$3:J$200, SMALL(IF(ISERROR('Temp Hisfa'!J$3:J$200), "", ROW('Temp Hisfa'!J$3:J$200)-MIN(ROW('Temp Hisfa'!J$3:J$200))+1), ROW(8:207))),"")</f>
        <v>0</v>
      </c>
      <c r="K10" s="30">
        <f t="array" ref="K10">IFERROR(INDEX('Temp Hisfa'!K$3:K$200, SMALL(IF(ISERROR('Temp Hisfa'!K$3:K$200), "", ROW('Temp Hisfa'!K$3:K$200)-MIN(ROW('Temp Hisfa'!K$3:K$200))+1), ROW(8:207))),"")</f>
        <v>0</v>
      </c>
      <c r="L10" s="22">
        <f t="array" ref="L10">IFERROR(INDEX('Temp Hisfa'!L$3:L$200, SMALL(IF(ISERROR('Temp Hisfa'!L$3:L$200), "", ROW('Temp Hisfa'!L$3:L$200)-MIN(ROW('Temp Hisfa'!L$3:L$200))+1), ROW(8:207))),"")</f>
        <v>0</v>
      </c>
      <c r="M10" s="22">
        <f t="array" ref="M10">IFERROR(INDEX('Temp Hisfa'!M$3:M$200, SMALL(IF(ISERROR('Temp Hisfa'!M$3:M$200), "", ROW('Temp Hisfa'!M$3:M$200)-MIN(ROW('Temp Hisfa'!M$3:M$200))+1), ROW(8:207))),"")</f>
        <v>0</v>
      </c>
      <c r="N10" s="22">
        <f t="array" ref="N10">IFERROR(INDEX('Temp Hisfa'!N$3:N$200, SMALL(IF(ISERROR('Temp Hisfa'!N$3:N$200), "", ROW('Temp Hisfa'!N$3:N$200)-MIN(ROW('Temp Hisfa'!N$3:N$200))+1), ROW(8:207))),"")</f>
        <v>1900</v>
      </c>
      <c r="O10" s="22" t="str">
        <f t="array" ref="O10">IFERROR(INDEX('Temp Hisfa'!O$3:O$200, SMALL(IF(ISERROR('Temp Hisfa'!O$3:O$200), "", ROW('Temp Hisfa'!O$3:O$200)-MIN(ROW('Temp Hisfa'!O$3:O$200))+1), ROW(8:207))),"")</f>
        <v>enero</v>
      </c>
      <c r="P10" s="22">
        <f t="array" ref="P10">IFERROR(INDEX('Temp Hisfa'!P$3:P$200, SMALL(IF(ISERROR('Temp Hisfa'!P$3:P$200), "", ROW('Temp Hisfa'!P$3:P$200)-MIN(ROW('Temp Hisfa'!P$3:P$200))+1), ROW(8:207))),"")</f>
        <v>0</v>
      </c>
      <c r="Q10" s="22">
        <f t="array" ref="Q10">IFERROR(INDEX('Temp Hisfa'!Q$3:Q$200, SMALL(IF(ISERROR('Temp Hisfa'!Q$3:Q$200), "", ROW('Temp Hisfa'!Q$3:Q$200)-MIN(ROW('Temp Hisfa'!Q$3:Q$200))+1), ROW(8:207))),"")</f>
        <v>0</v>
      </c>
      <c r="R10" s="22">
        <f t="array" ref="R10">IFERROR(INDEX('Temp Hisfa'!R$3:R$200, SMALL(IF(ISERROR('Temp Hisfa'!R$3:R$200), "", ROW('Temp Hisfa'!R$3:R$200)-MIN(ROW('Temp Hisfa'!R$3:R$200))+1), ROW(8:207))),"")</f>
        <v>0</v>
      </c>
      <c r="S10" s="22">
        <f t="array" ref="S10">IFERROR(INDEX('Temp Hisfa'!S$3:S$200, SMALL(IF(ISERROR('Temp Hisfa'!S$3:S$200), "", ROW('Temp Hisfa'!S$3:S$200)-MIN(ROW('Temp Hisfa'!S$3:S$200))+1), ROW(8:207))),"")</f>
        <v>0</v>
      </c>
      <c r="T10" s="22">
        <f t="array" ref="T10">IFERROR(INDEX('Temp Hisfa'!T$3:T$200, SMALL(IF(ISERROR('Temp Hisfa'!T$3:T$200), "", ROW('Temp Hisfa'!T$3:T$200)-MIN(ROW('Temp Hisfa'!T$3:T$200))+1), ROW(8:207))),"")</f>
        <v>0</v>
      </c>
      <c r="U10" s="22">
        <f t="array" ref="U10">IFERROR(INDEX('Temp Hisfa'!U$3:U$200, SMALL(IF(ISERROR('Temp Hisfa'!U$3:U$200), "", ROW('Temp Hisfa'!U$3:U$200)-MIN(ROW('Temp Hisfa'!U$3:U$200))+1), ROW(8:207))),"")</f>
        <v>0</v>
      </c>
      <c r="V10" s="22">
        <f t="array" ref="V10">IFERROR(INDEX('Temp Hisfa'!V$3:V$200, SMALL(IF(ISERROR('Temp Hisfa'!V$3:V$200), "", ROW('Temp Hisfa'!V$3:V$200)-MIN(ROW('Temp Hisfa'!V$3:V$200))+1), ROW(8:207))),"")</f>
        <v>0</v>
      </c>
      <c r="W10" s="22">
        <f t="array" ref="W10">IFERROR(INDEX('Temp Hisfa'!W$3:W$200, SMALL(IF(ISERROR('Temp Hisfa'!W$3:W$200), "", ROW('Temp Hisfa'!W$3:W$200)-MIN(ROW('Temp Hisfa'!W$3:W$200))+1), ROW(8:207))),"")</f>
        <v>0</v>
      </c>
      <c r="X10" s="22">
        <f t="array" ref="X10">IFERROR(INDEX('Temp Hisfa'!X$3:X$200, SMALL(IF(ISERROR('Temp Hisfa'!X$3:X$200), "", ROW('Temp Hisfa'!X$3:X$200)-MIN(ROW('Temp Hisfa'!X$3:X$200))+1), ROW(8:207))),"")</f>
        <v>0</v>
      </c>
      <c r="Y10" s="22">
        <f t="array" ref="Y10">IFERROR(INDEX('Temp Hisfa'!Y$3:Y$200, SMALL(IF(ISERROR('Temp Hisfa'!Y$3:Y$200), "", ROW('Temp Hisfa'!Y$3:Y$200)-MIN(ROW('Temp Hisfa'!Y$3:Y$200))+1), ROW(8:207))),"")</f>
        <v>0</v>
      </c>
      <c r="Z10" s="22">
        <f t="array" ref="Z10">IFERROR(INDEX('Temp Hisfa'!Z$3:Z$200, SMALL(IF(ISERROR('Temp Hisfa'!Z$3:Z$200), "", ROW('Temp Hisfa'!Z$3:Z$200)-MIN(ROW('Temp Hisfa'!Z$3:Z$200))+1), ROW(8:207))),"")</f>
        <v>0</v>
      </c>
      <c r="AA10" s="22">
        <f t="array" ref="AA10">IFERROR(INDEX('Temp Hisfa'!AA$3:AA$200, SMALL(IF(ISERROR('Temp Hisfa'!AA$3:AA$200), "", ROW('Temp Hisfa'!AA$3:AA$200)-MIN(ROW('Temp Hisfa'!AA$3:AA$200))+1), ROW(8:207))),"")</f>
        <v>0</v>
      </c>
      <c r="AB10" s="22">
        <f t="array" ref="AB10">IFERROR(INDEX('Temp Hisfa'!AB$3:AB$200, SMALL(IF(ISERROR('Temp Hisfa'!AB$3:AB$200), "", ROW('Temp Hisfa'!AB$3:AB$200)-MIN(ROW('Temp Hisfa'!AB$3:AB$200))+1), ROW(8:207))),"")</f>
        <v>0</v>
      </c>
    </row>
    <row r="11" spans="1:28" x14ac:dyDescent="0.3">
      <c r="A11" s="22">
        <f t="array" ref="A11">IFERROR(INDEX('Temp Hisfa'!A$3:A$200, SMALL(IF(ISERROR('Temp Hisfa'!A$3:A$200), "", ROW('Temp Hisfa'!A$3:A$200)-MIN(ROW('Temp Hisfa'!A$3:A$200))+1), ROW(9:207))),"")</f>
        <v>0</v>
      </c>
      <c r="B11" s="4">
        <f t="array" ref="B11">IFERROR(INDEX('Temp Hisfa'!B$3:B$200, SMALL(IF(ISERROR('Temp Hisfa'!B$3:B$200), "", ROW('Temp Hisfa'!B$3:B$200)-MIN(ROW('Temp Hisfa'!B$3:B$200))+1), ROW(9:207))),"")</f>
        <v>0</v>
      </c>
      <c r="C11" s="3">
        <f t="array" ref="C11">IFERROR(INDEX('Temp Hisfa'!C$3:C$200, SMALL(IF(ISERROR('Temp Hisfa'!C$3:C$200), "", ROW('Temp Hisfa'!C$3:C$200)-MIN(ROW('Temp Hisfa'!C$3:C$200))+1), ROW(9:207))),"")</f>
        <v>0</v>
      </c>
      <c r="D11" s="3">
        <f t="array" ref="D11">IFERROR(INDEX('Temp Hisfa'!D$3:D$200, SMALL(IF(ISERROR('Temp Hisfa'!D$3:D$200), "", ROW('Temp Hisfa'!D$3:D$200)-MIN(ROW('Temp Hisfa'!D$3:D$200))+1), ROW(9:207))),"")</f>
        <v>0</v>
      </c>
      <c r="E11" s="29">
        <f t="array" ref="E11">IFERROR(INDEX('Temp Hisfa'!E$3:E$200, SMALL(IF(ISERROR('Temp Hisfa'!E$3:E$200), "", ROW('Temp Hisfa'!E$3:E$200)-MIN(ROW('Temp Hisfa'!E$3:E$200))+1), ROW(9:208))),"")</f>
        <v>0</v>
      </c>
      <c r="F11" s="22">
        <f t="array" ref="F11">IFERROR(INDEX('Temp Hisfa'!F$3:F$200, SMALL(IF(ISERROR('Temp Hisfa'!F$3:F$200), "", ROW('Temp Hisfa'!F$3:F$200)-MIN(ROW('Temp Hisfa'!F$3:F$200))+1), ROW(9:208))),"")</f>
        <v>0</v>
      </c>
      <c r="G11" s="30">
        <f t="array" ref="G11">IFERROR(INDEX('Temp Hisfa'!G$3:G$200, SMALL(IF(ISERROR('Temp Hisfa'!G$3:G$200), "", ROW('Temp Hisfa'!G$3:G$200)-MIN(ROW('Temp Hisfa'!G$3:G$200))+1), ROW(9:208))),"")</f>
        <v>0</v>
      </c>
      <c r="H11" s="22">
        <f t="array" ref="H11">IFERROR(INDEX('Temp Hisfa'!H$3:H$200, SMALL(IF(ISERROR('Temp Hisfa'!H$3:H$200), "", ROW('Temp Hisfa'!H$3:H$200)-MIN(ROW('Temp Hisfa'!H$3:H$200))+1), ROW(9:208))),"")</f>
        <v>0</v>
      </c>
      <c r="I11" s="22">
        <f t="array" ref="I11">IFERROR(INDEX('Temp Hisfa'!I$3:I$200, SMALL(IF(ISERROR('Temp Hisfa'!I$3:I$200), "", ROW('Temp Hisfa'!I$3:I$200)-MIN(ROW('Temp Hisfa'!I$3:I$200))+1), ROW(9:208))),"")</f>
        <v>0</v>
      </c>
      <c r="J11" s="22">
        <f t="array" ref="J11">IFERROR(INDEX('Temp Hisfa'!J$3:J$200, SMALL(IF(ISERROR('Temp Hisfa'!J$3:J$200), "", ROW('Temp Hisfa'!J$3:J$200)-MIN(ROW('Temp Hisfa'!J$3:J$200))+1), ROW(9:208))),"")</f>
        <v>0</v>
      </c>
      <c r="K11" s="30">
        <f t="array" ref="K11">IFERROR(INDEX('Temp Hisfa'!K$3:K$200, SMALL(IF(ISERROR('Temp Hisfa'!K$3:K$200), "", ROW('Temp Hisfa'!K$3:K$200)-MIN(ROW('Temp Hisfa'!K$3:K$200))+1), ROW(9:208))),"")</f>
        <v>0</v>
      </c>
      <c r="L11" s="22">
        <f t="array" ref="L11">IFERROR(INDEX('Temp Hisfa'!L$3:L$200, SMALL(IF(ISERROR('Temp Hisfa'!L$3:L$200), "", ROW('Temp Hisfa'!L$3:L$200)-MIN(ROW('Temp Hisfa'!L$3:L$200))+1), ROW(9:208))),"")</f>
        <v>0</v>
      </c>
      <c r="M11" s="22">
        <f t="array" ref="M11">IFERROR(INDEX('Temp Hisfa'!M$3:M$200, SMALL(IF(ISERROR('Temp Hisfa'!M$3:M$200), "", ROW('Temp Hisfa'!M$3:M$200)-MIN(ROW('Temp Hisfa'!M$3:M$200))+1), ROW(9:208))),"")</f>
        <v>0</v>
      </c>
      <c r="N11" s="22">
        <f t="array" ref="N11">IFERROR(INDEX('Temp Hisfa'!N$3:N$200, SMALL(IF(ISERROR('Temp Hisfa'!N$3:N$200), "", ROW('Temp Hisfa'!N$3:N$200)-MIN(ROW('Temp Hisfa'!N$3:N$200))+1), ROW(9:208))),"")</f>
        <v>1900</v>
      </c>
      <c r="O11" s="22" t="str">
        <f t="array" ref="O11">IFERROR(INDEX('Temp Hisfa'!O$3:O$200, SMALL(IF(ISERROR('Temp Hisfa'!O$3:O$200), "", ROW('Temp Hisfa'!O$3:O$200)-MIN(ROW('Temp Hisfa'!O$3:O$200))+1), ROW(9:208))),"")</f>
        <v>enero</v>
      </c>
      <c r="P11" s="22">
        <f t="array" ref="P11">IFERROR(INDEX('Temp Hisfa'!P$3:P$200, SMALL(IF(ISERROR('Temp Hisfa'!P$3:P$200), "", ROW('Temp Hisfa'!P$3:P$200)-MIN(ROW('Temp Hisfa'!P$3:P$200))+1), ROW(9:208))),"")</f>
        <v>0</v>
      </c>
      <c r="Q11" s="22">
        <f t="array" ref="Q11">IFERROR(INDEX('Temp Hisfa'!Q$3:Q$200, SMALL(IF(ISERROR('Temp Hisfa'!Q$3:Q$200), "", ROW('Temp Hisfa'!Q$3:Q$200)-MIN(ROW('Temp Hisfa'!Q$3:Q$200))+1), ROW(9:208))),"")</f>
        <v>0</v>
      </c>
      <c r="R11" s="22">
        <f t="array" ref="R11">IFERROR(INDEX('Temp Hisfa'!R$3:R$200, SMALL(IF(ISERROR('Temp Hisfa'!R$3:R$200), "", ROW('Temp Hisfa'!R$3:R$200)-MIN(ROW('Temp Hisfa'!R$3:R$200))+1), ROW(9:208))),"")</f>
        <v>0</v>
      </c>
      <c r="S11" s="22">
        <f t="array" ref="S11">IFERROR(INDEX('Temp Hisfa'!S$3:S$200, SMALL(IF(ISERROR('Temp Hisfa'!S$3:S$200), "", ROW('Temp Hisfa'!S$3:S$200)-MIN(ROW('Temp Hisfa'!S$3:S$200))+1), ROW(9:208))),"")</f>
        <v>0</v>
      </c>
      <c r="T11" s="22">
        <f t="array" ref="T11">IFERROR(INDEX('Temp Hisfa'!T$3:T$200, SMALL(IF(ISERROR('Temp Hisfa'!T$3:T$200), "", ROW('Temp Hisfa'!T$3:T$200)-MIN(ROW('Temp Hisfa'!T$3:T$200))+1), ROW(9:208))),"")</f>
        <v>0</v>
      </c>
      <c r="U11" s="22">
        <f t="array" ref="U11">IFERROR(INDEX('Temp Hisfa'!U$3:U$200, SMALL(IF(ISERROR('Temp Hisfa'!U$3:U$200), "", ROW('Temp Hisfa'!U$3:U$200)-MIN(ROW('Temp Hisfa'!U$3:U$200))+1), ROW(9:208))),"")</f>
        <v>0</v>
      </c>
      <c r="V11" s="22">
        <f t="array" ref="V11">IFERROR(INDEX('Temp Hisfa'!V$3:V$200, SMALL(IF(ISERROR('Temp Hisfa'!V$3:V$200), "", ROW('Temp Hisfa'!V$3:V$200)-MIN(ROW('Temp Hisfa'!V$3:V$200))+1), ROW(9:208))),"")</f>
        <v>0</v>
      </c>
      <c r="W11" s="22">
        <f t="array" ref="W11">IFERROR(INDEX('Temp Hisfa'!W$3:W$200, SMALL(IF(ISERROR('Temp Hisfa'!W$3:W$200), "", ROW('Temp Hisfa'!W$3:W$200)-MIN(ROW('Temp Hisfa'!W$3:W$200))+1), ROW(9:208))),"")</f>
        <v>0</v>
      </c>
      <c r="X11" s="22">
        <f t="array" ref="X11">IFERROR(INDEX('Temp Hisfa'!X$3:X$200, SMALL(IF(ISERROR('Temp Hisfa'!X$3:X$200), "", ROW('Temp Hisfa'!X$3:X$200)-MIN(ROW('Temp Hisfa'!X$3:X$200))+1), ROW(9:208))),"")</f>
        <v>0</v>
      </c>
      <c r="Y11" s="22">
        <f t="array" ref="Y11">IFERROR(INDEX('Temp Hisfa'!Y$3:Y$200, SMALL(IF(ISERROR('Temp Hisfa'!Y$3:Y$200), "", ROW('Temp Hisfa'!Y$3:Y$200)-MIN(ROW('Temp Hisfa'!Y$3:Y$200))+1), ROW(9:208))),"")</f>
        <v>0</v>
      </c>
      <c r="Z11" s="22">
        <f t="array" ref="Z11">IFERROR(INDEX('Temp Hisfa'!Z$3:Z$200, SMALL(IF(ISERROR('Temp Hisfa'!Z$3:Z$200), "", ROW('Temp Hisfa'!Z$3:Z$200)-MIN(ROW('Temp Hisfa'!Z$3:Z$200))+1), ROW(9:208))),"")</f>
        <v>0</v>
      </c>
      <c r="AA11" s="22">
        <f t="array" ref="AA11">IFERROR(INDEX('Temp Hisfa'!AA$3:AA$200, SMALL(IF(ISERROR('Temp Hisfa'!AA$3:AA$200), "", ROW('Temp Hisfa'!AA$3:AA$200)-MIN(ROW('Temp Hisfa'!AA$3:AA$200))+1), ROW(9:208))),"")</f>
        <v>0</v>
      </c>
      <c r="AB11" s="22">
        <f t="array" ref="AB11">IFERROR(INDEX('Temp Hisfa'!AB$3:AB$200, SMALL(IF(ISERROR('Temp Hisfa'!AB$3:AB$200), "", ROW('Temp Hisfa'!AB$3:AB$200)-MIN(ROW('Temp Hisfa'!AB$3:AB$200))+1), ROW(9:208))),"")</f>
        <v>0</v>
      </c>
    </row>
    <row r="12" spans="1:28" x14ac:dyDescent="0.3">
      <c r="A12" s="22">
        <f t="array" ref="A12">IFERROR(INDEX('Temp Hisfa'!A$3:A$200, SMALL(IF(ISERROR('Temp Hisfa'!A$3:A$200), "", ROW('Temp Hisfa'!A$3:A$200)-MIN(ROW('Temp Hisfa'!A$3:A$200))+1), ROW(10:208))),"")</f>
        <v>0</v>
      </c>
      <c r="B12" s="4">
        <f t="array" ref="B12">IFERROR(INDEX('Temp Hisfa'!B$3:B$200, SMALL(IF(ISERROR('Temp Hisfa'!B$3:B$200), "", ROW('Temp Hisfa'!B$3:B$200)-MIN(ROW('Temp Hisfa'!B$3:B$200))+1), ROW(10:208))),"")</f>
        <v>0</v>
      </c>
      <c r="C12" s="3">
        <f t="array" ref="C12">IFERROR(INDEX('Temp Hisfa'!C$3:C$200, SMALL(IF(ISERROR('Temp Hisfa'!C$3:C$200), "", ROW('Temp Hisfa'!C$3:C$200)-MIN(ROW('Temp Hisfa'!C$3:C$200))+1), ROW(10:208))),"")</f>
        <v>0</v>
      </c>
      <c r="D12" s="3">
        <f t="array" ref="D12">IFERROR(INDEX('Temp Hisfa'!D$3:D$200, SMALL(IF(ISERROR('Temp Hisfa'!D$3:D$200), "", ROW('Temp Hisfa'!D$3:D$200)-MIN(ROW('Temp Hisfa'!D$3:D$200))+1), ROW(10:208))),"")</f>
        <v>0</v>
      </c>
      <c r="E12" s="29">
        <f t="array" ref="E12">IFERROR(INDEX('Temp Hisfa'!E$3:E$200, SMALL(IF(ISERROR('Temp Hisfa'!E$3:E$200), "", ROW('Temp Hisfa'!E$3:E$200)-MIN(ROW('Temp Hisfa'!E$3:E$200))+1), ROW(10:209))),"")</f>
        <v>0</v>
      </c>
      <c r="F12" s="22">
        <f t="array" ref="F12">IFERROR(INDEX('Temp Hisfa'!F$3:F$200, SMALL(IF(ISERROR('Temp Hisfa'!F$3:F$200), "", ROW('Temp Hisfa'!F$3:F$200)-MIN(ROW('Temp Hisfa'!F$3:F$200))+1), ROW(10:209))),"")</f>
        <v>0</v>
      </c>
      <c r="G12" s="30">
        <f t="array" ref="G12">IFERROR(INDEX('Temp Hisfa'!G$3:G$200, SMALL(IF(ISERROR('Temp Hisfa'!G$3:G$200), "", ROW('Temp Hisfa'!G$3:G$200)-MIN(ROW('Temp Hisfa'!G$3:G$200))+1), ROW(10:209))),"")</f>
        <v>0</v>
      </c>
      <c r="H12" s="22">
        <f t="array" ref="H12">IFERROR(INDEX('Temp Hisfa'!H$3:H$200, SMALL(IF(ISERROR('Temp Hisfa'!H$3:H$200), "", ROW('Temp Hisfa'!H$3:H$200)-MIN(ROW('Temp Hisfa'!H$3:H$200))+1), ROW(10:209))),"")</f>
        <v>0</v>
      </c>
      <c r="I12" s="22">
        <f t="array" ref="I12">IFERROR(INDEX('Temp Hisfa'!I$3:I$200, SMALL(IF(ISERROR('Temp Hisfa'!I$3:I$200), "", ROW('Temp Hisfa'!I$3:I$200)-MIN(ROW('Temp Hisfa'!I$3:I$200))+1), ROW(10:209))),"")</f>
        <v>0</v>
      </c>
      <c r="J12" s="22">
        <f t="array" ref="J12">IFERROR(INDEX('Temp Hisfa'!J$3:J$200, SMALL(IF(ISERROR('Temp Hisfa'!J$3:J$200), "", ROW('Temp Hisfa'!J$3:J$200)-MIN(ROW('Temp Hisfa'!J$3:J$200))+1), ROW(10:209))),"")</f>
        <v>0</v>
      </c>
      <c r="K12" s="30">
        <f t="array" ref="K12">IFERROR(INDEX('Temp Hisfa'!K$3:K$200, SMALL(IF(ISERROR('Temp Hisfa'!K$3:K$200), "", ROW('Temp Hisfa'!K$3:K$200)-MIN(ROW('Temp Hisfa'!K$3:K$200))+1), ROW(10:209))),"")</f>
        <v>0</v>
      </c>
      <c r="L12" s="22">
        <f t="array" ref="L12">IFERROR(INDEX('Temp Hisfa'!L$3:L$200, SMALL(IF(ISERROR('Temp Hisfa'!L$3:L$200), "", ROW('Temp Hisfa'!L$3:L$200)-MIN(ROW('Temp Hisfa'!L$3:L$200))+1), ROW(10:209))),"")</f>
        <v>0</v>
      </c>
      <c r="M12" s="22">
        <f t="array" ref="M12">IFERROR(INDEX('Temp Hisfa'!M$3:M$200, SMALL(IF(ISERROR('Temp Hisfa'!M$3:M$200), "", ROW('Temp Hisfa'!M$3:M$200)-MIN(ROW('Temp Hisfa'!M$3:M$200))+1), ROW(10:209))),"")</f>
        <v>0</v>
      </c>
      <c r="N12" s="22">
        <f t="array" ref="N12">IFERROR(INDEX('Temp Hisfa'!N$3:N$200, SMALL(IF(ISERROR('Temp Hisfa'!N$3:N$200), "", ROW('Temp Hisfa'!N$3:N$200)-MIN(ROW('Temp Hisfa'!N$3:N$200))+1), ROW(10:209))),"")</f>
        <v>1900</v>
      </c>
      <c r="O12" s="22" t="str">
        <f t="array" ref="O12">IFERROR(INDEX('Temp Hisfa'!O$3:O$200, SMALL(IF(ISERROR('Temp Hisfa'!O$3:O$200), "", ROW('Temp Hisfa'!O$3:O$200)-MIN(ROW('Temp Hisfa'!O$3:O$200))+1), ROW(10:209))),"")</f>
        <v>enero</v>
      </c>
      <c r="P12" s="22">
        <f t="array" ref="P12">IFERROR(INDEX('Temp Hisfa'!P$3:P$200, SMALL(IF(ISERROR('Temp Hisfa'!P$3:P$200), "", ROW('Temp Hisfa'!P$3:P$200)-MIN(ROW('Temp Hisfa'!P$3:P$200))+1), ROW(10:209))),"")</f>
        <v>0</v>
      </c>
      <c r="Q12" s="22">
        <f t="array" ref="Q12">IFERROR(INDEX('Temp Hisfa'!Q$3:Q$200, SMALL(IF(ISERROR('Temp Hisfa'!Q$3:Q$200), "", ROW('Temp Hisfa'!Q$3:Q$200)-MIN(ROW('Temp Hisfa'!Q$3:Q$200))+1), ROW(10:209))),"")</f>
        <v>0</v>
      </c>
      <c r="R12" s="22">
        <f t="array" ref="R12">IFERROR(INDEX('Temp Hisfa'!R$3:R$200, SMALL(IF(ISERROR('Temp Hisfa'!R$3:R$200), "", ROW('Temp Hisfa'!R$3:R$200)-MIN(ROW('Temp Hisfa'!R$3:R$200))+1), ROW(10:209))),"")</f>
        <v>0</v>
      </c>
      <c r="S12" s="22">
        <f t="array" ref="S12">IFERROR(INDEX('Temp Hisfa'!S$3:S$200, SMALL(IF(ISERROR('Temp Hisfa'!S$3:S$200), "", ROW('Temp Hisfa'!S$3:S$200)-MIN(ROW('Temp Hisfa'!S$3:S$200))+1), ROW(10:209))),"")</f>
        <v>0</v>
      </c>
      <c r="T12" s="22">
        <f t="array" ref="T12">IFERROR(INDEX('Temp Hisfa'!T$3:T$200, SMALL(IF(ISERROR('Temp Hisfa'!T$3:T$200), "", ROW('Temp Hisfa'!T$3:T$200)-MIN(ROW('Temp Hisfa'!T$3:T$200))+1), ROW(10:209))),"")</f>
        <v>0</v>
      </c>
      <c r="U12" s="22">
        <f t="array" ref="U12">IFERROR(INDEX('Temp Hisfa'!U$3:U$200, SMALL(IF(ISERROR('Temp Hisfa'!U$3:U$200), "", ROW('Temp Hisfa'!U$3:U$200)-MIN(ROW('Temp Hisfa'!U$3:U$200))+1), ROW(10:209))),"")</f>
        <v>0</v>
      </c>
      <c r="V12" s="22">
        <f t="array" ref="V12">IFERROR(INDEX('Temp Hisfa'!V$3:V$200, SMALL(IF(ISERROR('Temp Hisfa'!V$3:V$200), "", ROW('Temp Hisfa'!V$3:V$200)-MIN(ROW('Temp Hisfa'!V$3:V$200))+1), ROW(10:209))),"")</f>
        <v>0</v>
      </c>
      <c r="W12" s="22">
        <f t="array" ref="W12">IFERROR(INDEX('Temp Hisfa'!W$3:W$200, SMALL(IF(ISERROR('Temp Hisfa'!W$3:W$200), "", ROW('Temp Hisfa'!W$3:W$200)-MIN(ROW('Temp Hisfa'!W$3:W$200))+1), ROW(10:209))),"")</f>
        <v>0</v>
      </c>
      <c r="X12" s="22">
        <f t="array" ref="X12">IFERROR(INDEX('Temp Hisfa'!X$3:X$200, SMALL(IF(ISERROR('Temp Hisfa'!X$3:X$200), "", ROW('Temp Hisfa'!X$3:X$200)-MIN(ROW('Temp Hisfa'!X$3:X$200))+1), ROW(10:209))),"")</f>
        <v>0</v>
      </c>
      <c r="Y12" s="22">
        <f t="array" ref="Y12">IFERROR(INDEX('Temp Hisfa'!Y$3:Y$200, SMALL(IF(ISERROR('Temp Hisfa'!Y$3:Y$200), "", ROW('Temp Hisfa'!Y$3:Y$200)-MIN(ROW('Temp Hisfa'!Y$3:Y$200))+1), ROW(10:209))),"")</f>
        <v>0</v>
      </c>
      <c r="Z12" s="22">
        <f t="array" ref="Z12">IFERROR(INDEX('Temp Hisfa'!Z$3:Z$200, SMALL(IF(ISERROR('Temp Hisfa'!Z$3:Z$200), "", ROW('Temp Hisfa'!Z$3:Z$200)-MIN(ROW('Temp Hisfa'!Z$3:Z$200))+1), ROW(10:209))),"")</f>
        <v>0</v>
      </c>
      <c r="AA12" s="22">
        <f t="array" ref="AA12">IFERROR(INDEX('Temp Hisfa'!AA$3:AA$200, SMALL(IF(ISERROR('Temp Hisfa'!AA$3:AA$200), "", ROW('Temp Hisfa'!AA$3:AA$200)-MIN(ROW('Temp Hisfa'!AA$3:AA$200))+1), ROW(10:209))),"")</f>
        <v>0</v>
      </c>
      <c r="AB12" s="22">
        <f t="array" ref="AB12">IFERROR(INDEX('Temp Hisfa'!AB$3:AB$200, SMALL(IF(ISERROR('Temp Hisfa'!AB$3:AB$200), "", ROW('Temp Hisfa'!AB$3:AB$200)-MIN(ROW('Temp Hisfa'!AB$3:AB$200))+1), ROW(10:209))),"")</f>
        <v>0</v>
      </c>
    </row>
    <row r="13" spans="1:28" x14ac:dyDescent="0.3">
      <c r="A13" s="22">
        <f t="array" ref="A13">IFERROR(INDEX('Temp Hisfa'!A$3:A$200, SMALL(IF(ISERROR('Temp Hisfa'!A$3:A$200), "", ROW('Temp Hisfa'!A$3:A$200)-MIN(ROW('Temp Hisfa'!A$3:A$200))+1), ROW(11:209))),"")</f>
        <v>0</v>
      </c>
      <c r="B13" s="4">
        <f t="array" ref="B13">IFERROR(INDEX('Temp Hisfa'!B$3:B$200, SMALL(IF(ISERROR('Temp Hisfa'!B$3:B$200), "", ROW('Temp Hisfa'!B$3:B$200)-MIN(ROW('Temp Hisfa'!B$3:B$200))+1), ROW(11:209))),"")</f>
        <v>0</v>
      </c>
      <c r="C13" s="3">
        <f t="array" ref="C13">IFERROR(INDEX('Temp Hisfa'!C$3:C$200, SMALL(IF(ISERROR('Temp Hisfa'!C$3:C$200), "", ROW('Temp Hisfa'!C$3:C$200)-MIN(ROW('Temp Hisfa'!C$3:C$200))+1), ROW(11:209))),"")</f>
        <v>0</v>
      </c>
      <c r="D13" s="3">
        <f t="array" ref="D13">IFERROR(INDEX('Temp Hisfa'!D$3:D$200, SMALL(IF(ISERROR('Temp Hisfa'!D$3:D$200), "", ROW('Temp Hisfa'!D$3:D$200)-MIN(ROW('Temp Hisfa'!D$3:D$200))+1), ROW(11:209))),"")</f>
        <v>0</v>
      </c>
      <c r="E13" s="29">
        <f t="array" ref="E13">IFERROR(INDEX('Temp Hisfa'!E$3:E$200, SMALL(IF(ISERROR('Temp Hisfa'!E$3:E$200), "", ROW('Temp Hisfa'!E$3:E$200)-MIN(ROW('Temp Hisfa'!E$3:E$200))+1), ROW(11:210))),"")</f>
        <v>0</v>
      </c>
      <c r="F13" s="22">
        <f t="array" ref="F13">IFERROR(INDEX('Temp Hisfa'!F$3:F$200, SMALL(IF(ISERROR('Temp Hisfa'!F$3:F$200), "", ROW('Temp Hisfa'!F$3:F$200)-MIN(ROW('Temp Hisfa'!F$3:F$200))+1), ROW(11:210))),"")</f>
        <v>0</v>
      </c>
      <c r="G13" s="30">
        <f t="array" ref="G13">IFERROR(INDEX('Temp Hisfa'!G$3:G$200, SMALL(IF(ISERROR('Temp Hisfa'!G$3:G$200), "", ROW('Temp Hisfa'!G$3:G$200)-MIN(ROW('Temp Hisfa'!G$3:G$200))+1), ROW(11:210))),"")</f>
        <v>0</v>
      </c>
      <c r="H13" s="22">
        <f t="array" ref="H13">IFERROR(INDEX('Temp Hisfa'!H$3:H$200, SMALL(IF(ISERROR('Temp Hisfa'!H$3:H$200), "", ROW('Temp Hisfa'!H$3:H$200)-MIN(ROW('Temp Hisfa'!H$3:H$200))+1), ROW(11:210))),"")</f>
        <v>0</v>
      </c>
      <c r="I13" s="22">
        <f t="array" ref="I13">IFERROR(INDEX('Temp Hisfa'!I$3:I$200, SMALL(IF(ISERROR('Temp Hisfa'!I$3:I$200), "", ROW('Temp Hisfa'!I$3:I$200)-MIN(ROW('Temp Hisfa'!I$3:I$200))+1), ROW(11:210))),"")</f>
        <v>0</v>
      </c>
      <c r="J13" s="22">
        <f t="array" ref="J13">IFERROR(INDEX('Temp Hisfa'!J$3:J$200, SMALL(IF(ISERROR('Temp Hisfa'!J$3:J$200), "", ROW('Temp Hisfa'!J$3:J$200)-MIN(ROW('Temp Hisfa'!J$3:J$200))+1), ROW(11:210))),"")</f>
        <v>0</v>
      </c>
      <c r="K13" s="30">
        <f t="array" ref="K13">IFERROR(INDEX('Temp Hisfa'!K$3:K$200, SMALL(IF(ISERROR('Temp Hisfa'!K$3:K$200), "", ROW('Temp Hisfa'!K$3:K$200)-MIN(ROW('Temp Hisfa'!K$3:K$200))+1), ROW(11:210))),"")</f>
        <v>0</v>
      </c>
      <c r="L13" s="22">
        <f t="array" ref="L13">IFERROR(INDEX('Temp Hisfa'!L$3:L$200, SMALL(IF(ISERROR('Temp Hisfa'!L$3:L$200), "", ROW('Temp Hisfa'!L$3:L$200)-MIN(ROW('Temp Hisfa'!L$3:L$200))+1), ROW(11:210))),"")</f>
        <v>0</v>
      </c>
      <c r="M13" s="22">
        <f t="array" ref="M13">IFERROR(INDEX('Temp Hisfa'!M$3:M$200, SMALL(IF(ISERROR('Temp Hisfa'!M$3:M$200), "", ROW('Temp Hisfa'!M$3:M$200)-MIN(ROW('Temp Hisfa'!M$3:M$200))+1), ROW(11:210))),"")</f>
        <v>0</v>
      </c>
      <c r="N13" s="22">
        <f t="array" ref="N13">IFERROR(INDEX('Temp Hisfa'!N$3:N$200, SMALL(IF(ISERROR('Temp Hisfa'!N$3:N$200), "", ROW('Temp Hisfa'!N$3:N$200)-MIN(ROW('Temp Hisfa'!N$3:N$200))+1), ROW(11:210))),"")</f>
        <v>1900</v>
      </c>
      <c r="O13" s="22" t="str">
        <f t="array" ref="O13">IFERROR(INDEX('Temp Hisfa'!O$3:O$200, SMALL(IF(ISERROR('Temp Hisfa'!O$3:O$200), "", ROW('Temp Hisfa'!O$3:O$200)-MIN(ROW('Temp Hisfa'!O$3:O$200))+1), ROW(11:210))),"")</f>
        <v>enero</v>
      </c>
      <c r="P13" s="22">
        <f t="array" ref="P13">IFERROR(INDEX('Temp Hisfa'!P$3:P$200, SMALL(IF(ISERROR('Temp Hisfa'!P$3:P$200), "", ROW('Temp Hisfa'!P$3:P$200)-MIN(ROW('Temp Hisfa'!P$3:P$200))+1), ROW(11:210))),"")</f>
        <v>0</v>
      </c>
      <c r="Q13" s="22">
        <f t="array" ref="Q13">IFERROR(INDEX('Temp Hisfa'!Q$3:Q$200, SMALL(IF(ISERROR('Temp Hisfa'!Q$3:Q$200), "", ROW('Temp Hisfa'!Q$3:Q$200)-MIN(ROW('Temp Hisfa'!Q$3:Q$200))+1), ROW(11:210))),"")</f>
        <v>0</v>
      </c>
      <c r="R13" s="22">
        <f t="array" ref="R13">IFERROR(INDEX('Temp Hisfa'!R$3:R$200, SMALL(IF(ISERROR('Temp Hisfa'!R$3:R$200), "", ROW('Temp Hisfa'!R$3:R$200)-MIN(ROW('Temp Hisfa'!R$3:R$200))+1), ROW(11:210))),"")</f>
        <v>0</v>
      </c>
      <c r="S13" s="22">
        <f t="array" ref="S13">IFERROR(INDEX('Temp Hisfa'!S$3:S$200, SMALL(IF(ISERROR('Temp Hisfa'!S$3:S$200), "", ROW('Temp Hisfa'!S$3:S$200)-MIN(ROW('Temp Hisfa'!S$3:S$200))+1), ROW(11:210))),"")</f>
        <v>0</v>
      </c>
      <c r="T13" s="22">
        <f t="array" ref="T13">IFERROR(INDEX('Temp Hisfa'!T$3:T$200, SMALL(IF(ISERROR('Temp Hisfa'!T$3:T$200), "", ROW('Temp Hisfa'!T$3:T$200)-MIN(ROW('Temp Hisfa'!T$3:T$200))+1), ROW(11:210))),"")</f>
        <v>0</v>
      </c>
      <c r="U13" s="22">
        <f t="array" ref="U13">IFERROR(INDEX('Temp Hisfa'!U$3:U$200, SMALL(IF(ISERROR('Temp Hisfa'!U$3:U$200), "", ROW('Temp Hisfa'!U$3:U$200)-MIN(ROW('Temp Hisfa'!U$3:U$200))+1), ROW(11:210))),"")</f>
        <v>0</v>
      </c>
      <c r="V13" s="22">
        <f t="array" ref="V13">IFERROR(INDEX('Temp Hisfa'!V$3:V$200, SMALL(IF(ISERROR('Temp Hisfa'!V$3:V$200), "", ROW('Temp Hisfa'!V$3:V$200)-MIN(ROW('Temp Hisfa'!V$3:V$200))+1), ROW(11:210))),"")</f>
        <v>0</v>
      </c>
      <c r="W13" s="22">
        <f t="array" ref="W13">IFERROR(INDEX('Temp Hisfa'!W$3:W$200, SMALL(IF(ISERROR('Temp Hisfa'!W$3:W$200), "", ROW('Temp Hisfa'!W$3:W$200)-MIN(ROW('Temp Hisfa'!W$3:W$200))+1), ROW(11:210))),"")</f>
        <v>0</v>
      </c>
      <c r="X13" s="22">
        <f t="array" ref="X13">IFERROR(INDEX('Temp Hisfa'!X$3:X$200, SMALL(IF(ISERROR('Temp Hisfa'!X$3:X$200), "", ROW('Temp Hisfa'!X$3:X$200)-MIN(ROW('Temp Hisfa'!X$3:X$200))+1), ROW(11:210))),"")</f>
        <v>0</v>
      </c>
      <c r="Y13" s="22">
        <f t="array" ref="Y13">IFERROR(INDEX('Temp Hisfa'!Y$3:Y$200, SMALL(IF(ISERROR('Temp Hisfa'!Y$3:Y$200), "", ROW('Temp Hisfa'!Y$3:Y$200)-MIN(ROW('Temp Hisfa'!Y$3:Y$200))+1), ROW(11:210))),"")</f>
        <v>0</v>
      </c>
      <c r="Z13" s="22">
        <f t="array" ref="Z13">IFERROR(INDEX('Temp Hisfa'!Z$3:Z$200, SMALL(IF(ISERROR('Temp Hisfa'!Z$3:Z$200), "", ROW('Temp Hisfa'!Z$3:Z$200)-MIN(ROW('Temp Hisfa'!Z$3:Z$200))+1), ROW(11:210))),"")</f>
        <v>0</v>
      </c>
      <c r="AA13" s="22">
        <f t="array" ref="AA13">IFERROR(INDEX('Temp Hisfa'!AA$3:AA$200, SMALL(IF(ISERROR('Temp Hisfa'!AA$3:AA$200), "", ROW('Temp Hisfa'!AA$3:AA$200)-MIN(ROW('Temp Hisfa'!AA$3:AA$200))+1), ROW(11:210))),"")</f>
        <v>0</v>
      </c>
      <c r="AB13" s="22">
        <f t="array" ref="AB13">IFERROR(INDEX('Temp Hisfa'!AB$3:AB$200, SMALL(IF(ISERROR('Temp Hisfa'!AB$3:AB$200), "", ROW('Temp Hisfa'!AB$3:AB$200)-MIN(ROW('Temp Hisfa'!AB$3:AB$200))+1), ROW(11:210))),"")</f>
        <v>0</v>
      </c>
    </row>
    <row r="14" spans="1:28" x14ac:dyDescent="0.3">
      <c r="A14" s="22">
        <f t="array" ref="A14">IFERROR(INDEX('Temp Hisfa'!A$3:A$200, SMALL(IF(ISERROR('Temp Hisfa'!A$3:A$200), "", ROW('Temp Hisfa'!A$3:A$200)-MIN(ROW('Temp Hisfa'!A$3:A$200))+1), ROW(12:210))),"")</f>
        <v>0</v>
      </c>
      <c r="B14" s="4">
        <f t="array" ref="B14">IFERROR(INDEX('Temp Hisfa'!B$3:B$200, SMALL(IF(ISERROR('Temp Hisfa'!B$3:B$200), "", ROW('Temp Hisfa'!B$3:B$200)-MIN(ROW('Temp Hisfa'!B$3:B$200))+1), ROW(12:210))),"")</f>
        <v>0</v>
      </c>
      <c r="C14" s="3">
        <f t="array" ref="C14">IFERROR(INDEX('Temp Hisfa'!C$3:C$200, SMALL(IF(ISERROR('Temp Hisfa'!C$3:C$200), "", ROW('Temp Hisfa'!C$3:C$200)-MIN(ROW('Temp Hisfa'!C$3:C$200))+1), ROW(12:210))),"")</f>
        <v>0</v>
      </c>
      <c r="D14" s="3">
        <f t="array" ref="D14">IFERROR(INDEX('Temp Hisfa'!D$3:D$200, SMALL(IF(ISERROR('Temp Hisfa'!D$3:D$200), "", ROW('Temp Hisfa'!D$3:D$200)-MIN(ROW('Temp Hisfa'!D$3:D$200))+1), ROW(12:210))),"")</f>
        <v>0</v>
      </c>
      <c r="E14" s="29">
        <f t="array" ref="E14">IFERROR(INDEX('Temp Hisfa'!E$3:E$200, SMALL(IF(ISERROR('Temp Hisfa'!E$3:E$200), "", ROW('Temp Hisfa'!E$3:E$200)-MIN(ROW('Temp Hisfa'!E$3:E$200))+1), ROW(12:211))),"")</f>
        <v>0</v>
      </c>
      <c r="F14" s="22">
        <f t="array" ref="F14">IFERROR(INDEX('Temp Hisfa'!F$3:F$200, SMALL(IF(ISERROR('Temp Hisfa'!F$3:F$200), "", ROW('Temp Hisfa'!F$3:F$200)-MIN(ROW('Temp Hisfa'!F$3:F$200))+1), ROW(12:211))),"")</f>
        <v>0</v>
      </c>
      <c r="G14" s="30">
        <f t="array" ref="G14">IFERROR(INDEX('Temp Hisfa'!G$3:G$200, SMALL(IF(ISERROR('Temp Hisfa'!G$3:G$200), "", ROW('Temp Hisfa'!G$3:G$200)-MIN(ROW('Temp Hisfa'!G$3:G$200))+1), ROW(12:211))),"")</f>
        <v>0</v>
      </c>
      <c r="H14" s="22">
        <f t="array" ref="H14">IFERROR(INDEX('Temp Hisfa'!H$3:H$200, SMALL(IF(ISERROR('Temp Hisfa'!H$3:H$200), "", ROW('Temp Hisfa'!H$3:H$200)-MIN(ROW('Temp Hisfa'!H$3:H$200))+1), ROW(12:211))),"")</f>
        <v>0</v>
      </c>
      <c r="I14" s="22">
        <f t="array" ref="I14">IFERROR(INDEX('Temp Hisfa'!I$3:I$200, SMALL(IF(ISERROR('Temp Hisfa'!I$3:I$200), "", ROW('Temp Hisfa'!I$3:I$200)-MIN(ROW('Temp Hisfa'!I$3:I$200))+1), ROW(12:211))),"")</f>
        <v>0</v>
      </c>
      <c r="J14" s="22">
        <f t="array" ref="J14">IFERROR(INDEX('Temp Hisfa'!J$3:J$200, SMALL(IF(ISERROR('Temp Hisfa'!J$3:J$200), "", ROW('Temp Hisfa'!J$3:J$200)-MIN(ROW('Temp Hisfa'!J$3:J$200))+1), ROW(12:211))),"")</f>
        <v>0</v>
      </c>
      <c r="K14" s="30">
        <f t="array" ref="K14">IFERROR(INDEX('Temp Hisfa'!K$3:K$200, SMALL(IF(ISERROR('Temp Hisfa'!K$3:K$200), "", ROW('Temp Hisfa'!K$3:K$200)-MIN(ROW('Temp Hisfa'!K$3:K$200))+1), ROW(12:211))),"")</f>
        <v>0</v>
      </c>
      <c r="L14" s="22">
        <f t="array" ref="L14">IFERROR(INDEX('Temp Hisfa'!L$3:L$200, SMALL(IF(ISERROR('Temp Hisfa'!L$3:L$200), "", ROW('Temp Hisfa'!L$3:L$200)-MIN(ROW('Temp Hisfa'!L$3:L$200))+1), ROW(12:211))),"")</f>
        <v>0</v>
      </c>
      <c r="M14" s="22">
        <f t="array" ref="M14">IFERROR(INDEX('Temp Hisfa'!M$3:M$200, SMALL(IF(ISERROR('Temp Hisfa'!M$3:M$200), "", ROW('Temp Hisfa'!M$3:M$200)-MIN(ROW('Temp Hisfa'!M$3:M$200))+1), ROW(12:211))),"")</f>
        <v>0</v>
      </c>
      <c r="N14" s="22">
        <f t="array" ref="N14">IFERROR(INDEX('Temp Hisfa'!N$3:N$200, SMALL(IF(ISERROR('Temp Hisfa'!N$3:N$200), "", ROW('Temp Hisfa'!N$3:N$200)-MIN(ROW('Temp Hisfa'!N$3:N$200))+1), ROW(12:211))),"")</f>
        <v>1900</v>
      </c>
      <c r="O14" s="22" t="str">
        <f t="array" ref="O14">IFERROR(INDEX('Temp Hisfa'!O$3:O$200, SMALL(IF(ISERROR('Temp Hisfa'!O$3:O$200), "", ROW('Temp Hisfa'!O$3:O$200)-MIN(ROW('Temp Hisfa'!O$3:O$200))+1), ROW(12:211))),"")</f>
        <v>enero</v>
      </c>
      <c r="P14" s="22">
        <f t="array" ref="P14">IFERROR(INDEX('Temp Hisfa'!P$3:P$200, SMALL(IF(ISERROR('Temp Hisfa'!P$3:P$200), "", ROW('Temp Hisfa'!P$3:P$200)-MIN(ROW('Temp Hisfa'!P$3:P$200))+1), ROW(12:211))),"")</f>
        <v>0</v>
      </c>
      <c r="Q14" s="22">
        <f t="array" ref="Q14">IFERROR(INDEX('Temp Hisfa'!Q$3:Q$200, SMALL(IF(ISERROR('Temp Hisfa'!Q$3:Q$200), "", ROW('Temp Hisfa'!Q$3:Q$200)-MIN(ROW('Temp Hisfa'!Q$3:Q$200))+1), ROW(12:211))),"")</f>
        <v>0</v>
      </c>
      <c r="R14" s="22">
        <f t="array" ref="R14">IFERROR(INDEX('Temp Hisfa'!R$3:R$200, SMALL(IF(ISERROR('Temp Hisfa'!R$3:R$200), "", ROW('Temp Hisfa'!R$3:R$200)-MIN(ROW('Temp Hisfa'!R$3:R$200))+1), ROW(12:211))),"")</f>
        <v>0</v>
      </c>
      <c r="S14" s="22">
        <f t="array" ref="S14">IFERROR(INDEX('Temp Hisfa'!S$3:S$200, SMALL(IF(ISERROR('Temp Hisfa'!S$3:S$200), "", ROW('Temp Hisfa'!S$3:S$200)-MIN(ROW('Temp Hisfa'!S$3:S$200))+1), ROW(12:211))),"")</f>
        <v>0</v>
      </c>
      <c r="T14" s="22">
        <f t="array" ref="T14">IFERROR(INDEX('Temp Hisfa'!T$3:T$200, SMALL(IF(ISERROR('Temp Hisfa'!T$3:T$200), "", ROW('Temp Hisfa'!T$3:T$200)-MIN(ROW('Temp Hisfa'!T$3:T$200))+1), ROW(12:211))),"")</f>
        <v>0</v>
      </c>
      <c r="U14" s="22">
        <f t="array" ref="U14">IFERROR(INDEX('Temp Hisfa'!U$3:U$200, SMALL(IF(ISERROR('Temp Hisfa'!U$3:U$200), "", ROW('Temp Hisfa'!U$3:U$200)-MIN(ROW('Temp Hisfa'!U$3:U$200))+1), ROW(12:211))),"")</f>
        <v>0</v>
      </c>
      <c r="V14" s="22">
        <f t="array" ref="V14">IFERROR(INDEX('Temp Hisfa'!V$3:V$200, SMALL(IF(ISERROR('Temp Hisfa'!V$3:V$200), "", ROW('Temp Hisfa'!V$3:V$200)-MIN(ROW('Temp Hisfa'!V$3:V$200))+1), ROW(12:211))),"")</f>
        <v>0</v>
      </c>
      <c r="W14" s="22">
        <f t="array" ref="W14">IFERROR(INDEX('Temp Hisfa'!W$3:W$200, SMALL(IF(ISERROR('Temp Hisfa'!W$3:W$200), "", ROW('Temp Hisfa'!W$3:W$200)-MIN(ROW('Temp Hisfa'!W$3:W$200))+1), ROW(12:211))),"")</f>
        <v>0</v>
      </c>
      <c r="X14" s="22">
        <f t="array" ref="X14">IFERROR(INDEX('Temp Hisfa'!X$3:X$200, SMALL(IF(ISERROR('Temp Hisfa'!X$3:X$200), "", ROW('Temp Hisfa'!X$3:X$200)-MIN(ROW('Temp Hisfa'!X$3:X$200))+1), ROW(12:211))),"")</f>
        <v>0</v>
      </c>
      <c r="Y14" s="22">
        <f t="array" ref="Y14">IFERROR(INDEX('Temp Hisfa'!Y$3:Y$200, SMALL(IF(ISERROR('Temp Hisfa'!Y$3:Y$200), "", ROW('Temp Hisfa'!Y$3:Y$200)-MIN(ROW('Temp Hisfa'!Y$3:Y$200))+1), ROW(12:211))),"")</f>
        <v>0</v>
      </c>
      <c r="Z14" s="22">
        <f t="array" ref="Z14">IFERROR(INDEX('Temp Hisfa'!Z$3:Z$200, SMALL(IF(ISERROR('Temp Hisfa'!Z$3:Z$200), "", ROW('Temp Hisfa'!Z$3:Z$200)-MIN(ROW('Temp Hisfa'!Z$3:Z$200))+1), ROW(12:211))),"")</f>
        <v>0</v>
      </c>
      <c r="AA14" s="22">
        <f t="array" ref="AA14">IFERROR(INDEX('Temp Hisfa'!AA$3:AA$200, SMALL(IF(ISERROR('Temp Hisfa'!AA$3:AA$200), "", ROW('Temp Hisfa'!AA$3:AA$200)-MIN(ROW('Temp Hisfa'!AA$3:AA$200))+1), ROW(12:211))),"")</f>
        <v>0</v>
      </c>
      <c r="AB14" s="22">
        <f t="array" ref="AB14">IFERROR(INDEX('Temp Hisfa'!AB$3:AB$200, SMALL(IF(ISERROR('Temp Hisfa'!AB$3:AB$200), "", ROW('Temp Hisfa'!AB$3:AB$200)-MIN(ROW('Temp Hisfa'!AB$3:AB$200))+1), ROW(12:211))),"")</f>
        <v>0</v>
      </c>
    </row>
    <row r="15" spans="1:28" x14ac:dyDescent="0.3">
      <c r="A15" s="22">
        <f t="array" ref="A15">IFERROR(INDEX('Temp Hisfa'!A$3:A$200, SMALL(IF(ISERROR('Temp Hisfa'!A$3:A$200), "", ROW('Temp Hisfa'!A$3:A$200)-MIN(ROW('Temp Hisfa'!A$3:A$200))+1), ROW(13:211))),"")</f>
        <v>0</v>
      </c>
      <c r="B15" s="4">
        <f t="array" ref="B15">IFERROR(INDEX('Temp Hisfa'!B$3:B$200, SMALL(IF(ISERROR('Temp Hisfa'!B$3:B$200), "", ROW('Temp Hisfa'!B$3:B$200)-MIN(ROW('Temp Hisfa'!B$3:B$200))+1), ROW(13:211))),"")</f>
        <v>0</v>
      </c>
      <c r="C15" s="3">
        <f t="array" ref="C15">IFERROR(INDEX('Temp Hisfa'!C$3:C$200, SMALL(IF(ISERROR('Temp Hisfa'!C$3:C$200), "", ROW('Temp Hisfa'!C$3:C$200)-MIN(ROW('Temp Hisfa'!C$3:C$200))+1), ROW(13:211))),"")</f>
        <v>0</v>
      </c>
      <c r="D15" s="3">
        <f t="array" ref="D15">IFERROR(INDEX('Temp Hisfa'!D$3:D$200, SMALL(IF(ISERROR('Temp Hisfa'!D$3:D$200), "", ROW('Temp Hisfa'!D$3:D$200)-MIN(ROW('Temp Hisfa'!D$3:D$200))+1), ROW(13:211))),"")</f>
        <v>0</v>
      </c>
      <c r="E15" s="29">
        <f t="array" ref="E15">IFERROR(INDEX('Temp Hisfa'!E$3:E$200, SMALL(IF(ISERROR('Temp Hisfa'!E$3:E$200), "", ROW('Temp Hisfa'!E$3:E$200)-MIN(ROW('Temp Hisfa'!E$3:E$200))+1), ROW(13:212))),"")</f>
        <v>0</v>
      </c>
      <c r="F15" s="22">
        <f t="array" ref="F15">IFERROR(INDEX('Temp Hisfa'!F$3:F$200, SMALL(IF(ISERROR('Temp Hisfa'!F$3:F$200), "", ROW('Temp Hisfa'!F$3:F$200)-MIN(ROW('Temp Hisfa'!F$3:F$200))+1), ROW(13:212))),"")</f>
        <v>0</v>
      </c>
      <c r="G15" s="30">
        <f t="array" ref="G15">IFERROR(INDEX('Temp Hisfa'!G$3:G$200, SMALL(IF(ISERROR('Temp Hisfa'!G$3:G$200), "", ROW('Temp Hisfa'!G$3:G$200)-MIN(ROW('Temp Hisfa'!G$3:G$200))+1), ROW(13:212))),"")</f>
        <v>0</v>
      </c>
      <c r="H15" s="22">
        <f t="array" ref="H15">IFERROR(INDEX('Temp Hisfa'!H$3:H$200, SMALL(IF(ISERROR('Temp Hisfa'!H$3:H$200), "", ROW('Temp Hisfa'!H$3:H$200)-MIN(ROW('Temp Hisfa'!H$3:H$200))+1), ROW(13:212))),"")</f>
        <v>0</v>
      </c>
      <c r="I15" s="22">
        <f t="array" ref="I15">IFERROR(INDEX('Temp Hisfa'!I$3:I$200, SMALL(IF(ISERROR('Temp Hisfa'!I$3:I$200), "", ROW('Temp Hisfa'!I$3:I$200)-MIN(ROW('Temp Hisfa'!I$3:I$200))+1), ROW(13:212))),"")</f>
        <v>0</v>
      </c>
      <c r="J15" s="22">
        <f t="array" ref="J15">IFERROR(INDEX('Temp Hisfa'!J$3:J$200, SMALL(IF(ISERROR('Temp Hisfa'!J$3:J$200), "", ROW('Temp Hisfa'!J$3:J$200)-MIN(ROW('Temp Hisfa'!J$3:J$200))+1), ROW(13:212))),"")</f>
        <v>0</v>
      </c>
      <c r="K15" s="30">
        <f t="array" ref="K15">IFERROR(INDEX('Temp Hisfa'!K$3:K$200, SMALL(IF(ISERROR('Temp Hisfa'!K$3:K$200), "", ROW('Temp Hisfa'!K$3:K$200)-MIN(ROW('Temp Hisfa'!K$3:K$200))+1), ROW(13:212))),"")</f>
        <v>0</v>
      </c>
      <c r="L15" s="22">
        <f t="array" ref="L15">IFERROR(INDEX('Temp Hisfa'!L$3:L$200, SMALL(IF(ISERROR('Temp Hisfa'!L$3:L$200), "", ROW('Temp Hisfa'!L$3:L$200)-MIN(ROW('Temp Hisfa'!L$3:L$200))+1), ROW(13:212))),"")</f>
        <v>0</v>
      </c>
      <c r="M15" s="22">
        <f t="array" ref="M15">IFERROR(INDEX('Temp Hisfa'!M$3:M$200, SMALL(IF(ISERROR('Temp Hisfa'!M$3:M$200), "", ROW('Temp Hisfa'!M$3:M$200)-MIN(ROW('Temp Hisfa'!M$3:M$200))+1), ROW(13:212))),"")</f>
        <v>0</v>
      </c>
      <c r="N15" s="22">
        <f t="array" ref="N15">IFERROR(INDEX('Temp Hisfa'!N$3:N$200, SMALL(IF(ISERROR('Temp Hisfa'!N$3:N$200), "", ROW('Temp Hisfa'!N$3:N$200)-MIN(ROW('Temp Hisfa'!N$3:N$200))+1), ROW(13:212))),"")</f>
        <v>1900</v>
      </c>
      <c r="O15" s="22" t="str">
        <f t="array" ref="O15">IFERROR(INDEX('Temp Hisfa'!O$3:O$200, SMALL(IF(ISERROR('Temp Hisfa'!O$3:O$200), "", ROW('Temp Hisfa'!O$3:O$200)-MIN(ROW('Temp Hisfa'!O$3:O$200))+1), ROW(13:212))),"")</f>
        <v>enero</v>
      </c>
      <c r="P15" s="22">
        <f t="array" ref="P15">IFERROR(INDEX('Temp Hisfa'!P$3:P$200, SMALL(IF(ISERROR('Temp Hisfa'!P$3:P$200), "", ROW('Temp Hisfa'!P$3:P$200)-MIN(ROW('Temp Hisfa'!P$3:P$200))+1), ROW(13:212))),"")</f>
        <v>0</v>
      </c>
      <c r="Q15" s="22">
        <f t="array" ref="Q15">IFERROR(INDEX('Temp Hisfa'!Q$3:Q$200, SMALL(IF(ISERROR('Temp Hisfa'!Q$3:Q$200), "", ROW('Temp Hisfa'!Q$3:Q$200)-MIN(ROW('Temp Hisfa'!Q$3:Q$200))+1), ROW(13:212))),"")</f>
        <v>0</v>
      </c>
      <c r="R15" s="22">
        <f t="array" ref="R15">IFERROR(INDEX('Temp Hisfa'!R$3:R$200, SMALL(IF(ISERROR('Temp Hisfa'!R$3:R$200), "", ROW('Temp Hisfa'!R$3:R$200)-MIN(ROW('Temp Hisfa'!R$3:R$200))+1), ROW(13:212))),"")</f>
        <v>0</v>
      </c>
      <c r="S15" s="22">
        <f t="array" ref="S15">IFERROR(INDEX('Temp Hisfa'!S$3:S$200, SMALL(IF(ISERROR('Temp Hisfa'!S$3:S$200), "", ROW('Temp Hisfa'!S$3:S$200)-MIN(ROW('Temp Hisfa'!S$3:S$200))+1), ROW(13:212))),"")</f>
        <v>0</v>
      </c>
      <c r="T15" s="22">
        <f t="array" ref="T15">IFERROR(INDEX('Temp Hisfa'!T$3:T$200, SMALL(IF(ISERROR('Temp Hisfa'!T$3:T$200), "", ROW('Temp Hisfa'!T$3:T$200)-MIN(ROW('Temp Hisfa'!T$3:T$200))+1), ROW(13:212))),"")</f>
        <v>0</v>
      </c>
      <c r="U15" s="22">
        <f t="array" ref="U15">IFERROR(INDEX('Temp Hisfa'!U$3:U$200, SMALL(IF(ISERROR('Temp Hisfa'!U$3:U$200), "", ROW('Temp Hisfa'!U$3:U$200)-MIN(ROW('Temp Hisfa'!U$3:U$200))+1), ROW(13:212))),"")</f>
        <v>0</v>
      </c>
      <c r="V15" s="22">
        <f t="array" ref="V15">IFERROR(INDEX('Temp Hisfa'!V$3:V$200, SMALL(IF(ISERROR('Temp Hisfa'!V$3:V$200), "", ROW('Temp Hisfa'!V$3:V$200)-MIN(ROW('Temp Hisfa'!V$3:V$200))+1), ROW(13:212))),"")</f>
        <v>0</v>
      </c>
      <c r="W15" s="22">
        <f t="array" ref="W15">IFERROR(INDEX('Temp Hisfa'!W$3:W$200, SMALL(IF(ISERROR('Temp Hisfa'!W$3:W$200), "", ROW('Temp Hisfa'!W$3:W$200)-MIN(ROW('Temp Hisfa'!W$3:W$200))+1), ROW(13:212))),"")</f>
        <v>0</v>
      </c>
      <c r="X15" s="22">
        <f t="array" ref="X15">IFERROR(INDEX('Temp Hisfa'!X$3:X$200, SMALL(IF(ISERROR('Temp Hisfa'!X$3:X$200), "", ROW('Temp Hisfa'!X$3:X$200)-MIN(ROW('Temp Hisfa'!X$3:X$200))+1), ROW(13:212))),"")</f>
        <v>0</v>
      </c>
      <c r="Y15" s="22">
        <f t="array" ref="Y15">IFERROR(INDEX('Temp Hisfa'!Y$3:Y$200, SMALL(IF(ISERROR('Temp Hisfa'!Y$3:Y$200), "", ROW('Temp Hisfa'!Y$3:Y$200)-MIN(ROW('Temp Hisfa'!Y$3:Y$200))+1), ROW(13:212))),"")</f>
        <v>0</v>
      </c>
      <c r="Z15" s="22">
        <f t="array" ref="Z15">IFERROR(INDEX('Temp Hisfa'!Z$3:Z$200, SMALL(IF(ISERROR('Temp Hisfa'!Z$3:Z$200), "", ROW('Temp Hisfa'!Z$3:Z$200)-MIN(ROW('Temp Hisfa'!Z$3:Z$200))+1), ROW(13:212))),"")</f>
        <v>0</v>
      </c>
      <c r="AA15" s="22">
        <f t="array" ref="AA15">IFERROR(INDEX('Temp Hisfa'!AA$3:AA$200, SMALL(IF(ISERROR('Temp Hisfa'!AA$3:AA$200), "", ROW('Temp Hisfa'!AA$3:AA$200)-MIN(ROW('Temp Hisfa'!AA$3:AA$200))+1), ROW(13:212))),"")</f>
        <v>0</v>
      </c>
      <c r="AB15" s="22">
        <f t="array" ref="AB15">IFERROR(INDEX('Temp Hisfa'!AB$3:AB$200, SMALL(IF(ISERROR('Temp Hisfa'!AB$3:AB$200), "", ROW('Temp Hisfa'!AB$3:AB$200)-MIN(ROW('Temp Hisfa'!AB$3:AB$200))+1), ROW(13:212))),"")</f>
        <v>0</v>
      </c>
    </row>
    <row r="16" spans="1:28" x14ac:dyDescent="0.3">
      <c r="A16" s="22">
        <f t="array" ref="A16">IFERROR(INDEX('Temp Hisfa'!A$3:A$200, SMALL(IF(ISERROR('Temp Hisfa'!A$3:A$200), "", ROW('Temp Hisfa'!A$3:A$200)-MIN(ROW('Temp Hisfa'!A$3:A$200))+1), ROW(14:212))),"")</f>
        <v>0</v>
      </c>
      <c r="B16" s="4">
        <f t="array" ref="B16">IFERROR(INDEX('Temp Hisfa'!B$3:B$200, SMALL(IF(ISERROR('Temp Hisfa'!B$3:B$200), "", ROW('Temp Hisfa'!B$3:B$200)-MIN(ROW('Temp Hisfa'!B$3:B$200))+1), ROW(14:212))),"")</f>
        <v>0</v>
      </c>
      <c r="C16" s="3">
        <f t="array" ref="C16">IFERROR(INDEX('Temp Hisfa'!C$3:C$200, SMALL(IF(ISERROR('Temp Hisfa'!C$3:C$200), "", ROW('Temp Hisfa'!C$3:C$200)-MIN(ROW('Temp Hisfa'!C$3:C$200))+1), ROW(14:212))),"")</f>
        <v>0</v>
      </c>
      <c r="D16" s="3">
        <f t="array" ref="D16">IFERROR(INDEX('Temp Hisfa'!D$3:D$200, SMALL(IF(ISERROR('Temp Hisfa'!D$3:D$200), "", ROW('Temp Hisfa'!D$3:D$200)-MIN(ROW('Temp Hisfa'!D$3:D$200))+1), ROW(14:212))),"")</f>
        <v>0</v>
      </c>
      <c r="E16" s="29">
        <f t="array" ref="E16">IFERROR(INDEX('Temp Hisfa'!E$3:E$200, SMALL(IF(ISERROR('Temp Hisfa'!E$3:E$200), "", ROW('Temp Hisfa'!E$3:E$200)-MIN(ROW('Temp Hisfa'!E$3:E$200))+1), ROW(14:213))),"")</f>
        <v>0</v>
      </c>
      <c r="F16" s="22">
        <f t="array" ref="F16">IFERROR(INDEX('Temp Hisfa'!F$3:F$200, SMALL(IF(ISERROR('Temp Hisfa'!F$3:F$200), "", ROW('Temp Hisfa'!F$3:F$200)-MIN(ROW('Temp Hisfa'!F$3:F$200))+1), ROW(14:213))),"")</f>
        <v>0</v>
      </c>
      <c r="G16" s="30">
        <f t="array" ref="G16">IFERROR(INDEX('Temp Hisfa'!G$3:G$200, SMALL(IF(ISERROR('Temp Hisfa'!G$3:G$200), "", ROW('Temp Hisfa'!G$3:G$200)-MIN(ROW('Temp Hisfa'!G$3:G$200))+1), ROW(14:213))),"")</f>
        <v>0</v>
      </c>
      <c r="H16" s="22">
        <f t="array" ref="H16">IFERROR(INDEX('Temp Hisfa'!H$3:H$200, SMALL(IF(ISERROR('Temp Hisfa'!H$3:H$200), "", ROW('Temp Hisfa'!H$3:H$200)-MIN(ROW('Temp Hisfa'!H$3:H$200))+1), ROW(14:213))),"")</f>
        <v>0</v>
      </c>
      <c r="I16" s="22">
        <f t="array" ref="I16">IFERROR(INDEX('Temp Hisfa'!I$3:I$200, SMALL(IF(ISERROR('Temp Hisfa'!I$3:I$200), "", ROW('Temp Hisfa'!I$3:I$200)-MIN(ROW('Temp Hisfa'!I$3:I$200))+1), ROW(14:213))),"")</f>
        <v>0</v>
      </c>
      <c r="J16" s="22">
        <f t="array" ref="J16">IFERROR(INDEX('Temp Hisfa'!J$3:J$200, SMALL(IF(ISERROR('Temp Hisfa'!J$3:J$200), "", ROW('Temp Hisfa'!J$3:J$200)-MIN(ROW('Temp Hisfa'!J$3:J$200))+1), ROW(14:213))),"")</f>
        <v>0</v>
      </c>
      <c r="K16" s="30">
        <f t="array" ref="K16">IFERROR(INDEX('Temp Hisfa'!K$3:K$200, SMALL(IF(ISERROR('Temp Hisfa'!K$3:K$200), "", ROW('Temp Hisfa'!K$3:K$200)-MIN(ROW('Temp Hisfa'!K$3:K$200))+1), ROW(14:213))),"")</f>
        <v>0</v>
      </c>
      <c r="L16" s="22">
        <f t="array" ref="L16">IFERROR(INDEX('Temp Hisfa'!L$3:L$200, SMALL(IF(ISERROR('Temp Hisfa'!L$3:L$200), "", ROW('Temp Hisfa'!L$3:L$200)-MIN(ROW('Temp Hisfa'!L$3:L$200))+1), ROW(14:213))),"")</f>
        <v>0</v>
      </c>
      <c r="M16" s="22">
        <f t="array" ref="M16">IFERROR(INDEX('Temp Hisfa'!M$3:M$200, SMALL(IF(ISERROR('Temp Hisfa'!M$3:M$200), "", ROW('Temp Hisfa'!M$3:M$200)-MIN(ROW('Temp Hisfa'!M$3:M$200))+1), ROW(14:213))),"")</f>
        <v>0</v>
      </c>
      <c r="N16" s="22">
        <f t="array" ref="N16">IFERROR(INDEX('Temp Hisfa'!N$3:N$200, SMALL(IF(ISERROR('Temp Hisfa'!N$3:N$200), "", ROW('Temp Hisfa'!N$3:N$200)-MIN(ROW('Temp Hisfa'!N$3:N$200))+1), ROW(14:213))),"")</f>
        <v>1900</v>
      </c>
      <c r="O16" s="22" t="str">
        <f t="array" ref="O16">IFERROR(INDEX('Temp Hisfa'!O$3:O$200, SMALL(IF(ISERROR('Temp Hisfa'!O$3:O$200), "", ROW('Temp Hisfa'!O$3:O$200)-MIN(ROW('Temp Hisfa'!O$3:O$200))+1), ROW(14:213))),"")</f>
        <v>enero</v>
      </c>
      <c r="P16" s="22">
        <f t="array" ref="P16">IFERROR(INDEX('Temp Hisfa'!P$3:P$200, SMALL(IF(ISERROR('Temp Hisfa'!P$3:P$200), "", ROW('Temp Hisfa'!P$3:P$200)-MIN(ROW('Temp Hisfa'!P$3:P$200))+1), ROW(14:213))),"")</f>
        <v>0</v>
      </c>
      <c r="Q16" s="22">
        <f t="array" ref="Q16">IFERROR(INDEX('Temp Hisfa'!Q$3:Q$200, SMALL(IF(ISERROR('Temp Hisfa'!Q$3:Q$200), "", ROW('Temp Hisfa'!Q$3:Q$200)-MIN(ROW('Temp Hisfa'!Q$3:Q$200))+1), ROW(14:213))),"")</f>
        <v>0</v>
      </c>
      <c r="R16" s="22">
        <f t="array" ref="R16">IFERROR(INDEX('Temp Hisfa'!R$3:R$200, SMALL(IF(ISERROR('Temp Hisfa'!R$3:R$200), "", ROW('Temp Hisfa'!R$3:R$200)-MIN(ROW('Temp Hisfa'!R$3:R$200))+1), ROW(14:213))),"")</f>
        <v>0</v>
      </c>
      <c r="S16" s="22">
        <f t="array" ref="S16">IFERROR(INDEX('Temp Hisfa'!S$3:S$200, SMALL(IF(ISERROR('Temp Hisfa'!S$3:S$200), "", ROW('Temp Hisfa'!S$3:S$200)-MIN(ROW('Temp Hisfa'!S$3:S$200))+1), ROW(14:213))),"")</f>
        <v>0</v>
      </c>
      <c r="T16" s="22">
        <f t="array" ref="T16">IFERROR(INDEX('Temp Hisfa'!T$3:T$200, SMALL(IF(ISERROR('Temp Hisfa'!T$3:T$200), "", ROW('Temp Hisfa'!T$3:T$200)-MIN(ROW('Temp Hisfa'!T$3:T$200))+1), ROW(14:213))),"")</f>
        <v>0</v>
      </c>
      <c r="U16" s="22">
        <f t="array" ref="U16">IFERROR(INDEX('Temp Hisfa'!U$3:U$200, SMALL(IF(ISERROR('Temp Hisfa'!U$3:U$200), "", ROW('Temp Hisfa'!U$3:U$200)-MIN(ROW('Temp Hisfa'!U$3:U$200))+1), ROW(14:213))),"")</f>
        <v>0</v>
      </c>
      <c r="V16" s="22">
        <f t="array" ref="V16">IFERROR(INDEX('Temp Hisfa'!V$3:V$200, SMALL(IF(ISERROR('Temp Hisfa'!V$3:V$200), "", ROW('Temp Hisfa'!V$3:V$200)-MIN(ROW('Temp Hisfa'!V$3:V$200))+1), ROW(14:213))),"")</f>
        <v>0</v>
      </c>
      <c r="W16" s="22">
        <f t="array" ref="W16">IFERROR(INDEX('Temp Hisfa'!W$3:W$200, SMALL(IF(ISERROR('Temp Hisfa'!W$3:W$200), "", ROW('Temp Hisfa'!W$3:W$200)-MIN(ROW('Temp Hisfa'!W$3:W$200))+1), ROW(14:213))),"")</f>
        <v>0</v>
      </c>
      <c r="X16" s="22">
        <f t="array" ref="X16">IFERROR(INDEX('Temp Hisfa'!X$3:X$200, SMALL(IF(ISERROR('Temp Hisfa'!X$3:X$200), "", ROW('Temp Hisfa'!X$3:X$200)-MIN(ROW('Temp Hisfa'!X$3:X$200))+1), ROW(14:213))),"")</f>
        <v>0</v>
      </c>
      <c r="Y16" s="22">
        <f t="array" ref="Y16">IFERROR(INDEX('Temp Hisfa'!Y$3:Y$200, SMALL(IF(ISERROR('Temp Hisfa'!Y$3:Y$200), "", ROW('Temp Hisfa'!Y$3:Y$200)-MIN(ROW('Temp Hisfa'!Y$3:Y$200))+1), ROW(14:213))),"")</f>
        <v>0</v>
      </c>
      <c r="Z16" s="22">
        <f t="array" ref="Z16">IFERROR(INDEX('Temp Hisfa'!Z$3:Z$200, SMALL(IF(ISERROR('Temp Hisfa'!Z$3:Z$200), "", ROW('Temp Hisfa'!Z$3:Z$200)-MIN(ROW('Temp Hisfa'!Z$3:Z$200))+1), ROW(14:213))),"")</f>
        <v>0</v>
      </c>
      <c r="AA16" s="22">
        <f t="array" ref="AA16">IFERROR(INDEX('Temp Hisfa'!AA$3:AA$200, SMALL(IF(ISERROR('Temp Hisfa'!AA$3:AA$200), "", ROW('Temp Hisfa'!AA$3:AA$200)-MIN(ROW('Temp Hisfa'!AA$3:AA$200))+1), ROW(14:213))),"")</f>
        <v>0</v>
      </c>
      <c r="AB16" s="22">
        <f t="array" ref="AB16">IFERROR(INDEX('Temp Hisfa'!AB$3:AB$200, SMALL(IF(ISERROR('Temp Hisfa'!AB$3:AB$200), "", ROW('Temp Hisfa'!AB$3:AB$200)-MIN(ROW('Temp Hisfa'!AB$3:AB$200))+1), ROW(14:213))),"")</f>
        <v>0</v>
      </c>
    </row>
    <row r="17" spans="1:31" x14ac:dyDescent="0.3">
      <c r="A17" s="22">
        <f t="array" ref="A17">IFERROR(INDEX('Temp Hisfa'!A$3:A$200, SMALL(IF(ISERROR('Temp Hisfa'!A$3:A$200), "", ROW('Temp Hisfa'!A$3:A$200)-MIN(ROW('Temp Hisfa'!A$3:A$200))+1), ROW(15:213))),"")</f>
        <v>0</v>
      </c>
      <c r="B17" s="4">
        <f t="array" ref="B17">IFERROR(INDEX('Temp Hisfa'!B$3:B$200, SMALL(IF(ISERROR('Temp Hisfa'!B$3:B$200), "", ROW('Temp Hisfa'!B$3:B$200)-MIN(ROW('Temp Hisfa'!B$3:B$200))+1), ROW(15:213))),"")</f>
        <v>0</v>
      </c>
      <c r="C17" s="3">
        <f t="array" ref="C17">IFERROR(INDEX('Temp Hisfa'!C$3:C$200, SMALL(IF(ISERROR('Temp Hisfa'!C$3:C$200), "", ROW('Temp Hisfa'!C$3:C$200)-MIN(ROW('Temp Hisfa'!C$3:C$200))+1), ROW(15:213))),"")</f>
        <v>0</v>
      </c>
      <c r="D17" s="3">
        <f t="array" ref="D17">IFERROR(INDEX('Temp Hisfa'!D$3:D$200, SMALL(IF(ISERROR('Temp Hisfa'!D$3:D$200), "", ROW('Temp Hisfa'!D$3:D$200)-MIN(ROW('Temp Hisfa'!D$3:D$200))+1), ROW(15:213))),"")</f>
        <v>0</v>
      </c>
      <c r="E17" s="29">
        <f t="array" ref="E17">IFERROR(INDEX('Temp Hisfa'!E$3:E$200, SMALL(IF(ISERROR('Temp Hisfa'!E$3:E$200), "", ROW('Temp Hisfa'!E$3:E$200)-MIN(ROW('Temp Hisfa'!E$3:E$200))+1), ROW(15:214))),"")</f>
        <v>0</v>
      </c>
      <c r="F17" s="22">
        <f t="array" ref="F17">IFERROR(INDEX('Temp Hisfa'!F$3:F$200, SMALL(IF(ISERROR('Temp Hisfa'!F$3:F$200), "", ROW('Temp Hisfa'!F$3:F$200)-MIN(ROW('Temp Hisfa'!F$3:F$200))+1), ROW(15:214))),"")</f>
        <v>0</v>
      </c>
      <c r="G17" s="30">
        <f t="array" ref="G17">IFERROR(INDEX('Temp Hisfa'!G$3:G$200, SMALL(IF(ISERROR('Temp Hisfa'!G$3:G$200), "", ROW('Temp Hisfa'!G$3:G$200)-MIN(ROW('Temp Hisfa'!G$3:G$200))+1), ROW(15:214))),"")</f>
        <v>0</v>
      </c>
      <c r="H17" s="22">
        <f t="array" ref="H17">IFERROR(INDEX('Temp Hisfa'!H$3:H$200, SMALL(IF(ISERROR('Temp Hisfa'!H$3:H$200), "", ROW('Temp Hisfa'!H$3:H$200)-MIN(ROW('Temp Hisfa'!H$3:H$200))+1), ROW(15:214))),"")</f>
        <v>0</v>
      </c>
      <c r="I17" s="22">
        <f t="array" ref="I17">IFERROR(INDEX('Temp Hisfa'!I$3:I$200, SMALL(IF(ISERROR('Temp Hisfa'!I$3:I$200), "", ROW('Temp Hisfa'!I$3:I$200)-MIN(ROW('Temp Hisfa'!I$3:I$200))+1), ROW(15:214))),"")</f>
        <v>0</v>
      </c>
      <c r="J17" s="22">
        <f t="array" ref="J17">IFERROR(INDEX('Temp Hisfa'!J$3:J$200, SMALL(IF(ISERROR('Temp Hisfa'!J$3:J$200), "", ROW('Temp Hisfa'!J$3:J$200)-MIN(ROW('Temp Hisfa'!J$3:J$200))+1), ROW(15:214))),"")</f>
        <v>0</v>
      </c>
      <c r="K17" s="30">
        <f t="array" ref="K17">IFERROR(INDEX('Temp Hisfa'!K$3:K$200, SMALL(IF(ISERROR('Temp Hisfa'!K$3:K$200), "", ROW('Temp Hisfa'!K$3:K$200)-MIN(ROW('Temp Hisfa'!K$3:K$200))+1), ROW(15:214))),"")</f>
        <v>0</v>
      </c>
      <c r="L17" s="22">
        <f t="array" ref="L17">IFERROR(INDEX('Temp Hisfa'!L$3:L$200, SMALL(IF(ISERROR('Temp Hisfa'!L$3:L$200), "", ROW('Temp Hisfa'!L$3:L$200)-MIN(ROW('Temp Hisfa'!L$3:L$200))+1), ROW(15:214))),"")</f>
        <v>0</v>
      </c>
      <c r="M17" s="22">
        <f t="array" ref="M17">IFERROR(INDEX('Temp Hisfa'!M$3:M$200, SMALL(IF(ISERROR('Temp Hisfa'!M$3:M$200), "", ROW('Temp Hisfa'!M$3:M$200)-MIN(ROW('Temp Hisfa'!M$3:M$200))+1), ROW(15:214))),"")</f>
        <v>0</v>
      </c>
      <c r="N17" s="22">
        <f t="array" ref="N17">IFERROR(INDEX('Temp Hisfa'!N$3:N$200, SMALL(IF(ISERROR('Temp Hisfa'!N$3:N$200), "", ROW('Temp Hisfa'!N$3:N$200)-MIN(ROW('Temp Hisfa'!N$3:N$200))+1), ROW(15:214))),"")</f>
        <v>1900</v>
      </c>
      <c r="O17" s="22" t="str">
        <f t="array" ref="O17">IFERROR(INDEX('Temp Hisfa'!O$3:O$200, SMALL(IF(ISERROR('Temp Hisfa'!O$3:O$200), "", ROW('Temp Hisfa'!O$3:O$200)-MIN(ROW('Temp Hisfa'!O$3:O$200))+1), ROW(15:214))),"")</f>
        <v>enero</v>
      </c>
      <c r="P17" s="22">
        <f t="array" ref="P17">IFERROR(INDEX('Temp Hisfa'!P$3:P$200, SMALL(IF(ISERROR('Temp Hisfa'!P$3:P$200), "", ROW('Temp Hisfa'!P$3:P$200)-MIN(ROW('Temp Hisfa'!P$3:P$200))+1), ROW(15:214))),"")</f>
        <v>0</v>
      </c>
      <c r="Q17" s="22">
        <f t="array" ref="Q17">IFERROR(INDEX('Temp Hisfa'!Q$3:Q$200, SMALL(IF(ISERROR('Temp Hisfa'!Q$3:Q$200), "", ROW('Temp Hisfa'!Q$3:Q$200)-MIN(ROW('Temp Hisfa'!Q$3:Q$200))+1), ROW(15:214))),"")</f>
        <v>0</v>
      </c>
      <c r="R17" s="22">
        <f t="array" ref="R17">IFERROR(INDEX('Temp Hisfa'!R$3:R$200, SMALL(IF(ISERROR('Temp Hisfa'!R$3:R$200), "", ROW('Temp Hisfa'!R$3:R$200)-MIN(ROW('Temp Hisfa'!R$3:R$200))+1), ROW(15:214))),"")</f>
        <v>0</v>
      </c>
      <c r="S17" s="22">
        <f t="array" ref="S17">IFERROR(INDEX('Temp Hisfa'!S$3:S$200, SMALL(IF(ISERROR('Temp Hisfa'!S$3:S$200), "", ROW('Temp Hisfa'!S$3:S$200)-MIN(ROW('Temp Hisfa'!S$3:S$200))+1), ROW(15:214))),"")</f>
        <v>0</v>
      </c>
      <c r="T17" s="22">
        <f t="array" ref="T17">IFERROR(INDEX('Temp Hisfa'!T$3:T$200, SMALL(IF(ISERROR('Temp Hisfa'!T$3:T$200), "", ROW('Temp Hisfa'!T$3:T$200)-MIN(ROW('Temp Hisfa'!T$3:T$200))+1), ROW(15:214))),"")</f>
        <v>0</v>
      </c>
      <c r="U17" s="22">
        <f t="array" ref="U17">IFERROR(INDEX('Temp Hisfa'!U$3:U$200, SMALL(IF(ISERROR('Temp Hisfa'!U$3:U$200), "", ROW('Temp Hisfa'!U$3:U$200)-MIN(ROW('Temp Hisfa'!U$3:U$200))+1), ROW(15:214))),"")</f>
        <v>0</v>
      </c>
      <c r="V17" s="22">
        <f t="array" ref="V17">IFERROR(INDEX('Temp Hisfa'!V$3:V$200, SMALL(IF(ISERROR('Temp Hisfa'!V$3:V$200), "", ROW('Temp Hisfa'!V$3:V$200)-MIN(ROW('Temp Hisfa'!V$3:V$200))+1), ROW(15:214))),"")</f>
        <v>0</v>
      </c>
      <c r="W17" s="22">
        <f t="array" ref="W17">IFERROR(INDEX('Temp Hisfa'!W$3:W$200, SMALL(IF(ISERROR('Temp Hisfa'!W$3:W$200), "", ROW('Temp Hisfa'!W$3:W$200)-MIN(ROW('Temp Hisfa'!W$3:W$200))+1), ROW(15:214))),"")</f>
        <v>0</v>
      </c>
      <c r="X17" s="22">
        <f t="array" ref="X17">IFERROR(INDEX('Temp Hisfa'!X$3:X$200, SMALL(IF(ISERROR('Temp Hisfa'!X$3:X$200), "", ROW('Temp Hisfa'!X$3:X$200)-MIN(ROW('Temp Hisfa'!X$3:X$200))+1), ROW(15:214))),"")</f>
        <v>0</v>
      </c>
      <c r="Y17" s="22">
        <f t="array" ref="Y17">IFERROR(INDEX('Temp Hisfa'!Y$3:Y$200, SMALL(IF(ISERROR('Temp Hisfa'!Y$3:Y$200), "", ROW('Temp Hisfa'!Y$3:Y$200)-MIN(ROW('Temp Hisfa'!Y$3:Y$200))+1), ROW(15:214))),"")</f>
        <v>0</v>
      </c>
      <c r="Z17" s="22">
        <f t="array" ref="Z17">IFERROR(INDEX('Temp Hisfa'!Z$3:Z$200, SMALL(IF(ISERROR('Temp Hisfa'!Z$3:Z$200), "", ROW('Temp Hisfa'!Z$3:Z$200)-MIN(ROW('Temp Hisfa'!Z$3:Z$200))+1), ROW(15:214))),"")</f>
        <v>0</v>
      </c>
      <c r="AA17" s="22">
        <f t="array" ref="AA17">IFERROR(INDEX('Temp Hisfa'!AA$3:AA$200, SMALL(IF(ISERROR('Temp Hisfa'!AA$3:AA$200), "", ROW('Temp Hisfa'!AA$3:AA$200)-MIN(ROW('Temp Hisfa'!AA$3:AA$200))+1), ROW(15:214))),"")</f>
        <v>0</v>
      </c>
      <c r="AB17" s="22">
        <f t="array" ref="AB17">IFERROR(INDEX('Temp Hisfa'!AB$3:AB$200, SMALL(IF(ISERROR('Temp Hisfa'!AB$3:AB$200), "", ROW('Temp Hisfa'!AB$3:AB$200)-MIN(ROW('Temp Hisfa'!AB$3:AB$200))+1), ROW(15:214))),"")</f>
        <v>0</v>
      </c>
    </row>
    <row r="18" spans="1:31" x14ac:dyDescent="0.3">
      <c r="A18" s="22">
        <f t="array" ref="A18">IFERROR(INDEX('Temp Hisfa'!A$3:A$200, SMALL(IF(ISERROR('Temp Hisfa'!A$3:A$200), "", ROW('Temp Hisfa'!A$3:A$200)-MIN(ROW('Temp Hisfa'!A$3:A$200))+1), ROW(16:214))),"")</f>
        <v>0</v>
      </c>
      <c r="B18" s="4">
        <f t="array" ref="B18">IFERROR(INDEX('Temp Hisfa'!B$3:B$200, SMALL(IF(ISERROR('Temp Hisfa'!B$3:B$200), "", ROW('Temp Hisfa'!B$3:B$200)-MIN(ROW('Temp Hisfa'!B$3:B$200))+1), ROW(16:214))),"")</f>
        <v>0</v>
      </c>
      <c r="C18" s="3">
        <f t="array" ref="C18">IFERROR(INDEX('Temp Hisfa'!C$3:C$200, SMALL(IF(ISERROR('Temp Hisfa'!C$3:C$200), "", ROW('Temp Hisfa'!C$3:C$200)-MIN(ROW('Temp Hisfa'!C$3:C$200))+1), ROW(16:214))),"")</f>
        <v>0</v>
      </c>
      <c r="D18" s="3">
        <f t="array" ref="D18">IFERROR(INDEX('Temp Hisfa'!D$3:D$200, SMALL(IF(ISERROR('Temp Hisfa'!D$3:D$200), "", ROW('Temp Hisfa'!D$3:D$200)-MIN(ROW('Temp Hisfa'!D$3:D$200))+1), ROW(16:214))),"")</f>
        <v>0</v>
      </c>
      <c r="E18" s="29">
        <f t="array" ref="E18">IFERROR(INDEX('Temp Hisfa'!E$3:E$200, SMALL(IF(ISERROR('Temp Hisfa'!E$3:E$200), "", ROW('Temp Hisfa'!E$3:E$200)-MIN(ROW('Temp Hisfa'!E$3:E$200))+1), ROW(16:215))),"")</f>
        <v>0</v>
      </c>
      <c r="F18" s="22">
        <f t="array" ref="F18">IFERROR(INDEX('Temp Hisfa'!F$3:F$200, SMALL(IF(ISERROR('Temp Hisfa'!F$3:F$200), "", ROW('Temp Hisfa'!F$3:F$200)-MIN(ROW('Temp Hisfa'!F$3:F$200))+1), ROW(16:215))),"")</f>
        <v>0</v>
      </c>
      <c r="G18" s="30">
        <f t="array" ref="G18">IFERROR(INDEX('Temp Hisfa'!G$3:G$200, SMALL(IF(ISERROR('Temp Hisfa'!G$3:G$200), "", ROW('Temp Hisfa'!G$3:G$200)-MIN(ROW('Temp Hisfa'!G$3:G$200))+1), ROW(16:215))),"")</f>
        <v>0</v>
      </c>
      <c r="H18" s="22">
        <f t="array" ref="H18">IFERROR(INDEX('Temp Hisfa'!H$3:H$200, SMALL(IF(ISERROR('Temp Hisfa'!H$3:H$200), "", ROW('Temp Hisfa'!H$3:H$200)-MIN(ROW('Temp Hisfa'!H$3:H$200))+1), ROW(16:215))),"")</f>
        <v>0</v>
      </c>
      <c r="I18" s="22">
        <f t="array" ref="I18">IFERROR(INDEX('Temp Hisfa'!I$3:I$200, SMALL(IF(ISERROR('Temp Hisfa'!I$3:I$200), "", ROW('Temp Hisfa'!I$3:I$200)-MIN(ROW('Temp Hisfa'!I$3:I$200))+1), ROW(16:215))),"")</f>
        <v>0</v>
      </c>
      <c r="J18" s="22">
        <f t="array" ref="J18">IFERROR(INDEX('Temp Hisfa'!J$3:J$200, SMALL(IF(ISERROR('Temp Hisfa'!J$3:J$200), "", ROW('Temp Hisfa'!J$3:J$200)-MIN(ROW('Temp Hisfa'!J$3:J$200))+1), ROW(16:215))),"")</f>
        <v>0</v>
      </c>
      <c r="K18" s="30">
        <f t="array" ref="K18">IFERROR(INDEX('Temp Hisfa'!K$3:K$200, SMALL(IF(ISERROR('Temp Hisfa'!K$3:K$200), "", ROW('Temp Hisfa'!K$3:K$200)-MIN(ROW('Temp Hisfa'!K$3:K$200))+1), ROW(16:215))),"")</f>
        <v>0</v>
      </c>
      <c r="L18" s="22">
        <f t="array" ref="L18">IFERROR(INDEX('Temp Hisfa'!L$3:L$200, SMALL(IF(ISERROR('Temp Hisfa'!L$3:L$200), "", ROW('Temp Hisfa'!L$3:L$200)-MIN(ROW('Temp Hisfa'!L$3:L$200))+1), ROW(16:215))),"")</f>
        <v>0</v>
      </c>
      <c r="M18" s="22">
        <f t="array" ref="M18">IFERROR(INDEX('Temp Hisfa'!M$3:M$200, SMALL(IF(ISERROR('Temp Hisfa'!M$3:M$200), "", ROW('Temp Hisfa'!M$3:M$200)-MIN(ROW('Temp Hisfa'!M$3:M$200))+1), ROW(16:215))),"")</f>
        <v>0</v>
      </c>
      <c r="N18" s="22">
        <f t="array" ref="N18">IFERROR(INDEX('Temp Hisfa'!N$3:N$200, SMALL(IF(ISERROR('Temp Hisfa'!N$3:N$200), "", ROW('Temp Hisfa'!N$3:N$200)-MIN(ROW('Temp Hisfa'!N$3:N$200))+1), ROW(16:215))),"")</f>
        <v>1900</v>
      </c>
      <c r="O18" s="22" t="str">
        <f t="array" ref="O18">IFERROR(INDEX('Temp Hisfa'!O$3:O$200, SMALL(IF(ISERROR('Temp Hisfa'!O$3:O$200), "", ROW('Temp Hisfa'!O$3:O$200)-MIN(ROW('Temp Hisfa'!O$3:O$200))+1), ROW(16:215))),"")</f>
        <v>enero</v>
      </c>
      <c r="P18" s="22">
        <f t="array" ref="P18">IFERROR(INDEX('Temp Hisfa'!P$3:P$200, SMALL(IF(ISERROR('Temp Hisfa'!P$3:P$200), "", ROW('Temp Hisfa'!P$3:P$200)-MIN(ROW('Temp Hisfa'!P$3:P$200))+1), ROW(16:215))),"")</f>
        <v>0</v>
      </c>
      <c r="Q18" s="22">
        <f t="array" ref="Q18">IFERROR(INDEX('Temp Hisfa'!Q$3:Q$200, SMALL(IF(ISERROR('Temp Hisfa'!Q$3:Q$200), "", ROW('Temp Hisfa'!Q$3:Q$200)-MIN(ROW('Temp Hisfa'!Q$3:Q$200))+1), ROW(16:215))),"")</f>
        <v>0</v>
      </c>
      <c r="R18" s="22">
        <f t="array" ref="R18">IFERROR(INDEX('Temp Hisfa'!R$3:R$200, SMALL(IF(ISERROR('Temp Hisfa'!R$3:R$200), "", ROW('Temp Hisfa'!R$3:R$200)-MIN(ROW('Temp Hisfa'!R$3:R$200))+1), ROW(16:215))),"")</f>
        <v>0</v>
      </c>
      <c r="S18" s="22">
        <f t="array" ref="S18">IFERROR(INDEX('Temp Hisfa'!S$3:S$200, SMALL(IF(ISERROR('Temp Hisfa'!S$3:S$200), "", ROW('Temp Hisfa'!S$3:S$200)-MIN(ROW('Temp Hisfa'!S$3:S$200))+1), ROW(16:215))),"")</f>
        <v>0</v>
      </c>
      <c r="T18" s="22">
        <f t="array" ref="T18">IFERROR(INDEX('Temp Hisfa'!T$3:T$200, SMALL(IF(ISERROR('Temp Hisfa'!T$3:T$200), "", ROW('Temp Hisfa'!T$3:T$200)-MIN(ROW('Temp Hisfa'!T$3:T$200))+1), ROW(16:215))),"")</f>
        <v>0</v>
      </c>
      <c r="U18" s="22">
        <f t="array" ref="U18">IFERROR(INDEX('Temp Hisfa'!U$3:U$200, SMALL(IF(ISERROR('Temp Hisfa'!U$3:U$200), "", ROW('Temp Hisfa'!U$3:U$200)-MIN(ROW('Temp Hisfa'!U$3:U$200))+1), ROW(16:215))),"")</f>
        <v>0</v>
      </c>
      <c r="V18" s="22">
        <f t="array" ref="V18">IFERROR(INDEX('Temp Hisfa'!V$3:V$200, SMALL(IF(ISERROR('Temp Hisfa'!V$3:V$200), "", ROW('Temp Hisfa'!V$3:V$200)-MIN(ROW('Temp Hisfa'!V$3:V$200))+1), ROW(16:215))),"")</f>
        <v>0</v>
      </c>
      <c r="W18" s="22">
        <f t="array" ref="W18">IFERROR(INDEX('Temp Hisfa'!W$3:W$200, SMALL(IF(ISERROR('Temp Hisfa'!W$3:W$200), "", ROW('Temp Hisfa'!W$3:W$200)-MIN(ROW('Temp Hisfa'!W$3:W$200))+1), ROW(16:215))),"")</f>
        <v>0</v>
      </c>
      <c r="X18" s="22">
        <f t="array" ref="X18">IFERROR(INDEX('Temp Hisfa'!X$3:X$200, SMALL(IF(ISERROR('Temp Hisfa'!X$3:X$200), "", ROW('Temp Hisfa'!X$3:X$200)-MIN(ROW('Temp Hisfa'!X$3:X$200))+1), ROW(16:215))),"")</f>
        <v>0</v>
      </c>
      <c r="Y18" s="22">
        <f t="array" ref="Y18">IFERROR(INDEX('Temp Hisfa'!Y$3:Y$200, SMALL(IF(ISERROR('Temp Hisfa'!Y$3:Y$200), "", ROW('Temp Hisfa'!Y$3:Y$200)-MIN(ROW('Temp Hisfa'!Y$3:Y$200))+1), ROW(16:215))),"")</f>
        <v>0</v>
      </c>
      <c r="Z18" s="22">
        <f t="array" ref="Z18">IFERROR(INDEX('Temp Hisfa'!Z$3:Z$200, SMALL(IF(ISERROR('Temp Hisfa'!Z$3:Z$200), "", ROW('Temp Hisfa'!Z$3:Z$200)-MIN(ROW('Temp Hisfa'!Z$3:Z$200))+1), ROW(16:215))),"")</f>
        <v>0</v>
      </c>
      <c r="AA18" s="22">
        <f t="array" ref="AA18">IFERROR(INDEX('Temp Hisfa'!AA$3:AA$200, SMALL(IF(ISERROR('Temp Hisfa'!AA$3:AA$200), "", ROW('Temp Hisfa'!AA$3:AA$200)-MIN(ROW('Temp Hisfa'!AA$3:AA$200))+1), ROW(16:215))),"")</f>
        <v>0</v>
      </c>
      <c r="AB18" s="22">
        <f t="array" ref="AB18">IFERROR(INDEX('Temp Hisfa'!AB$3:AB$200, SMALL(IF(ISERROR('Temp Hisfa'!AB$3:AB$200), "", ROW('Temp Hisfa'!AB$3:AB$200)-MIN(ROW('Temp Hisfa'!AB$3:AB$200))+1), ROW(16:215))),"")</f>
        <v>0</v>
      </c>
    </row>
    <row r="19" spans="1:31" x14ac:dyDescent="0.3">
      <c r="A19" s="22">
        <f t="array" ref="A19">IFERROR(INDEX('Temp Hisfa'!A$3:A$200, SMALL(IF(ISERROR('Temp Hisfa'!A$3:A$200), "", ROW('Temp Hisfa'!A$3:A$200)-MIN(ROW('Temp Hisfa'!A$3:A$200))+1), ROW(17:215))),"")</f>
        <v>0</v>
      </c>
      <c r="B19" s="4">
        <f t="array" ref="B19">IFERROR(INDEX('Temp Hisfa'!B$3:B$200, SMALL(IF(ISERROR('Temp Hisfa'!B$3:B$200), "", ROW('Temp Hisfa'!B$3:B$200)-MIN(ROW('Temp Hisfa'!B$3:B$200))+1), ROW(17:215))),"")</f>
        <v>0</v>
      </c>
      <c r="C19" s="3">
        <f t="array" ref="C19">IFERROR(INDEX('Temp Hisfa'!C$3:C$200, SMALL(IF(ISERROR('Temp Hisfa'!C$3:C$200), "", ROW('Temp Hisfa'!C$3:C$200)-MIN(ROW('Temp Hisfa'!C$3:C$200))+1), ROW(17:215))),"")</f>
        <v>0</v>
      </c>
      <c r="D19" s="3">
        <f t="array" ref="D19">IFERROR(INDEX('Temp Hisfa'!D$3:D$200, SMALL(IF(ISERROR('Temp Hisfa'!D$3:D$200), "", ROW('Temp Hisfa'!D$3:D$200)-MIN(ROW('Temp Hisfa'!D$3:D$200))+1), ROW(17:215))),"")</f>
        <v>0</v>
      </c>
      <c r="E19" s="29">
        <f t="array" ref="E19">IFERROR(INDEX('Temp Hisfa'!E$3:E$200, SMALL(IF(ISERROR('Temp Hisfa'!E$3:E$200), "", ROW('Temp Hisfa'!E$3:E$200)-MIN(ROW('Temp Hisfa'!E$3:E$200))+1), ROW(17:216))),"")</f>
        <v>0</v>
      </c>
      <c r="F19" s="22">
        <f t="array" ref="F19">IFERROR(INDEX('Temp Hisfa'!F$3:F$200, SMALL(IF(ISERROR('Temp Hisfa'!F$3:F$200), "", ROW('Temp Hisfa'!F$3:F$200)-MIN(ROW('Temp Hisfa'!F$3:F$200))+1), ROW(17:216))),"")</f>
        <v>0</v>
      </c>
      <c r="G19" s="30">
        <f t="array" ref="G19">IFERROR(INDEX('Temp Hisfa'!G$3:G$200, SMALL(IF(ISERROR('Temp Hisfa'!G$3:G$200), "", ROW('Temp Hisfa'!G$3:G$200)-MIN(ROW('Temp Hisfa'!G$3:G$200))+1), ROW(17:216))),"")</f>
        <v>0</v>
      </c>
      <c r="H19" s="22">
        <f t="array" ref="H19">IFERROR(INDEX('Temp Hisfa'!H$3:H$200, SMALL(IF(ISERROR('Temp Hisfa'!H$3:H$200), "", ROW('Temp Hisfa'!H$3:H$200)-MIN(ROW('Temp Hisfa'!H$3:H$200))+1), ROW(17:216))),"")</f>
        <v>0</v>
      </c>
      <c r="I19" s="22">
        <f t="array" ref="I19">IFERROR(INDEX('Temp Hisfa'!I$3:I$200, SMALL(IF(ISERROR('Temp Hisfa'!I$3:I$200), "", ROW('Temp Hisfa'!I$3:I$200)-MIN(ROW('Temp Hisfa'!I$3:I$200))+1), ROW(17:216))),"")</f>
        <v>0</v>
      </c>
      <c r="J19" s="22">
        <f t="array" ref="J19">IFERROR(INDEX('Temp Hisfa'!J$3:J$200, SMALL(IF(ISERROR('Temp Hisfa'!J$3:J$200), "", ROW('Temp Hisfa'!J$3:J$200)-MIN(ROW('Temp Hisfa'!J$3:J$200))+1), ROW(17:216))),"")</f>
        <v>0</v>
      </c>
      <c r="K19" s="30">
        <f t="array" ref="K19">IFERROR(INDEX('Temp Hisfa'!K$3:K$200, SMALL(IF(ISERROR('Temp Hisfa'!K$3:K$200), "", ROW('Temp Hisfa'!K$3:K$200)-MIN(ROW('Temp Hisfa'!K$3:K$200))+1), ROW(17:216))),"")</f>
        <v>0</v>
      </c>
      <c r="L19" s="22">
        <f t="array" ref="L19">IFERROR(INDEX('Temp Hisfa'!L$3:L$200, SMALL(IF(ISERROR('Temp Hisfa'!L$3:L$200), "", ROW('Temp Hisfa'!L$3:L$200)-MIN(ROW('Temp Hisfa'!L$3:L$200))+1), ROW(17:216))),"")</f>
        <v>0</v>
      </c>
      <c r="M19" s="22">
        <f t="array" ref="M19">IFERROR(INDEX('Temp Hisfa'!M$3:M$200, SMALL(IF(ISERROR('Temp Hisfa'!M$3:M$200), "", ROW('Temp Hisfa'!M$3:M$200)-MIN(ROW('Temp Hisfa'!M$3:M$200))+1), ROW(17:216))),"")</f>
        <v>0</v>
      </c>
      <c r="N19" s="22">
        <f t="array" ref="N19">IFERROR(INDEX('Temp Hisfa'!N$3:N$200, SMALL(IF(ISERROR('Temp Hisfa'!N$3:N$200), "", ROW('Temp Hisfa'!N$3:N$200)-MIN(ROW('Temp Hisfa'!N$3:N$200))+1), ROW(17:216))),"")</f>
        <v>1900</v>
      </c>
      <c r="O19" s="22" t="str">
        <f t="array" ref="O19">IFERROR(INDEX('Temp Hisfa'!O$3:O$200, SMALL(IF(ISERROR('Temp Hisfa'!O$3:O$200), "", ROW('Temp Hisfa'!O$3:O$200)-MIN(ROW('Temp Hisfa'!O$3:O$200))+1), ROW(17:216))),"")</f>
        <v>enero</v>
      </c>
      <c r="P19" s="22">
        <f t="array" ref="P19">IFERROR(INDEX('Temp Hisfa'!P$3:P$200, SMALL(IF(ISERROR('Temp Hisfa'!P$3:P$200), "", ROW('Temp Hisfa'!P$3:P$200)-MIN(ROW('Temp Hisfa'!P$3:P$200))+1), ROW(17:216))),"")</f>
        <v>0</v>
      </c>
      <c r="Q19" s="22">
        <f t="array" ref="Q19">IFERROR(INDEX('Temp Hisfa'!Q$3:Q$200, SMALL(IF(ISERROR('Temp Hisfa'!Q$3:Q$200), "", ROW('Temp Hisfa'!Q$3:Q$200)-MIN(ROW('Temp Hisfa'!Q$3:Q$200))+1), ROW(17:216))),"")</f>
        <v>0</v>
      </c>
      <c r="R19" s="22">
        <f t="array" ref="R19">IFERROR(INDEX('Temp Hisfa'!R$3:R$200, SMALL(IF(ISERROR('Temp Hisfa'!R$3:R$200), "", ROW('Temp Hisfa'!R$3:R$200)-MIN(ROW('Temp Hisfa'!R$3:R$200))+1), ROW(17:216))),"")</f>
        <v>0</v>
      </c>
      <c r="S19" s="22">
        <f t="array" ref="S19">IFERROR(INDEX('Temp Hisfa'!S$3:S$200, SMALL(IF(ISERROR('Temp Hisfa'!S$3:S$200), "", ROW('Temp Hisfa'!S$3:S$200)-MIN(ROW('Temp Hisfa'!S$3:S$200))+1), ROW(17:216))),"")</f>
        <v>0</v>
      </c>
      <c r="T19" s="22">
        <f t="array" ref="T19">IFERROR(INDEX('Temp Hisfa'!T$3:T$200, SMALL(IF(ISERROR('Temp Hisfa'!T$3:T$200), "", ROW('Temp Hisfa'!T$3:T$200)-MIN(ROW('Temp Hisfa'!T$3:T$200))+1), ROW(17:216))),"")</f>
        <v>0</v>
      </c>
      <c r="U19" s="22">
        <f t="array" ref="U19">IFERROR(INDEX('Temp Hisfa'!U$3:U$200, SMALL(IF(ISERROR('Temp Hisfa'!U$3:U$200), "", ROW('Temp Hisfa'!U$3:U$200)-MIN(ROW('Temp Hisfa'!U$3:U$200))+1), ROW(17:216))),"")</f>
        <v>0</v>
      </c>
      <c r="V19" s="22">
        <f t="array" ref="V19">IFERROR(INDEX('Temp Hisfa'!V$3:V$200, SMALL(IF(ISERROR('Temp Hisfa'!V$3:V$200), "", ROW('Temp Hisfa'!V$3:V$200)-MIN(ROW('Temp Hisfa'!V$3:V$200))+1), ROW(17:216))),"")</f>
        <v>0</v>
      </c>
      <c r="W19" s="22">
        <f t="array" ref="W19">IFERROR(INDEX('Temp Hisfa'!W$3:W$200, SMALL(IF(ISERROR('Temp Hisfa'!W$3:W$200), "", ROW('Temp Hisfa'!W$3:W$200)-MIN(ROW('Temp Hisfa'!W$3:W$200))+1), ROW(17:216))),"")</f>
        <v>0</v>
      </c>
      <c r="X19" s="22">
        <f t="array" ref="X19">IFERROR(INDEX('Temp Hisfa'!X$3:X$200, SMALL(IF(ISERROR('Temp Hisfa'!X$3:X$200), "", ROW('Temp Hisfa'!X$3:X$200)-MIN(ROW('Temp Hisfa'!X$3:X$200))+1), ROW(17:216))),"")</f>
        <v>0</v>
      </c>
      <c r="Y19" s="22">
        <f t="array" ref="Y19">IFERROR(INDEX('Temp Hisfa'!Y$3:Y$200, SMALL(IF(ISERROR('Temp Hisfa'!Y$3:Y$200), "", ROW('Temp Hisfa'!Y$3:Y$200)-MIN(ROW('Temp Hisfa'!Y$3:Y$200))+1), ROW(17:216))),"")</f>
        <v>0</v>
      </c>
      <c r="Z19" s="22">
        <f t="array" ref="Z19">IFERROR(INDEX('Temp Hisfa'!Z$3:Z$200, SMALL(IF(ISERROR('Temp Hisfa'!Z$3:Z$200), "", ROW('Temp Hisfa'!Z$3:Z$200)-MIN(ROW('Temp Hisfa'!Z$3:Z$200))+1), ROW(17:216))),"")</f>
        <v>0</v>
      </c>
      <c r="AA19" s="22">
        <f t="array" ref="AA19">IFERROR(INDEX('Temp Hisfa'!AA$3:AA$200, SMALL(IF(ISERROR('Temp Hisfa'!AA$3:AA$200), "", ROW('Temp Hisfa'!AA$3:AA$200)-MIN(ROW('Temp Hisfa'!AA$3:AA$200))+1), ROW(17:216))),"")</f>
        <v>0</v>
      </c>
      <c r="AB19" s="22">
        <f t="array" ref="AB19">IFERROR(INDEX('Temp Hisfa'!AB$3:AB$200, SMALL(IF(ISERROR('Temp Hisfa'!AB$3:AB$200), "", ROW('Temp Hisfa'!AB$3:AB$200)-MIN(ROW('Temp Hisfa'!AB$3:AB$200))+1), ROW(17:216))),"")</f>
        <v>0</v>
      </c>
    </row>
    <row r="20" spans="1:31" x14ac:dyDescent="0.3">
      <c r="A20" s="22">
        <f t="array" ref="A20">IFERROR(INDEX('Temp Hisfa'!A$3:A$200, SMALL(IF(ISERROR('Temp Hisfa'!A$3:A$200), "", ROW('Temp Hisfa'!A$3:A$200)-MIN(ROW('Temp Hisfa'!A$3:A$200))+1), ROW(18:216))),"")</f>
        <v>0</v>
      </c>
      <c r="B20" s="4">
        <f t="array" ref="B20">IFERROR(INDEX('Temp Hisfa'!B$3:B$200, SMALL(IF(ISERROR('Temp Hisfa'!B$3:B$200), "", ROW('Temp Hisfa'!B$3:B$200)-MIN(ROW('Temp Hisfa'!B$3:B$200))+1), ROW(18:216))),"")</f>
        <v>0</v>
      </c>
      <c r="C20" s="3">
        <f t="array" ref="C20">IFERROR(INDEX('Temp Hisfa'!C$3:C$200, SMALL(IF(ISERROR('Temp Hisfa'!C$3:C$200), "", ROW('Temp Hisfa'!C$3:C$200)-MIN(ROW('Temp Hisfa'!C$3:C$200))+1), ROW(18:216))),"")</f>
        <v>0</v>
      </c>
      <c r="D20" s="3">
        <f t="array" ref="D20">IFERROR(INDEX('Temp Hisfa'!D$3:D$200, SMALL(IF(ISERROR('Temp Hisfa'!D$3:D$200), "", ROW('Temp Hisfa'!D$3:D$200)-MIN(ROW('Temp Hisfa'!D$3:D$200))+1), ROW(18:216))),"")</f>
        <v>0</v>
      </c>
      <c r="E20" s="29">
        <f t="array" ref="E20">IFERROR(INDEX('Temp Hisfa'!E$3:E$200, SMALL(IF(ISERROR('Temp Hisfa'!E$3:E$200), "", ROW('Temp Hisfa'!E$3:E$200)-MIN(ROW('Temp Hisfa'!E$3:E$200))+1), ROW(18:217))),"")</f>
        <v>0</v>
      </c>
      <c r="F20" s="22">
        <f t="array" ref="F20">IFERROR(INDEX('Temp Hisfa'!F$3:F$200, SMALL(IF(ISERROR('Temp Hisfa'!F$3:F$200), "", ROW('Temp Hisfa'!F$3:F$200)-MIN(ROW('Temp Hisfa'!F$3:F$200))+1), ROW(18:217))),"")</f>
        <v>0</v>
      </c>
      <c r="G20" s="30">
        <f t="array" ref="G20">IFERROR(INDEX('Temp Hisfa'!G$3:G$200, SMALL(IF(ISERROR('Temp Hisfa'!G$3:G$200), "", ROW('Temp Hisfa'!G$3:G$200)-MIN(ROW('Temp Hisfa'!G$3:G$200))+1), ROW(18:217))),"")</f>
        <v>0</v>
      </c>
      <c r="H20" s="22">
        <f t="array" ref="H20">IFERROR(INDEX('Temp Hisfa'!H$3:H$200, SMALL(IF(ISERROR('Temp Hisfa'!H$3:H$200), "", ROW('Temp Hisfa'!H$3:H$200)-MIN(ROW('Temp Hisfa'!H$3:H$200))+1), ROW(18:217))),"")</f>
        <v>0</v>
      </c>
      <c r="I20" s="22">
        <f t="array" ref="I20">IFERROR(INDEX('Temp Hisfa'!I$3:I$200, SMALL(IF(ISERROR('Temp Hisfa'!I$3:I$200), "", ROW('Temp Hisfa'!I$3:I$200)-MIN(ROW('Temp Hisfa'!I$3:I$200))+1), ROW(18:217))),"")</f>
        <v>0</v>
      </c>
      <c r="J20" s="22">
        <f t="array" ref="J20">IFERROR(INDEX('Temp Hisfa'!J$3:J$200, SMALL(IF(ISERROR('Temp Hisfa'!J$3:J$200), "", ROW('Temp Hisfa'!J$3:J$200)-MIN(ROW('Temp Hisfa'!J$3:J$200))+1), ROW(18:217))),"")</f>
        <v>0</v>
      </c>
      <c r="K20" s="30">
        <f t="array" ref="K20">IFERROR(INDEX('Temp Hisfa'!K$3:K$200, SMALL(IF(ISERROR('Temp Hisfa'!K$3:K$200), "", ROW('Temp Hisfa'!K$3:K$200)-MIN(ROW('Temp Hisfa'!K$3:K$200))+1), ROW(18:217))),"")</f>
        <v>0</v>
      </c>
      <c r="L20" s="22">
        <f t="array" ref="L20">IFERROR(INDEX('Temp Hisfa'!L$3:L$200, SMALL(IF(ISERROR('Temp Hisfa'!L$3:L$200), "", ROW('Temp Hisfa'!L$3:L$200)-MIN(ROW('Temp Hisfa'!L$3:L$200))+1), ROW(18:217))),"")</f>
        <v>0</v>
      </c>
      <c r="M20" s="22">
        <f t="array" ref="M20">IFERROR(INDEX('Temp Hisfa'!M$3:M$200, SMALL(IF(ISERROR('Temp Hisfa'!M$3:M$200), "", ROW('Temp Hisfa'!M$3:M$200)-MIN(ROW('Temp Hisfa'!M$3:M$200))+1), ROW(18:217))),"")</f>
        <v>0</v>
      </c>
      <c r="N20" s="22">
        <f t="array" ref="N20">IFERROR(INDEX('Temp Hisfa'!N$3:N$200, SMALL(IF(ISERROR('Temp Hisfa'!N$3:N$200), "", ROW('Temp Hisfa'!N$3:N$200)-MIN(ROW('Temp Hisfa'!N$3:N$200))+1), ROW(18:217))),"")</f>
        <v>1900</v>
      </c>
      <c r="O20" s="22" t="str">
        <f t="array" ref="O20">IFERROR(INDEX('Temp Hisfa'!O$3:O$200, SMALL(IF(ISERROR('Temp Hisfa'!O$3:O$200), "", ROW('Temp Hisfa'!O$3:O$200)-MIN(ROW('Temp Hisfa'!O$3:O$200))+1), ROW(18:217))),"")</f>
        <v>enero</v>
      </c>
      <c r="P20" s="22">
        <f t="array" ref="P20">IFERROR(INDEX('Temp Hisfa'!P$3:P$200, SMALL(IF(ISERROR('Temp Hisfa'!P$3:P$200), "", ROW('Temp Hisfa'!P$3:P$200)-MIN(ROW('Temp Hisfa'!P$3:P$200))+1), ROW(18:217))),"")</f>
        <v>0</v>
      </c>
      <c r="Q20" s="22">
        <f t="array" ref="Q20">IFERROR(INDEX('Temp Hisfa'!Q$3:Q$200, SMALL(IF(ISERROR('Temp Hisfa'!Q$3:Q$200), "", ROW('Temp Hisfa'!Q$3:Q$200)-MIN(ROW('Temp Hisfa'!Q$3:Q$200))+1), ROW(18:217))),"")</f>
        <v>0</v>
      </c>
      <c r="R20" s="22">
        <f t="array" ref="R20">IFERROR(INDEX('Temp Hisfa'!R$3:R$200, SMALL(IF(ISERROR('Temp Hisfa'!R$3:R$200), "", ROW('Temp Hisfa'!R$3:R$200)-MIN(ROW('Temp Hisfa'!R$3:R$200))+1), ROW(18:217))),"")</f>
        <v>0</v>
      </c>
      <c r="S20" s="22">
        <f t="array" ref="S20">IFERROR(INDEX('Temp Hisfa'!S$3:S$200, SMALL(IF(ISERROR('Temp Hisfa'!S$3:S$200), "", ROW('Temp Hisfa'!S$3:S$200)-MIN(ROW('Temp Hisfa'!S$3:S$200))+1), ROW(18:217))),"")</f>
        <v>0</v>
      </c>
      <c r="T20" s="22">
        <f t="array" ref="T20">IFERROR(INDEX('Temp Hisfa'!T$3:T$200, SMALL(IF(ISERROR('Temp Hisfa'!T$3:T$200), "", ROW('Temp Hisfa'!T$3:T$200)-MIN(ROW('Temp Hisfa'!T$3:T$200))+1), ROW(18:217))),"")</f>
        <v>0</v>
      </c>
      <c r="U20" s="22">
        <f t="array" ref="U20">IFERROR(INDEX('Temp Hisfa'!U$3:U$200, SMALL(IF(ISERROR('Temp Hisfa'!U$3:U$200), "", ROW('Temp Hisfa'!U$3:U$200)-MIN(ROW('Temp Hisfa'!U$3:U$200))+1), ROW(18:217))),"")</f>
        <v>0</v>
      </c>
      <c r="V20" s="22">
        <f t="array" ref="V20">IFERROR(INDEX('Temp Hisfa'!V$3:V$200, SMALL(IF(ISERROR('Temp Hisfa'!V$3:V$200), "", ROW('Temp Hisfa'!V$3:V$200)-MIN(ROW('Temp Hisfa'!V$3:V$200))+1), ROW(18:217))),"")</f>
        <v>0</v>
      </c>
      <c r="W20" s="22">
        <f t="array" ref="W20">IFERROR(INDEX('Temp Hisfa'!W$3:W$200, SMALL(IF(ISERROR('Temp Hisfa'!W$3:W$200), "", ROW('Temp Hisfa'!W$3:W$200)-MIN(ROW('Temp Hisfa'!W$3:W$200))+1), ROW(18:217))),"")</f>
        <v>0</v>
      </c>
      <c r="X20" s="22">
        <f t="array" ref="X20">IFERROR(INDEX('Temp Hisfa'!X$3:X$200, SMALL(IF(ISERROR('Temp Hisfa'!X$3:X$200), "", ROW('Temp Hisfa'!X$3:X$200)-MIN(ROW('Temp Hisfa'!X$3:X$200))+1), ROW(18:217))),"")</f>
        <v>0</v>
      </c>
      <c r="Y20" s="22">
        <f t="array" ref="Y20">IFERROR(INDEX('Temp Hisfa'!Y$3:Y$200, SMALL(IF(ISERROR('Temp Hisfa'!Y$3:Y$200), "", ROW('Temp Hisfa'!Y$3:Y$200)-MIN(ROW('Temp Hisfa'!Y$3:Y$200))+1), ROW(18:217))),"")</f>
        <v>0</v>
      </c>
      <c r="Z20" s="22">
        <f t="array" ref="Z20">IFERROR(INDEX('Temp Hisfa'!Z$3:Z$200, SMALL(IF(ISERROR('Temp Hisfa'!Z$3:Z$200), "", ROW('Temp Hisfa'!Z$3:Z$200)-MIN(ROW('Temp Hisfa'!Z$3:Z$200))+1), ROW(18:217))),"")</f>
        <v>0</v>
      </c>
      <c r="AA20" s="22">
        <f t="array" ref="AA20">IFERROR(INDEX('Temp Hisfa'!AA$3:AA$200, SMALL(IF(ISERROR('Temp Hisfa'!AA$3:AA$200), "", ROW('Temp Hisfa'!AA$3:AA$200)-MIN(ROW('Temp Hisfa'!AA$3:AA$200))+1), ROW(18:217))),"")</f>
        <v>0</v>
      </c>
      <c r="AB20" s="22">
        <f t="array" ref="AB20">IFERROR(INDEX('Temp Hisfa'!AB$3:AB$200, SMALL(IF(ISERROR('Temp Hisfa'!AB$3:AB$200), "", ROW('Temp Hisfa'!AB$3:AB$200)-MIN(ROW('Temp Hisfa'!AB$3:AB$200))+1), ROW(18:217))),"")</f>
        <v>0</v>
      </c>
    </row>
    <row r="21" spans="1:31" x14ac:dyDescent="0.3">
      <c r="A21" s="22">
        <f t="array" ref="A21">IFERROR(INDEX('Temp Hisfa'!A$3:A$200, SMALL(IF(ISERROR('Temp Hisfa'!A$3:A$200), "", ROW('Temp Hisfa'!A$3:A$200)-MIN(ROW('Temp Hisfa'!A$3:A$200))+1), ROW(19:217))),"")</f>
        <v>0</v>
      </c>
      <c r="B21" s="4">
        <f t="array" ref="B21">IFERROR(INDEX('Temp Hisfa'!B$3:B$200, SMALL(IF(ISERROR('Temp Hisfa'!B$3:B$200), "", ROW('Temp Hisfa'!B$3:B$200)-MIN(ROW('Temp Hisfa'!B$3:B$200))+1), ROW(19:217))),"")</f>
        <v>0</v>
      </c>
      <c r="C21" s="3">
        <f t="array" ref="C21">IFERROR(INDEX('Temp Hisfa'!C$3:C$200, SMALL(IF(ISERROR('Temp Hisfa'!C$3:C$200), "", ROW('Temp Hisfa'!C$3:C$200)-MIN(ROW('Temp Hisfa'!C$3:C$200))+1), ROW(19:217))),"")</f>
        <v>0</v>
      </c>
      <c r="D21" s="3">
        <f t="array" ref="D21">IFERROR(INDEX('Temp Hisfa'!D$3:D$200, SMALL(IF(ISERROR('Temp Hisfa'!D$3:D$200), "", ROW('Temp Hisfa'!D$3:D$200)-MIN(ROW('Temp Hisfa'!D$3:D$200))+1), ROW(19:217))),"")</f>
        <v>0</v>
      </c>
      <c r="E21" s="29">
        <f t="array" ref="E21">IFERROR(INDEX('Temp Hisfa'!E$3:E$200, SMALL(IF(ISERROR('Temp Hisfa'!E$3:E$200), "", ROW('Temp Hisfa'!E$3:E$200)-MIN(ROW('Temp Hisfa'!E$3:E$200))+1), ROW(19:218))),"")</f>
        <v>0</v>
      </c>
      <c r="F21" s="22">
        <f t="array" ref="F21">IFERROR(INDEX('Temp Hisfa'!F$3:F$200, SMALL(IF(ISERROR('Temp Hisfa'!F$3:F$200), "", ROW('Temp Hisfa'!F$3:F$200)-MIN(ROW('Temp Hisfa'!F$3:F$200))+1), ROW(19:218))),"")</f>
        <v>0</v>
      </c>
      <c r="G21" s="30">
        <f t="array" ref="G21">IFERROR(INDEX('Temp Hisfa'!G$3:G$200, SMALL(IF(ISERROR('Temp Hisfa'!G$3:G$200), "", ROW('Temp Hisfa'!G$3:G$200)-MIN(ROW('Temp Hisfa'!G$3:G$200))+1), ROW(19:218))),"")</f>
        <v>0</v>
      </c>
      <c r="H21" s="22">
        <f t="array" ref="H21">IFERROR(INDEX('Temp Hisfa'!H$3:H$200, SMALL(IF(ISERROR('Temp Hisfa'!H$3:H$200), "", ROW('Temp Hisfa'!H$3:H$200)-MIN(ROW('Temp Hisfa'!H$3:H$200))+1), ROW(19:218))),"")</f>
        <v>0</v>
      </c>
      <c r="I21" s="22">
        <f t="array" ref="I21">IFERROR(INDEX('Temp Hisfa'!I$3:I$200, SMALL(IF(ISERROR('Temp Hisfa'!I$3:I$200), "", ROW('Temp Hisfa'!I$3:I$200)-MIN(ROW('Temp Hisfa'!I$3:I$200))+1), ROW(19:218))),"")</f>
        <v>0</v>
      </c>
      <c r="J21" s="22">
        <f t="array" ref="J21">IFERROR(INDEX('Temp Hisfa'!J$3:J$200, SMALL(IF(ISERROR('Temp Hisfa'!J$3:J$200), "", ROW('Temp Hisfa'!J$3:J$200)-MIN(ROW('Temp Hisfa'!J$3:J$200))+1), ROW(19:218))),"")</f>
        <v>0</v>
      </c>
      <c r="K21" s="30">
        <f t="array" ref="K21">IFERROR(INDEX('Temp Hisfa'!K$3:K$200, SMALL(IF(ISERROR('Temp Hisfa'!K$3:K$200), "", ROW('Temp Hisfa'!K$3:K$200)-MIN(ROW('Temp Hisfa'!K$3:K$200))+1), ROW(19:218))),"")</f>
        <v>0</v>
      </c>
      <c r="L21" s="22">
        <f t="array" ref="L21">IFERROR(INDEX('Temp Hisfa'!L$3:L$200, SMALL(IF(ISERROR('Temp Hisfa'!L$3:L$200), "", ROW('Temp Hisfa'!L$3:L$200)-MIN(ROW('Temp Hisfa'!L$3:L$200))+1), ROW(19:218))),"")</f>
        <v>0</v>
      </c>
      <c r="M21" s="22">
        <f t="array" ref="M21">IFERROR(INDEX('Temp Hisfa'!M$3:M$200, SMALL(IF(ISERROR('Temp Hisfa'!M$3:M$200), "", ROW('Temp Hisfa'!M$3:M$200)-MIN(ROW('Temp Hisfa'!M$3:M$200))+1), ROW(19:218))),"")</f>
        <v>0</v>
      </c>
      <c r="N21" s="22">
        <f t="array" ref="N21">IFERROR(INDEX('Temp Hisfa'!N$3:N$200, SMALL(IF(ISERROR('Temp Hisfa'!N$3:N$200), "", ROW('Temp Hisfa'!N$3:N$200)-MIN(ROW('Temp Hisfa'!N$3:N$200))+1), ROW(19:218))),"")</f>
        <v>1900</v>
      </c>
      <c r="O21" s="22" t="str">
        <f t="array" ref="O21">IFERROR(INDEX('Temp Hisfa'!O$3:O$200, SMALL(IF(ISERROR('Temp Hisfa'!O$3:O$200), "", ROW('Temp Hisfa'!O$3:O$200)-MIN(ROW('Temp Hisfa'!O$3:O$200))+1), ROW(19:218))),"")</f>
        <v>enero</v>
      </c>
      <c r="P21" s="22">
        <f t="array" ref="P21">IFERROR(INDEX('Temp Hisfa'!P$3:P$200, SMALL(IF(ISERROR('Temp Hisfa'!P$3:P$200), "", ROW('Temp Hisfa'!P$3:P$200)-MIN(ROW('Temp Hisfa'!P$3:P$200))+1), ROW(19:218))),"")</f>
        <v>0</v>
      </c>
      <c r="Q21" s="22">
        <f t="array" ref="Q21">IFERROR(INDEX('Temp Hisfa'!Q$3:Q$200, SMALL(IF(ISERROR('Temp Hisfa'!Q$3:Q$200), "", ROW('Temp Hisfa'!Q$3:Q$200)-MIN(ROW('Temp Hisfa'!Q$3:Q$200))+1), ROW(19:218))),"")</f>
        <v>0</v>
      </c>
      <c r="R21" s="22">
        <f t="array" ref="R21">IFERROR(INDEX('Temp Hisfa'!R$3:R$200, SMALL(IF(ISERROR('Temp Hisfa'!R$3:R$200), "", ROW('Temp Hisfa'!R$3:R$200)-MIN(ROW('Temp Hisfa'!R$3:R$200))+1), ROW(19:218))),"")</f>
        <v>0</v>
      </c>
      <c r="S21" s="22">
        <f t="array" ref="S21">IFERROR(INDEX('Temp Hisfa'!S$3:S$200, SMALL(IF(ISERROR('Temp Hisfa'!S$3:S$200), "", ROW('Temp Hisfa'!S$3:S$200)-MIN(ROW('Temp Hisfa'!S$3:S$200))+1), ROW(19:218))),"")</f>
        <v>0</v>
      </c>
      <c r="T21" s="22">
        <f t="array" ref="T21">IFERROR(INDEX('Temp Hisfa'!T$3:T$200, SMALL(IF(ISERROR('Temp Hisfa'!T$3:T$200), "", ROW('Temp Hisfa'!T$3:T$200)-MIN(ROW('Temp Hisfa'!T$3:T$200))+1), ROW(19:218))),"")</f>
        <v>0</v>
      </c>
      <c r="U21" s="22">
        <f t="array" ref="U21">IFERROR(INDEX('Temp Hisfa'!U$3:U$200, SMALL(IF(ISERROR('Temp Hisfa'!U$3:U$200), "", ROW('Temp Hisfa'!U$3:U$200)-MIN(ROW('Temp Hisfa'!U$3:U$200))+1), ROW(19:218))),"")</f>
        <v>0</v>
      </c>
      <c r="V21" s="22">
        <f t="array" ref="V21">IFERROR(INDEX('Temp Hisfa'!V$3:V$200, SMALL(IF(ISERROR('Temp Hisfa'!V$3:V$200), "", ROW('Temp Hisfa'!V$3:V$200)-MIN(ROW('Temp Hisfa'!V$3:V$200))+1), ROW(19:218))),"")</f>
        <v>0</v>
      </c>
      <c r="W21" s="22">
        <f t="array" ref="W21">IFERROR(INDEX('Temp Hisfa'!W$3:W$200, SMALL(IF(ISERROR('Temp Hisfa'!W$3:W$200), "", ROW('Temp Hisfa'!W$3:W$200)-MIN(ROW('Temp Hisfa'!W$3:W$200))+1), ROW(19:218))),"")</f>
        <v>0</v>
      </c>
      <c r="X21" s="22">
        <f t="array" ref="X21">IFERROR(INDEX('Temp Hisfa'!X$3:X$200, SMALL(IF(ISERROR('Temp Hisfa'!X$3:X$200), "", ROW('Temp Hisfa'!X$3:X$200)-MIN(ROW('Temp Hisfa'!X$3:X$200))+1), ROW(19:218))),"")</f>
        <v>0</v>
      </c>
      <c r="Y21" s="22">
        <f t="array" ref="Y21">IFERROR(INDEX('Temp Hisfa'!Y$3:Y$200, SMALL(IF(ISERROR('Temp Hisfa'!Y$3:Y$200), "", ROW('Temp Hisfa'!Y$3:Y$200)-MIN(ROW('Temp Hisfa'!Y$3:Y$200))+1), ROW(19:218))),"")</f>
        <v>0</v>
      </c>
      <c r="Z21" s="22">
        <f t="array" ref="Z21">IFERROR(INDEX('Temp Hisfa'!Z$3:Z$200, SMALL(IF(ISERROR('Temp Hisfa'!Z$3:Z$200), "", ROW('Temp Hisfa'!Z$3:Z$200)-MIN(ROW('Temp Hisfa'!Z$3:Z$200))+1), ROW(19:218))),"")</f>
        <v>0</v>
      </c>
      <c r="AA21" s="22">
        <f t="array" ref="AA21">IFERROR(INDEX('Temp Hisfa'!AA$3:AA$200, SMALL(IF(ISERROR('Temp Hisfa'!AA$3:AA$200), "", ROW('Temp Hisfa'!AA$3:AA$200)-MIN(ROW('Temp Hisfa'!AA$3:AA$200))+1), ROW(19:218))),"")</f>
        <v>0</v>
      </c>
      <c r="AB21" s="22">
        <f t="array" ref="AB21">IFERROR(INDEX('Temp Hisfa'!AB$3:AB$200, SMALL(IF(ISERROR('Temp Hisfa'!AB$3:AB$200), "", ROW('Temp Hisfa'!AB$3:AB$200)-MIN(ROW('Temp Hisfa'!AB$3:AB$200))+1), ROW(19:218))),"")</f>
        <v>0</v>
      </c>
    </row>
    <row r="22" spans="1:31" x14ac:dyDescent="0.3">
      <c r="A22" s="22">
        <f t="array" ref="A22">IFERROR(INDEX('Temp Hisfa'!A$3:A$200, SMALL(IF(ISERROR('Temp Hisfa'!A$3:A$200), "", ROW('Temp Hisfa'!A$3:A$200)-MIN(ROW('Temp Hisfa'!A$3:A$200))+1), ROW(20:218))),"")</f>
        <v>0</v>
      </c>
      <c r="B22" s="4">
        <f t="array" ref="B22">IFERROR(INDEX('Temp Hisfa'!B$3:B$200, SMALL(IF(ISERROR('Temp Hisfa'!B$3:B$200), "", ROW('Temp Hisfa'!B$3:B$200)-MIN(ROW('Temp Hisfa'!B$3:B$200))+1), ROW(20:218))),"")</f>
        <v>0</v>
      </c>
      <c r="C22" s="3">
        <f t="array" ref="C22">IFERROR(INDEX('Temp Hisfa'!C$3:C$200, SMALL(IF(ISERROR('Temp Hisfa'!C$3:C$200), "", ROW('Temp Hisfa'!C$3:C$200)-MIN(ROW('Temp Hisfa'!C$3:C$200))+1), ROW(20:218))),"")</f>
        <v>0</v>
      </c>
      <c r="D22" s="3">
        <f t="array" ref="D22">IFERROR(INDEX('Temp Hisfa'!D$3:D$200, SMALL(IF(ISERROR('Temp Hisfa'!D$3:D$200), "", ROW('Temp Hisfa'!D$3:D$200)-MIN(ROW('Temp Hisfa'!D$3:D$200))+1), ROW(20:218))),"")</f>
        <v>0</v>
      </c>
      <c r="E22" s="29">
        <f t="array" ref="E22">IFERROR(INDEX('Temp Hisfa'!E$3:E$200, SMALL(IF(ISERROR('Temp Hisfa'!E$3:E$200), "", ROW('Temp Hisfa'!E$3:E$200)-MIN(ROW('Temp Hisfa'!E$3:E$200))+1), ROW(20:219))),"")</f>
        <v>0</v>
      </c>
      <c r="F22" s="22">
        <f t="array" ref="F22">IFERROR(INDEX('Temp Hisfa'!F$3:F$200, SMALL(IF(ISERROR('Temp Hisfa'!F$3:F$200), "", ROW('Temp Hisfa'!F$3:F$200)-MIN(ROW('Temp Hisfa'!F$3:F$200))+1), ROW(20:219))),"")</f>
        <v>0</v>
      </c>
      <c r="G22" s="30">
        <f t="array" ref="G22">IFERROR(INDEX('Temp Hisfa'!G$3:G$200, SMALL(IF(ISERROR('Temp Hisfa'!G$3:G$200), "", ROW('Temp Hisfa'!G$3:G$200)-MIN(ROW('Temp Hisfa'!G$3:G$200))+1), ROW(20:219))),"")</f>
        <v>0</v>
      </c>
      <c r="H22" s="22">
        <f t="array" ref="H22">IFERROR(INDEX('Temp Hisfa'!H$3:H$200, SMALL(IF(ISERROR('Temp Hisfa'!H$3:H$200), "", ROW('Temp Hisfa'!H$3:H$200)-MIN(ROW('Temp Hisfa'!H$3:H$200))+1), ROW(20:219))),"")</f>
        <v>0</v>
      </c>
      <c r="I22" s="22">
        <f t="array" ref="I22">IFERROR(INDEX('Temp Hisfa'!I$3:I$200, SMALL(IF(ISERROR('Temp Hisfa'!I$3:I$200), "", ROW('Temp Hisfa'!I$3:I$200)-MIN(ROW('Temp Hisfa'!I$3:I$200))+1), ROW(20:219))),"")</f>
        <v>0</v>
      </c>
      <c r="J22" s="22">
        <f t="array" ref="J22">IFERROR(INDEX('Temp Hisfa'!J$3:J$200, SMALL(IF(ISERROR('Temp Hisfa'!J$3:J$200), "", ROW('Temp Hisfa'!J$3:J$200)-MIN(ROW('Temp Hisfa'!J$3:J$200))+1), ROW(20:219))),"")</f>
        <v>0</v>
      </c>
      <c r="K22" s="30">
        <f t="array" ref="K22">IFERROR(INDEX('Temp Hisfa'!K$3:K$200, SMALL(IF(ISERROR('Temp Hisfa'!K$3:K$200), "", ROW('Temp Hisfa'!K$3:K$200)-MIN(ROW('Temp Hisfa'!K$3:K$200))+1), ROW(20:219))),"")</f>
        <v>0</v>
      </c>
      <c r="L22" s="22">
        <f t="array" ref="L22">IFERROR(INDEX('Temp Hisfa'!L$3:L$200, SMALL(IF(ISERROR('Temp Hisfa'!L$3:L$200), "", ROW('Temp Hisfa'!L$3:L$200)-MIN(ROW('Temp Hisfa'!L$3:L$200))+1), ROW(20:219))),"")</f>
        <v>0</v>
      </c>
      <c r="M22" s="22">
        <f t="array" ref="M22">IFERROR(INDEX('Temp Hisfa'!M$3:M$200, SMALL(IF(ISERROR('Temp Hisfa'!M$3:M$200), "", ROW('Temp Hisfa'!M$3:M$200)-MIN(ROW('Temp Hisfa'!M$3:M$200))+1), ROW(20:219))),"")</f>
        <v>0</v>
      </c>
      <c r="N22" s="22">
        <f t="array" ref="N22">IFERROR(INDEX('Temp Hisfa'!N$3:N$200, SMALL(IF(ISERROR('Temp Hisfa'!N$3:N$200), "", ROW('Temp Hisfa'!N$3:N$200)-MIN(ROW('Temp Hisfa'!N$3:N$200))+1), ROW(20:219))),"")</f>
        <v>1900</v>
      </c>
      <c r="O22" s="22" t="str">
        <f t="array" ref="O22">IFERROR(INDEX('Temp Hisfa'!O$3:O$200, SMALL(IF(ISERROR('Temp Hisfa'!O$3:O$200), "", ROW('Temp Hisfa'!O$3:O$200)-MIN(ROW('Temp Hisfa'!O$3:O$200))+1), ROW(20:219))),"")</f>
        <v>enero</v>
      </c>
      <c r="P22" s="22">
        <f t="array" ref="P22">IFERROR(INDEX('Temp Hisfa'!P$3:P$200, SMALL(IF(ISERROR('Temp Hisfa'!P$3:P$200), "", ROW('Temp Hisfa'!P$3:P$200)-MIN(ROW('Temp Hisfa'!P$3:P$200))+1), ROW(20:219))),"")</f>
        <v>0</v>
      </c>
      <c r="Q22" s="22">
        <f t="array" ref="Q22">IFERROR(INDEX('Temp Hisfa'!Q$3:Q$200, SMALL(IF(ISERROR('Temp Hisfa'!Q$3:Q$200), "", ROW('Temp Hisfa'!Q$3:Q$200)-MIN(ROW('Temp Hisfa'!Q$3:Q$200))+1), ROW(20:219))),"")</f>
        <v>0</v>
      </c>
      <c r="R22" s="22">
        <f t="array" ref="R22">IFERROR(INDEX('Temp Hisfa'!R$3:R$200, SMALL(IF(ISERROR('Temp Hisfa'!R$3:R$200), "", ROW('Temp Hisfa'!R$3:R$200)-MIN(ROW('Temp Hisfa'!R$3:R$200))+1), ROW(20:219))),"")</f>
        <v>0</v>
      </c>
      <c r="S22" s="22">
        <f t="array" ref="S22">IFERROR(INDEX('Temp Hisfa'!S$3:S$200, SMALL(IF(ISERROR('Temp Hisfa'!S$3:S$200), "", ROW('Temp Hisfa'!S$3:S$200)-MIN(ROW('Temp Hisfa'!S$3:S$200))+1), ROW(20:219))),"")</f>
        <v>0</v>
      </c>
      <c r="T22" s="22">
        <f t="array" ref="T22">IFERROR(INDEX('Temp Hisfa'!T$3:T$200, SMALL(IF(ISERROR('Temp Hisfa'!T$3:T$200), "", ROW('Temp Hisfa'!T$3:T$200)-MIN(ROW('Temp Hisfa'!T$3:T$200))+1), ROW(20:219))),"")</f>
        <v>0</v>
      </c>
      <c r="U22" s="22">
        <f t="array" ref="U22">IFERROR(INDEX('Temp Hisfa'!U$3:U$200, SMALL(IF(ISERROR('Temp Hisfa'!U$3:U$200), "", ROW('Temp Hisfa'!U$3:U$200)-MIN(ROW('Temp Hisfa'!U$3:U$200))+1), ROW(20:219))),"")</f>
        <v>0</v>
      </c>
      <c r="V22" s="22">
        <f t="array" ref="V22">IFERROR(INDEX('Temp Hisfa'!V$3:V$200, SMALL(IF(ISERROR('Temp Hisfa'!V$3:V$200), "", ROW('Temp Hisfa'!V$3:V$200)-MIN(ROW('Temp Hisfa'!V$3:V$200))+1), ROW(20:219))),"")</f>
        <v>0</v>
      </c>
      <c r="W22" s="22">
        <f t="array" ref="W22">IFERROR(INDEX('Temp Hisfa'!W$3:W$200, SMALL(IF(ISERROR('Temp Hisfa'!W$3:W$200), "", ROW('Temp Hisfa'!W$3:W$200)-MIN(ROW('Temp Hisfa'!W$3:W$200))+1), ROW(20:219))),"")</f>
        <v>0</v>
      </c>
      <c r="X22" s="22">
        <f t="array" ref="X22">IFERROR(INDEX('Temp Hisfa'!X$3:X$200, SMALL(IF(ISERROR('Temp Hisfa'!X$3:X$200), "", ROW('Temp Hisfa'!X$3:X$200)-MIN(ROW('Temp Hisfa'!X$3:X$200))+1), ROW(20:219))),"")</f>
        <v>0</v>
      </c>
      <c r="Y22" s="22">
        <f t="array" ref="Y22">IFERROR(INDEX('Temp Hisfa'!Y$3:Y$200, SMALL(IF(ISERROR('Temp Hisfa'!Y$3:Y$200), "", ROW('Temp Hisfa'!Y$3:Y$200)-MIN(ROW('Temp Hisfa'!Y$3:Y$200))+1), ROW(20:219))),"")</f>
        <v>0</v>
      </c>
      <c r="Z22" s="22">
        <f t="array" ref="Z22">IFERROR(INDEX('Temp Hisfa'!Z$3:Z$200, SMALL(IF(ISERROR('Temp Hisfa'!Z$3:Z$200), "", ROW('Temp Hisfa'!Z$3:Z$200)-MIN(ROW('Temp Hisfa'!Z$3:Z$200))+1), ROW(20:219))),"")</f>
        <v>0</v>
      </c>
      <c r="AA22" s="22">
        <f t="array" ref="AA22">IFERROR(INDEX('Temp Hisfa'!AA$3:AA$200, SMALL(IF(ISERROR('Temp Hisfa'!AA$3:AA$200), "", ROW('Temp Hisfa'!AA$3:AA$200)-MIN(ROW('Temp Hisfa'!AA$3:AA$200))+1), ROW(20:219))),"")</f>
        <v>0</v>
      </c>
      <c r="AB22" s="22">
        <f t="array" ref="AB22">IFERROR(INDEX('Temp Hisfa'!AB$3:AB$200, SMALL(IF(ISERROR('Temp Hisfa'!AB$3:AB$200), "", ROW('Temp Hisfa'!AB$3:AB$200)-MIN(ROW('Temp Hisfa'!AB$3:AB$200))+1), ROW(20:219))),"")</f>
        <v>0</v>
      </c>
    </row>
    <row r="23" spans="1:31" x14ac:dyDescent="0.3">
      <c r="A23" s="22">
        <f t="array" ref="A23">IFERROR(INDEX('Temp Hisfa'!A$3:A$200, SMALL(IF(ISERROR('Temp Hisfa'!A$3:A$200), "", ROW('Temp Hisfa'!A$3:A$200)-MIN(ROW('Temp Hisfa'!A$3:A$200))+1), ROW(21:219))),"")</f>
        <v>0</v>
      </c>
      <c r="B23" s="4">
        <f t="array" ref="B23">IFERROR(INDEX('Temp Hisfa'!B$3:B$200, SMALL(IF(ISERROR('Temp Hisfa'!B$3:B$200), "", ROW('Temp Hisfa'!B$3:B$200)-MIN(ROW('Temp Hisfa'!B$3:B$200))+1), ROW(21:219))),"")</f>
        <v>0</v>
      </c>
      <c r="C23" s="3">
        <f t="array" ref="C23">IFERROR(INDEX('Temp Hisfa'!C$3:C$200, SMALL(IF(ISERROR('Temp Hisfa'!C$3:C$200), "", ROW('Temp Hisfa'!C$3:C$200)-MIN(ROW('Temp Hisfa'!C$3:C$200))+1), ROW(21:219))),"")</f>
        <v>0</v>
      </c>
      <c r="D23" s="3">
        <f t="array" ref="D23">IFERROR(INDEX('Temp Hisfa'!D$3:D$200, SMALL(IF(ISERROR('Temp Hisfa'!D$3:D$200), "", ROW('Temp Hisfa'!D$3:D$200)-MIN(ROW('Temp Hisfa'!D$3:D$200))+1), ROW(21:219))),"")</f>
        <v>0</v>
      </c>
      <c r="E23" s="29">
        <f t="array" ref="E23">IFERROR(INDEX('Temp Hisfa'!E$3:E$200, SMALL(IF(ISERROR('Temp Hisfa'!E$3:E$200), "", ROW('Temp Hisfa'!E$3:E$200)-MIN(ROW('Temp Hisfa'!E$3:E$200))+1), ROW(21:220))),"")</f>
        <v>0</v>
      </c>
      <c r="F23" s="22">
        <f t="array" ref="F23">IFERROR(INDEX('Temp Hisfa'!F$3:F$200, SMALL(IF(ISERROR('Temp Hisfa'!F$3:F$200), "", ROW('Temp Hisfa'!F$3:F$200)-MIN(ROW('Temp Hisfa'!F$3:F$200))+1), ROW(21:220))),"")</f>
        <v>0</v>
      </c>
      <c r="G23" s="30">
        <f t="array" ref="G23">IFERROR(INDEX('Temp Hisfa'!G$3:G$200, SMALL(IF(ISERROR('Temp Hisfa'!G$3:G$200), "", ROW('Temp Hisfa'!G$3:G$200)-MIN(ROW('Temp Hisfa'!G$3:G$200))+1), ROW(21:220))),"")</f>
        <v>0</v>
      </c>
      <c r="H23" s="22">
        <f t="array" ref="H23">IFERROR(INDEX('Temp Hisfa'!H$3:H$200, SMALL(IF(ISERROR('Temp Hisfa'!H$3:H$200), "", ROW('Temp Hisfa'!H$3:H$200)-MIN(ROW('Temp Hisfa'!H$3:H$200))+1), ROW(21:220))),"")</f>
        <v>0</v>
      </c>
      <c r="I23" s="22">
        <f t="array" ref="I23">IFERROR(INDEX('Temp Hisfa'!I$3:I$200, SMALL(IF(ISERROR('Temp Hisfa'!I$3:I$200), "", ROW('Temp Hisfa'!I$3:I$200)-MIN(ROW('Temp Hisfa'!I$3:I$200))+1), ROW(21:220))),"")</f>
        <v>0</v>
      </c>
      <c r="J23" s="22">
        <f t="array" ref="J23">IFERROR(INDEX('Temp Hisfa'!J$3:J$200, SMALL(IF(ISERROR('Temp Hisfa'!J$3:J$200), "", ROW('Temp Hisfa'!J$3:J$200)-MIN(ROW('Temp Hisfa'!J$3:J$200))+1), ROW(21:220))),"")</f>
        <v>0</v>
      </c>
      <c r="K23" s="30">
        <f t="array" ref="K23">IFERROR(INDEX('Temp Hisfa'!K$3:K$200, SMALL(IF(ISERROR('Temp Hisfa'!K$3:K$200), "", ROW('Temp Hisfa'!K$3:K$200)-MIN(ROW('Temp Hisfa'!K$3:K$200))+1), ROW(21:220))),"")</f>
        <v>0</v>
      </c>
      <c r="L23" s="22">
        <f t="array" ref="L23">IFERROR(INDEX('Temp Hisfa'!L$3:L$200, SMALL(IF(ISERROR('Temp Hisfa'!L$3:L$200), "", ROW('Temp Hisfa'!L$3:L$200)-MIN(ROW('Temp Hisfa'!L$3:L$200))+1), ROW(21:220))),"")</f>
        <v>0</v>
      </c>
      <c r="M23" s="22">
        <f t="array" ref="M23">IFERROR(INDEX('Temp Hisfa'!M$3:M$200, SMALL(IF(ISERROR('Temp Hisfa'!M$3:M$200), "", ROW('Temp Hisfa'!M$3:M$200)-MIN(ROW('Temp Hisfa'!M$3:M$200))+1), ROW(21:220))),"")</f>
        <v>0</v>
      </c>
      <c r="N23" s="22">
        <f t="array" ref="N23">IFERROR(INDEX('Temp Hisfa'!N$3:N$200, SMALL(IF(ISERROR('Temp Hisfa'!N$3:N$200), "", ROW('Temp Hisfa'!N$3:N$200)-MIN(ROW('Temp Hisfa'!N$3:N$200))+1), ROW(21:220))),"")</f>
        <v>1900</v>
      </c>
      <c r="O23" s="22" t="str">
        <f t="array" ref="O23">IFERROR(INDEX('Temp Hisfa'!O$3:O$200, SMALL(IF(ISERROR('Temp Hisfa'!O$3:O$200), "", ROW('Temp Hisfa'!O$3:O$200)-MIN(ROW('Temp Hisfa'!O$3:O$200))+1), ROW(21:220))),"")</f>
        <v>enero</v>
      </c>
      <c r="P23" s="22">
        <f t="array" ref="P23">IFERROR(INDEX('Temp Hisfa'!P$3:P$200, SMALL(IF(ISERROR('Temp Hisfa'!P$3:P$200), "", ROW('Temp Hisfa'!P$3:P$200)-MIN(ROW('Temp Hisfa'!P$3:P$200))+1), ROW(21:220))),"")</f>
        <v>0</v>
      </c>
      <c r="Q23" s="22">
        <f t="array" ref="Q23">IFERROR(INDEX('Temp Hisfa'!Q$3:Q$200, SMALL(IF(ISERROR('Temp Hisfa'!Q$3:Q$200), "", ROW('Temp Hisfa'!Q$3:Q$200)-MIN(ROW('Temp Hisfa'!Q$3:Q$200))+1), ROW(21:220))),"")</f>
        <v>0</v>
      </c>
      <c r="R23" s="22">
        <f t="array" ref="R23">IFERROR(INDEX('Temp Hisfa'!R$3:R$200, SMALL(IF(ISERROR('Temp Hisfa'!R$3:R$200), "", ROW('Temp Hisfa'!R$3:R$200)-MIN(ROW('Temp Hisfa'!R$3:R$200))+1), ROW(21:220))),"")</f>
        <v>0</v>
      </c>
      <c r="S23" s="22">
        <f t="array" ref="S23">IFERROR(INDEX('Temp Hisfa'!S$3:S$200, SMALL(IF(ISERROR('Temp Hisfa'!S$3:S$200), "", ROW('Temp Hisfa'!S$3:S$200)-MIN(ROW('Temp Hisfa'!S$3:S$200))+1), ROW(21:220))),"")</f>
        <v>0</v>
      </c>
      <c r="T23" s="22">
        <f t="array" ref="T23">IFERROR(INDEX('Temp Hisfa'!T$3:T$200, SMALL(IF(ISERROR('Temp Hisfa'!T$3:T$200), "", ROW('Temp Hisfa'!T$3:T$200)-MIN(ROW('Temp Hisfa'!T$3:T$200))+1), ROW(21:220))),"")</f>
        <v>0</v>
      </c>
      <c r="U23" s="22">
        <f t="array" ref="U23">IFERROR(INDEX('Temp Hisfa'!U$3:U$200, SMALL(IF(ISERROR('Temp Hisfa'!U$3:U$200), "", ROW('Temp Hisfa'!U$3:U$200)-MIN(ROW('Temp Hisfa'!U$3:U$200))+1), ROW(21:220))),"")</f>
        <v>0</v>
      </c>
      <c r="V23" s="22">
        <f t="array" ref="V23">IFERROR(INDEX('Temp Hisfa'!V$3:V$200, SMALL(IF(ISERROR('Temp Hisfa'!V$3:V$200), "", ROW('Temp Hisfa'!V$3:V$200)-MIN(ROW('Temp Hisfa'!V$3:V$200))+1), ROW(21:220))),"")</f>
        <v>0</v>
      </c>
      <c r="W23" s="22">
        <f t="array" ref="W23">IFERROR(INDEX('Temp Hisfa'!W$3:W$200, SMALL(IF(ISERROR('Temp Hisfa'!W$3:W$200), "", ROW('Temp Hisfa'!W$3:W$200)-MIN(ROW('Temp Hisfa'!W$3:W$200))+1), ROW(21:220))),"")</f>
        <v>0</v>
      </c>
      <c r="X23" s="22">
        <f t="array" ref="X23">IFERROR(INDEX('Temp Hisfa'!X$3:X$200, SMALL(IF(ISERROR('Temp Hisfa'!X$3:X$200), "", ROW('Temp Hisfa'!X$3:X$200)-MIN(ROW('Temp Hisfa'!X$3:X$200))+1), ROW(21:220))),"")</f>
        <v>0</v>
      </c>
      <c r="Y23" s="22">
        <f t="array" ref="Y23">IFERROR(INDEX('Temp Hisfa'!Y$3:Y$200, SMALL(IF(ISERROR('Temp Hisfa'!Y$3:Y$200), "", ROW('Temp Hisfa'!Y$3:Y$200)-MIN(ROW('Temp Hisfa'!Y$3:Y$200))+1), ROW(21:220))),"")</f>
        <v>0</v>
      </c>
      <c r="Z23" s="22">
        <f t="array" ref="Z23">IFERROR(INDEX('Temp Hisfa'!Z$3:Z$200, SMALL(IF(ISERROR('Temp Hisfa'!Z$3:Z$200), "", ROW('Temp Hisfa'!Z$3:Z$200)-MIN(ROW('Temp Hisfa'!Z$3:Z$200))+1), ROW(21:220))),"")</f>
        <v>0</v>
      </c>
      <c r="AA23" s="22">
        <f t="array" ref="AA23">IFERROR(INDEX('Temp Hisfa'!AA$3:AA$200, SMALL(IF(ISERROR('Temp Hisfa'!AA$3:AA$200), "", ROW('Temp Hisfa'!AA$3:AA$200)-MIN(ROW('Temp Hisfa'!AA$3:AA$200))+1), ROW(21:220))),"")</f>
        <v>0</v>
      </c>
      <c r="AB23" s="22">
        <f t="array" ref="AB23">IFERROR(INDEX('Temp Hisfa'!AB$3:AB$200, SMALL(IF(ISERROR('Temp Hisfa'!AB$3:AB$200), "", ROW('Temp Hisfa'!AB$3:AB$200)-MIN(ROW('Temp Hisfa'!AB$3:AB$200))+1), ROW(21:220))),"")</f>
        <v>0</v>
      </c>
      <c r="AD23" s="120" t="s">
        <v>157</v>
      </c>
      <c r="AE23" s="120"/>
    </row>
    <row r="24" spans="1:31" x14ac:dyDescent="0.3">
      <c r="A24" s="22">
        <f t="array" ref="A24">IFERROR(INDEX('Temp Hisfa'!A$3:A$200, SMALL(IF(ISERROR('Temp Hisfa'!A$3:A$200), "", ROW('Temp Hisfa'!A$3:A$200)-MIN(ROW('Temp Hisfa'!A$3:A$200))+1), ROW(22:220))),"")</f>
        <v>0</v>
      </c>
      <c r="B24" s="4">
        <f t="array" ref="B24">IFERROR(INDEX('Temp Hisfa'!B$3:B$200, SMALL(IF(ISERROR('Temp Hisfa'!B$3:B$200), "", ROW('Temp Hisfa'!B$3:B$200)-MIN(ROW('Temp Hisfa'!B$3:B$200))+1), ROW(22:220))),"")</f>
        <v>0</v>
      </c>
      <c r="C24" s="3">
        <f t="array" ref="C24">IFERROR(INDEX('Temp Hisfa'!C$3:C$200, SMALL(IF(ISERROR('Temp Hisfa'!C$3:C$200), "", ROW('Temp Hisfa'!C$3:C$200)-MIN(ROW('Temp Hisfa'!C$3:C$200))+1), ROW(22:220))),"")</f>
        <v>0</v>
      </c>
      <c r="D24" s="3">
        <f t="array" ref="D24">IFERROR(INDEX('Temp Hisfa'!D$3:D$200, SMALL(IF(ISERROR('Temp Hisfa'!D$3:D$200), "", ROW('Temp Hisfa'!D$3:D$200)-MIN(ROW('Temp Hisfa'!D$3:D$200))+1), ROW(22:220))),"")</f>
        <v>0</v>
      </c>
      <c r="E24" s="29">
        <f t="array" ref="E24">IFERROR(INDEX('Temp Hisfa'!E$3:E$200, SMALL(IF(ISERROR('Temp Hisfa'!E$3:E$200), "", ROW('Temp Hisfa'!E$3:E$200)-MIN(ROW('Temp Hisfa'!E$3:E$200))+1), ROW(22:221))),"")</f>
        <v>0</v>
      </c>
      <c r="F24" s="22">
        <f t="array" ref="F24">IFERROR(INDEX('Temp Hisfa'!F$3:F$200, SMALL(IF(ISERROR('Temp Hisfa'!F$3:F$200), "", ROW('Temp Hisfa'!F$3:F$200)-MIN(ROW('Temp Hisfa'!F$3:F$200))+1), ROW(22:221))),"")</f>
        <v>0</v>
      </c>
      <c r="G24" s="30">
        <f t="array" ref="G24">IFERROR(INDEX('Temp Hisfa'!G$3:G$200, SMALL(IF(ISERROR('Temp Hisfa'!G$3:G$200), "", ROW('Temp Hisfa'!G$3:G$200)-MIN(ROW('Temp Hisfa'!G$3:G$200))+1), ROW(22:221))),"")</f>
        <v>0</v>
      </c>
      <c r="H24" s="22">
        <f t="array" ref="H24">IFERROR(INDEX('Temp Hisfa'!H$3:H$200, SMALL(IF(ISERROR('Temp Hisfa'!H$3:H$200), "", ROW('Temp Hisfa'!H$3:H$200)-MIN(ROW('Temp Hisfa'!H$3:H$200))+1), ROW(22:221))),"")</f>
        <v>0</v>
      </c>
      <c r="I24" s="22">
        <f t="array" ref="I24">IFERROR(INDEX('Temp Hisfa'!I$3:I$200, SMALL(IF(ISERROR('Temp Hisfa'!I$3:I$200), "", ROW('Temp Hisfa'!I$3:I$200)-MIN(ROW('Temp Hisfa'!I$3:I$200))+1), ROW(22:221))),"")</f>
        <v>0</v>
      </c>
      <c r="J24" s="22">
        <f t="array" ref="J24">IFERROR(INDEX('Temp Hisfa'!J$3:J$200, SMALL(IF(ISERROR('Temp Hisfa'!J$3:J$200), "", ROW('Temp Hisfa'!J$3:J$200)-MIN(ROW('Temp Hisfa'!J$3:J$200))+1), ROW(22:221))),"")</f>
        <v>0</v>
      </c>
      <c r="K24" s="30">
        <f t="array" ref="K24">IFERROR(INDEX('Temp Hisfa'!K$3:K$200, SMALL(IF(ISERROR('Temp Hisfa'!K$3:K$200), "", ROW('Temp Hisfa'!K$3:K$200)-MIN(ROW('Temp Hisfa'!K$3:K$200))+1), ROW(22:221))),"")</f>
        <v>0</v>
      </c>
      <c r="L24" s="22">
        <f t="array" ref="L24">IFERROR(INDEX('Temp Hisfa'!L$3:L$200, SMALL(IF(ISERROR('Temp Hisfa'!L$3:L$200), "", ROW('Temp Hisfa'!L$3:L$200)-MIN(ROW('Temp Hisfa'!L$3:L$200))+1), ROW(22:221))),"")</f>
        <v>0</v>
      </c>
      <c r="M24" s="22">
        <f t="array" ref="M24">IFERROR(INDEX('Temp Hisfa'!M$3:M$200, SMALL(IF(ISERROR('Temp Hisfa'!M$3:M$200), "", ROW('Temp Hisfa'!M$3:M$200)-MIN(ROW('Temp Hisfa'!M$3:M$200))+1), ROW(22:221))),"")</f>
        <v>0</v>
      </c>
      <c r="N24" s="22">
        <f t="array" ref="N24">IFERROR(INDEX('Temp Hisfa'!N$3:N$200, SMALL(IF(ISERROR('Temp Hisfa'!N$3:N$200), "", ROW('Temp Hisfa'!N$3:N$200)-MIN(ROW('Temp Hisfa'!N$3:N$200))+1), ROW(22:221))),"")</f>
        <v>1900</v>
      </c>
      <c r="O24" s="22" t="str">
        <f t="array" ref="O24">IFERROR(INDEX('Temp Hisfa'!O$3:O$200, SMALL(IF(ISERROR('Temp Hisfa'!O$3:O$200), "", ROW('Temp Hisfa'!O$3:O$200)-MIN(ROW('Temp Hisfa'!O$3:O$200))+1), ROW(22:221))),"")</f>
        <v>enero</v>
      </c>
      <c r="P24" s="22">
        <f t="array" ref="P24">IFERROR(INDEX('Temp Hisfa'!P$3:P$200, SMALL(IF(ISERROR('Temp Hisfa'!P$3:P$200), "", ROW('Temp Hisfa'!P$3:P$200)-MIN(ROW('Temp Hisfa'!P$3:P$200))+1), ROW(22:221))),"")</f>
        <v>0</v>
      </c>
      <c r="Q24" s="22">
        <f t="array" ref="Q24">IFERROR(INDEX('Temp Hisfa'!Q$3:Q$200, SMALL(IF(ISERROR('Temp Hisfa'!Q$3:Q$200), "", ROW('Temp Hisfa'!Q$3:Q$200)-MIN(ROW('Temp Hisfa'!Q$3:Q$200))+1), ROW(22:221))),"")</f>
        <v>0</v>
      </c>
      <c r="R24" s="22">
        <f t="array" ref="R24">IFERROR(INDEX('Temp Hisfa'!R$3:R$200, SMALL(IF(ISERROR('Temp Hisfa'!R$3:R$200), "", ROW('Temp Hisfa'!R$3:R$200)-MIN(ROW('Temp Hisfa'!R$3:R$200))+1), ROW(22:221))),"")</f>
        <v>0</v>
      </c>
      <c r="S24" s="22">
        <f t="array" ref="S24">IFERROR(INDEX('Temp Hisfa'!S$3:S$200, SMALL(IF(ISERROR('Temp Hisfa'!S$3:S$200), "", ROW('Temp Hisfa'!S$3:S$200)-MIN(ROW('Temp Hisfa'!S$3:S$200))+1), ROW(22:221))),"")</f>
        <v>0</v>
      </c>
      <c r="T24" s="22">
        <f t="array" ref="T24">IFERROR(INDEX('Temp Hisfa'!T$3:T$200, SMALL(IF(ISERROR('Temp Hisfa'!T$3:T$200), "", ROW('Temp Hisfa'!T$3:T$200)-MIN(ROW('Temp Hisfa'!T$3:T$200))+1), ROW(22:221))),"")</f>
        <v>0</v>
      </c>
      <c r="U24" s="22">
        <f t="array" ref="U24">IFERROR(INDEX('Temp Hisfa'!U$3:U$200, SMALL(IF(ISERROR('Temp Hisfa'!U$3:U$200), "", ROW('Temp Hisfa'!U$3:U$200)-MIN(ROW('Temp Hisfa'!U$3:U$200))+1), ROW(22:221))),"")</f>
        <v>0</v>
      </c>
      <c r="V24" s="22">
        <f t="array" ref="V24">IFERROR(INDEX('Temp Hisfa'!V$3:V$200, SMALL(IF(ISERROR('Temp Hisfa'!V$3:V$200), "", ROW('Temp Hisfa'!V$3:V$200)-MIN(ROW('Temp Hisfa'!V$3:V$200))+1), ROW(22:221))),"")</f>
        <v>0</v>
      </c>
      <c r="W24" s="22">
        <f t="array" ref="W24">IFERROR(INDEX('Temp Hisfa'!W$3:W$200, SMALL(IF(ISERROR('Temp Hisfa'!W$3:W$200), "", ROW('Temp Hisfa'!W$3:W$200)-MIN(ROW('Temp Hisfa'!W$3:W$200))+1), ROW(22:221))),"")</f>
        <v>0</v>
      </c>
      <c r="X24" s="22">
        <f t="array" ref="X24">IFERROR(INDEX('Temp Hisfa'!X$3:X$200, SMALL(IF(ISERROR('Temp Hisfa'!X$3:X$200), "", ROW('Temp Hisfa'!X$3:X$200)-MIN(ROW('Temp Hisfa'!X$3:X$200))+1), ROW(22:221))),"")</f>
        <v>0</v>
      </c>
      <c r="Y24" s="22">
        <f t="array" ref="Y24">IFERROR(INDEX('Temp Hisfa'!Y$3:Y$200, SMALL(IF(ISERROR('Temp Hisfa'!Y$3:Y$200), "", ROW('Temp Hisfa'!Y$3:Y$200)-MIN(ROW('Temp Hisfa'!Y$3:Y$200))+1), ROW(22:221))),"")</f>
        <v>0</v>
      </c>
      <c r="Z24" s="22">
        <f t="array" ref="Z24">IFERROR(INDEX('Temp Hisfa'!Z$3:Z$200, SMALL(IF(ISERROR('Temp Hisfa'!Z$3:Z$200), "", ROW('Temp Hisfa'!Z$3:Z$200)-MIN(ROW('Temp Hisfa'!Z$3:Z$200))+1), ROW(22:221))),"")</f>
        <v>0</v>
      </c>
      <c r="AA24" s="22">
        <f t="array" ref="AA24">IFERROR(INDEX('Temp Hisfa'!AA$3:AA$200, SMALL(IF(ISERROR('Temp Hisfa'!AA$3:AA$200), "", ROW('Temp Hisfa'!AA$3:AA$200)-MIN(ROW('Temp Hisfa'!AA$3:AA$200))+1), ROW(22:221))),"")</f>
        <v>0</v>
      </c>
      <c r="AB24" s="22">
        <f t="array" ref="AB24">IFERROR(INDEX('Temp Hisfa'!AB$3:AB$200, SMALL(IF(ISERROR('Temp Hisfa'!AB$3:AB$200), "", ROW('Temp Hisfa'!AB$3:AB$200)-MIN(ROW('Temp Hisfa'!AB$3:AB$200))+1), ROW(22:221))),"")</f>
        <v>0</v>
      </c>
      <c r="AD24" s="4" t="s">
        <v>48</v>
      </c>
      <c r="AE24" s="4" t="s">
        <v>49</v>
      </c>
    </row>
    <row r="25" spans="1:31" x14ac:dyDescent="0.3">
      <c r="A25" s="22">
        <f t="array" ref="A25">IFERROR(INDEX('Temp Hisfa'!A$3:A$200, SMALL(IF(ISERROR('Temp Hisfa'!A$3:A$200), "", ROW('Temp Hisfa'!A$3:A$200)-MIN(ROW('Temp Hisfa'!A$3:A$200))+1), ROW(23:221))),"")</f>
        <v>0</v>
      </c>
      <c r="B25" s="4">
        <f t="array" ref="B25">IFERROR(INDEX('Temp Hisfa'!B$3:B$200, SMALL(IF(ISERROR('Temp Hisfa'!B$3:B$200), "", ROW('Temp Hisfa'!B$3:B$200)-MIN(ROW('Temp Hisfa'!B$3:B$200))+1), ROW(23:221))),"")</f>
        <v>0</v>
      </c>
      <c r="C25" s="3">
        <f t="array" ref="C25">IFERROR(INDEX('Temp Hisfa'!C$3:C$200, SMALL(IF(ISERROR('Temp Hisfa'!C$3:C$200), "", ROW('Temp Hisfa'!C$3:C$200)-MIN(ROW('Temp Hisfa'!C$3:C$200))+1), ROW(23:221))),"")</f>
        <v>0</v>
      </c>
      <c r="D25" s="3">
        <f t="array" ref="D25">IFERROR(INDEX('Temp Hisfa'!D$3:D$200, SMALL(IF(ISERROR('Temp Hisfa'!D$3:D$200), "", ROW('Temp Hisfa'!D$3:D$200)-MIN(ROW('Temp Hisfa'!D$3:D$200))+1), ROW(23:221))),"")</f>
        <v>0</v>
      </c>
      <c r="E25" s="29">
        <f t="array" ref="E25">IFERROR(INDEX('Temp Hisfa'!E$3:E$200, SMALL(IF(ISERROR('Temp Hisfa'!E$3:E$200), "", ROW('Temp Hisfa'!E$3:E$200)-MIN(ROW('Temp Hisfa'!E$3:E$200))+1), ROW(23:222))),"")</f>
        <v>0</v>
      </c>
      <c r="F25" s="22">
        <f t="array" ref="F25">IFERROR(INDEX('Temp Hisfa'!F$3:F$200, SMALL(IF(ISERROR('Temp Hisfa'!F$3:F$200), "", ROW('Temp Hisfa'!F$3:F$200)-MIN(ROW('Temp Hisfa'!F$3:F$200))+1), ROW(23:222))),"")</f>
        <v>0</v>
      </c>
      <c r="G25" s="30">
        <f t="array" ref="G25">IFERROR(INDEX('Temp Hisfa'!G$3:G$200, SMALL(IF(ISERROR('Temp Hisfa'!G$3:G$200), "", ROW('Temp Hisfa'!G$3:G$200)-MIN(ROW('Temp Hisfa'!G$3:G$200))+1), ROW(23:222))),"")</f>
        <v>0</v>
      </c>
      <c r="H25" s="22">
        <f t="array" ref="H25">IFERROR(INDEX('Temp Hisfa'!H$3:H$200, SMALL(IF(ISERROR('Temp Hisfa'!H$3:H$200), "", ROW('Temp Hisfa'!H$3:H$200)-MIN(ROW('Temp Hisfa'!H$3:H$200))+1), ROW(23:222))),"")</f>
        <v>0</v>
      </c>
      <c r="I25" s="22">
        <f t="array" ref="I25">IFERROR(INDEX('Temp Hisfa'!I$3:I$200, SMALL(IF(ISERROR('Temp Hisfa'!I$3:I$200), "", ROW('Temp Hisfa'!I$3:I$200)-MIN(ROW('Temp Hisfa'!I$3:I$200))+1), ROW(23:222))),"")</f>
        <v>0</v>
      </c>
      <c r="J25" s="22">
        <f t="array" ref="J25">IFERROR(INDEX('Temp Hisfa'!J$3:J$200, SMALL(IF(ISERROR('Temp Hisfa'!J$3:J$200), "", ROW('Temp Hisfa'!J$3:J$200)-MIN(ROW('Temp Hisfa'!J$3:J$200))+1), ROW(23:222))),"")</f>
        <v>0</v>
      </c>
      <c r="K25" s="30">
        <f t="array" ref="K25">IFERROR(INDEX('Temp Hisfa'!K$3:K$200, SMALL(IF(ISERROR('Temp Hisfa'!K$3:K$200), "", ROW('Temp Hisfa'!K$3:K$200)-MIN(ROW('Temp Hisfa'!K$3:K$200))+1), ROW(23:222))),"")</f>
        <v>0</v>
      </c>
      <c r="L25" s="22">
        <f t="array" ref="L25">IFERROR(INDEX('Temp Hisfa'!L$3:L$200, SMALL(IF(ISERROR('Temp Hisfa'!L$3:L$200), "", ROW('Temp Hisfa'!L$3:L$200)-MIN(ROW('Temp Hisfa'!L$3:L$200))+1), ROW(23:222))),"")</f>
        <v>0</v>
      </c>
      <c r="M25" s="22">
        <f t="array" ref="M25">IFERROR(INDEX('Temp Hisfa'!M$3:M$200, SMALL(IF(ISERROR('Temp Hisfa'!M$3:M$200), "", ROW('Temp Hisfa'!M$3:M$200)-MIN(ROW('Temp Hisfa'!M$3:M$200))+1), ROW(23:222))),"")</f>
        <v>0</v>
      </c>
      <c r="N25" s="22">
        <f t="array" ref="N25">IFERROR(INDEX('Temp Hisfa'!N$3:N$200, SMALL(IF(ISERROR('Temp Hisfa'!N$3:N$200), "", ROW('Temp Hisfa'!N$3:N$200)-MIN(ROW('Temp Hisfa'!N$3:N$200))+1), ROW(23:222))),"")</f>
        <v>1900</v>
      </c>
      <c r="O25" s="22" t="str">
        <f t="array" ref="O25">IFERROR(INDEX('Temp Hisfa'!O$3:O$200, SMALL(IF(ISERROR('Temp Hisfa'!O$3:O$200), "", ROW('Temp Hisfa'!O$3:O$200)-MIN(ROW('Temp Hisfa'!O$3:O$200))+1), ROW(23:222))),"")</f>
        <v>enero</v>
      </c>
      <c r="P25" s="22">
        <f t="array" ref="P25">IFERROR(INDEX('Temp Hisfa'!P$3:P$200, SMALL(IF(ISERROR('Temp Hisfa'!P$3:P$200), "", ROW('Temp Hisfa'!P$3:P$200)-MIN(ROW('Temp Hisfa'!P$3:P$200))+1), ROW(23:222))),"")</f>
        <v>0</v>
      </c>
      <c r="Q25" s="22">
        <f t="array" ref="Q25">IFERROR(INDEX('Temp Hisfa'!Q$3:Q$200, SMALL(IF(ISERROR('Temp Hisfa'!Q$3:Q$200), "", ROW('Temp Hisfa'!Q$3:Q$200)-MIN(ROW('Temp Hisfa'!Q$3:Q$200))+1), ROW(23:222))),"")</f>
        <v>0</v>
      </c>
      <c r="R25" s="22">
        <f t="array" ref="R25">IFERROR(INDEX('Temp Hisfa'!R$3:R$200, SMALL(IF(ISERROR('Temp Hisfa'!R$3:R$200), "", ROW('Temp Hisfa'!R$3:R$200)-MIN(ROW('Temp Hisfa'!R$3:R$200))+1), ROW(23:222))),"")</f>
        <v>0</v>
      </c>
      <c r="S25" s="22">
        <f t="array" ref="S25">IFERROR(INDEX('Temp Hisfa'!S$3:S$200, SMALL(IF(ISERROR('Temp Hisfa'!S$3:S$200), "", ROW('Temp Hisfa'!S$3:S$200)-MIN(ROW('Temp Hisfa'!S$3:S$200))+1), ROW(23:222))),"")</f>
        <v>0</v>
      </c>
      <c r="T25" s="22">
        <f t="array" ref="T25">IFERROR(INDEX('Temp Hisfa'!T$3:T$200, SMALL(IF(ISERROR('Temp Hisfa'!T$3:T$200), "", ROW('Temp Hisfa'!T$3:T$200)-MIN(ROW('Temp Hisfa'!T$3:T$200))+1), ROW(23:222))),"")</f>
        <v>0</v>
      </c>
      <c r="U25" s="22">
        <f t="array" ref="U25">IFERROR(INDEX('Temp Hisfa'!U$3:U$200, SMALL(IF(ISERROR('Temp Hisfa'!U$3:U$200), "", ROW('Temp Hisfa'!U$3:U$200)-MIN(ROW('Temp Hisfa'!U$3:U$200))+1), ROW(23:222))),"")</f>
        <v>0</v>
      </c>
      <c r="V25" s="22">
        <f t="array" ref="V25">IFERROR(INDEX('Temp Hisfa'!V$3:V$200, SMALL(IF(ISERROR('Temp Hisfa'!V$3:V$200), "", ROW('Temp Hisfa'!V$3:V$200)-MIN(ROW('Temp Hisfa'!V$3:V$200))+1), ROW(23:222))),"")</f>
        <v>0</v>
      </c>
      <c r="W25" s="22">
        <f t="array" ref="W25">IFERROR(INDEX('Temp Hisfa'!W$3:W$200, SMALL(IF(ISERROR('Temp Hisfa'!W$3:W$200), "", ROW('Temp Hisfa'!W$3:W$200)-MIN(ROW('Temp Hisfa'!W$3:W$200))+1), ROW(23:222))),"")</f>
        <v>0</v>
      </c>
      <c r="X25" s="22">
        <f t="array" ref="X25">IFERROR(INDEX('Temp Hisfa'!X$3:X$200, SMALL(IF(ISERROR('Temp Hisfa'!X$3:X$200), "", ROW('Temp Hisfa'!X$3:X$200)-MIN(ROW('Temp Hisfa'!X$3:X$200))+1), ROW(23:222))),"")</f>
        <v>0</v>
      </c>
      <c r="Y25" s="22">
        <f t="array" ref="Y25">IFERROR(INDEX('Temp Hisfa'!Y$3:Y$200, SMALL(IF(ISERROR('Temp Hisfa'!Y$3:Y$200), "", ROW('Temp Hisfa'!Y$3:Y$200)-MIN(ROW('Temp Hisfa'!Y$3:Y$200))+1), ROW(23:222))),"")</f>
        <v>0</v>
      </c>
      <c r="Z25" s="22">
        <f t="array" ref="Z25">IFERROR(INDEX('Temp Hisfa'!Z$3:Z$200, SMALL(IF(ISERROR('Temp Hisfa'!Z$3:Z$200), "", ROW('Temp Hisfa'!Z$3:Z$200)-MIN(ROW('Temp Hisfa'!Z$3:Z$200))+1), ROW(23:222))),"")</f>
        <v>0</v>
      </c>
      <c r="AA25" s="22">
        <f t="array" ref="AA25">IFERROR(INDEX('Temp Hisfa'!AA$3:AA$200, SMALL(IF(ISERROR('Temp Hisfa'!AA$3:AA$200), "", ROW('Temp Hisfa'!AA$3:AA$200)-MIN(ROW('Temp Hisfa'!AA$3:AA$200))+1), ROW(23:222))),"")</f>
        <v>0</v>
      </c>
      <c r="AB25" s="22">
        <f t="array" ref="AB25">IFERROR(INDEX('Temp Hisfa'!AB$3:AB$200, SMALL(IF(ISERROR('Temp Hisfa'!AB$3:AB$200), "", ROW('Temp Hisfa'!AB$3:AB$200)-MIN(ROW('Temp Hisfa'!AB$3:AB$200))+1), ROW(23:222))),"")</f>
        <v>0</v>
      </c>
      <c r="AD25" s="3"/>
      <c r="AE25" s="3"/>
    </row>
    <row r="26" spans="1:31" x14ac:dyDescent="0.3">
      <c r="A26" s="22">
        <f t="array" ref="A26">IFERROR(INDEX('Temp Hisfa'!A$3:A$200, SMALL(IF(ISERROR('Temp Hisfa'!A$3:A$200), "", ROW('Temp Hisfa'!A$3:A$200)-MIN(ROW('Temp Hisfa'!A$3:A$200))+1), ROW(24:222))),"")</f>
        <v>0</v>
      </c>
      <c r="B26" s="4">
        <f t="array" ref="B26">IFERROR(INDEX('Temp Hisfa'!B$3:B$200, SMALL(IF(ISERROR('Temp Hisfa'!B$3:B$200), "", ROW('Temp Hisfa'!B$3:B$200)-MIN(ROW('Temp Hisfa'!B$3:B$200))+1), ROW(24:222))),"")</f>
        <v>0</v>
      </c>
      <c r="C26" s="3">
        <f t="array" ref="C26">IFERROR(INDEX('Temp Hisfa'!C$3:C$200, SMALL(IF(ISERROR('Temp Hisfa'!C$3:C$200), "", ROW('Temp Hisfa'!C$3:C$200)-MIN(ROW('Temp Hisfa'!C$3:C$200))+1), ROW(24:222))),"")</f>
        <v>0</v>
      </c>
      <c r="D26" s="3">
        <f t="array" ref="D26">IFERROR(INDEX('Temp Hisfa'!D$3:D$200, SMALL(IF(ISERROR('Temp Hisfa'!D$3:D$200), "", ROW('Temp Hisfa'!D$3:D$200)-MIN(ROW('Temp Hisfa'!D$3:D$200))+1), ROW(24:222))),"")</f>
        <v>0</v>
      </c>
      <c r="E26" s="29">
        <f t="array" ref="E26">IFERROR(INDEX('Temp Hisfa'!E$3:E$200, SMALL(IF(ISERROR('Temp Hisfa'!E$3:E$200), "", ROW('Temp Hisfa'!E$3:E$200)-MIN(ROW('Temp Hisfa'!E$3:E$200))+1), ROW(24:223))),"")</f>
        <v>0</v>
      </c>
      <c r="F26" s="22">
        <f t="array" ref="F26">IFERROR(INDEX('Temp Hisfa'!F$3:F$200, SMALL(IF(ISERROR('Temp Hisfa'!F$3:F$200), "", ROW('Temp Hisfa'!F$3:F$200)-MIN(ROW('Temp Hisfa'!F$3:F$200))+1), ROW(24:223))),"")</f>
        <v>0</v>
      </c>
      <c r="G26" s="30">
        <f t="array" ref="G26">IFERROR(INDEX('Temp Hisfa'!G$3:G$200, SMALL(IF(ISERROR('Temp Hisfa'!G$3:G$200), "", ROW('Temp Hisfa'!G$3:G$200)-MIN(ROW('Temp Hisfa'!G$3:G$200))+1), ROW(24:223))),"")</f>
        <v>0</v>
      </c>
      <c r="H26" s="22">
        <f t="array" ref="H26">IFERROR(INDEX('Temp Hisfa'!H$3:H$200, SMALL(IF(ISERROR('Temp Hisfa'!H$3:H$200), "", ROW('Temp Hisfa'!H$3:H$200)-MIN(ROW('Temp Hisfa'!H$3:H$200))+1), ROW(24:223))),"")</f>
        <v>0</v>
      </c>
      <c r="I26" s="22">
        <f t="array" ref="I26">IFERROR(INDEX('Temp Hisfa'!I$3:I$200, SMALL(IF(ISERROR('Temp Hisfa'!I$3:I$200), "", ROW('Temp Hisfa'!I$3:I$200)-MIN(ROW('Temp Hisfa'!I$3:I$200))+1), ROW(24:223))),"")</f>
        <v>0</v>
      </c>
      <c r="J26" s="22">
        <f t="array" ref="J26">IFERROR(INDEX('Temp Hisfa'!J$3:J$200, SMALL(IF(ISERROR('Temp Hisfa'!J$3:J$200), "", ROW('Temp Hisfa'!J$3:J$200)-MIN(ROW('Temp Hisfa'!J$3:J$200))+1), ROW(24:223))),"")</f>
        <v>0</v>
      </c>
      <c r="K26" s="30">
        <f t="array" ref="K26">IFERROR(INDEX('Temp Hisfa'!K$3:K$200, SMALL(IF(ISERROR('Temp Hisfa'!K$3:K$200), "", ROW('Temp Hisfa'!K$3:K$200)-MIN(ROW('Temp Hisfa'!K$3:K$200))+1), ROW(24:223))),"")</f>
        <v>0</v>
      </c>
      <c r="L26" s="22">
        <f t="array" ref="L26">IFERROR(INDEX('Temp Hisfa'!L$3:L$200, SMALL(IF(ISERROR('Temp Hisfa'!L$3:L$200), "", ROW('Temp Hisfa'!L$3:L$200)-MIN(ROW('Temp Hisfa'!L$3:L$200))+1), ROW(24:223))),"")</f>
        <v>0</v>
      </c>
      <c r="M26" s="22">
        <f t="array" ref="M26">IFERROR(INDEX('Temp Hisfa'!M$3:M$200, SMALL(IF(ISERROR('Temp Hisfa'!M$3:M$200), "", ROW('Temp Hisfa'!M$3:M$200)-MIN(ROW('Temp Hisfa'!M$3:M$200))+1), ROW(24:223))),"")</f>
        <v>0</v>
      </c>
      <c r="N26" s="22">
        <f t="array" ref="N26">IFERROR(INDEX('Temp Hisfa'!N$3:N$200, SMALL(IF(ISERROR('Temp Hisfa'!N$3:N$200), "", ROW('Temp Hisfa'!N$3:N$200)-MIN(ROW('Temp Hisfa'!N$3:N$200))+1), ROW(24:223))),"")</f>
        <v>1900</v>
      </c>
      <c r="O26" s="22" t="str">
        <f t="array" ref="O26">IFERROR(INDEX('Temp Hisfa'!O$3:O$200, SMALL(IF(ISERROR('Temp Hisfa'!O$3:O$200), "", ROW('Temp Hisfa'!O$3:O$200)-MIN(ROW('Temp Hisfa'!O$3:O$200))+1), ROW(24:223))),"")</f>
        <v>enero</v>
      </c>
      <c r="P26" s="22">
        <f t="array" ref="P26">IFERROR(INDEX('Temp Hisfa'!P$3:P$200, SMALL(IF(ISERROR('Temp Hisfa'!P$3:P$200), "", ROW('Temp Hisfa'!P$3:P$200)-MIN(ROW('Temp Hisfa'!P$3:P$200))+1), ROW(24:223))),"")</f>
        <v>0</v>
      </c>
      <c r="Q26" s="22">
        <f t="array" ref="Q26">IFERROR(INDEX('Temp Hisfa'!Q$3:Q$200, SMALL(IF(ISERROR('Temp Hisfa'!Q$3:Q$200), "", ROW('Temp Hisfa'!Q$3:Q$200)-MIN(ROW('Temp Hisfa'!Q$3:Q$200))+1), ROW(24:223))),"")</f>
        <v>0</v>
      </c>
      <c r="R26" s="22">
        <f t="array" ref="R26">IFERROR(INDEX('Temp Hisfa'!R$3:R$200, SMALL(IF(ISERROR('Temp Hisfa'!R$3:R$200), "", ROW('Temp Hisfa'!R$3:R$200)-MIN(ROW('Temp Hisfa'!R$3:R$200))+1), ROW(24:223))),"")</f>
        <v>0</v>
      </c>
      <c r="S26" s="22">
        <f t="array" ref="S26">IFERROR(INDEX('Temp Hisfa'!S$3:S$200, SMALL(IF(ISERROR('Temp Hisfa'!S$3:S$200), "", ROW('Temp Hisfa'!S$3:S$200)-MIN(ROW('Temp Hisfa'!S$3:S$200))+1), ROW(24:223))),"")</f>
        <v>0</v>
      </c>
      <c r="T26" s="22">
        <f t="array" ref="T26">IFERROR(INDEX('Temp Hisfa'!T$3:T$200, SMALL(IF(ISERROR('Temp Hisfa'!T$3:T$200), "", ROW('Temp Hisfa'!T$3:T$200)-MIN(ROW('Temp Hisfa'!T$3:T$200))+1), ROW(24:223))),"")</f>
        <v>0</v>
      </c>
      <c r="U26" s="22">
        <f t="array" ref="U26">IFERROR(INDEX('Temp Hisfa'!U$3:U$200, SMALL(IF(ISERROR('Temp Hisfa'!U$3:U$200), "", ROW('Temp Hisfa'!U$3:U$200)-MIN(ROW('Temp Hisfa'!U$3:U$200))+1), ROW(24:223))),"")</f>
        <v>0</v>
      </c>
      <c r="V26" s="22">
        <f t="array" ref="V26">IFERROR(INDEX('Temp Hisfa'!V$3:V$200, SMALL(IF(ISERROR('Temp Hisfa'!V$3:V$200), "", ROW('Temp Hisfa'!V$3:V$200)-MIN(ROW('Temp Hisfa'!V$3:V$200))+1), ROW(24:223))),"")</f>
        <v>0</v>
      </c>
      <c r="W26" s="22">
        <f t="array" ref="W26">IFERROR(INDEX('Temp Hisfa'!W$3:W$200, SMALL(IF(ISERROR('Temp Hisfa'!W$3:W$200), "", ROW('Temp Hisfa'!W$3:W$200)-MIN(ROW('Temp Hisfa'!W$3:W$200))+1), ROW(24:223))),"")</f>
        <v>0</v>
      </c>
      <c r="X26" s="22">
        <f t="array" ref="X26">IFERROR(INDEX('Temp Hisfa'!X$3:X$200, SMALL(IF(ISERROR('Temp Hisfa'!X$3:X$200), "", ROW('Temp Hisfa'!X$3:X$200)-MIN(ROW('Temp Hisfa'!X$3:X$200))+1), ROW(24:223))),"")</f>
        <v>0</v>
      </c>
      <c r="Y26" s="22">
        <f t="array" ref="Y26">IFERROR(INDEX('Temp Hisfa'!Y$3:Y$200, SMALL(IF(ISERROR('Temp Hisfa'!Y$3:Y$200), "", ROW('Temp Hisfa'!Y$3:Y$200)-MIN(ROW('Temp Hisfa'!Y$3:Y$200))+1), ROW(24:223))),"")</f>
        <v>0</v>
      </c>
      <c r="Z26" s="22">
        <f t="array" ref="Z26">IFERROR(INDEX('Temp Hisfa'!Z$3:Z$200, SMALL(IF(ISERROR('Temp Hisfa'!Z$3:Z$200), "", ROW('Temp Hisfa'!Z$3:Z$200)-MIN(ROW('Temp Hisfa'!Z$3:Z$200))+1), ROW(24:223))),"")</f>
        <v>0</v>
      </c>
      <c r="AA26" s="22">
        <f t="array" ref="AA26">IFERROR(INDEX('Temp Hisfa'!AA$3:AA$200, SMALL(IF(ISERROR('Temp Hisfa'!AA$3:AA$200), "", ROW('Temp Hisfa'!AA$3:AA$200)-MIN(ROW('Temp Hisfa'!AA$3:AA$200))+1), ROW(24:223))),"")</f>
        <v>0</v>
      </c>
      <c r="AB26" s="22">
        <f t="array" ref="AB26">IFERROR(INDEX('Temp Hisfa'!AB$3:AB$200, SMALL(IF(ISERROR('Temp Hisfa'!AB$3:AB$200), "", ROW('Temp Hisfa'!AB$3:AB$200)-MIN(ROW('Temp Hisfa'!AB$3:AB$200))+1), ROW(24:223))),"")</f>
        <v>0</v>
      </c>
      <c r="AD26" s="56" t="s">
        <v>26</v>
      </c>
      <c r="AE26" s="56">
        <f>AE25-AD25</f>
        <v>0</v>
      </c>
    </row>
    <row r="27" spans="1:31" x14ac:dyDescent="0.3">
      <c r="A27" s="22">
        <f t="array" ref="A27">IFERROR(INDEX('Temp Hisfa'!A$3:A$200, SMALL(IF(ISERROR('Temp Hisfa'!A$3:A$200), "", ROW('Temp Hisfa'!A$3:A$200)-MIN(ROW('Temp Hisfa'!A$3:A$200))+1), ROW(25:223))),"")</f>
        <v>0</v>
      </c>
      <c r="B27" s="4">
        <f t="array" ref="B27">IFERROR(INDEX('Temp Hisfa'!B$3:B$200, SMALL(IF(ISERROR('Temp Hisfa'!B$3:B$200), "", ROW('Temp Hisfa'!B$3:B$200)-MIN(ROW('Temp Hisfa'!B$3:B$200))+1), ROW(25:223))),"")</f>
        <v>0</v>
      </c>
      <c r="C27" s="3">
        <f t="array" ref="C27">IFERROR(INDEX('Temp Hisfa'!C$3:C$200, SMALL(IF(ISERROR('Temp Hisfa'!C$3:C$200), "", ROW('Temp Hisfa'!C$3:C$200)-MIN(ROW('Temp Hisfa'!C$3:C$200))+1), ROW(25:223))),"")</f>
        <v>0</v>
      </c>
      <c r="D27" s="3">
        <f t="array" ref="D27">IFERROR(INDEX('Temp Hisfa'!D$3:D$200, SMALL(IF(ISERROR('Temp Hisfa'!D$3:D$200), "", ROW('Temp Hisfa'!D$3:D$200)-MIN(ROW('Temp Hisfa'!D$3:D$200))+1), ROW(25:223))),"")</f>
        <v>0</v>
      </c>
      <c r="E27" s="29">
        <f t="array" ref="E27">IFERROR(INDEX('Temp Hisfa'!E$3:E$200, SMALL(IF(ISERROR('Temp Hisfa'!E$3:E$200), "", ROW('Temp Hisfa'!E$3:E$200)-MIN(ROW('Temp Hisfa'!E$3:E$200))+1), ROW(25:224))),"")</f>
        <v>0</v>
      </c>
      <c r="F27" s="22">
        <f t="array" ref="F27">IFERROR(INDEX('Temp Hisfa'!F$3:F$200, SMALL(IF(ISERROR('Temp Hisfa'!F$3:F$200), "", ROW('Temp Hisfa'!F$3:F$200)-MIN(ROW('Temp Hisfa'!F$3:F$200))+1), ROW(25:224))),"")</f>
        <v>0</v>
      </c>
      <c r="G27" s="30">
        <f t="array" ref="G27">IFERROR(INDEX('Temp Hisfa'!G$3:G$200, SMALL(IF(ISERROR('Temp Hisfa'!G$3:G$200), "", ROW('Temp Hisfa'!G$3:G$200)-MIN(ROW('Temp Hisfa'!G$3:G$200))+1), ROW(25:224))),"")</f>
        <v>0</v>
      </c>
      <c r="H27" s="22">
        <f t="array" ref="H27">IFERROR(INDEX('Temp Hisfa'!H$3:H$200, SMALL(IF(ISERROR('Temp Hisfa'!H$3:H$200), "", ROW('Temp Hisfa'!H$3:H$200)-MIN(ROW('Temp Hisfa'!H$3:H$200))+1), ROW(25:224))),"")</f>
        <v>0</v>
      </c>
      <c r="I27" s="22">
        <f t="array" ref="I27">IFERROR(INDEX('Temp Hisfa'!I$3:I$200, SMALL(IF(ISERROR('Temp Hisfa'!I$3:I$200), "", ROW('Temp Hisfa'!I$3:I$200)-MIN(ROW('Temp Hisfa'!I$3:I$200))+1), ROW(25:224))),"")</f>
        <v>0</v>
      </c>
      <c r="J27" s="22">
        <f t="array" ref="J27">IFERROR(INDEX('Temp Hisfa'!J$3:J$200, SMALL(IF(ISERROR('Temp Hisfa'!J$3:J$200), "", ROW('Temp Hisfa'!J$3:J$200)-MIN(ROW('Temp Hisfa'!J$3:J$200))+1), ROW(25:224))),"")</f>
        <v>0</v>
      </c>
      <c r="K27" s="30">
        <f t="array" ref="K27">IFERROR(INDEX('Temp Hisfa'!K$3:K$200, SMALL(IF(ISERROR('Temp Hisfa'!K$3:K$200), "", ROW('Temp Hisfa'!K$3:K$200)-MIN(ROW('Temp Hisfa'!K$3:K$200))+1), ROW(25:224))),"")</f>
        <v>0</v>
      </c>
      <c r="L27" s="22">
        <f t="array" ref="L27">IFERROR(INDEX('Temp Hisfa'!L$3:L$200, SMALL(IF(ISERROR('Temp Hisfa'!L$3:L$200), "", ROW('Temp Hisfa'!L$3:L$200)-MIN(ROW('Temp Hisfa'!L$3:L$200))+1), ROW(25:224))),"")</f>
        <v>0</v>
      </c>
      <c r="M27" s="22">
        <f t="array" ref="M27">IFERROR(INDEX('Temp Hisfa'!M$3:M$200, SMALL(IF(ISERROR('Temp Hisfa'!M$3:M$200), "", ROW('Temp Hisfa'!M$3:M$200)-MIN(ROW('Temp Hisfa'!M$3:M$200))+1), ROW(25:224))),"")</f>
        <v>0</v>
      </c>
      <c r="N27" s="22">
        <f t="array" ref="N27">IFERROR(INDEX('Temp Hisfa'!N$3:N$200, SMALL(IF(ISERROR('Temp Hisfa'!N$3:N$200), "", ROW('Temp Hisfa'!N$3:N$200)-MIN(ROW('Temp Hisfa'!N$3:N$200))+1), ROW(25:224))),"")</f>
        <v>1900</v>
      </c>
      <c r="O27" s="22" t="str">
        <f t="array" ref="O27">IFERROR(INDEX('Temp Hisfa'!O$3:O$200, SMALL(IF(ISERROR('Temp Hisfa'!O$3:O$200), "", ROW('Temp Hisfa'!O$3:O$200)-MIN(ROW('Temp Hisfa'!O$3:O$200))+1), ROW(25:224))),"")</f>
        <v>enero</v>
      </c>
      <c r="P27" s="22">
        <f t="array" ref="P27">IFERROR(INDEX('Temp Hisfa'!P$3:P$200, SMALL(IF(ISERROR('Temp Hisfa'!P$3:P$200), "", ROW('Temp Hisfa'!P$3:P$200)-MIN(ROW('Temp Hisfa'!P$3:P$200))+1), ROW(25:224))),"")</f>
        <v>0</v>
      </c>
      <c r="Q27" s="22">
        <f t="array" ref="Q27">IFERROR(INDEX('Temp Hisfa'!Q$3:Q$200, SMALL(IF(ISERROR('Temp Hisfa'!Q$3:Q$200), "", ROW('Temp Hisfa'!Q$3:Q$200)-MIN(ROW('Temp Hisfa'!Q$3:Q$200))+1), ROW(25:224))),"")</f>
        <v>0</v>
      </c>
      <c r="R27" s="22">
        <f t="array" ref="R27">IFERROR(INDEX('Temp Hisfa'!R$3:R$200, SMALL(IF(ISERROR('Temp Hisfa'!R$3:R$200), "", ROW('Temp Hisfa'!R$3:R$200)-MIN(ROW('Temp Hisfa'!R$3:R$200))+1), ROW(25:224))),"")</f>
        <v>0</v>
      </c>
      <c r="S27" s="22">
        <f t="array" ref="S27">IFERROR(INDEX('Temp Hisfa'!S$3:S$200, SMALL(IF(ISERROR('Temp Hisfa'!S$3:S$200), "", ROW('Temp Hisfa'!S$3:S$200)-MIN(ROW('Temp Hisfa'!S$3:S$200))+1), ROW(25:224))),"")</f>
        <v>0</v>
      </c>
      <c r="T27" s="22">
        <f t="array" ref="T27">IFERROR(INDEX('Temp Hisfa'!T$3:T$200, SMALL(IF(ISERROR('Temp Hisfa'!T$3:T$200), "", ROW('Temp Hisfa'!T$3:T$200)-MIN(ROW('Temp Hisfa'!T$3:T$200))+1), ROW(25:224))),"")</f>
        <v>0</v>
      </c>
      <c r="U27" s="22">
        <f t="array" ref="U27">IFERROR(INDEX('Temp Hisfa'!U$3:U$200, SMALL(IF(ISERROR('Temp Hisfa'!U$3:U$200), "", ROW('Temp Hisfa'!U$3:U$200)-MIN(ROW('Temp Hisfa'!U$3:U$200))+1), ROW(25:224))),"")</f>
        <v>0</v>
      </c>
      <c r="V27" s="22">
        <f t="array" ref="V27">IFERROR(INDEX('Temp Hisfa'!V$3:V$200, SMALL(IF(ISERROR('Temp Hisfa'!V$3:V$200), "", ROW('Temp Hisfa'!V$3:V$200)-MIN(ROW('Temp Hisfa'!V$3:V$200))+1), ROW(25:224))),"")</f>
        <v>0</v>
      </c>
      <c r="W27" s="22">
        <f t="array" ref="W27">IFERROR(INDEX('Temp Hisfa'!W$3:W$200, SMALL(IF(ISERROR('Temp Hisfa'!W$3:W$200), "", ROW('Temp Hisfa'!W$3:W$200)-MIN(ROW('Temp Hisfa'!W$3:W$200))+1), ROW(25:224))),"")</f>
        <v>0</v>
      </c>
      <c r="X27" s="22">
        <f t="array" ref="X27">IFERROR(INDEX('Temp Hisfa'!X$3:X$200, SMALL(IF(ISERROR('Temp Hisfa'!X$3:X$200), "", ROW('Temp Hisfa'!X$3:X$200)-MIN(ROW('Temp Hisfa'!X$3:X$200))+1), ROW(25:224))),"")</f>
        <v>0</v>
      </c>
      <c r="Y27" s="22">
        <f t="array" ref="Y27">IFERROR(INDEX('Temp Hisfa'!Y$3:Y$200, SMALL(IF(ISERROR('Temp Hisfa'!Y$3:Y$200), "", ROW('Temp Hisfa'!Y$3:Y$200)-MIN(ROW('Temp Hisfa'!Y$3:Y$200))+1), ROW(25:224))),"")</f>
        <v>0</v>
      </c>
      <c r="Z27" s="22">
        <f t="array" ref="Z27">IFERROR(INDEX('Temp Hisfa'!Z$3:Z$200, SMALL(IF(ISERROR('Temp Hisfa'!Z$3:Z$200), "", ROW('Temp Hisfa'!Z$3:Z$200)-MIN(ROW('Temp Hisfa'!Z$3:Z$200))+1), ROW(25:224))),"")</f>
        <v>0</v>
      </c>
      <c r="AA27" s="22">
        <f t="array" ref="AA27">IFERROR(INDEX('Temp Hisfa'!AA$3:AA$200, SMALL(IF(ISERROR('Temp Hisfa'!AA$3:AA$200), "", ROW('Temp Hisfa'!AA$3:AA$200)-MIN(ROW('Temp Hisfa'!AA$3:AA$200))+1), ROW(25:224))),"")</f>
        <v>0</v>
      </c>
      <c r="AB27" s="22">
        <f t="array" ref="AB27">IFERROR(INDEX('Temp Hisfa'!AB$3:AB$200, SMALL(IF(ISERROR('Temp Hisfa'!AB$3:AB$200), "", ROW('Temp Hisfa'!AB$3:AB$200)-MIN(ROW('Temp Hisfa'!AB$3:AB$200))+1), ROW(25:224))),"")</f>
        <v>0</v>
      </c>
      <c r="AD27" s="121" t="s">
        <v>80</v>
      </c>
      <c r="AE27" s="122"/>
    </row>
    <row r="28" spans="1:31" x14ac:dyDescent="0.3">
      <c r="A28" s="22">
        <f t="array" ref="A28">IFERROR(INDEX('Temp Hisfa'!A$3:A$200, SMALL(IF(ISERROR('Temp Hisfa'!A$3:A$200), "", ROW('Temp Hisfa'!A$3:A$200)-MIN(ROW('Temp Hisfa'!A$3:A$200))+1), ROW(26:224))),"")</f>
        <v>0</v>
      </c>
      <c r="B28" s="4">
        <f t="array" ref="B28">IFERROR(INDEX('Temp Hisfa'!B$3:B$200, SMALL(IF(ISERROR('Temp Hisfa'!B$3:B$200), "", ROW('Temp Hisfa'!B$3:B$200)-MIN(ROW('Temp Hisfa'!B$3:B$200))+1), ROW(26:224))),"")</f>
        <v>0</v>
      </c>
      <c r="C28" s="3">
        <f t="array" ref="C28">IFERROR(INDEX('Temp Hisfa'!C$3:C$200, SMALL(IF(ISERROR('Temp Hisfa'!C$3:C$200), "", ROW('Temp Hisfa'!C$3:C$200)-MIN(ROW('Temp Hisfa'!C$3:C$200))+1), ROW(26:224))),"")</f>
        <v>0</v>
      </c>
      <c r="D28" s="3">
        <f t="array" ref="D28">IFERROR(INDEX('Temp Hisfa'!D$3:D$200, SMALL(IF(ISERROR('Temp Hisfa'!D$3:D$200), "", ROW('Temp Hisfa'!D$3:D$200)-MIN(ROW('Temp Hisfa'!D$3:D$200))+1), ROW(26:224))),"")</f>
        <v>0</v>
      </c>
      <c r="E28" s="29">
        <f t="array" ref="E28">IFERROR(INDEX('Temp Hisfa'!E$3:E$200, SMALL(IF(ISERROR('Temp Hisfa'!E$3:E$200), "", ROW('Temp Hisfa'!E$3:E$200)-MIN(ROW('Temp Hisfa'!E$3:E$200))+1), ROW(26:225))),"")</f>
        <v>0</v>
      </c>
      <c r="F28" s="22">
        <f t="array" ref="F28">IFERROR(INDEX('Temp Hisfa'!F$3:F$200, SMALL(IF(ISERROR('Temp Hisfa'!F$3:F$200), "", ROW('Temp Hisfa'!F$3:F$200)-MIN(ROW('Temp Hisfa'!F$3:F$200))+1), ROW(26:225))),"")</f>
        <v>0</v>
      </c>
      <c r="G28" s="30">
        <f t="array" ref="G28">IFERROR(INDEX('Temp Hisfa'!G$3:G$200, SMALL(IF(ISERROR('Temp Hisfa'!G$3:G$200), "", ROW('Temp Hisfa'!G$3:G$200)-MIN(ROW('Temp Hisfa'!G$3:G$200))+1), ROW(26:225))),"")</f>
        <v>0</v>
      </c>
      <c r="H28" s="22">
        <f t="array" ref="H28">IFERROR(INDEX('Temp Hisfa'!H$3:H$200, SMALL(IF(ISERROR('Temp Hisfa'!H$3:H$200), "", ROW('Temp Hisfa'!H$3:H$200)-MIN(ROW('Temp Hisfa'!H$3:H$200))+1), ROW(26:225))),"")</f>
        <v>0</v>
      </c>
      <c r="I28" s="22">
        <f t="array" ref="I28">IFERROR(INDEX('Temp Hisfa'!I$3:I$200, SMALL(IF(ISERROR('Temp Hisfa'!I$3:I$200), "", ROW('Temp Hisfa'!I$3:I$200)-MIN(ROW('Temp Hisfa'!I$3:I$200))+1), ROW(26:225))),"")</f>
        <v>0</v>
      </c>
      <c r="J28" s="22">
        <f t="array" ref="J28">IFERROR(INDEX('Temp Hisfa'!J$3:J$200, SMALL(IF(ISERROR('Temp Hisfa'!J$3:J$200), "", ROW('Temp Hisfa'!J$3:J$200)-MIN(ROW('Temp Hisfa'!J$3:J$200))+1), ROW(26:225))),"")</f>
        <v>0</v>
      </c>
      <c r="K28" s="30">
        <f t="array" ref="K28">IFERROR(INDEX('Temp Hisfa'!K$3:K$200, SMALL(IF(ISERROR('Temp Hisfa'!K$3:K$200), "", ROW('Temp Hisfa'!K$3:K$200)-MIN(ROW('Temp Hisfa'!K$3:K$200))+1), ROW(26:225))),"")</f>
        <v>0</v>
      </c>
      <c r="L28" s="22">
        <f t="array" ref="L28">IFERROR(INDEX('Temp Hisfa'!L$3:L$200, SMALL(IF(ISERROR('Temp Hisfa'!L$3:L$200), "", ROW('Temp Hisfa'!L$3:L$200)-MIN(ROW('Temp Hisfa'!L$3:L$200))+1), ROW(26:225))),"")</f>
        <v>0</v>
      </c>
      <c r="M28" s="22">
        <f t="array" ref="M28">IFERROR(INDEX('Temp Hisfa'!M$3:M$200, SMALL(IF(ISERROR('Temp Hisfa'!M$3:M$200), "", ROW('Temp Hisfa'!M$3:M$200)-MIN(ROW('Temp Hisfa'!M$3:M$200))+1), ROW(26:225))),"")</f>
        <v>0</v>
      </c>
      <c r="N28" s="22">
        <f t="array" ref="N28">IFERROR(INDEX('Temp Hisfa'!N$3:N$200, SMALL(IF(ISERROR('Temp Hisfa'!N$3:N$200), "", ROW('Temp Hisfa'!N$3:N$200)-MIN(ROW('Temp Hisfa'!N$3:N$200))+1), ROW(26:225))),"")</f>
        <v>1900</v>
      </c>
      <c r="O28" s="22" t="str">
        <f t="array" ref="O28">IFERROR(INDEX('Temp Hisfa'!O$3:O$200, SMALL(IF(ISERROR('Temp Hisfa'!O$3:O$200), "", ROW('Temp Hisfa'!O$3:O$200)-MIN(ROW('Temp Hisfa'!O$3:O$200))+1), ROW(26:225))),"")</f>
        <v>enero</v>
      </c>
      <c r="P28" s="22">
        <f t="array" ref="P28">IFERROR(INDEX('Temp Hisfa'!P$3:P$200, SMALL(IF(ISERROR('Temp Hisfa'!P$3:P$200), "", ROW('Temp Hisfa'!P$3:P$200)-MIN(ROW('Temp Hisfa'!P$3:P$200))+1), ROW(26:225))),"")</f>
        <v>0</v>
      </c>
      <c r="Q28" s="22">
        <f t="array" ref="Q28">IFERROR(INDEX('Temp Hisfa'!Q$3:Q$200, SMALL(IF(ISERROR('Temp Hisfa'!Q$3:Q$200), "", ROW('Temp Hisfa'!Q$3:Q$200)-MIN(ROW('Temp Hisfa'!Q$3:Q$200))+1), ROW(26:225))),"")</f>
        <v>0</v>
      </c>
      <c r="R28" s="22">
        <f t="array" ref="R28">IFERROR(INDEX('Temp Hisfa'!R$3:R$200, SMALL(IF(ISERROR('Temp Hisfa'!R$3:R$200), "", ROW('Temp Hisfa'!R$3:R$200)-MIN(ROW('Temp Hisfa'!R$3:R$200))+1), ROW(26:225))),"")</f>
        <v>0</v>
      </c>
      <c r="S28" s="22">
        <f t="array" ref="S28">IFERROR(INDEX('Temp Hisfa'!S$3:S$200, SMALL(IF(ISERROR('Temp Hisfa'!S$3:S$200), "", ROW('Temp Hisfa'!S$3:S$200)-MIN(ROW('Temp Hisfa'!S$3:S$200))+1), ROW(26:225))),"")</f>
        <v>0</v>
      </c>
      <c r="T28" s="22">
        <f t="array" ref="T28">IFERROR(INDEX('Temp Hisfa'!T$3:T$200, SMALL(IF(ISERROR('Temp Hisfa'!T$3:T$200), "", ROW('Temp Hisfa'!T$3:T$200)-MIN(ROW('Temp Hisfa'!T$3:T$200))+1), ROW(26:225))),"")</f>
        <v>0</v>
      </c>
      <c r="U28" s="22">
        <f t="array" ref="U28">IFERROR(INDEX('Temp Hisfa'!U$3:U$200, SMALL(IF(ISERROR('Temp Hisfa'!U$3:U$200), "", ROW('Temp Hisfa'!U$3:U$200)-MIN(ROW('Temp Hisfa'!U$3:U$200))+1), ROW(26:225))),"")</f>
        <v>0</v>
      </c>
      <c r="V28" s="22">
        <f t="array" ref="V28">IFERROR(INDEX('Temp Hisfa'!V$3:V$200, SMALL(IF(ISERROR('Temp Hisfa'!V$3:V$200), "", ROW('Temp Hisfa'!V$3:V$200)-MIN(ROW('Temp Hisfa'!V$3:V$200))+1), ROW(26:225))),"")</f>
        <v>0</v>
      </c>
      <c r="W28" s="22">
        <f t="array" ref="W28">IFERROR(INDEX('Temp Hisfa'!W$3:W$200, SMALL(IF(ISERROR('Temp Hisfa'!W$3:W$200), "", ROW('Temp Hisfa'!W$3:W$200)-MIN(ROW('Temp Hisfa'!W$3:W$200))+1), ROW(26:225))),"")</f>
        <v>0</v>
      </c>
      <c r="X28" s="22">
        <f t="array" ref="X28">IFERROR(INDEX('Temp Hisfa'!X$3:X$200, SMALL(IF(ISERROR('Temp Hisfa'!X$3:X$200), "", ROW('Temp Hisfa'!X$3:X$200)-MIN(ROW('Temp Hisfa'!X$3:X$200))+1), ROW(26:225))),"")</f>
        <v>0</v>
      </c>
      <c r="Y28" s="22">
        <f t="array" ref="Y28">IFERROR(INDEX('Temp Hisfa'!Y$3:Y$200, SMALL(IF(ISERROR('Temp Hisfa'!Y$3:Y$200), "", ROW('Temp Hisfa'!Y$3:Y$200)-MIN(ROW('Temp Hisfa'!Y$3:Y$200))+1), ROW(26:225))),"")</f>
        <v>0</v>
      </c>
      <c r="Z28" s="22">
        <f t="array" ref="Z28">IFERROR(INDEX('Temp Hisfa'!Z$3:Z$200, SMALL(IF(ISERROR('Temp Hisfa'!Z$3:Z$200), "", ROW('Temp Hisfa'!Z$3:Z$200)-MIN(ROW('Temp Hisfa'!Z$3:Z$200))+1), ROW(26:225))),"")</f>
        <v>0</v>
      </c>
      <c r="AA28" s="22">
        <f t="array" ref="AA28">IFERROR(INDEX('Temp Hisfa'!AA$3:AA$200, SMALL(IF(ISERROR('Temp Hisfa'!AA$3:AA$200), "", ROW('Temp Hisfa'!AA$3:AA$200)-MIN(ROW('Temp Hisfa'!AA$3:AA$200))+1), ROW(26:225))),"")</f>
        <v>0</v>
      </c>
      <c r="AB28" s="22">
        <f t="array" ref="AB28">IFERROR(INDEX('Temp Hisfa'!AB$3:AB$200, SMALL(IF(ISERROR('Temp Hisfa'!AB$3:AB$200), "", ROW('Temp Hisfa'!AB$3:AB$200)-MIN(ROW('Temp Hisfa'!AB$3:AB$200))+1), ROW(26:225))),"")</f>
        <v>0</v>
      </c>
      <c r="AD28" s="56" t="s">
        <v>74</v>
      </c>
      <c r="AE28" s="84">
        <v>0</v>
      </c>
    </row>
    <row r="29" spans="1:31" x14ac:dyDescent="0.3">
      <c r="A29" s="22">
        <f t="array" ref="A29">IFERROR(INDEX('Temp Hisfa'!A$3:A$200, SMALL(IF(ISERROR('Temp Hisfa'!A$3:A$200), "", ROW('Temp Hisfa'!A$3:A$200)-MIN(ROW('Temp Hisfa'!A$3:A$200))+1), ROW(27:225))),"")</f>
        <v>0</v>
      </c>
      <c r="B29" s="4">
        <f t="array" ref="B29">IFERROR(INDEX('Temp Hisfa'!B$3:B$200, SMALL(IF(ISERROR('Temp Hisfa'!B$3:B$200), "", ROW('Temp Hisfa'!B$3:B$200)-MIN(ROW('Temp Hisfa'!B$3:B$200))+1), ROW(27:225))),"")</f>
        <v>0</v>
      </c>
      <c r="C29" s="3">
        <f t="array" ref="C29">IFERROR(INDEX('Temp Hisfa'!C$3:C$200, SMALL(IF(ISERROR('Temp Hisfa'!C$3:C$200), "", ROW('Temp Hisfa'!C$3:C$200)-MIN(ROW('Temp Hisfa'!C$3:C$200))+1), ROW(27:225))),"")</f>
        <v>0</v>
      </c>
      <c r="D29" s="3">
        <f t="array" ref="D29">IFERROR(INDEX('Temp Hisfa'!D$3:D$200, SMALL(IF(ISERROR('Temp Hisfa'!D$3:D$200), "", ROW('Temp Hisfa'!D$3:D$200)-MIN(ROW('Temp Hisfa'!D$3:D$200))+1), ROW(27:225))),"")</f>
        <v>0</v>
      </c>
      <c r="E29" s="29">
        <f t="array" ref="E29">IFERROR(INDEX('Temp Hisfa'!E$3:E$200, SMALL(IF(ISERROR('Temp Hisfa'!E$3:E$200), "", ROW('Temp Hisfa'!E$3:E$200)-MIN(ROW('Temp Hisfa'!E$3:E$200))+1), ROW(27:226))),"")</f>
        <v>0</v>
      </c>
      <c r="F29" s="22">
        <f t="array" ref="F29">IFERROR(INDEX('Temp Hisfa'!F$3:F$200, SMALL(IF(ISERROR('Temp Hisfa'!F$3:F$200), "", ROW('Temp Hisfa'!F$3:F$200)-MIN(ROW('Temp Hisfa'!F$3:F$200))+1), ROW(27:226))),"")</f>
        <v>0</v>
      </c>
      <c r="G29" s="30">
        <f t="array" ref="G29">IFERROR(INDEX('Temp Hisfa'!G$3:G$200, SMALL(IF(ISERROR('Temp Hisfa'!G$3:G$200), "", ROW('Temp Hisfa'!G$3:G$200)-MIN(ROW('Temp Hisfa'!G$3:G$200))+1), ROW(27:226))),"")</f>
        <v>0</v>
      </c>
      <c r="H29" s="22">
        <f t="array" ref="H29">IFERROR(INDEX('Temp Hisfa'!H$3:H$200, SMALL(IF(ISERROR('Temp Hisfa'!H$3:H$200), "", ROW('Temp Hisfa'!H$3:H$200)-MIN(ROW('Temp Hisfa'!H$3:H$200))+1), ROW(27:226))),"")</f>
        <v>0</v>
      </c>
      <c r="I29" s="22">
        <f t="array" ref="I29">IFERROR(INDEX('Temp Hisfa'!I$3:I$200, SMALL(IF(ISERROR('Temp Hisfa'!I$3:I$200), "", ROW('Temp Hisfa'!I$3:I$200)-MIN(ROW('Temp Hisfa'!I$3:I$200))+1), ROW(27:226))),"")</f>
        <v>0</v>
      </c>
      <c r="J29" s="22">
        <f t="array" ref="J29">IFERROR(INDEX('Temp Hisfa'!J$3:J$200, SMALL(IF(ISERROR('Temp Hisfa'!J$3:J$200), "", ROW('Temp Hisfa'!J$3:J$200)-MIN(ROW('Temp Hisfa'!J$3:J$200))+1), ROW(27:226))),"")</f>
        <v>0</v>
      </c>
      <c r="K29" s="30">
        <f t="array" ref="K29">IFERROR(INDEX('Temp Hisfa'!K$3:K$200, SMALL(IF(ISERROR('Temp Hisfa'!K$3:K$200), "", ROW('Temp Hisfa'!K$3:K$200)-MIN(ROW('Temp Hisfa'!K$3:K$200))+1), ROW(27:226))),"")</f>
        <v>0</v>
      </c>
      <c r="L29" s="22">
        <f t="array" ref="L29">IFERROR(INDEX('Temp Hisfa'!L$3:L$200, SMALL(IF(ISERROR('Temp Hisfa'!L$3:L$200), "", ROW('Temp Hisfa'!L$3:L$200)-MIN(ROW('Temp Hisfa'!L$3:L$200))+1), ROW(27:226))),"")</f>
        <v>0</v>
      </c>
      <c r="M29" s="22">
        <f t="array" ref="M29">IFERROR(INDEX('Temp Hisfa'!M$3:M$200, SMALL(IF(ISERROR('Temp Hisfa'!M$3:M$200), "", ROW('Temp Hisfa'!M$3:M$200)-MIN(ROW('Temp Hisfa'!M$3:M$200))+1), ROW(27:226))),"")</f>
        <v>0</v>
      </c>
      <c r="N29" s="22">
        <f t="array" ref="N29">IFERROR(INDEX('Temp Hisfa'!N$3:N$200, SMALL(IF(ISERROR('Temp Hisfa'!N$3:N$200), "", ROW('Temp Hisfa'!N$3:N$200)-MIN(ROW('Temp Hisfa'!N$3:N$200))+1), ROW(27:226))),"")</f>
        <v>1900</v>
      </c>
      <c r="O29" s="22" t="str">
        <f t="array" ref="O29">IFERROR(INDEX('Temp Hisfa'!O$3:O$200, SMALL(IF(ISERROR('Temp Hisfa'!O$3:O$200), "", ROW('Temp Hisfa'!O$3:O$200)-MIN(ROW('Temp Hisfa'!O$3:O$200))+1), ROW(27:226))),"")</f>
        <v>enero</v>
      </c>
      <c r="P29" s="22">
        <f t="array" ref="P29">IFERROR(INDEX('Temp Hisfa'!P$3:P$200, SMALL(IF(ISERROR('Temp Hisfa'!P$3:P$200), "", ROW('Temp Hisfa'!P$3:P$200)-MIN(ROW('Temp Hisfa'!P$3:P$200))+1), ROW(27:226))),"")</f>
        <v>0</v>
      </c>
      <c r="Q29" s="22">
        <f t="array" ref="Q29">IFERROR(INDEX('Temp Hisfa'!Q$3:Q$200, SMALL(IF(ISERROR('Temp Hisfa'!Q$3:Q$200), "", ROW('Temp Hisfa'!Q$3:Q$200)-MIN(ROW('Temp Hisfa'!Q$3:Q$200))+1), ROW(27:226))),"")</f>
        <v>0</v>
      </c>
      <c r="R29" s="22">
        <f t="array" ref="R29">IFERROR(INDEX('Temp Hisfa'!R$3:R$200, SMALL(IF(ISERROR('Temp Hisfa'!R$3:R$200), "", ROW('Temp Hisfa'!R$3:R$200)-MIN(ROW('Temp Hisfa'!R$3:R$200))+1), ROW(27:226))),"")</f>
        <v>0</v>
      </c>
      <c r="S29" s="22">
        <f t="array" ref="S29">IFERROR(INDEX('Temp Hisfa'!S$3:S$200, SMALL(IF(ISERROR('Temp Hisfa'!S$3:S$200), "", ROW('Temp Hisfa'!S$3:S$200)-MIN(ROW('Temp Hisfa'!S$3:S$200))+1), ROW(27:226))),"")</f>
        <v>0</v>
      </c>
      <c r="T29" s="22">
        <f t="array" ref="T29">IFERROR(INDEX('Temp Hisfa'!T$3:T$200, SMALL(IF(ISERROR('Temp Hisfa'!T$3:T$200), "", ROW('Temp Hisfa'!T$3:T$200)-MIN(ROW('Temp Hisfa'!T$3:T$200))+1), ROW(27:226))),"")</f>
        <v>0</v>
      </c>
      <c r="U29" s="22">
        <f t="array" ref="U29">IFERROR(INDEX('Temp Hisfa'!U$3:U$200, SMALL(IF(ISERROR('Temp Hisfa'!U$3:U$200), "", ROW('Temp Hisfa'!U$3:U$200)-MIN(ROW('Temp Hisfa'!U$3:U$200))+1), ROW(27:226))),"")</f>
        <v>0</v>
      </c>
      <c r="V29" s="22">
        <f t="array" ref="V29">IFERROR(INDEX('Temp Hisfa'!V$3:V$200, SMALL(IF(ISERROR('Temp Hisfa'!V$3:V$200), "", ROW('Temp Hisfa'!V$3:V$200)-MIN(ROW('Temp Hisfa'!V$3:V$200))+1), ROW(27:226))),"")</f>
        <v>0</v>
      </c>
      <c r="W29" s="22">
        <f t="array" ref="W29">IFERROR(INDEX('Temp Hisfa'!W$3:W$200, SMALL(IF(ISERROR('Temp Hisfa'!W$3:W$200), "", ROW('Temp Hisfa'!W$3:W$200)-MIN(ROW('Temp Hisfa'!W$3:W$200))+1), ROW(27:226))),"")</f>
        <v>0</v>
      </c>
      <c r="X29" s="22">
        <f t="array" ref="X29">IFERROR(INDEX('Temp Hisfa'!X$3:X$200, SMALL(IF(ISERROR('Temp Hisfa'!X$3:X$200), "", ROW('Temp Hisfa'!X$3:X$200)-MIN(ROW('Temp Hisfa'!X$3:X$200))+1), ROW(27:226))),"")</f>
        <v>0</v>
      </c>
      <c r="Y29" s="22">
        <f t="array" ref="Y29">IFERROR(INDEX('Temp Hisfa'!Y$3:Y$200, SMALL(IF(ISERROR('Temp Hisfa'!Y$3:Y$200), "", ROW('Temp Hisfa'!Y$3:Y$200)-MIN(ROW('Temp Hisfa'!Y$3:Y$200))+1), ROW(27:226))),"")</f>
        <v>0</v>
      </c>
      <c r="Z29" s="22">
        <f t="array" ref="Z29">IFERROR(INDEX('Temp Hisfa'!Z$3:Z$200, SMALL(IF(ISERROR('Temp Hisfa'!Z$3:Z$200), "", ROW('Temp Hisfa'!Z$3:Z$200)-MIN(ROW('Temp Hisfa'!Z$3:Z$200))+1), ROW(27:226))),"")</f>
        <v>0</v>
      </c>
      <c r="AA29" s="22">
        <f t="array" ref="AA29">IFERROR(INDEX('Temp Hisfa'!AA$3:AA$200, SMALL(IF(ISERROR('Temp Hisfa'!AA$3:AA$200), "", ROW('Temp Hisfa'!AA$3:AA$200)-MIN(ROW('Temp Hisfa'!AA$3:AA$200))+1), ROW(27:226))),"")</f>
        <v>0</v>
      </c>
      <c r="AB29" s="22">
        <f t="array" ref="AB29">IFERROR(INDEX('Temp Hisfa'!AB$3:AB$200, SMALL(IF(ISERROR('Temp Hisfa'!AB$3:AB$200), "", ROW('Temp Hisfa'!AB$3:AB$200)-MIN(ROW('Temp Hisfa'!AB$3:AB$200))+1), ROW(27:226))),"")</f>
        <v>0</v>
      </c>
      <c r="AD29" s="56" t="s">
        <v>75</v>
      </c>
      <c r="AE29" s="85">
        <f>IFERROR(AE28/AE26,0)</f>
        <v>0</v>
      </c>
    </row>
    <row r="30" spans="1:31" x14ac:dyDescent="0.3">
      <c r="A30" s="22">
        <f t="array" ref="A30">IFERROR(INDEX('Temp Hisfa'!A$3:A$200, SMALL(IF(ISERROR('Temp Hisfa'!A$3:A$200), "", ROW('Temp Hisfa'!A$3:A$200)-MIN(ROW('Temp Hisfa'!A$3:A$200))+1), ROW(28:226))),"")</f>
        <v>0</v>
      </c>
      <c r="B30" s="4">
        <f t="array" ref="B30">IFERROR(INDEX('Temp Hisfa'!B$3:B$200, SMALL(IF(ISERROR('Temp Hisfa'!B$3:B$200), "", ROW('Temp Hisfa'!B$3:B$200)-MIN(ROW('Temp Hisfa'!B$3:B$200))+1), ROW(28:226))),"")</f>
        <v>0</v>
      </c>
      <c r="C30" s="3">
        <f t="array" ref="C30">IFERROR(INDEX('Temp Hisfa'!C$3:C$200, SMALL(IF(ISERROR('Temp Hisfa'!C$3:C$200), "", ROW('Temp Hisfa'!C$3:C$200)-MIN(ROW('Temp Hisfa'!C$3:C$200))+1), ROW(28:226))),"")</f>
        <v>0</v>
      </c>
      <c r="D30" s="3">
        <f t="array" ref="D30">IFERROR(INDEX('Temp Hisfa'!D$3:D$200, SMALL(IF(ISERROR('Temp Hisfa'!D$3:D$200), "", ROW('Temp Hisfa'!D$3:D$200)-MIN(ROW('Temp Hisfa'!D$3:D$200))+1), ROW(28:226))),"")</f>
        <v>0</v>
      </c>
      <c r="E30" s="29">
        <f t="array" ref="E30">IFERROR(INDEX('Temp Hisfa'!E$3:E$200, SMALL(IF(ISERROR('Temp Hisfa'!E$3:E$200), "", ROW('Temp Hisfa'!E$3:E$200)-MIN(ROW('Temp Hisfa'!E$3:E$200))+1), ROW(28:227))),"")</f>
        <v>0</v>
      </c>
      <c r="F30" s="22">
        <f t="array" ref="F30">IFERROR(INDEX('Temp Hisfa'!F$3:F$200, SMALL(IF(ISERROR('Temp Hisfa'!F$3:F$200), "", ROW('Temp Hisfa'!F$3:F$200)-MIN(ROW('Temp Hisfa'!F$3:F$200))+1), ROW(28:227))),"")</f>
        <v>0</v>
      </c>
      <c r="G30" s="30">
        <f t="array" ref="G30">IFERROR(INDEX('Temp Hisfa'!G$3:G$200, SMALL(IF(ISERROR('Temp Hisfa'!G$3:G$200), "", ROW('Temp Hisfa'!G$3:G$200)-MIN(ROW('Temp Hisfa'!G$3:G$200))+1), ROW(28:227))),"")</f>
        <v>0</v>
      </c>
      <c r="H30" s="22">
        <f t="array" ref="H30">IFERROR(INDEX('Temp Hisfa'!H$3:H$200, SMALL(IF(ISERROR('Temp Hisfa'!H$3:H$200), "", ROW('Temp Hisfa'!H$3:H$200)-MIN(ROW('Temp Hisfa'!H$3:H$200))+1), ROW(28:227))),"")</f>
        <v>0</v>
      </c>
      <c r="I30" s="22">
        <f t="array" ref="I30">IFERROR(INDEX('Temp Hisfa'!I$3:I$200, SMALL(IF(ISERROR('Temp Hisfa'!I$3:I$200), "", ROW('Temp Hisfa'!I$3:I$200)-MIN(ROW('Temp Hisfa'!I$3:I$200))+1), ROW(28:227))),"")</f>
        <v>0</v>
      </c>
      <c r="J30" s="22">
        <f t="array" ref="J30">IFERROR(INDEX('Temp Hisfa'!J$3:J$200, SMALL(IF(ISERROR('Temp Hisfa'!J$3:J$200), "", ROW('Temp Hisfa'!J$3:J$200)-MIN(ROW('Temp Hisfa'!J$3:J$200))+1), ROW(28:227))),"")</f>
        <v>0</v>
      </c>
      <c r="K30" s="30">
        <f t="array" ref="K30">IFERROR(INDEX('Temp Hisfa'!K$3:K$200, SMALL(IF(ISERROR('Temp Hisfa'!K$3:K$200), "", ROW('Temp Hisfa'!K$3:K$200)-MIN(ROW('Temp Hisfa'!K$3:K$200))+1), ROW(28:227))),"")</f>
        <v>0</v>
      </c>
      <c r="L30" s="22">
        <f t="array" ref="L30">IFERROR(INDEX('Temp Hisfa'!L$3:L$200, SMALL(IF(ISERROR('Temp Hisfa'!L$3:L$200), "", ROW('Temp Hisfa'!L$3:L$200)-MIN(ROW('Temp Hisfa'!L$3:L$200))+1), ROW(28:227))),"")</f>
        <v>0</v>
      </c>
      <c r="M30" s="22">
        <f t="array" ref="M30">IFERROR(INDEX('Temp Hisfa'!M$3:M$200, SMALL(IF(ISERROR('Temp Hisfa'!M$3:M$200), "", ROW('Temp Hisfa'!M$3:M$200)-MIN(ROW('Temp Hisfa'!M$3:M$200))+1), ROW(28:227))),"")</f>
        <v>0</v>
      </c>
      <c r="N30" s="22">
        <f t="array" ref="N30">IFERROR(INDEX('Temp Hisfa'!N$3:N$200, SMALL(IF(ISERROR('Temp Hisfa'!N$3:N$200), "", ROW('Temp Hisfa'!N$3:N$200)-MIN(ROW('Temp Hisfa'!N$3:N$200))+1), ROW(28:227))),"")</f>
        <v>1900</v>
      </c>
      <c r="O30" s="22" t="str">
        <f t="array" ref="O30">IFERROR(INDEX('Temp Hisfa'!O$3:O$200, SMALL(IF(ISERROR('Temp Hisfa'!O$3:O$200), "", ROW('Temp Hisfa'!O$3:O$200)-MIN(ROW('Temp Hisfa'!O$3:O$200))+1), ROW(28:227))),"")</f>
        <v>enero</v>
      </c>
      <c r="P30" s="22">
        <f t="array" ref="P30">IFERROR(INDEX('Temp Hisfa'!P$3:P$200, SMALL(IF(ISERROR('Temp Hisfa'!P$3:P$200), "", ROW('Temp Hisfa'!P$3:P$200)-MIN(ROW('Temp Hisfa'!P$3:P$200))+1), ROW(28:227))),"")</f>
        <v>0</v>
      </c>
      <c r="Q30" s="22">
        <f t="array" ref="Q30">IFERROR(INDEX('Temp Hisfa'!Q$3:Q$200, SMALL(IF(ISERROR('Temp Hisfa'!Q$3:Q$200), "", ROW('Temp Hisfa'!Q$3:Q$200)-MIN(ROW('Temp Hisfa'!Q$3:Q$200))+1), ROW(28:227))),"")</f>
        <v>0</v>
      </c>
      <c r="R30" s="22">
        <f t="array" ref="R30">IFERROR(INDEX('Temp Hisfa'!R$3:R$200, SMALL(IF(ISERROR('Temp Hisfa'!R$3:R$200), "", ROW('Temp Hisfa'!R$3:R$200)-MIN(ROW('Temp Hisfa'!R$3:R$200))+1), ROW(28:227))),"")</f>
        <v>0</v>
      </c>
      <c r="S30" s="22">
        <f t="array" ref="S30">IFERROR(INDEX('Temp Hisfa'!S$3:S$200, SMALL(IF(ISERROR('Temp Hisfa'!S$3:S$200), "", ROW('Temp Hisfa'!S$3:S$200)-MIN(ROW('Temp Hisfa'!S$3:S$200))+1), ROW(28:227))),"")</f>
        <v>0</v>
      </c>
      <c r="T30" s="22">
        <f t="array" ref="T30">IFERROR(INDEX('Temp Hisfa'!T$3:T$200, SMALL(IF(ISERROR('Temp Hisfa'!T$3:T$200), "", ROW('Temp Hisfa'!T$3:T$200)-MIN(ROW('Temp Hisfa'!T$3:T$200))+1), ROW(28:227))),"")</f>
        <v>0</v>
      </c>
      <c r="U30" s="22">
        <f t="array" ref="U30">IFERROR(INDEX('Temp Hisfa'!U$3:U$200, SMALL(IF(ISERROR('Temp Hisfa'!U$3:U$200), "", ROW('Temp Hisfa'!U$3:U$200)-MIN(ROW('Temp Hisfa'!U$3:U$200))+1), ROW(28:227))),"")</f>
        <v>0</v>
      </c>
      <c r="V30" s="22">
        <f t="array" ref="V30">IFERROR(INDEX('Temp Hisfa'!V$3:V$200, SMALL(IF(ISERROR('Temp Hisfa'!V$3:V$200), "", ROW('Temp Hisfa'!V$3:V$200)-MIN(ROW('Temp Hisfa'!V$3:V$200))+1), ROW(28:227))),"")</f>
        <v>0</v>
      </c>
      <c r="W30" s="22">
        <f t="array" ref="W30">IFERROR(INDEX('Temp Hisfa'!W$3:W$200, SMALL(IF(ISERROR('Temp Hisfa'!W$3:W$200), "", ROW('Temp Hisfa'!W$3:W$200)-MIN(ROW('Temp Hisfa'!W$3:W$200))+1), ROW(28:227))),"")</f>
        <v>0</v>
      </c>
      <c r="X30" s="22">
        <f t="array" ref="X30">IFERROR(INDEX('Temp Hisfa'!X$3:X$200, SMALL(IF(ISERROR('Temp Hisfa'!X$3:X$200), "", ROW('Temp Hisfa'!X$3:X$200)-MIN(ROW('Temp Hisfa'!X$3:X$200))+1), ROW(28:227))),"")</f>
        <v>0</v>
      </c>
      <c r="Y30" s="22">
        <f t="array" ref="Y30">IFERROR(INDEX('Temp Hisfa'!Y$3:Y$200, SMALL(IF(ISERROR('Temp Hisfa'!Y$3:Y$200), "", ROW('Temp Hisfa'!Y$3:Y$200)-MIN(ROW('Temp Hisfa'!Y$3:Y$200))+1), ROW(28:227))),"")</f>
        <v>0</v>
      </c>
      <c r="Z30" s="22">
        <f t="array" ref="Z30">IFERROR(INDEX('Temp Hisfa'!Z$3:Z$200, SMALL(IF(ISERROR('Temp Hisfa'!Z$3:Z$200), "", ROW('Temp Hisfa'!Z$3:Z$200)-MIN(ROW('Temp Hisfa'!Z$3:Z$200))+1), ROW(28:227))),"")</f>
        <v>0</v>
      </c>
      <c r="AA30" s="22">
        <f t="array" ref="AA30">IFERROR(INDEX('Temp Hisfa'!AA$3:AA$200, SMALL(IF(ISERROR('Temp Hisfa'!AA$3:AA$200), "", ROW('Temp Hisfa'!AA$3:AA$200)-MIN(ROW('Temp Hisfa'!AA$3:AA$200))+1), ROW(28:227))),"")</f>
        <v>0</v>
      </c>
      <c r="AB30" s="22">
        <f t="array" ref="AB30">IFERROR(INDEX('Temp Hisfa'!AB$3:AB$200, SMALL(IF(ISERROR('Temp Hisfa'!AB$3:AB$200), "", ROW('Temp Hisfa'!AB$3:AB$200)-MIN(ROW('Temp Hisfa'!AB$3:AB$200))+1), ROW(28:227))),"")</f>
        <v>0</v>
      </c>
    </row>
    <row r="31" spans="1:31" x14ac:dyDescent="0.3">
      <c r="A31" s="22">
        <f t="array" ref="A31">IFERROR(INDEX('Temp Hisfa'!A$3:A$200, SMALL(IF(ISERROR('Temp Hisfa'!A$3:A$200), "", ROW('Temp Hisfa'!A$3:A$200)-MIN(ROW('Temp Hisfa'!A$3:A$200))+1), ROW(29:227))),"")</f>
        <v>0</v>
      </c>
      <c r="B31" s="4">
        <f t="array" ref="B31">IFERROR(INDEX('Temp Hisfa'!B$3:B$200, SMALL(IF(ISERROR('Temp Hisfa'!B$3:B$200), "", ROW('Temp Hisfa'!B$3:B$200)-MIN(ROW('Temp Hisfa'!B$3:B$200))+1), ROW(29:227))),"")</f>
        <v>0</v>
      </c>
      <c r="C31" s="3">
        <f t="array" ref="C31">IFERROR(INDEX('Temp Hisfa'!C$3:C$200, SMALL(IF(ISERROR('Temp Hisfa'!C$3:C$200), "", ROW('Temp Hisfa'!C$3:C$200)-MIN(ROW('Temp Hisfa'!C$3:C$200))+1), ROW(29:227))),"")</f>
        <v>0</v>
      </c>
      <c r="D31" s="3">
        <f t="array" ref="D31">IFERROR(INDEX('Temp Hisfa'!D$3:D$200, SMALL(IF(ISERROR('Temp Hisfa'!D$3:D$200), "", ROW('Temp Hisfa'!D$3:D$200)-MIN(ROW('Temp Hisfa'!D$3:D$200))+1), ROW(29:227))),"")</f>
        <v>0</v>
      </c>
      <c r="E31" s="29">
        <f t="array" ref="E31">IFERROR(INDEX('Temp Hisfa'!E$3:E$200, SMALL(IF(ISERROR('Temp Hisfa'!E$3:E$200), "", ROW('Temp Hisfa'!E$3:E$200)-MIN(ROW('Temp Hisfa'!E$3:E$200))+1), ROW(29:228))),"")</f>
        <v>0</v>
      </c>
      <c r="F31" s="22">
        <f t="array" ref="F31">IFERROR(INDEX('Temp Hisfa'!F$3:F$200, SMALL(IF(ISERROR('Temp Hisfa'!F$3:F$200), "", ROW('Temp Hisfa'!F$3:F$200)-MIN(ROW('Temp Hisfa'!F$3:F$200))+1), ROW(29:228))),"")</f>
        <v>0</v>
      </c>
      <c r="G31" s="30">
        <f t="array" ref="G31">IFERROR(INDEX('Temp Hisfa'!G$3:G$200, SMALL(IF(ISERROR('Temp Hisfa'!G$3:G$200), "", ROW('Temp Hisfa'!G$3:G$200)-MIN(ROW('Temp Hisfa'!G$3:G$200))+1), ROW(29:228))),"")</f>
        <v>0</v>
      </c>
      <c r="H31" s="22">
        <f t="array" ref="H31">IFERROR(INDEX('Temp Hisfa'!H$3:H$200, SMALL(IF(ISERROR('Temp Hisfa'!H$3:H$200), "", ROW('Temp Hisfa'!H$3:H$200)-MIN(ROW('Temp Hisfa'!H$3:H$200))+1), ROW(29:228))),"")</f>
        <v>0</v>
      </c>
      <c r="I31" s="22">
        <f t="array" ref="I31">IFERROR(INDEX('Temp Hisfa'!I$3:I$200, SMALL(IF(ISERROR('Temp Hisfa'!I$3:I$200), "", ROW('Temp Hisfa'!I$3:I$200)-MIN(ROW('Temp Hisfa'!I$3:I$200))+1), ROW(29:228))),"")</f>
        <v>0</v>
      </c>
      <c r="J31" s="22">
        <f t="array" ref="J31">IFERROR(INDEX('Temp Hisfa'!J$3:J$200, SMALL(IF(ISERROR('Temp Hisfa'!J$3:J$200), "", ROW('Temp Hisfa'!J$3:J$200)-MIN(ROW('Temp Hisfa'!J$3:J$200))+1), ROW(29:228))),"")</f>
        <v>0</v>
      </c>
      <c r="K31" s="30">
        <f t="array" ref="K31">IFERROR(INDEX('Temp Hisfa'!K$3:K$200, SMALL(IF(ISERROR('Temp Hisfa'!K$3:K$200), "", ROW('Temp Hisfa'!K$3:K$200)-MIN(ROW('Temp Hisfa'!K$3:K$200))+1), ROW(29:228))),"")</f>
        <v>0</v>
      </c>
      <c r="L31" s="22">
        <f t="array" ref="L31">IFERROR(INDEX('Temp Hisfa'!L$3:L$200, SMALL(IF(ISERROR('Temp Hisfa'!L$3:L$200), "", ROW('Temp Hisfa'!L$3:L$200)-MIN(ROW('Temp Hisfa'!L$3:L$200))+1), ROW(29:228))),"")</f>
        <v>0</v>
      </c>
      <c r="M31" s="22">
        <f t="array" ref="M31">IFERROR(INDEX('Temp Hisfa'!M$3:M$200, SMALL(IF(ISERROR('Temp Hisfa'!M$3:M$200), "", ROW('Temp Hisfa'!M$3:M$200)-MIN(ROW('Temp Hisfa'!M$3:M$200))+1), ROW(29:228))),"")</f>
        <v>0</v>
      </c>
      <c r="N31" s="22">
        <f t="array" ref="N31">IFERROR(INDEX('Temp Hisfa'!N$3:N$200, SMALL(IF(ISERROR('Temp Hisfa'!N$3:N$200), "", ROW('Temp Hisfa'!N$3:N$200)-MIN(ROW('Temp Hisfa'!N$3:N$200))+1), ROW(29:228))),"")</f>
        <v>1900</v>
      </c>
      <c r="O31" s="22" t="str">
        <f t="array" ref="O31">IFERROR(INDEX('Temp Hisfa'!O$3:O$200, SMALL(IF(ISERROR('Temp Hisfa'!O$3:O$200), "", ROW('Temp Hisfa'!O$3:O$200)-MIN(ROW('Temp Hisfa'!O$3:O$200))+1), ROW(29:228))),"")</f>
        <v>enero</v>
      </c>
      <c r="P31" s="22">
        <f t="array" ref="P31">IFERROR(INDEX('Temp Hisfa'!P$3:P$200, SMALL(IF(ISERROR('Temp Hisfa'!P$3:P$200), "", ROW('Temp Hisfa'!P$3:P$200)-MIN(ROW('Temp Hisfa'!P$3:P$200))+1), ROW(29:228))),"")</f>
        <v>0</v>
      </c>
      <c r="Q31" s="22">
        <f t="array" ref="Q31">IFERROR(INDEX('Temp Hisfa'!Q$3:Q$200, SMALL(IF(ISERROR('Temp Hisfa'!Q$3:Q$200), "", ROW('Temp Hisfa'!Q$3:Q$200)-MIN(ROW('Temp Hisfa'!Q$3:Q$200))+1), ROW(29:228))),"")</f>
        <v>0</v>
      </c>
      <c r="R31" s="22">
        <f t="array" ref="R31">IFERROR(INDEX('Temp Hisfa'!R$3:R$200, SMALL(IF(ISERROR('Temp Hisfa'!R$3:R$200), "", ROW('Temp Hisfa'!R$3:R$200)-MIN(ROW('Temp Hisfa'!R$3:R$200))+1), ROW(29:228))),"")</f>
        <v>0</v>
      </c>
      <c r="S31" s="22">
        <f t="array" ref="S31">IFERROR(INDEX('Temp Hisfa'!S$3:S$200, SMALL(IF(ISERROR('Temp Hisfa'!S$3:S$200), "", ROW('Temp Hisfa'!S$3:S$200)-MIN(ROW('Temp Hisfa'!S$3:S$200))+1), ROW(29:228))),"")</f>
        <v>0</v>
      </c>
      <c r="T31" s="22">
        <f t="array" ref="T31">IFERROR(INDEX('Temp Hisfa'!T$3:T$200, SMALL(IF(ISERROR('Temp Hisfa'!T$3:T$200), "", ROW('Temp Hisfa'!T$3:T$200)-MIN(ROW('Temp Hisfa'!T$3:T$200))+1), ROW(29:228))),"")</f>
        <v>0</v>
      </c>
      <c r="U31" s="22">
        <f t="array" ref="U31">IFERROR(INDEX('Temp Hisfa'!U$3:U$200, SMALL(IF(ISERROR('Temp Hisfa'!U$3:U$200), "", ROW('Temp Hisfa'!U$3:U$200)-MIN(ROW('Temp Hisfa'!U$3:U$200))+1), ROW(29:228))),"")</f>
        <v>0</v>
      </c>
      <c r="V31" s="22">
        <f t="array" ref="V31">IFERROR(INDEX('Temp Hisfa'!V$3:V$200, SMALL(IF(ISERROR('Temp Hisfa'!V$3:V$200), "", ROW('Temp Hisfa'!V$3:V$200)-MIN(ROW('Temp Hisfa'!V$3:V$200))+1), ROW(29:228))),"")</f>
        <v>0</v>
      </c>
      <c r="W31" s="22">
        <f t="array" ref="W31">IFERROR(INDEX('Temp Hisfa'!W$3:W$200, SMALL(IF(ISERROR('Temp Hisfa'!W$3:W$200), "", ROW('Temp Hisfa'!W$3:W$200)-MIN(ROW('Temp Hisfa'!W$3:W$200))+1), ROW(29:228))),"")</f>
        <v>0</v>
      </c>
      <c r="X31" s="22">
        <f t="array" ref="X31">IFERROR(INDEX('Temp Hisfa'!X$3:X$200, SMALL(IF(ISERROR('Temp Hisfa'!X$3:X$200), "", ROW('Temp Hisfa'!X$3:X$200)-MIN(ROW('Temp Hisfa'!X$3:X$200))+1), ROW(29:228))),"")</f>
        <v>0</v>
      </c>
      <c r="Y31" s="22">
        <f t="array" ref="Y31">IFERROR(INDEX('Temp Hisfa'!Y$3:Y$200, SMALL(IF(ISERROR('Temp Hisfa'!Y$3:Y$200), "", ROW('Temp Hisfa'!Y$3:Y$200)-MIN(ROW('Temp Hisfa'!Y$3:Y$200))+1), ROW(29:228))),"")</f>
        <v>0</v>
      </c>
      <c r="Z31" s="22">
        <f t="array" ref="Z31">IFERROR(INDEX('Temp Hisfa'!Z$3:Z$200, SMALL(IF(ISERROR('Temp Hisfa'!Z$3:Z$200), "", ROW('Temp Hisfa'!Z$3:Z$200)-MIN(ROW('Temp Hisfa'!Z$3:Z$200))+1), ROW(29:228))),"")</f>
        <v>0</v>
      </c>
      <c r="AA31" s="22">
        <f t="array" ref="AA31">IFERROR(INDEX('Temp Hisfa'!AA$3:AA$200, SMALL(IF(ISERROR('Temp Hisfa'!AA$3:AA$200), "", ROW('Temp Hisfa'!AA$3:AA$200)-MIN(ROW('Temp Hisfa'!AA$3:AA$200))+1), ROW(29:228))),"")</f>
        <v>0</v>
      </c>
      <c r="AB31" s="22">
        <f t="array" ref="AB31">IFERROR(INDEX('Temp Hisfa'!AB$3:AB$200, SMALL(IF(ISERROR('Temp Hisfa'!AB$3:AB$200), "", ROW('Temp Hisfa'!AB$3:AB$200)-MIN(ROW('Temp Hisfa'!AB$3:AB$200))+1), ROW(29:228))),"")</f>
        <v>0</v>
      </c>
      <c r="AD31" s="120" t="s">
        <v>158</v>
      </c>
      <c r="AE31" s="120"/>
    </row>
    <row r="32" spans="1:31" x14ac:dyDescent="0.3">
      <c r="A32" s="22">
        <f t="array" ref="A32">IFERROR(INDEX('Temp Hisfa'!A$3:A$200, SMALL(IF(ISERROR('Temp Hisfa'!A$3:A$200), "", ROW('Temp Hisfa'!A$3:A$200)-MIN(ROW('Temp Hisfa'!A$3:A$200))+1), ROW(30:228))),"")</f>
        <v>0</v>
      </c>
      <c r="B32" s="4">
        <f t="array" ref="B32">IFERROR(INDEX('Temp Hisfa'!B$3:B$200, SMALL(IF(ISERROR('Temp Hisfa'!B$3:B$200), "", ROW('Temp Hisfa'!B$3:B$200)-MIN(ROW('Temp Hisfa'!B$3:B$200))+1), ROW(30:228))),"")</f>
        <v>0</v>
      </c>
      <c r="C32" s="3">
        <f t="array" ref="C32">IFERROR(INDEX('Temp Hisfa'!C$3:C$200, SMALL(IF(ISERROR('Temp Hisfa'!C$3:C$200), "", ROW('Temp Hisfa'!C$3:C$200)-MIN(ROW('Temp Hisfa'!C$3:C$200))+1), ROW(30:228))),"")</f>
        <v>0</v>
      </c>
      <c r="D32" s="3">
        <f t="array" ref="D32">IFERROR(INDEX('Temp Hisfa'!D$3:D$200, SMALL(IF(ISERROR('Temp Hisfa'!D$3:D$200), "", ROW('Temp Hisfa'!D$3:D$200)-MIN(ROW('Temp Hisfa'!D$3:D$200))+1), ROW(30:228))),"")</f>
        <v>0</v>
      </c>
      <c r="E32" s="29">
        <f t="array" ref="E32">IFERROR(INDEX('Temp Hisfa'!E$3:E$200, SMALL(IF(ISERROR('Temp Hisfa'!E$3:E$200), "", ROW('Temp Hisfa'!E$3:E$200)-MIN(ROW('Temp Hisfa'!E$3:E$200))+1), ROW(30:229))),"")</f>
        <v>0</v>
      </c>
      <c r="F32" s="22">
        <f t="array" ref="F32">IFERROR(INDEX('Temp Hisfa'!F$3:F$200, SMALL(IF(ISERROR('Temp Hisfa'!F$3:F$200), "", ROW('Temp Hisfa'!F$3:F$200)-MIN(ROW('Temp Hisfa'!F$3:F$200))+1), ROW(30:229))),"")</f>
        <v>0</v>
      </c>
      <c r="G32" s="30">
        <f t="array" ref="G32">IFERROR(INDEX('Temp Hisfa'!G$3:G$200, SMALL(IF(ISERROR('Temp Hisfa'!G$3:G$200), "", ROW('Temp Hisfa'!G$3:G$200)-MIN(ROW('Temp Hisfa'!G$3:G$200))+1), ROW(30:229))),"")</f>
        <v>0</v>
      </c>
      <c r="H32" s="22">
        <f t="array" ref="H32">IFERROR(INDEX('Temp Hisfa'!H$3:H$200, SMALL(IF(ISERROR('Temp Hisfa'!H$3:H$200), "", ROW('Temp Hisfa'!H$3:H$200)-MIN(ROW('Temp Hisfa'!H$3:H$200))+1), ROW(30:229))),"")</f>
        <v>0</v>
      </c>
      <c r="I32" s="22">
        <f t="array" ref="I32">IFERROR(INDEX('Temp Hisfa'!I$3:I$200, SMALL(IF(ISERROR('Temp Hisfa'!I$3:I$200), "", ROW('Temp Hisfa'!I$3:I$200)-MIN(ROW('Temp Hisfa'!I$3:I$200))+1), ROW(30:229))),"")</f>
        <v>0</v>
      </c>
      <c r="J32" s="22">
        <f t="array" ref="J32">IFERROR(INDEX('Temp Hisfa'!J$3:J$200, SMALL(IF(ISERROR('Temp Hisfa'!J$3:J$200), "", ROW('Temp Hisfa'!J$3:J$200)-MIN(ROW('Temp Hisfa'!J$3:J$200))+1), ROW(30:229))),"")</f>
        <v>0</v>
      </c>
      <c r="K32" s="30">
        <f t="array" ref="K32">IFERROR(INDEX('Temp Hisfa'!K$3:K$200, SMALL(IF(ISERROR('Temp Hisfa'!K$3:K$200), "", ROW('Temp Hisfa'!K$3:K$200)-MIN(ROW('Temp Hisfa'!K$3:K$200))+1), ROW(30:229))),"")</f>
        <v>0</v>
      </c>
      <c r="L32" s="22">
        <f t="array" ref="L32">IFERROR(INDEX('Temp Hisfa'!L$3:L$200, SMALL(IF(ISERROR('Temp Hisfa'!L$3:L$200), "", ROW('Temp Hisfa'!L$3:L$200)-MIN(ROW('Temp Hisfa'!L$3:L$200))+1), ROW(30:229))),"")</f>
        <v>0</v>
      </c>
      <c r="M32" s="22">
        <f t="array" ref="M32">IFERROR(INDEX('Temp Hisfa'!M$3:M$200, SMALL(IF(ISERROR('Temp Hisfa'!M$3:M$200), "", ROW('Temp Hisfa'!M$3:M$200)-MIN(ROW('Temp Hisfa'!M$3:M$200))+1), ROW(30:229))),"")</f>
        <v>0</v>
      </c>
      <c r="N32" s="22">
        <f t="array" ref="N32">IFERROR(INDEX('Temp Hisfa'!N$3:N$200, SMALL(IF(ISERROR('Temp Hisfa'!N$3:N$200), "", ROW('Temp Hisfa'!N$3:N$200)-MIN(ROW('Temp Hisfa'!N$3:N$200))+1), ROW(30:229))),"")</f>
        <v>1900</v>
      </c>
      <c r="O32" s="22" t="str">
        <f t="array" ref="O32">IFERROR(INDEX('Temp Hisfa'!O$3:O$200, SMALL(IF(ISERROR('Temp Hisfa'!O$3:O$200), "", ROW('Temp Hisfa'!O$3:O$200)-MIN(ROW('Temp Hisfa'!O$3:O$200))+1), ROW(30:229))),"")</f>
        <v>enero</v>
      </c>
      <c r="P32" s="22">
        <f t="array" ref="P32">IFERROR(INDEX('Temp Hisfa'!P$3:P$200, SMALL(IF(ISERROR('Temp Hisfa'!P$3:P$200), "", ROW('Temp Hisfa'!P$3:P$200)-MIN(ROW('Temp Hisfa'!P$3:P$200))+1), ROW(30:229))),"")</f>
        <v>0</v>
      </c>
      <c r="Q32" s="22">
        <f t="array" ref="Q32">IFERROR(INDEX('Temp Hisfa'!Q$3:Q$200, SMALL(IF(ISERROR('Temp Hisfa'!Q$3:Q$200), "", ROW('Temp Hisfa'!Q$3:Q$200)-MIN(ROW('Temp Hisfa'!Q$3:Q$200))+1), ROW(30:229))),"")</f>
        <v>0</v>
      </c>
      <c r="R32" s="22">
        <f t="array" ref="R32">IFERROR(INDEX('Temp Hisfa'!R$3:R$200, SMALL(IF(ISERROR('Temp Hisfa'!R$3:R$200), "", ROW('Temp Hisfa'!R$3:R$200)-MIN(ROW('Temp Hisfa'!R$3:R$200))+1), ROW(30:229))),"")</f>
        <v>0</v>
      </c>
      <c r="S32" s="22">
        <f t="array" ref="S32">IFERROR(INDEX('Temp Hisfa'!S$3:S$200, SMALL(IF(ISERROR('Temp Hisfa'!S$3:S$200), "", ROW('Temp Hisfa'!S$3:S$200)-MIN(ROW('Temp Hisfa'!S$3:S$200))+1), ROW(30:229))),"")</f>
        <v>0</v>
      </c>
      <c r="T32" s="22">
        <f t="array" ref="T32">IFERROR(INDEX('Temp Hisfa'!T$3:T$200, SMALL(IF(ISERROR('Temp Hisfa'!T$3:T$200), "", ROW('Temp Hisfa'!T$3:T$200)-MIN(ROW('Temp Hisfa'!T$3:T$200))+1), ROW(30:229))),"")</f>
        <v>0</v>
      </c>
      <c r="U32" s="22">
        <f t="array" ref="U32">IFERROR(INDEX('Temp Hisfa'!U$3:U$200, SMALL(IF(ISERROR('Temp Hisfa'!U$3:U$200), "", ROW('Temp Hisfa'!U$3:U$200)-MIN(ROW('Temp Hisfa'!U$3:U$200))+1), ROW(30:229))),"")</f>
        <v>0</v>
      </c>
      <c r="V32" s="22">
        <f t="array" ref="V32">IFERROR(INDEX('Temp Hisfa'!V$3:V$200, SMALL(IF(ISERROR('Temp Hisfa'!V$3:V$200), "", ROW('Temp Hisfa'!V$3:V$200)-MIN(ROW('Temp Hisfa'!V$3:V$200))+1), ROW(30:229))),"")</f>
        <v>0</v>
      </c>
      <c r="W32" s="22">
        <f t="array" ref="W32">IFERROR(INDEX('Temp Hisfa'!W$3:W$200, SMALL(IF(ISERROR('Temp Hisfa'!W$3:W$200), "", ROW('Temp Hisfa'!W$3:W$200)-MIN(ROW('Temp Hisfa'!W$3:W$200))+1), ROW(30:229))),"")</f>
        <v>0</v>
      </c>
      <c r="X32" s="22">
        <f t="array" ref="X32">IFERROR(INDEX('Temp Hisfa'!X$3:X$200, SMALL(IF(ISERROR('Temp Hisfa'!X$3:X$200), "", ROW('Temp Hisfa'!X$3:X$200)-MIN(ROW('Temp Hisfa'!X$3:X$200))+1), ROW(30:229))),"")</f>
        <v>0</v>
      </c>
      <c r="Y32" s="22">
        <f t="array" ref="Y32">IFERROR(INDEX('Temp Hisfa'!Y$3:Y$200, SMALL(IF(ISERROR('Temp Hisfa'!Y$3:Y$200), "", ROW('Temp Hisfa'!Y$3:Y$200)-MIN(ROW('Temp Hisfa'!Y$3:Y$200))+1), ROW(30:229))),"")</f>
        <v>0</v>
      </c>
      <c r="Z32" s="22">
        <f t="array" ref="Z32">IFERROR(INDEX('Temp Hisfa'!Z$3:Z$200, SMALL(IF(ISERROR('Temp Hisfa'!Z$3:Z$200), "", ROW('Temp Hisfa'!Z$3:Z$200)-MIN(ROW('Temp Hisfa'!Z$3:Z$200))+1), ROW(30:229))),"")</f>
        <v>0</v>
      </c>
      <c r="AA32" s="22">
        <f t="array" ref="AA32">IFERROR(INDEX('Temp Hisfa'!AA$3:AA$200, SMALL(IF(ISERROR('Temp Hisfa'!AA$3:AA$200), "", ROW('Temp Hisfa'!AA$3:AA$200)-MIN(ROW('Temp Hisfa'!AA$3:AA$200))+1), ROW(30:229))),"")</f>
        <v>0</v>
      </c>
      <c r="AB32" s="22">
        <f t="array" ref="AB32">IFERROR(INDEX('Temp Hisfa'!AB$3:AB$200, SMALL(IF(ISERROR('Temp Hisfa'!AB$3:AB$200), "", ROW('Temp Hisfa'!AB$3:AB$200)-MIN(ROW('Temp Hisfa'!AB$3:AB$200))+1), ROW(30:229))),"")</f>
        <v>0</v>
      </c>
      <c r="AD32" s="4" t="s">
        <v>48</v>
      </c>
      <c r="AE32" s="4" t="s">
        <v>49</v>
      </c>
    </row>
    <row r="33" spans="1:31" x14ac:dyDescent="0.3">
      <c r="A33" s="22">
        <f t="array" ref="A33">IFERROR(INDEX('Temp Hisfa'!A$3:A$200, SMALL(IF(ISERROR('Temp Hisfa'!A$3:A$200), "", ROW('Temp Hisfa'!A$3:A$200)-MIN(ROW('Temp Hisfa'!A$3:A$200))+1), ROW(31:229))),"")</f>
        <v>0</v>
      </c>
      <c r="B33" s="4">
        <f t="array" ref="B33">IFERROR(INDEX('Temp Hisfa'!B$3:B$200, SMALL(IF(ISERROR('Temp Hisfa'!B$3:B$200), "", ROW('Temp Hisfa'!B$3:B$200)-MIN(ROW('Temp Hisfa'!B$3:B$200))+1), ROW(31:229))),"")</f>
        <v>0</v>
      </c>
      <c r="C33" s="3">
        <f t="array" ref="C33">IFERROR(INDEX('Temp Hisfa'!C$3:C$200, SMALL(IF(ISERROR('Temp Hisfa'!C$3:C$200), "", ROW('Temp Hisfa'!C$3:C$200)-MIN(ROW('Temp Hisfa'!C$3:C$200))+1), ROW(31:229))),"")</f>
        <v>0</v>
      </c>
      <c r="D33" s="3">
        <f t="array" ref="D33">IFERROR(INDEX('Temp Hisfa'!D$3:D$200, SMALL(IF(ISERROR('Temp Hisfa'!D$3:D$200), "", ROW('Temp Hisfa'!D$3:D$200)-MIN(ROW('Temp Hisfa'!D$3:D$200))+1), ROW(31:229))),"")</f>
        <v>0</v>
      </c>
      <c r="E33" s="29">
        <f t="array" ref="E33">IFERROR(INDEX('Temp Hisfa'!E$3:E$200, SMALL(IF(ISERROR('Temp Hisfa'!E$3:E$200), "", ROW('Temp Hisfa'!E$3:E$200)-MIN(ROW('Temp Hisfa'!E$3:E$200))+1), ROW(31:230))),"")</f>
        <v>0</v>
      </c>
      <c r="F33" s="22">
        <f t="array" ref="F33">IFERROR(INDEX('Temp Hisfa'!F$3:F$200, SMALL(IF(ISERROR('Temp Hisfa'!F$3:F$200), "", ROW('Temp Hisfa'!F$3:F$200)-MIN(ROW('Temp Hisfa'!F$3:F$200))+1), ROW(31:230))),"")</f>
        <v>0</v>
      </c>
      <c r="G33" s="30">
        <f t="array" ref="G33">IFERROR(INDEX('Temp Hisfa'!G$3:G$200, SMALL(IF(ISERROR('Temp Hisfa'!G$3:G$200), "", ROW('Temp Hisfa'!G$3:G$200)-MIN(ROW('Temp Hisfa'!G$3:G$200))+1), ROW(31:230))),"")</f>
        <v>0</v>
      </c>
      <c r="H33" s="22">
        <f t="array" ref="H33">IFERROR(INDEX('Temp Hisfa'!H$3:H$200, SMALL(IF(ISERROR('Temp Hisfa'!H$3:H$200), "", ROW('Temp Hisfa'!H$3:H$200)-MIN(ROW('Temp Hisfa'!H$3:H$200))+1), ROW(31:230))),"")</f>
        <v>0</v>
      </c>
      <c r="I33" s="22">
        <f t="array" ref="I33">IFERROR(INDEX('Temp Hisfa'!I$3:I$200, SMALL(IF(ISERROR('Temp Hisfa'!I$3:I$200), "", ROW('Temp Hisfa'!I$3:I$200)-MIN(ROW('Temp Hisfa'!I$3:I$200))+1), ROW(31:230))),"")</f>
        <v>0</v>
      </c>
      <c r="J33" s="22">
        <f t="array" ref="J33">IFERROR(INDEX('Temp Hisfa'!J$3:J$200, SMALL(IF(ISERROR('Temp Hisfa'!J$3:J$200), "", ROW('Temp Hisfa'!J$3:J$200)-MIN(ROW('Temp Hisfa'!J$3:J$200))+1), ROW(31:230))),"")</f>
        <v>0</v>
      </c>
      <c r="K33" s="30">
        <f t="array" ref="K33">IFERROR(INDEX('Temp Hisfa'!K$3:K$200, SMALL(IF(ISERROR('Temp Hisfa'!K$3:K$200), "", ROW('Temp Hisfa'!K$3:K$200)-MIN(ROW('Temp Hisfa'!K$3:K$200))+1), ROW(31:230))),"")</f>
        <v>0</v>
      </c>
      <c r="L33" s="22">
        <f t="array" ref="L33">IFERROR(INDEX('Temp Hisfa'!L$3:L$200, SMALL(IF(ISERROR('Temp Hisfa'!L$3:L$200), "", ROW('Temp Hisfa'!L$3:L$200)-MIN(ROW('Temp Hisfa'!L$3:L$200))+1), ROW(31:230))),"")</f>
        <v>0</v>
      </c>
      <c r="M33" s="22">
        <f t="array" ref="M33">IFERROR(INDEX('Temp Hisfa'!M$3:M$200, SMALL(IF(ISERROR('Temp Hisfa'!M$3:M$200), "", ROW('Temp Hisfa'!M$3:M$200)-MIN(ROW('Temp Hisfa'!M$3:M$200))+1), ROW(31:230))),"")</f>
        <v>0</v>
      </c>
      <c r="N33" s="22">
        <f t="array" ref="N33">IFERROR(INDEX('Temp Hisfa'!N$3:N$200, SMALL(IF(ISERROR('Temp Hisfa'!N$3:N$200), "", ROW('Temp Hisfa'!N$3:N$200)-MIN(ROW('Temp Hisfa'!N$3:N$200))+1), ROW(31:230))),"")</f>
        <v>1900</v>
      </c>
      <c r="O33" s="22" t="str">
        <f t="array" ref="O33">IFERROR(INDEX('Temp Hisfa'!O$3:O$200, SMALL(IF(ISERROR('Temp Hisfa'!O$3:O$200), "", ROW('Temp Hisfa'!O$3:O$200)-MIN(ROW('Temp Hisfa'!O$3:O$200))+1), ROW(31:230))),"")</f>
        <v>enero</v>
      </c>
      <c r="P33" s="22">
        <f t="array" ref="P33">IFERROR(INDEX('Temp Hisfa'!P$3:P$200, SMALL(IF(ISERROR('Temp Hisfa'!P$3:P$200), "", ROW('Temp Hisfa'!P$3:P$200)-MIN(ROW('Temp Hisfa'!P$3:P$200))+1), ROW(31:230))),"")</f>
        <v>0</v>
      </c>
      <c r="Q33" s="22">
        <f t="array" ref="Q33">IFERROR(INDEX('Temp Hisfa'!Q$3:Q$200, SMALL(IF(ISERROR('Temp Hisfa'!Q$3:Q$200), "", ROW('Temp Hisfa'!Q$3:Q$200)-MIN(ROW('Temp Hisfa'!Q$3:Q$200))+1), ROW(31:230))),"")</f>
        <v>0</v>
      </c>
      <c r="R33" s="22">
        <f t="array" ref="R33">IFERROR(INDEX('Temp Hisfa'!R$3:R$200, SMALL(IF(ISERROR('Temp Hisfa'!R$3:R$200), "", ROW('Temp Hisfa'!R$3:R$200)-MIN(ROW('Temp Hisfa'!R$3:R$200))+1), ROW(31:230))),"")</f>
        <v>0</v>
      </c>
      <c r="S33" s="22">
        <f t="array" ref="S33">IFERROR(INDEX('Temp Hisfa'!S$3:S$200, SMALL(IF(ISERROR('Temp Hisfa'!S$3:S$200), "", ROW('Temp Hisfa'!S$3:S$200)-MIN(ROW('Temp Hisfa'!S$3:S$200))+1), ROW(31:230))),"")</f>
        <v>0</v>
      </c>
      <c r="T33" s="22">
        <f t="array" ref="T33">IFERROR(INDEX('Temp Hisfa'!T$3:T$200, SMALL(IF(ISERROR('Temp Hisfa'!T$3:T$200), "", ROW('Temp Hisfa'!T$3:T$200)-MIN(ROW('Temp Hisfa'!T$3:T$200))+1), ROW(31:230))),"")</f>
        <v>0</v>
      </c>
      <c r="U33" s="22">
        <f t="array" ref="U33">IFERROR(INDEX('Temp Hisfa'!U$3:U$200, SMALL(IF(ISERROR('Temp Hisfa'!U$3:U$200), "", ROW('Temp Hisfa'!U$3:U$200)-MIN(ROW('Temp Hisfa'!U$3:U$200))+1), ROW(31:230))),"")</f>
        <v>0</v>
      </c>
      <c r="V33" s="22">
        <f t="array" ref="V33">IFERROR(INDEX('Temp Hisfa'!V$3:V$200, SMALL(IF(ISERROR('Temp Hisfa'!V$3:V$200), "", ROW('Temp Hisfa'!V$3:V$200)-MIN(ROW('Temp Hisfa'!V$3:V$200))+1), ROW(31:230))),"")</f>
        <v>0</v>
      </c>
      <c r="W33" s="22">
        <f t="array" ref="W33">IFERROR(INDEX('Temp Hisfa'!W$3:W$200, SMALL(IF(ISERROR('Temp Hisfa'!W$3:W$200), "", ROW('Temp Hisfa'!W$3:W$200)-MIN(ROW('Temp Hisfa'!W$3:W$200))+1), ROW(31:230))),"")</f>
        <v>0</v>
      </c>
      <c r="X33" s="22">
        <f t="array" ref="X33">IFERROR(INDEX('Temp Hisfa'!X$3:X$200, SMALL(IF(ISERROR('Temp Hisfa'!X$3:X$200), "", ROW('Temp Hisfa'!X$3:X$200)-MIN(ROW('Temp Hisfa'!X$3:X$200))+1), ROW(31:230))),"")</f>
        <v>0</v>
      </c>
      <c r="Y33" s="22">
        <f t="array" ref="Y33">IFERROR(INDEX('Temp Hisfa'!Y$3:Y$200, SMALL(IF(ISERROR('Temp Hisfa'!Y$3:Y$200), "", ROW('Temp Hisfa'!Y$3:Y$200)-MIN(ROW('Temp Hisfa'!Y$3:Y$200))+1), ROW(31:230))),"")</f>
        <v>0</v>
      </c>
      <c r="Z33" s="22">
        <f t="array" ref="Z33">IFERROR(INDEX('Temp Hisfa'!Z$3:Z$200, SMALL(IF(ISERROR('Temp Hisfa'!Z$3:Z$200), "", ROW('Temp Hisfa'!Z$3:Z$200)-MIN(ROW('Temp Hisfa'!Z$3:Z$200))+1), ROW(31:230))),"")</f>
        <v>0</v>
      </c>
      <c r="AA33" s="22">
        <f t="array" ref="AA33">IFERROR(INDEX('Temp Hisfa'!AA$3:AA$200, SMALL(IF(ISERROR('Temp Hisfa'!AA$3:AA$200), "", ROW('Temp Hisfa'!AA$3:AA$200)-MIN(ROW('Temp Hisfa'!AA$3:AA$200))+1), ROW(31:230))),"")</f>
        <v>0</v>
      </c>
      <c r="AB33" s="22">
        <f t="array" ref="AB33">IFERROR(INDEX('Temp Hisfa'!AB$3:AB$200, SMALL(IF(ISERROR('Temp Hisfa'!AB$3:AB$200), "", ROW('Temp Hisfa'!AB$3:AB$200)-MIN(ROW('Temp Hisfa'!AB$3:AB$200))+1), ROW(31:230))),"")</f>
        <v>0</v>
      </c>
      <c r="AD33" s="3"/>
      <c r="AE33" s="3"/>
    </row>
    <row r="34" spans="1:31" x14ac:dyDescent="0.3">
      <c r="A34" s="22">
        <f t="array" ref="A34">IFERROR(INDEX('Temp Hisfa'!A$3:A$200, SMALL(IF(ISERROR('Temp Hisfa'!A$3:A$200), "", ROW('Temp Hisfa'!A$3:A$200)-MIN(ROW('Temp Hisfa'!A$3:A$200))+1), ROW(32:230))),"")</f>
        <v>0</v>
      </c>
      <c r="B34" s="4">
        <f t="array" ref="B34">IFERROR(INDEX('Temp Hisfa'!B$3:B$200, SMALL(IF(ISERROR('Temp Hisfa'!B$3:B$200), "", ROW('Temp Hisfa'!B$3:B$200)-MIN(ROW('Temp Hisfa'!B$3:B$200))+1), ROW(32:230))),"")</f>
        <v>0</v>
      </c>
      <c r="C34" s="3">
        <f t="array" ref="C34">IFERROR(INDEX('Temp Hisfa'!C$3:C$200, SMALL(IF(ISERROR('Temp Hisfa'!C$3:C$200), "", ROW('Temp Hisfa'!C$3:C$200)-MIN(ROW('Temp Hisfa'!C$3:C$200))+1), ROW(32:230))),"")</f>
        <v>0</v>
      </c>
      <c r="D34" s="3">
        <f t="array" ref="D34">IFERROR(INDEX('Temp Hisfa'!D$3:D$200, SMALL(IF(ISERROR('Temp Hisfa'!D$3:D$200), "", ROW('Temp Hisfa'!D$3:D$200)-MIN(ROW('Temp Hisfa'!D$3:D$200))+1), ROW(32:230))),"")</f>
        <v>0</v>
      </c>
      <c r="E34" s="29">
        <f t="array" ref="E34">IFERROR(INDEX('Temp Hisfa'!E$3:E$200, SMALL(IF(ISERROR('Temp Hisfa'!E$3:E$200), "", ROW('Temp Hisfa'!E$3:E$200)-MIN(ROW('Temp Hisfa'!E$3:E$200))+1), ROW(32:231))),"")</f>
        <v>0</v>
      </c>
      <c r="F34" s="22">
        <f t="array" ref="F34">IFERROR(INDEX('Temp Hisfa'!F$3:F$200, SMALL(IF(ISERROR('Temp Hisfa'!F$3:F$200), "", ROW('Temp Hisfa'!F$3:F$200)-MIN(ROW('Temp Hisfa'!F$3:F$200))+1), ROW(32:231))),"")</f>
        <v>0</v>
      </c>
      <c r="G34" s="30">
        <f t="array" ref="G34">IFERROR(INDEX('Temp Hisfa'!G$3:G$200, SMALL(IF(ISERROR('Temp Hisfa'!G$3:G$200), "", ROW('Temp Hisfa'!G$3:G$200)-MIN(ROW('Temp Hisfa'!G$3:G$200))+1), ROW(32:231))),"")</f>
        <v>0</v>
      </c>
      <c r="H34" s="22">
        <f t="array" ref="H34">IFERROR(INDEX('Temp Hisfa'!H$3:H$200, SMALL(IF(ISERROR('Temp Hisfa'!H$3:H$200), "", ROW('Temp Hisfa'!H$3:H$200)-MIN(ROW('Temp Hisfa'!H$3:H$200))+1), ROW(32:231))),"")</f>
        <v>0</v>
      </c>
      <c r="I34" s="22">
        <f t="array" ref="I34">IFERROR(INDEX('Temp Hisfa'!I$3:I$200, SMALL(IF(ISERROR('Temp Hisfa'!I$3:I$200), "", ROW('Temp Hisfa'!I$3:I$200)-MIN(ROW('Temp Hisfa'!I$3:I$200))+1), ROW(32:231))),"")</f>
        <v>0</v>
      </c>
      <c r="J34" s="22">
        <f t="array" ref="J34">IFERROR(INDEX('Temp Hisfa'!J$3:J$200, SMALL(IF(ISERROR('Temp Hisfa'!J$3:J$200), "", ROW('Temp Hisfa'!J$3:J$200)-MIN(ROW('Temp Hisfa'!J$3:J$200))+1), ROW(32:231))),"")</f>
        <v>0</v>
      </c>
      <c r="K34" s="30">
        <f t="array" ref="K34">IFERROR(INDEX('Temp Hisfa'!K$3:K$200, SMALL(IF(ISERROR('Temp Hisfa'!K$3:K$200), "", ROW('Temp Hisfa'!K$3:K$200)-MIN(ROW('Temp Hisfa'!K$3:K$200))+1), ROW(32:231))),"")</f>
        <v>0</v>
      </c>
      <c r="L34" s="22">
        <f t="array" ref="L34">IFERROR(INDEX('Temp Hisfa'!L$3:L$200, SMALL(IF(ISERROR('Temp Hisfa'!L$3:L$200), "", ROW('Temp Hisfa'!L$3:L$200)-MIN(ROW('Temp Hisfa'!L$3:L$200))+1), ROW(32:231))),"")</f>
        <v>0</v>
      </c>
      <c r="M34" s="22">
        <f t="array" ref="M34">IFERROR(INDEX('Temp Hisfa'!M$3:M$200, SMALL(IF(ISERROR('Temp Hisfa'!M$3:M$200), "", ROW('Temp Hisfa'!M$3:M$200)-MIN(ROW('Temp Hisfa'!M$3:M$200))+1), ROW(32:231))),"")</f>
        <v>0</v>
      </c>
      <c r="N34" s="22">
        <f t="array" ref="N34">IFERROR(INDEX('Temp Hisfa'!N$3:N$200, SMALL(IF(ISERROR('Temp Hisfa'!N$3:N$200), "", ROW('Temp Hisfa'!N$3:N$200)-MIN(ROW('Temp Hisfa'!N$3:N$200))+1), ROW(32:231))),"")</f>
        <v>1900</v>
      </c>
      <c r="O34" s="22" t="str">
        <f t="array" ref="O34">IFERROR(INDEX('Temp Hisfa'!O$3:O$200, SMALL(IF(ISERROR('Temp Hisfa'!O$3:O$200), "", ROW('Temp Hisfa'!O$3:O$200)-MIN(ROW('Temp Hisfa'!O$3:O$200))+1), ROW(32:231))),"")</f>
        <v>enero</v>
      </c>
      <c r="P34" s="22">
        <f t="array" ref="P34">IFERROR(INDEX('Temp Hisfa'!P$3:P$200, SMALL(IF(ISERROR('Temp Hisfa'!P$3:P$200), "", ROW('Temp Hisfa'!P$3:P$200)-MIN(ROW('Temp Hisfa'!P$3:P$200))+1), ROW(32:231))),"")</f>
        <v>0</v>
      </c>
      <c r="Q34" s="22">
        <f t="array" ref="Q34">IFERROR(INDEX('Temp Hisfa'!Q$3:Q$200, SMALL(IF(ISERROR('Temp Hisfa'!Q$3:Q$200), "", ROW('Temp Hisfa'!Q$3:Q$200)-MIN(ROW('Temp Hisfa'!Q$3:Q$200))+1), ROW(32:231))),"")</f>
        <v>0</v>
      </c>
      <c r="R34" s="22">
        <f t="array" ref="R34">IFERROR(INDEX('Temp Hisfa'!R$3:R$200, SMALL(IF(ISERROR('Temp Hisfa'!R$3:R$200), "", ROW('Temp Hisfa'!R$3:R$200)-MIN(ROW('Temp Hisfa'!R$3:R$200))+1), ROW(32:231))),"")</f>
        <v>0</v>
      </c>
      <c r="S34" s="22">
        <f t="array" ref="S34">IFERROR(INDEX('Temp Hisfa'!S$3:S$200, SMALL(IF(ISERROR('Temp Hisfa'!S$3:S$200), "", ROW('Temp Hisfa'!S$3:S$200)-MIN(ROW('Temp Hisfa'!S$3:S$200))+1), ROW(32:231))),"")</f>
        <v>0</v>
      </c>
      <c r="T34" s="22">
        <f t="array" ref="T34">IFERROR(INDEX('Temp Hisfa'!T$3:T$200, SMALL(IF(ISERROR('Temp Hisfa'!T$3:T$200), "", ROW('Temp Hisfa'!T$3:T$200)-MIN(ROW('Temp Hisfa'!T$3:T$200))+1), ROW(32:231))),"")</f>
        <v>0</v>
      </c>
      <c r="U34" s="22">
        <f t="array" ref="U34">IFERROR(INDEX('Temp Hisfa'!U$3:U$200, SMALL(IF(ISERROR('Temp Hisfa'!U$3:U$200), "", ROW('Temp Hisfa'!U$3:U$200)-MIN(ROW('Temp Hisfa'!U$3:U$200))+1), ROW(32:231))),"")</f>
        <v>0</v>
      </c>
      <c r="V34" s="22">
        <f t="array" ref="V34">IFERROR(INDEX('Temp Hisfa'!V$3:V$200, SMALL(IF(ISERROR('Temp Hisfa'!V$3:V$200), "", ROW('Temp Hisfa'!V$3:V$200)-MIN(ROW('Temp Hisfa'!V$3:V$200))+1), ROW(32:231))),"")</f>
        <v>0</v>
      </c>
      <c r="W34" s="22">
        <f t="array" ref="W34">IFERROR(INDEX('Temp Hisfa'!W$3:W$200, SMALL(IF(ISERROR('Temp Hisfa'!W$3:W$200), "", ROW('Temp Hisfa'!W$3:W$200)-MIN(ROW('Temp Hisfa'!W$3:W$200))+1), ROW(32:231))),"")</f>
        <v>0</v>
      </c>
      <c r="X34" s="22">
        <f t="array" ref="X34">IFERROR(INDEX('Temp Hisfa'!X$3:X$200, SMALL(IF(ISERROR('Temp Hisfa'!X$3:X$200), "", ROW('Temp Hisfa'!X$3:X$200)-MIN(ROW('Temp Hisfa'!X$3:X$200))+1), ROW(32:231))),"")</f>
        <v>0</v>
      </c>
      <c r="Y34" s="22">
        <f t="array" ref="Y34">IFERROR(INDEX('Temp Hisfa'!Y$3:Y$200, SMALL(IF(ISERROR('Temp Hisfa'!Y$3:Y$200), "", ROW('Temp Hisfa'!Y$3:Y$200)-MIN(ROW('Temp Hisfa'!Y$3:Y$200))+1), ROW(32:231))),"")</f>
        <v>0</v>
      </c>
      <c r="Z34" s="22">
        <f t="array" ref="Z34">IFERROR(INDEX('Temp Hisfa'!Z$3:Z$200, SMALL(IF(ISERROR('Temp Hisfa'!Z$3:Z$200), "", ROW('Temp Hisfa'!Z$3:Z$200)-MIN(ROW('Temp Hisfa'!Z$3:Z$200))+1), ROW(32:231))),"")</f>
        <v>0</v>
      </c>
      <c r="AA34" s="22">
        <f t="array" ref="AA34">IFERROR(INDEX('Temp Hisfa'!AA$3:AA$200, SMALL(IF(ISERROR('Temp Hisfa'!AA$3:AA$200), "", ROW('Temp Hisfa'!AA$3:AA$200)-MIN(ROW('Temp Hisfa'!AA$3:AA$200))+1), ROW(32:231))),"")</f>
        <v>0</v>
      </c>
      <c r="AB34" s="22">
        <f t="array" ref="AB34">IFERROR(INDEX('Temp Hisfa'!AB$3:AB$200, SMALL(IF(ISERROR('Temp Hisfa'!AB$3:AB$200), "", ROW('Temp Hisfa'!AB$3:AB$200)-MIN(ROW('Temp Hisfa'!AB$3:AB$200))+1), ROW(32:231))),"")</f>
        <v>0</v>
      </c>
      <c r="AD34" s="56" t="s">
        <v>26</v>
      </c>
      <c r="AE34" s="56">
        <f>AE33-AD33</f>
        <v>0</v>
      </c>
    </row>
    <row r="35" spans="1:31" x14ac:dyDescent="0.3">
      <c r="A35" s="22">
        <f t="array" ref="A35">IFERROR(INDEX('Temp Hisfa'!A$3:A$200, SMALL(IF(ISERROR('Temp Hisfa'!A$3:A$200), "", ROW('Temp Hisfa'!A$3:A$200)-MIN(ROW('Temp Hisfa'!A$3:A$200))+1), ROW(33:231))),"")</f>
        <v>0</v>
      </c>
      <c r="B35" s="4">
        <f t="array" ref="B35">IFERROR(INDEX('Temp Hisfa'!B$3:B$200, SMALL(IF(ISERROR('Temp Hisfa'!B$3:B$200), "", ROW('Temp Hisfa'!B$3:B$200)-MIN(ROW('Temp Hisfa'!B$3:B$200))+1), ROW(33:231))),"")</f>
        <v>0</v>
      </c>
      <c r="C35" s="3">
        <f t="array" ref="C35">IFERROR(INDEX('Temp Hisfa'!C$3:C$200, SMALL(IF(ISERROR('Temp Hisfa'!C$3:C$200), "", ROW('Temp Hisfa'!C$3:C$200)-MIN(ROW('Temp Hisfa'!C$3:C$200))+1), ROW(33:231))),"")</f>
        <v>0</v>
      </c>
      <c r="D35" s="3">
        <f t="array" ref="D35">IFERROR(INDEX('Temp Hisfa'!D$3:D$200, SMALL(IF(ISERROR('Temp Hisfa'!D$3:D$200), "", ROW('Temp Hisfa'!D$3:D$200)-MIN(ROW('Temp Hisfa'!D$3:D$200))+1), ROW(33:231))),"")</f>
        <v>0</v>
      </c>
      <c r="E35" s="29">
        <f t="array" ref="E35">IFERROR(INDEX('Temp Hisfa'!E$3:E$200, SMALL(IF(ISERROR('Temp Hisfa'!E$3:E$200), "", ROW('Temp Hisfa'!E$3:E$200)-MIN(ROW('Temp Hisfa'!E$3:E$200))+1), ROW(33:232))),"")</f>
        <v>0</v>
      </c>
      <c r="F35" s="22">
        <f t="array" ref="F35">IFERROR(INDEX('Temp Hisfa'!F$3:F$200, SMALL(IF(ISERROR('Temp Hisfa'!F$3:F$200), "", ROW('Temp Hisfa'!F$3:F$200)-MIN(ROW('Temp Hisfa'!F$3:F$200))+1), ROW(33:232))),"")</f>
        <v>0</v>
      </c>
      <c r="G35" s="30">
        <f t="array" ref="G35">IFERROR(INDEX('Temp Hisfa'!G$3:G$200, SMALL(IF(ISERROR('Temp Hisfa'!G$3:G$200), "", ROW('Temp Hisfa'!G$3:G$200)-MIN(ROW('Temp Hisfa'!G$3:G$200))+1), ROW(33:232))),"")</f>
        <v>0</v>
      </c>
      <c r="H35" s="22">
        <f t="array" ref="H35">IFERROR(INDEX('Temp Hisfa'!H$3:H$200, SMALL(IF(ISERROR('Temp Hisfa'!H$3:H$200), "", ROW('Temp Hisfa'!H$3:H$200)-MIN(ROW('Temp Hisfa'!H$3:H$200))+1), ROW(33:232))),"")</f>
        <v>0</v>
      </c>
      <c r="I35" s="22">
        <f t="array" ref="I35">IFERROR(INDEX('Temp Hisfa'!I$3:I$200, SMALL(IF(ISERROR('Temp Hisfa'!I$3:I$200), "", ROW('Temp Hisfa'!I$3:I$200)-MIN(ROW('Temp Hisfa'!I$3:I$200))+1), ROW(33:232))),"")</f>
        <v>0</v>
      </c>
      <c r="J35" s="22">
        <f t="array" ref="J35">IFERROR(INDEX('Temp Hisfa'!J$3:J$200, SMALL(IF(ISERROR('Temp Hisfa'!J$3:J$200), "", ROW('Temp Hisfa'!J$3:J$200)-MIN(ROW('Temp Hisfa'!J$3:J$200))+1), ROW(33:232))),"")</f>
        <v>0</v>
      </c>
      <c r="K35" s="30">
        <f t="array" ref="K35">IFERROR(INDEX('Temp Hisfa'!K$3:K$200, SMALL(IF(ISERROR('Temp Hisfa'!K$3:K$200), "", ROW('Temp Hisfa'!K$3:K$200)-MIN(ROW('Temp Hisfa'!K$3:K$200))+1), ROW(33:232))),"")</f>
        <v>0</v>
      </c>
      <c r="L35" s="22">
        <f t="array" ref="L35">IFERROR(INDEX('Temp Hisfa'!L$3:L$200, SMALL(IF(ISERROR('Temp Hisfa'!L$3:L$200), "", ROW('Temp Hisfa'!L$3:L$200)-MIN(ROW('Temp Hisfa'!L$3:L$200))+1), ROW(33:232))),"")</f>
        <v>0</v>
      </c>
      <c r="M35" s="22">
        <f t="array" ref="M35">IFERROR(INDEX('Temp Hisfa'!M$3:M$200, SMALL(IF(ISERROR('Temp Hisfa'!M$3:M$200), "", ROW('Temp Hisfa'!M$3:M$200)-MIN(ROW('Temp Hisfa'!M$3:M$200))+1), ROW(33:232))),"")</f>
        <v>0</v>
      </c>
      <c r="N35" s="22">
        <f t="array" ref="N35">IFERROR(INDEX('Temp Hisfa'!N$3:N$200, SMALL(IF(ISERROR('Temp Hisfa'!N$3:N$200), "", ROW('Temp Hisfa'!N$3:N$200)-MIN(ROW('Temp Hisfa'!N$3:N$200))+1), ROW(33:232))),"")</f>
        <v>1900</v>
      </c>
      <c r="O35" s="22" t="str">
        <f t="array" ref="O35">IFERROR(INDEX('Temp Hisfa'!O$3:O$200, SMALL(IF(ISERROR('Temp Hisfa'!O$3:O$200), "", ROW('Temp Hisfa'!O$3:O$200)-MIN(ROW('Temp Hisfa'!O$3:O$200))+1), ROW(33:232))),"")</f>
        <v>enero</v>
      </c>
      <c r="P35" s="22">
        <f t="array" ref="P35">IFERROR(INDEX('Temp Hisfa'!P$3:P$200, SMALL(IF(ISERROR('Temp Hisfa'!P$3:P$200), "", ROW('Temp Hisfa'!P$3:P$200)-MIN(ROW('Temp Hisfa'!P$3:P$200))+1), ROW(33:232))),"")</f>
        <v>0</v>
      </c>
      <c r="Q35" s="22">
        <f t="array" ref="Q35">IFERROR(INDEX('Temp Hisfa'!Q$3:Q$200, SMALL(IF(ISERROR('Temp Hisfa'!Q$3:Q$200), "", ROW('Temp Hisfa'!Q$3:Q$200)-MIN(ROW('Temp Hisfa'!Q$3:Q$200))+1), ROW(33:232))),"")</f>
        <v>0</v>
      </c>
      <c r="R35" s="22">
        <f t="array" ref="R35">IFERROR(INDEX('Temp Hisfa'!R$3:R$200, SMALL(IF(ISERROR('Temp Hisfa'!R$3:R$200), "", ROW('Temp Hisfa'!R$3:R$200)-MIN(ROW('Temp Hisfa'!R$3:R$200))+1), ROW(33:232))),"")</f>
        <v>0</v>
      </c>
      <c r="S35" s="22">
        <f t="array" ref="S35">IFERROR(INDEX('Temp Hisfa'!S$3:S$200, SMALL(IF(ISERROR('Temp Hisfa'!S$3:S$200), "", ROW('Temp Hisfa'!S$3:S$200)-MIN(ROW('Temp Hisfa'!S$3:S$200))+1), ROW(33:232))),"")</f>
        <v>0</v>
      </c>
      <c r="T35" s="22">
        <f t="array" ref="T35">IFERROR(INDEX('Temp Hisfa'!T$3:T$200, SMALL(IF(ISERROR('Temp Hisfa'!T$3:T$200), "", ROW('Temp Hisfa'!T$3:T$200)-MIN(ROW('Temp Hisfa'!T$3:T$200))+1), ROW(33:232))),"")</f>
        <v>0</v>
      </c>
      <c r="U35" s="22">
        <f t="array" ref="U35">IFERROR(INDEX('Temp Hisfa'!U$3:U$200, SMALL(IF(ISERROR('Temp Hisfa'!U$3:U$200), "", ROW('Temp Hisfa'!U$3:U$200)-MIN(ROW('Temp Hisfa'!U$3:U$200))+1), ROW(33:232))),"")</f>
        <v>0</v>
      </c>
      <c r="V35" s="22">
        <f t="array" ref="V35">IFERROR(INDEX('Temp Hisfa'!V$3:V$200, SMALL(IF(ISERROR('Temp Hisfa'!V$3:V$200), "", ROW('Temp Hisfa'!V$3:V$200)-MIN(ROW('Temp Hisfa'!V$3:V$200))+1), ROW(33:232))),"")</f>
        <v>0</v>
      </c>
      <c r="W35" s="22">
        <f t="array" ref="W35">IFERROR(INDEX('Temp Hisfa'!W$3:W$200, SMALL(IF(ISERROR('Temp Hisfa'!W$3:W$200), "", ROW('Temp Hisfa'!W$3:W$200)-MIN(ROW('Temp Hisfa'!W$3:W$200))+1), ROW(33:232))),"")</f>
        <v>0</v>
      </c>
      <c r="X35" s="22">
        <f t="array" ref="X35">IFERROR(INDEX('Temp Hisfa'!X$3:X$200, SMALL(IF(ISERROR('Temp Hisfa'!X$3:X$200), "", ROW('Temp Hisfa'!X$3:X$200)-MIN(ROW('Temp Hisfa'!X$3:X$200))+1), ROW(33:232))),"")</f>
        <v>0</v>
      </c>
      <c r="Y35" s="22">
        <f t="array" ref="Y35">IFERROR(INDEX('Temp Hisfa'!Y$3:Y$200, SMALL(IF(ISERROR('Temp Hisfa'!Y$3:Y$200), "", ROW('Temp Hisfa'!Y$3:Y$200)-MIN(ROW('Temp Hisfa'!Y$3:Y$200))+1), ROW(33:232))),"")</f>
        <v>0</v>
      </c>
      <c r="Z35" s="22">
        <f t="array" ref="Z35">IFERROR(INDEX('Temp Hisfa'!Z$3:Z$200, SMALL(IF(ISERROR('Temp Hisfa'!Z$3:Z$200), "", ROW('Temp Hisfa'!Z$3:Z$200)-MIN(ROW('Temp Hisfa'!Z$3:Z$200))+1), ROW(33:232))),"")</f>
        <v>0</v>
      </c>
      <c r="AA35" s="22">
        <f t="array" ref="AA35">IFERROR(INDEX('Temp Hisfa'!AA$3:AA$200, SMALL(IF(ISERROR('Temp Hisfa'!AA$3:AA$200), "", ROW('Temp Hisfa'!AA$3:AA$200)-MIN(ROW('Temp Hisfa'!AA$3:AA$200))+1), ROW(33:232))),"")</f>
        <v>0</v>
      </c>
      <c r="AB35" s="22">
        <f t="array" ref="AB35">IFERROR(INDEX('Temp Hisfa'!AB$3:AB$200, SMALL(IF(ISERROR('Temp Hisfa'!AB$3:AB$200), "", ROW('Temp Hisfa'!AB$3:AB$200)-MIN(ROW('Temp Hisfa'!AB$3:AB$200))+1), ROW(33:232))),"")</f>
        <v>0</v>
      </c>
      <c r="AD35" s="121" t="s">
        <v>80</v>
      </c>
      <c r="AE35" s="122"/>
    </row>
    <row r="36" spans="1:31" x14ac:dyDescent="0.3">
      <c r="A36" s="22">
        <f t="array" ref="A36">IFERROR(INDEX('Temp Hisfa'!A$3:A$200, SMALL(IF(ISERROR('Temp Hisfa'!A$3:A$200), "", ROW('Temp Hisfa'!A$3:A$200)-MIN(ROW('Temp Hisfa'!A$3:A$200))+1), ROW(34:232))),"")</f>
        <v>0</v>
      </c>
      <c r="B36" s="4">
        <f t="array" ref="B36">IFERROR(INDEX('Temp Hisfa'!B$3:B$200, SMALL(IF(ISERROR('Temp Hisfa'!B$3:B$200), "", ROW('Temp Hisfa'!B$3:B$200)-MIN(ROW('Temp Hisfa'!B$3:B$200))+1), ROW(34:232))),"")</f>
        <v>0</v>
      </c>
      <c r="C36" s="3">
        <f t="array" ref="C36">IFERROR(INDEX('Temp Hisfa'!C$3:C$200, SMALL(IF(ISERROR('Temp Hisfa'!C$3:C$200), "", ROW('Temp Hisfa'!C$3:C$200)-MIN(ROW('Temp Hisfa'!C$3:C$200))+1), ROW(34:232))),"")</f>
        <v>0</v>
      </c>
      <c r="D36" s="3">
        <f t="array" ref="D36">IFERROR(INDEX('Temp Hisfa'!D$3:D$200, SMALL(IF(ISERROR('Temp Hisfa'!D$3:D$200), "", ROW('Temp Hisfa'!D$3:D$200)-MIN(ROW('Temp Hisfa'!D$3:D$200))+1), ROW(34:232))),"")</f>
        <v>0</v>
      </c>
      <c r="E36" s="29">
        <f t="array" ref="E36">IFERROR(INDEX('Temp Hisfa'!E$3:E$200, SMALL(IF(ISERROR('Temp Hisfa'!E$3:E$200), "", ROW('Temp Hisfa'!E$3:E$200)-MIN(ROW('Temp Hisfa'!E$3:E$200))+1), ROW(34:233))),"")</f>
        <v>0</v>
      </c>
      <c r="F36" s="22">
        <f t="array" ref="F36">IFERROR(INDEX('Temp Hisfa'!F$3:F$200, SMALL(IF(ISERROR('Temp Hisfa'!F$3:F$200), "", ROW('Temp Hisfa'!F$3:F$200)-MIN(ROW('Temp Hisfa'!F$3:F$200))+1), ROW(34:233))),"")</f>
        <v>0</v>
      </c>
      <c r="G36" s="30">
        <f t="array" ref="G36">IFERROR(INDEX('Temp Hisfa'!G$3:G$200, SMALL(IF(ISERROR('Temp Hisfa'!G$3:G$200), "", ROW('Temp Hisfa'!G$3:G$200)-MIN(ROW('Temp Hisfa'!G$3:G$200))+1), ROW(34:233))),"")</f>
        <v>0</v>
      </c>
      <c r="H36" s="22">
        <f t="array" ref="H36">IFERROR(INDEX('Temp Hisfa'!H$3:H$200, SMALL(IF(ISERROR('Temp Hisfa'!H$3:H$200), "", ROW('Temp Hisfa'!H$3:H$200)-MIN(ROW('Temp Hisfa'!H$3:H$200))+1), ROW(34:233))),"")</f>
        <v>0</v>
      </c>
      <c r="I36" s="22">
        <f t="array" ref="I36">IFERROR(INDEX('Temp Hisfa'!I$3:I$200, SMALL(IF(ISERROR('Temp Hisfa'!I$3:I$200), "", ROW('Temp Hisfa'!I$3:I$200)-MIN(ROW('Temp Hisfa'!I$3:I$200))+1), ROW(34:233))),"")</f>
        <v>0</v>
      </c>
      <c r="J36" s="22">
        <f t="array" ref="J36">IFERROR(INDEX('Temp Hisfa'!J$3:J$200, SMALL(IF(ISERROR('Temp Hisfa'!J$3:J$200), "", ROW('Temp Hisfa'!J$3:J$200)-MIN(ROW('Temp Hisfa'!J$3:J$200))+1), ROW(34:233))),"")</f>
        <v>0</v>
      </c>
      <c r="K36" s="30">
        <f t="array" ref="K36">IFERROR(INDEX('Temp Hisfa'!K$3:K$200, SMALL(IF(ISERROR('Temp Hisfa'!K$3:K$200), "", ROW('Temp Hisfa'!K$3:K$200)-MIN(ROW('Temp Hisfa'!K$3:K$200))+1), ROW(34:233))),"")</f>
        <v>0</v>
      </c>
      <c r="L36" s="22">
        <f t="array" ref="L36">IFERROR(INDEX('Temp Hisfa'!L$3:L$200, SMALL(IF(ISERROR('Temp Hisfa'!L$3:L$200), "", ROW('Temp Hisfa'!L$3:L$200)-MIN(ROW('Temp Hisfa'!L$3:L$200))+1), ROW(34:233))),"")</f>
        <v>0</v>
      </c>
      <c r="M36" s="22">
        <f t="array" ref="M36">IFERROR(INDEX('Temp Hisfa'!M$3:M$200, SMALL(IF(ISERROR('Temp Hisfa'!M$3:M$200), "", ROW('Temp Hisfa'!M$3:M$200)-MIN(ROW('Temp Hisfa'!M$3:M$200))+1), ROW(34:233))),"")</f>
        <v>0</v>
      </c>
      <c r="N36" s="22">
        <f t="array" ref="N36">IFERROR(INDEX('Temp Hisfa'!N$3:N$200, SMALL(IF(ISERROR('Temp Hisfa'!N$3:N$200), "", ROW('Temp Hisfa'!N$3:N$200)-MIN(ROW('Temp Hisfa'!N$3:N$200))+1), ROW(34:233))),"")</f>
        <v>1900</v>
      </c>
      <c r="O36" s="22" t="str">
        <f t="array" ref="O36">IFERROR(INDEX('Temp Hisfa'!O$3:O$200, SMALL(IF(ISERROR('Temp Hisfa'!O$3:O$200), "", ROW('Temp Hisfa'!O$3:O$200)-MIN(ROW('Temp Hisfa'!O$3:O$200))+1), ROW(34:233))),"")</f>
        <v>enero</v>
      </c>
      <c r="P36" s="22">
        <f t="array" ref="P36">IFERROR(INDEX('Temp Hisfa'!P$3:P$200, SMALL(IF(ISERROR('Temp Hisfa'!P$3:P$200), "", ROW('Temp Hisfa'!P$3:P$200)-MIN(ROW('Temp Hisfa'!P$3:P$200))+1), ROW(34:233))),"")</f>
        <v>0</v>
      </c>
      <c r="Q36" s="22">
        <f t="array" ref="Q36">IFERROR(INDEX('Temp Hisfa'!Q$3:Q$200, SMALL(IF(ISERROR('Temp Hisfa'!Q$3:Q$200), "", ROW('Temp Hisfa'!Q$3:Q$200)-MIN(ROW('Temp Hisfa'!Q$3:Q$200))+1), ROW(34:233))),"")</f>
        <v>0</v>
      </c>
      <c r="R36" s="22">
        <f t="array" ref="R36">IFERROR(INDEX('Temp Hisfa'!R$3:R$200, SMALL(IF(ISERROR('Temp Hisfa'!R$3:R$200), "", ROW('Temp Hisfa'!R$3:R$200)-MIN(ROW('Temp Hisfa'!R$3:R$200))+1), ROW(34:233))),"")</f>
        <v>0</v>
      </c>
      <c r="S36" s="22">
        <f t="array" ref="S36">IFERROR(INDEX('Temp Hisfa'!S$3:S$200, SMALL(IF(ISERROR('Temp Hisfa'!S$3:S$200), "", ROW('Temp Hisfa'!S$3:S$200)-MIN(ROW('Temp Hisfa'!S$3:S$200))+1), ROW(34:233))),"")</f>
        <v>0</v>
      </c>
      <c r="T36" s="22">
        <f t="array" ref="T36">IFERROR(INDEX('Temp Hisfa'!T$3:T$200, SMALL(IF(ISERROR('Temp Hisfa'!T$3:T$200), "", ROW('Temp Hisfa'!T$3:T$200)-MIN(ROW('Temp Hisfa'!T$3:T$200))+1), ROW(34:233))),"")</f>
        <v>0</v>
      </c>
      <c r="U36" s="22">
        <f t="array" ref="U36">IFERROR(INDEX('Temp Hisfa'!U$3:U$200, SMALL(IF(ISERROR('Temp Hisfa'!U$3:U$200), "", ROW('Temp Hisfa'!U$3:U$200)-MIN(ROW('Temp Hisfa'!U$3:U$200))+1), ROW(34:233))),"")</f>
        <v>0</v>
      </c>
      <c r="V36" s="22">
        <f t="array" ref="V36">IFERROR(INDEX('Temp Hisfa'!V$3:V$200, SMALL(IF(ISERROR('Temp Hisfa'!V$3:V$200), "", ROW('Temp Hisfa'!V$3:V$200)-MIN(ROW('Temp Hisfa'!V$3:V$200))+1), ROW(34:233))),"")</f>
        <v>0</v>
      </c>
      <c r="W36" s="22">
        <f t="array" ref="W36">IFERROR(INDEX('Temp Hisfa'!W$3:W$200, SMALL(IF(ISERROR('Temp Hisfa'!W$3:W$200), "", ROW('Temp Hisfa'!W$3:W$200)-MIN(ROW('Temp Hisfa'!W$3:W$200))+1), ROW(34:233))),"")</f>
        <v>0</v>
      </c>
      <c r="X36" s="22">
        <f t="array" ref="X36">IFERROR(INDEX('Temp Hisfa'!X$3:X$200, SMALL(IF(ISERROR('Temp Hisfa'!X$3:X$200), "", ROW('Temp Hisfa'!X$3:X$200)-MIN(ROW('Temp Hisfa'!X$3:X$200))+1), ROW(34:233))),"")</f>
        <v>0</v>
      </c>
      <c r="Y36" s="22">
        <f t="array" ref="Y36">IFERROR(INDEX('Temp Hisfa'!Y$3:Y$200, SMALL(IF(ISERROR('Temp Hisfa'!Y$3:Y$200), "", ROW('Temp Hisfa'!Y$3:Y$200)-MIN(ROW('Temp Hisfa'!Y$3:Y$200))+1), ROW(34:233))),"")</f>
        <v>0</v>
      </c>
      <c r="Z36" s="22">
        <f t="array" ref="Z36">IFERROR(INDEX('Temp Hisfa'!Z$3:Z$200, SMALL(IF(ISERROR('Temp Hisfa'!Z$3:Z$200), "", ROW('Temp Hisfa'!Z$3:Z$200)-MIN(ROW('Temp Hisfa'!Z$3:Z$200))+1), ROW(34:233))),"")</f>
        <v>0</v>
      </c>
      <c r="AA36" s="22">
        <f t="array" ref="AA36">IFERROR(INDEX('Temp Hisfa'!AA$3:AA$200, SMALL(IF(ISERROR('Temp Hisfa'!AA$3:AA$200), "", ROW('Temp Hisfa'!AA$3:AA$200)-MIN(ROW('Temp Hisfa'!AA$3:AA$200))+1), ROW(34:233))),"")</f>
        <v>0</v>
      </c>
      <c r="AB36" s="22">
        <f t="array" ref="AB36">IFERROR(INDEX('Temp Hisfa'!AB$3:AB$200, SMALL(IF(ISERROR('Temp Hisfa'!AB$3:AB$200), "", ROW('Temp Hisfa'!AB$3:AB$200)-MIN(ROW('Temp Hisfa'!AB$3:AB$200))+1), ROW(34:233))),"")</f>
        <v>0</v>
      </c>
      <c r="AD36" s="56" t="s">
        <v>74</v>
      </c>
      <c r="AE36" s="84">
        <v>0</v>
      </c>
    </row>
    <row r="37" spans="1:31" x14ac:dyDescent="0.3">
      <c r="A37" s="22">
        <f t="array" ref="A37">IFERROR(INDEX('Temp Hisfa'!A$3:A$200, SMALL(IF(ISERROR('Temp Hisfa'!A$3:A$200), "", ROW('Temp Hisfa'!A$3:A$200)-MIN(ROW('Temp Hisfa'!A$3:A$200))+1), ROW(35:233))),"")</f>
        <v>0</v>
      </c>
      <c r="B37" s="4">
        <f t="array" ref="B37">IFERROR(INDEX('Temp Hisfa'!B$3:B$200, SMALL(IF(ISERROR('Temp Hisfa'!B$3:B$200), "", ROW('Temp Hisfa'!B$3:B$200)-MIN(ROW('Temp Hisfa'!B$3:B$200))+1), ROW(35:233))),"")</f>
        <v>0</v>
      </c>
      <c r="C37" s="3">
        <f t="array" ref="C37">IFERROR(INDEX('Temp Hisfa'!C$3:C$200, SMALL(IF(ISERROR('Temp Hisfa'!C$3:C$200), "", ROW('Temp Hisfa'!C$3:C$200)-MIN(ROW('Temp Hisfa'!C$3:C$200))+1), ROW(35:233))),"")</f>
        <v>0</v>
      </c>
      <c r="D37" s="3">
        <f t="array" ref="D37">IFERROR(INDEX('Temp Hisfa'!D$3:D$200, SMALL(IF(ISERROR('Temp Hisfa'!D$3:D$200), "", ROW('Temp Hisfa'!D$3:D$200)-MIN(ROW('Temp Hisfa'!D$3:D$200))+1), ROW(35:233))),"")</f>
        <v>0</v>
      </c>
      <c r="E37" s="29">
        <f t="array" ref="E37">IFERROR(INDEX('Temp Hisfa'!E$3:E$200, SMALL(IF(ISERROR('Temp Hisfa'!E$3:E$200), "", ROW('Temp Hisfa'!E$3:E$200)-MIN(ROW('Temp Hisfa'!E$3:E$200))+1), ROW(35:234))),"")</f>
        <v>0</v>
      </c>
      <c r="F37" s="22">
        <f t="array" ref="F37">IFERROR(INDEX('Temp Hisfa'!F$3:F$200, SMALL(IF(ISERROR('Temp Hisfa'!F$3:F$200), "", ROW('Temp Hisfa'!F$3:F$200)-MIN(ROW('Temp Hisfa'!F$3:F$200))+1), ROW(35:234))),"")</f>
        <v>0</v>
      </c>
      <c r="G37" s="30">
        <f t="array" ref="G37">IFERROR(INDEX('Temp Hisfa'!G$3:G$200, SMALL(IF(ISERROR('Temp Hisfa'!G$3:G$200), "", ROW('Temp Hisfa'!G$3:G$200)-MIN(ROW('Temp Hisfa'!G$3:G$200))+1), ROW(35:234))),"")</f>
        <v>0</v>
      </c>
      <c r="H37" s="22">
        <f t="array" ref="H37">IFERROR(INDEX('Temp Hisfa'!H$3:H$200, SMALL(IF(ISERROR('Temp Hisfa'!H$3:H$200), "", ROW('Temp Hisfa'!H$3:H$200)-MIN(ROW('Temp Hisfa'!H$3:H$200))+1), ROW(35:234))),"")</f>
        <v>0</v>
      </c>
      <c r="I37" s="22">
        <f t="array" ref="I37">IFERROR(INDEX('Temp Hisfa'!I$3:I$200, SMALL(IF(ISERROR('Temp Hisfa'!I$3:I$200), "", ROW('Temp Hisfa'!I$3:I$200)-MIN(ROW('Temp Hisfa'!I$3:I$200))+1), ROW(35:234))),"")</f>
        <v>0</v>
      </c>
      <c r="J37" s="22">
        <f t="array" ref="J37">IFERROR(INDEX('Temp Hisfa'!J$3:J$200, SMALL(IF(ISERROR('Temp Hisfa'!J$3:J$200), "", ROW('Temp Hisfa'!J$3:J$200)-MIN(ROW('Temp Hisfa'!J$3:J$200))+1), ROW(35:234))),"")</f>
        <v>0</v>
      </c>
      <c r="K37" s="30">
        <f t="array" ref="K37">IFERROR(INDEX('Temp Hisfa'!K$3:K$200, SMALL(IF(ISERROR('Temp Hisfa'!K$3:K$200), "", ROW('Temp Hisfa'!K$3:K$200)-MIN(ROW('Temp Hisfa'!K$3:K$200))+1), ROW(35:234))),"")</f>
        <v>0</v>
      </c>
      <c r="L37" s="22">
        <f t="array" ref="L37">IFERROR(INDEX('Temp Hisfa'!L$3:L$200, SMALL(IF(ISERROR('Temp Hisfa'!L$3:L$200), "", ROW('Temp Hisfa'!L$3:L$200)-MIN(ROW('Temp Hisfa'!L$3:L$200))+1), ROW(35:234))),"")</f>
        <v>0</v>
      </c>
      <c r="M37" s="22">
        <f t="array" ref="M37">IFERROR(INDEX('Temp Hisfa'!M$3:M$200, SMALL(IF(ISERROR('Temp Hisfa'!M$3:M$200), "", ROW('Temp Hisfa'!M$3:M$200)-MIN(ROW('Temp Hisfa'!M$3:M$200))+1), ROW(35:234))),"")</f>
        <v>0</v>
      </c>
      <c r="N37" s="22">
        <f t="array" ref="N37">IFERROR(INDEX('Temp Hisfa'!N$3:N$200, SMALL(IF(ISERROR('Temp Hisfa'!N$3:N$200), "", ROW('Temp Hisfa'!N$3:N$200)-MIN(ROW('Temp Hisfa'!N$3:N$200))+1), ROW(35:234))),"")</f>
        <v>1900</v>
      </c>
      <c r="O37" s="22" t="str">
        <f t="array" ref="O37">IFERROR(INDEX('Temp Hisfa'!O$3:O$200, SMALL(IF(ISERROR('Temp Hisfa'!O$3:O$200), "", ROW('Temp Hisfa'!O$3:O$200)-MIN(ROW('Temp Hisfa'!O$3:O$200))+1), ROW(35:234))),"")</f>
        <v>enero</v>
      </c>
      <c r="P37" s="22">
        <f t="array" ref="P37">IFERROR(INDEX('Temp Hisfa'!P$3:P$200, SMALL(IF(ISERROR('Temp Hisfa'!P$3:P$200), "", ROW('Temp Hisfa'!P$3:P$200)-MIN(ROW('Temp Hisfa'!P$3:P$200))+1), ROW(35:234))),"")</f>
        <v>0</v>
      </c>
      <c r="Q37" s="22">
        <f t="array" ref="Q37">IFERROR(INDEX('Temp Hisfa'!Q$3:Q$200, SMALL(IF(ISERROR('Temp Hisfa'!Q$3:Q$200), "", ROW('Temp Hisfa'!Q$3:Q$200)-MIN(ROW('Temp Hisfa'!Q$3:Q$200))+1), ROW(35:234))),"")</f>
        <v>0</v>
      </c>
      <c r="R37" s="22">
        <f t="array" ref="R37">IFERROR(INDEX('Temp Hisfa'!R$3:R$200, SMALL(IF(ISERROR('Temp Hisfa'!R$3:R$200), "", ROW('Temp Hisfa'!R$3:R$200)-MIN(ROW('Temp Hisfa'!R$3:R$200))+1), ROW(35:234))),"")</f>
        <v>0</v>
      </c>
      <c r="S37" s="22">
        <f t="array" ref="S37">IFERROR(INDEX('Temp Hisfa'!S$3:S$200, SMALL(IF(ISERROR('Temp Hisfa'!S$3:S$200), "", ROW('Temp Hisfa'!S$3:S$200)-MIN(ROW('Temp Hisfa'!S$3:S$200))+1), ROW(35:234))),"")</f>
        <v>0</v>
      </c>
      <c r="T37" s="22">
        <f t="array" ref="T37">IFERROR(INDEX('Temp Hisfa'!T$3:T$200, SMALL(IF(ISERROR('Temp Hisfa'!T$3:T$200), "", ROW('Temp Hisfa'!T$3:T$200)-MIN(ROW('Temp Hisfa'!T$3:T$200))+1), ROW(35:234))),"")</f>
        <v>0</v>
      </c>
      <c r="U37" s="22">
        <f t="array" ref="U37">IFERROR(INDEX('Temp Hisfa'!U$3:U$200, SMALL(IF(ISERROR('Temp Hisfa'!U$3:U$200), "", ROW('Temp Hisfa'!U$3:U$200)-MIN(ROW('Temp Hisfa'!U$3:U$200))+1), ROW(35:234))),"")</f>
        <v>0</v>
      </c>
      <c r="V37" s="22">
        <f t="array" ref="V37">IFERROR(INDEX('Temp Hisfa'!V$3:V$200, SMALL(IF(ISERROR('Temp Hisfa'!V$3:V$200), "", ROW('Temp Hisfa'!V$3:V$200)-MIN(ROW('Temp Hisfa'!V$3:V$200))+1), ROW(35:234))),"")</f>
        <v>0</v>
      </c>
      <c r="W37" s="22">
        <f t="array" ref="W37">IFERROR(INDEX('Temp Hisfa'!W$3:W$200, SMALL(IF(ISERROR('Temp Hisfa'!W$3:W$200), "", ROW('Temp Hisfa'!W$3:W$200)-MIN(ROW('Temp Hisfa'!W$3:W$200))+1), ROW(35:234))),"")</f>
        <v>0</v>
      </c>
      <c r="X37" s="22">
        <f t="array" ref="X37">IFERROR(INDEX('Temp Hisfa'!X$3:X$200, SMALL(IF(ISERROR('Temp Hisfa'!X$3:X$200), "", ROW('Temp Hisfa'!X$3:X$200)-MIN(ROW('Temp Hisfa'!X$3:X$200))+1), ROW(35:234))),"")</f>
        <v>0</v>
      </c>
      <c r="Y37" s="22">
        <f t="array" ref="Y37">IFERROR(INDEX('Temp Hisfa'!Y$3:Y$200, SMALL(IF(ISERROR('Temp Hisfa'!Y$3:Y$200), "", ROW('Temp Hisfa'!Y$3:Y$200)-MIN(ROW('Temp Hisfa'!Y$3:Y$200))+1), ROW(35:234))),"")</f>
        <v>0</v>
      </c>
      <c r="Z37" s="22">
        <f t="array" ref="Z37">IFERROR(INDEX('Temp Hisfa'!Z$3:Z$200, SMALL(IF(ISERROR('Temp Hisfa'!Z$3:Z$200), "", ROW('Temp Hisfa'!Z$3:Z$200)-MIN(ROW('Temp Hisfa'!Z$3:Z$200))+1), ROW(35:234))),"")</f>
        <v>0</v>
      </c>
      <c r="AA37" s="22">
        <f t="array" ref="AA37">IFERROR(INDEX('Temp Hisfa'!AA$3:AA$200, SMALL(IF(ISERROR('Temp Hisfa'!AA$3:AA$200), "", ROW('Temp Hisfa'!AA$3:AA$200)-MIN(ROW('Temp Hisfa'!AA$3:AA$200))+1), ROW(35:234))),"")</f>
        <v>0</v>
      </c>
      <c r="AB37" s="22">
        <f t="array" ref="AB37">IFERROR(INDEX('Temp Hisfa'!AB$3:AB$200, SMALL(IF(ISERROR('Temp Hisfa'!AB$3:AB$200), "", ROW('Temp Hisfa'!AB$3:AB$200)-MIN(ROW('Temp Hisfa'!AB$3:AB$200))+1), ROW(35:234))),"")</f>
        <v>0</v>
      </c>
      <c r="AD37" s="56" t="s">
        <v>75</v>
      </c>
      <c r="AE37" s="85">
        <f>IFERROR(AE36/AE34,0)</f>
        <v>0</v>
      </c>
    </row>
    <row r="38" spans="1:31" x14ac:dyDescent="0.3">
      <c r="A38" s="22">
        <f t="array" ref="A38">IFERROR(INDEX('Temp Hisfa'!A$3:A$200, SMALL(IF(ISERROR('Temp Hisfa'!A$3:A$200), "", ROW('Temp Hisfa'!A$3:A$200)-MIN(ROW('Temp Hisfa'!A$3:A$200))+1), ROW(36:234))),"")</f>
        <v>0</v>
      </c>
      <c r="B38" s="4">
        <f t="array" ref="B38">IFERROR(INDEX('Temp Hisfa'!B$3:B$200, SMALL(IF(ISERROR('Temp Hisfa'!B$3:B$200), "", ROW('Temp Hisfa'!B$3:B$200)-MIN(ROW('Temp Hisfa'!B$3:B$200))+1), ROW(36:234))),"")</f>
        <v>0</v>
      </c>
      <c r="C38" s="3">
        <f t="array" ref="C38">IFERROR(INDEX('Temp Hisfa'!C$3:C$200, SMALL(IF(ISERROR('Temp Hisfa'!C$3:C$200), "", ROW('Temp Hisfa'!C$3:C$200)-MIN(ROW('Temp Hisfa'!C$3:C$200))+1), ROW(36:234))),"")</f>
        <v>0</v>
      </c>
      <c r="D38" s="3">
        <f t="array" ref="D38">IFERROR(INDEX('Temp Hisfa'!D$3:D$200, SMALL(IF(ISERROR('Temp Hisfa'!D$3:D$200), "", ROW('Temp Hisfa'!D$3:D$200)-MIN(ROW('Temp Hisfa'!D$3:D$200))+1), ROW(36:234))),"")</f>
        <v>0</v>
      </c>
      <c r="E38" s="29">
        <f t="array" ref="E38">IFERROR(INDEX('Temp Hisfa'!E$3:E$200, SMALL(IF(ISERROR('Temp Hisfa'!E$3:E$200), "", ROW('Temp Hisfa'!E$3:E$200)-MIN(ROW('Temp Hisfa'!E$3:E$200))+1), ROW(36:235))),"")</f>
        <v>0</v>
      </c>
      <c r="F38" s="22">
        <f t="array" ref="F38">IFERROR(INDEX('Temp Hisfa'!F$3:F$200, SMALL(IF(ISERROR('Temp Hisfa'!F$3:F$200), "", ROW('Temp Hisfa'!F$3:F$200)-MIN(ROW('Temp Hisfa'!F$3:F$200))+1), ROW(36:235))),"")</f>
        <v>0</v>
      </c>
      <c r="G38" s="30">
        <f t="array" ref="G38">IFERROR(INDEX('Temp Hisfa'!G$3:G$200, SMALL(IF(ISERROR('Temp Hisfa'!G$3:G$200), "", ROW('Temp Hisfa'!G$3:G$200)-MIN(ROW('Temp Hisfa'!G$3:G$200))+1), ROW(36:235))),"")</f>
        <v>0</v>
      </c>
      <c r="H38" s="22">
        <f t="array" ref="H38">IFERROR(INDEX('Temp Hisfa'!H$3:H$200, SMALL(IF(ISERROR('Temp Hisfa'!H$3:H$200), "", ROW('Temp Hisfa'!H$3:H$200)-MIN(ROW('Temp Hisfa'!H$3:H$200))+1), ROW(36:235))),"")</f>
        <v>0</v>
      </c>
      <c r="I38" s="22">
        <f t="array" ref="I38">IFERROR(INDEX('Temp Hisfa'!I$3:I$200, SMALL(IF(ISERROR('Temp Hisfa'!I$3:I$200), "", ROW('Temp Hisfa'!I$3:I$200)-MIN(ROW('Temp Hisfa'!I$3:I$200))+1), ROW(36:235))),"")</f>
        <v>0</v>
      </c>
      <c r="J38" s="22">
        <f t="array" ref="J38">IFERROR(INDEX('Temp Hisfa'!J$3:J$200, SMALL(IF(ISERROR('Temp Hisfa'!J$3:J$200), "", ROW('Temp Hisfa'!J$3:J$200)-MIN(ROW('Temp Hisfa'!J$3:J$200))+1), ROW(36:235))),"")</f>
        <v>0</v>
      </c>
      <c r="K38" s="30">
        <f t="array" ref="K38">IFERROR(INDEX('Temp Hisfa'!K$3:K$200, SMALL(IF(ISERROR('Temp Hisfa'!K$3:K$200), "", ROW('Temp Hisfa'!K$3:K$200)-MIN(ROW('Temp Hisfa'!K$3:K$200))+1), ROW(36:235))),"")</f>
        <v>0</v>
      </c>
      <c r="L38" s="22">
        <f t="array" ref="L38">IFERROR(INDEX('Temp Hisfa'!L$3:L$200, SMALL(IF(ISERROR('Temp Hisfa'!L$3:L$200), "", ROW('Temp Hisfa'!L$3:L$200)-MIN(ROW('Temp Hisfa'!L$3:L$200))+1), ROW(36:235))),"")</f>
        <v>0</v>
      </c>
      <c r="M38" s="22">
        <f t="array" ref="M38">IFERROR(INDEX('Temp Hisfa'!M$3:M$200, SMALL(IF(ISERROR('Temp Hisfa'!M$3:M$200), "", ROW('Temp Hisfa'!M$3:M$200)-MIN(ROW('Temp Hisfa'!M$3:M$200))+1), ROW(36:235))),"")</f>
        <v>0</v>
      </c>
      <c r="N38" s="22">
        <f t="array" ref="N38">IFERROR(INDEX('Temp Hisfa'!N$3:N$200, SMALL(IF(ISERROR('Temp Hisfa'!N$3:N$200), "", ROW('Temp Hisfa'!N$3:N$200)-MIN(ROW('Temp Hisfa'!N$3:N$200))+1), ROW(36:235))),"")</f>
        <v>1900</v>
      </c>
      <c r="O38" s="22" t="str">
        <f t="array" ref="O38">IFERROR(INDEX('Temp Hisfa'!O$3:O$200, SMALL(IF(ISERROR('Temp Hisfa'!O$3:O$200), "", ROW('Temp Hisfa'!O$3:O$200)-MIN(ROW('Temp Hisfa'!O$3:O$200))+1), ROW(36:235))),"")</f>
        <v>enero</v>
      </c>
      <c r="P38" s="22">
        <f t="array" ref="P38">IFERROR(INDEX('Temp Hisfa'!P$3:P$200, SMALL(IF(ISERROR('Temp Hisfa'!P$3:P$200), "", ROW('Temp Hisfa'!P$3:P$200)-MIN(ROW('Temp Hisfa'!P$3:P$200))+1), ROW(36:235))),"")</f>
        <v>0</v>
      </c>
      <c r="Q38" s="22">
        <f t="array" ref="Q38">IFERROR(INDEX('Temp Hisfa'!Q$3:Q$200, SMALL(IF(ISERROR('Temp Hisfa'!Q$3:Q$200), "", ROW('Temp Hisfa'!Q$3:Q$200)-MIN(ROW('Temp Hisfa'!Q$3:Q$200))+1), ROW(36:235))),"")</f>
        <v>0</v>
      </c>
      <c r="R38" s="22">
        <f t="array" ref="R38">IFERROR(INDEX('Temp Hisfa'!R$3:R$200, SMALL(IF(ISERROR('Temp Hisfa'!R$3:R$200), "", ROW('Temp Hisfa'!R$3:R$200)-MIN(ROW('Temp Hisfa'!R$3:R$200))+1), ROW(36:235))),"")</f>
        <v>0</v>
      </c>
      <c r="S38" s="22">
        <f t="array" ref="S38">IFERROR(INDEX('Temp Hisfa'!S$3:S$200, SMALL(IF(ISERROR('Temp Hisfa'!S$3:S$200), "", ROW('Temp Hisfa'!S$3:S$200)-MIN(ROW('Temp Hisfa'!S$3:S$200))+1), ROW(36:235))),"")</f>
        <v>0</v>
      </c>
      <c r="T38" s="22">
        <f t="array" ref="T38">IFERROR(INDEX('Temp Hisfa'!T$3:T$200, SMALL(IF(ISERROR('Temp Hisfa'!T$3:T$200), "", ROW('Temp Hisfa'!T$3:T$200)-MIN(ROW('Temp Hisfa'!T$3:T$200))+1), ROW(36:235))),"")</f>
        <v>0</v>
      </c>
      <c r="U38" s="22">
        <f t="array" ref="U38">IFERROR(INDEX('Temp Hisfa'!U$3:U$200, SMALL(IF(ISERROR('Temp Hisfa'!U$3:U$200), "", ROW('Temp Hisfa'!U$3:U$200)-MIN(ROW('Temp Hisfa'!U$3:U$200))+1), ROW(36:235))),"")</f>
        <v>0</v>
      </c>
      <c r="V38" s="22">
        <f t="array" ref="V38">IFERROR(INDEX('Temp Hisfa'!V$3:V$200, SMALL(IF(ISERROR('Temp Hisfa'!V$3:V$200), "", ROW('Temp Hisfa'!V$3:V$200)-MIN(ROW('Temp Hisfa'!V$3:V$200))+1), ROW(36:235))),"")</f>
        <v>0</v>
      </c>
      <c r="W38" s="22">
        <f t="array" ref="W38">IFERROR(INDEX('Temp Hisfa'!W$3:W$200, SMALL(IF(ISERROR('Temp Hisfa'!W$3:W$200), "", ROW('Temp Hisfa'!W$3:W$200)-MIN(ROW('Temp Hisfa'!W$3:W$200))+1), ROW(36:235))),"")</f>
        <v>0</v>
      </c>
      <c r="X38" s="22">
        <f t="array" ref="X38">IFERROR(INDEX('Temp Hisfa'!X$3:X$200, SMALL(IF(ISERROR('Temp Hisfa'!X$3:X$200), "", ROW('Temp Hisfa'!X$3:X$200)-MIN(ROW('Temp Hisfa'!X$3:X$200))+1), ROW(36:235))),"")</f>
        <v>0</v>
      </c>
      <c r="Y38" s="22">
        <f t="array" ref="Y38">IFERROR(INDEX('Temp Hisfa'!Y$3:Y$200, SMALL(IF(ISERROR('Temp Hisfa'!Y$3:Y$200), "", ROW('Temp Hisfa'!Y$3:Y$200)-MIN(ROW('Temp Hisfa'!Y$3:Y$200))+1), ROW(36:235))),"")</f>
        <v>0</v>
      </c>
      <c r="Z38" s="22">
        <f t="array" ref="Z38">IFERROR(INDEX('Temp Hisfa'!Z$3:Z$200, SMALL(IF(ISERROR('Temp Hisfa'!Z$3:Z$200), "", ROW('Temp Hisfa'!Z$3:Z$200)-MIN(ROW('Temp Hisfa'!Z$3:Z$200))+1), ROW(36:235))),"")</f>
        <v>0</v>
      </c>
      <c r="AA38" s="22">
        <f t="array" ref="AA38">IFERROR(INDEX('Temp Hisfa'!AA$3:AA$200, SMALL(IF(ISERROR('Temp Hisfa'!AA$3:AA$200), "", ROW('Temp Hisfa'!AA$3:AA$200)-MIN(ROW('Temp Hisfa'!AA$3:AA$200))+1), ROW(36:235))),"")</f>
        <v>0</v>
      </c>
      <c r="AB38" s="22">
        <f t="array" ref="AB38">IFERROR(INDEX('Temp Hisfa'!AB$3:AB$200, SMALL(IF(ISERROR('Temp Hisfa'!AB$3:AB$200), "", ROW('Temp Hisfa'!AB$3:AB$200)-MIN(ROW('Temp Hisfa'!AB$3:AB$200))+1), ROW(36:235))),"")</f>
        <v>0</v>
      </c>
    </row>
    <row r="39" spans="1:31" x14ac:dyDescent="0.3">
      <c r="A39" s="22">
        <f t="array" ref="A39">IFERROR(INDEX('Temp Hisfa'!A$3:A$200, SMALL(IF(ISERROR('Temp Hisfa'!A$3:A$200), "", ROW('Temp Hisfa'!A$3:A$200)-MIN(ROW('Temp Hisfa'!A$3:A$200))+1), ROW(37:235))),"")</f>
        <v>0</v>
      </c>
      <c r="B39" s="4">
        <f t="array" ref="B39">IFERROR(INDEX('Temp Hisfa'!B$3:B$200, SMALL(IF(ISERROR('Temp Hisfa'!B$3:B$200), "", ROW('Temp Hisfa'!B$3:B$200)-MIN(ROW('Temp Hisfa'!B$3:B$200))+1), ROW(37:235))),"")</f>
        <v>0</v>
      </c>
      <c r="C39" s="3">
        <f t="array" ref="C39">IFERROR(INDEX('Temp Hisfa'!C$3:C$200, SMALL(IF(ISERROR('Temp Hisfa'!C$3:C$200), "", ROW('Temp Hisfa'!C$3:C$200)-MIN(ROW('Temp Hisfa'!C$3:C$200))+1), ROW(37:235))),"")</f>
        <v>0</v>
      </c>
      <c r="D39" s="3">
        <f t="array" ref="D39">IFERROR(INDEX('Temp Hisfa'!D$3:D$200, SMALL(IF(ISERROR('Temp Hisfa'!D$3:D$200), "", ROW('Temp Hisfa'!D$3:D$200)-MIN(ROW('Temp Hisfa'!D$3:D$200))+1), ROW(37:235))),"")</f>
        <v>0</v>
      </c>
      <c r="E39" s="29">
        <f t="array" ref="E39">IFERROR(INDEX('Temp Hisfa'!E$3:E$200, SMALL(IF(ISERROR('Temp Hisfa'!E$3:E$200), "", ROW('Temp Hisfa'!E$3:E$200)-MIN(ROW('Temp Hisfa'!E$3:E$200))+1), ROW(37:236))),"")</f>
        <v>0</v>
      </c>
      <c r="F39" s="22">
        <f t="array" ref="F39">IFERROR(INDEX('Temp Hisfa'!F$3:F$200, SMALL(IF(ISERROR('Temp Hisfa'!F$3:F$200), "", ROW('Temp Hisfa'!F$3:F$200)-MIN(ROW('Temp Hisfa'!F$3:F$200))+1), ROW(37:236))),"")</f>
        <v>0</v>
      </c>
      <c r="G39" s="30">
        <f t="array" ref="G39">IFERROR(INDEX('Temp Hisfa'!G$3:G$200, SMALL(IF(ISERROR('Temp Hisfa'!G$3:G$200), "", ROW('Temp Hisfa'!G$3:G$200)-MIN(ROW('Temp Hisfa'!G$3:G$200))+1), ROW(37:236))),"")</f>
        <v>0</v>
      </c>
      <c r="H39" s="22">
        <f t="array" ref="H39">IFERROR(INDEX('Temp Hisfa'!H$3:H$200, SMALL(IF(ISERROR('Temp Hisfa'!H$3:H$200), "", ROW('Temp Hisfa'!H$3:H$200)-MIN(ROW('Temp Hisfa'!H$3:H$200))+1), ROW(37:236))),"")</f>
        <v>0</v>
      </c>
      <c r="I39" s="22">
        <f t="array" ref="I39">IFERROR(INDEX('Temp Hisfa'!I$3:I$200, SMALL(IF(ISERROR('Temp Hisfa'!I$3:I$200), "", ROW('Temp Hisfa'!I$3:I$200)-MIN(ROW('Temp Hisfa'!I$3:I$200))+1), ROW(37:236))),"")</f>
        <v>0</v>
      </c>
      <c r="J39" s="22">
        <f t="array" ref="J39">IFERROR(INDEX('Temp Hisfa'!J$3:J$200, SMALL(IF(ISERROR('Temp Hisfa'!J$3:J$200), "", ROW('Temp Hisfa'!J$3:J$200)-MIN(ROW('Temp Hisfa'!J$3:J$200))+1), ROW(37:236))),"")</f>
        <v>0</v>
      </c>
      <c r="K39" s="30">
        <f t="array" ref="K39">IFERROR(INDEX('Temp Hisfa'!K$3:K$200, SMALL(IF(ISERROR('Temp Hisfa'!K$3:K$200), "", ROW('Temp Hisfa'!K$3:K$200)-MIN(ROW('Temp Hisfa'!K$3:K$200))+1), ROW(37:236))),"")</f>
        <v>0</v>
      </c>
      <c r="L39" s="22">
        <f t="array" ref="L39">IFERROR(INDEX('Temp Hisfa'!L$3:L$200, SMALL(IF(ISERROR('Temp Hisfa'!L$3:L$200), "", ROW('Temp Hisfa'!L$3:L$200)-MIN(ROW('Temp Hisfa'!L$3:L$200))+1), ROW(37:236))),"")</f>
        <v>0</v>
      </c>
      <c r="M39" s="22">
        <f t="array" ref="M39">IFERROR(INDEX('Temp Hisfa'!M$3:M$200, SMALL(IF(ISERROR('Temp Hisfa'!M$3:M$200), "", ROW('Temp Hisfa'!M$3:M$200)-MIN(ROW('Temp Hisfa'!M$3:M$200))+1), ROW(37:236))),"")</f>
        <v>0</v>
      </c>
      <c r="N39" s="22">
        <f t="array" ref="N39">IFERROR(INDEX('Temp Hisfa'!N$3:N$200, SMALL(IF(ISERROR('Temp Hisfa'!N$3:N$200), "", ROW('Temp Hisfa'!N$3:N$200)-MIN(ROW('Temp Hisfa'!N$3:N$200))+1), ROW(37:236))),"")</f>
        <v>1900</v>
      </c>
      <c r="O39" s="22" t="str">
        <f t="array" ref="O39">IFERROR(INDEX('Temp Hisfa'!O$3:O$200, SMALL(IF(ISERROR('Temp Hisfa'!O$3:O$200), "", ROW('Temp Hisfa'!O$3:O$200)-MIN(ROW('Temp Hisfa'!O$3:O$200))+1), ROW(37:236))),"")</f>
        <v>enero</v>
      </c>
      <c r="P39" s="22">
        <f t="array" ref="P39">IFERROR(INDEX('Temp Hisfa'!P$3:P$200, SMALL(IF(ISERROR('Temp Hisfa'!P$3:P$200), "", ROW('Temp Hisfa'!P$3:P$200)-MIN(ROW('Temp Hisfa'!P$3:P$200))+1), ROW(37:236))),"")</f>
        <v>0</v>
      </c>
      <c r="Q39" s="22">
        <f t="array" ref="Q39">IFERROR(INDEX('Temp Hisfa'!Q$3:Q$200, SMALL(IF(ISERROR('Temp Hisfa'!Q$3:Q$200), "", ROW('Temp Hisfa'!Q$3:Q$200)-MIN(ROW('Temp Hisfa'!Q$3:Q$200))+1), ROW(37:236))),"")</f>
        <v>0</v>
      </c>
      <c r="R39" s="22">
        <f t="array" ref="R39">IFERROR(INDEX('Temp Hisfa'!R$3:R$200, SMALL(IF(ISERROR('Temp Hisfa'!R$3:R$200), "", ROW('Temp Hisfa'!R$3:R$200)-MIN(ROW('Temp Hisfa'!R$3:R$200))+1), ROW(37:236))),"")</f>
        <v>0</v>
      </c>
      <c r="S39" s="22">
        <f t="array" ref="S39">IFERROR(INDEX('Temp Hisfa'!S$3:S$200, SMALL(IF(ISERROR('Temp Hisfa'!S$3:S$200), "", ROW('Temp Hisfa'!S$3:S$200)-MIN(ROW('Temp Hisfa'!S$3:S$200))+1), ROW(37:236))),"")</f>
        <v>0</v>
      </c>
      <c r="T39" s="22">
        <f t="array" ref="T39">IFERROR(INDEX('Temp Hisfa'!T$3:T$200, SMALL(IF(ISERROR('Temp Hisfa'!T$3:T$200), "", ROW('Temp Hisfa'!T$3:T$200)-MIN(ROW('Temp Hisfa'!T$3:T$200))+1), ROW(37:236))),"")</f>
        <v>0</v>
      </c>
      <c r="U39" s="22">
        <f t="array" ref="U39">IFERROR(INDEX('Temp Hisfa'!U$3:U$200, SMALL(IF(ISERROR('Temp Hisfa'!U$3:U$200), "", ROW('Temp Hisfa'!U$3:U$200)-MIN(ROW('Temp Hisfa'!U$3:U$200))+1), ROW(37:236))),"")</f>
        <v>0</v>
      </c>
      <c r="V39" s="22">
        <f t="array" ref="V39">IFERROR(INDEX('Temp Hisfa'!V$3:V$200, SMALL(IF(ISERROR('Temp Hisfa'!V$3:V$200), "", ROW('Temp Hisfa'!V$3:V$200)-MIN(ROW('Temp Hisfa'!V$3:V$200))+1), ROW(37:236))),"")</f>
        <v>0</v>
      </c>
      <c r="W39" s="22">
        <f t="array" ref="W39">IFERROR(INDEX('Temp Hisfa'!W$3:W$200, SMALL(IF(ISERROR('Temp Hisfa'!W$3:W$200), "", ROW('Temp Hisfa'!W$3:W$200)-MIN(ROW('Temp Hisfa'!W$3:W$200))+1), ROW(37:236))),"")</f>
        <v>0</v>
      </c>
      <c r="X39" s="22">
        <f t="array" ref="X39">IFERROR(INDEX('Temp Hisfa'!X$3:X$200, SMALL(IF(ISERROR('Temp Hisfa'!X$3:X$200), "", ROW('Temp Hisfa'!X$3:X$200)-MIN(ROW('Temp Hisfa'!X$3:X$200))+1), ROW(37:236))),"")</f>
        <v>0</v>
      </c>
      <c r="Y39" s="22">
        <f t="array" ref="Y39">IFERROR(INDEX('Temp Hisfa'!Y$3:Y$200, SMALL(IF(ISERROR('Temp Hisfa'!Y$3:Y$200), "", ROW('Temp Hisfa'!Y$3:Y$200)-MIN(ROW('Temp Hisfa'!Y$3:Y$200))+1), ROW(37:236))),"")</f>
        <v>0</v>
      </c>
      <c r="Z39" s="22">
        <f t="array" ref="Z39">IFERROR(INDEX('Temp Hisfa'!Z$3:Z$200, SMALL(IF(ISERROR('Temp Hisfa'!Z$3:Z$200), "", ROW('Temp Hisfa'!Z$3:Z$200)-MIN(ROW('Temp Hisfa'!Z$3:Z$200))+1), ROW(37:236))),"")</f>
        <v>0</v>
      </c>
      <c r="AA39" s="22">
        <f t="array" ref="AA39">IFERROR(INDEX('Temp Hisfa'!AA$3:AA$200, SMALL(IF(ISERROR('Temp Hisfa'!AA$3:AA$200), "", ROW('Temp Hisfa'!AA$3:AA$200)-MIN(ROW('Temp Hisfa'!AA$3:AA$200))+1), ROW(37:236))),"")</f>
        <v>0</v>
      </c>
      <c r="AB39" s="22">
        <f t="array" ref="AB39">IFERROR(INDEX('Temp Hisfa'!AB$3:AB$200, SMALL(IF(ISERROR('Temp Hisfa'!AB$3:AB$200), "", ROW('Temp Hisfa'!AB$3:AB$200)-MIN(ROW('Temp Hisfa'!AB$3:AB$200))+1), ROW(37:236))),"")</f>
        <v>0</v>
      </c>
      <c r="AD39" s="120" t="s">
        <v>159</v>
      </c>
      <c r="AE39" s="120"/>
    </row>
    <row r="40" spans="1:31" x14ac:dyDescent="0.3">
      <c r="A40" s="22">
        <f t="array" ref="A40">IFERROR(INDEX('Temp Hisfa'!A$3:A$200, SMALL(IF(ISERROR('Temp Hisfa'!A$3:A$200), "", ROW('Temp Hisfa'!A$3:A$200)-MIN(ROW('Temp Hisfa'!A$3:A$200))+1), ROW(38:236))),"")</f>
        <v>0</v>
      </c>
      <c r="B40" s="4">
        <f t="array" ref="B40">IFERROR(INDEX('Temp Hisfa'!B$3:B$200, SMALL(IF(ISERROR('Temp Hisfa'!B$3:B$200), "", ROW('Temp Hisfa'!B$3:B$200)-MIN(ROW('Temp Hisfa'!B$3:B$200))+1), ROW(38:236))),"")</f>
        <v>0</v>
      </c>
      <c r="C40" s="3">
        <f t="array" ref="C40">IFERROR(INDEX('Temp Hisfa'!C$3:C$200, SMALL(IF(ISERROR('Temp Hisfa'!C$3:C$200), "", ROW('Temp Hisfa'!C$3:C$200)-MIN(ROW('Temp Hisfa'!C$3:C$200))+1), ROW(38:236))),"")</f>
        <v>0</v>
      </c>
      <c r="D40" s="3">
        <f t="array" ref="D40">IFERROR(INDEX('Temp Hisfa'!D$3:D$200, SMALL(IF(ISERROR('Temp Hisfa'!D$3:D$200), "", ROW('Temp Hisfa'!D$3:D$200)-MIN(ROW('Temp Hisfa'!D$3:D$200))+1), ROW(38:236))),"")</f>
        <v>0</v>
      </c>
      <c r="E40" s="29">
        <f t="array" ref="E40">IFERROR(INDEX('Temp Hisfa'!E$3:E$200, SMALL(IF(ISERROR('Temp Hisfa'!E$3:E$200), "", ROW('Temp Hisfa'!E$3:E$200)-MIN(ROW('Temp Hisfa'!E$3:E$200))+1), ROW(38:237))),"")</f>
        <v>0</v>
      </c>
      <c r="F40" s="22">
        <f t="array" ref="F40">IFERROR(INDEX('Temp Hisfa'!F$3:F$200, SMALL(IF(ISERROR('Temp Hisfa'!F$3:F$200), "", ROW('Temp Hisfa'!F$3:F$200)-MIN(ROW('Temp Hisfa'!F$3:F$200))+1), ROW(38:237))),"")</f>
        <v>0</v>
      </c>
      <c r="G40" s="30">
        <f t="array" ref="G40">IFERROR(INDEX('Temp Hisfa'!G$3:G$200, SMALL(IF(ISERROR('Temp Hisfa'!G$3:G$200), "", ROW('Temp Hisfa'!G$3:G$200)-MIN(ROW('Temp Hisfa'!G$3:G$200))+1), ROW(38:237))),"")</f>
        <v>0</v>
      </c>
      <c r="H40" s="22">
        <f t="array" ref="H40">IFERROR(INDEX('Temp Hisfa'!H$3:H$200, SMALL(IF(ISERROR('Temp Hisfa'!H$3:H$200), "", ROW('Temp Hisfa'!H$3:H$200)-MIN(ROW('Temp Hisfa'!H$3:H$200))+1), ROW(38:237))),"")</f>
        <v>0</v>
      </c>
      <c r="I40" s="22">
        <f t="array" ref="I40">IFERROR(INDEX('Temp Hisfa'!I$3:I$200, SMALL(IF(ISERROR('Temp Hisfa'!I$3:I$200), "", ROW('Temp Hisfa'!I$3:I$200)-MIN(ROW('Temp Hisfa'!I$3:I$200))+1), ROW(38:237))),"")</f>
        <v>0</v>
      </c>
      <c r="J40" s="22">
        <f t="array" ref="J40">IFERROR(INDEX('Temp Hisfa'!J$3:J$200, SMALL(IF(ISERROR('Temp Hisfa'!J$3:J$200), "", ROW('Temp Hisfa'!J$3:J$200)-MIN(ROW('Temp Hisfa'!J$3:J$200))+1), ROW(38:237))),"")</f>
        <v>0</v>
      </c>
      <c r="K40" s="30">
        <f t="array" ref="K40">IFERROR(INDEX('Temp Hisfa'!K$3:K$200, SMALL(IF(ISERROR('Temp Hisfa'!K$3:K$200), "", ROW('Temp Hisfa'!K$3:K$200)-MIN(ROW('Temp Hisfa'!K$3:K$200))+1), ROW(38:237))),"")</f>
        <v>0</v>
      </c>
      <c r="L40" s="22">
        <f t="array" ref="L40">IFERROR(INDEX('Temp Hisfa'!L$3:L$200, SMALL(IF(ISERROR('Temp Hisfa'!L$3:L$200), "", ROW('Temp Hisfa'!L$3:L$200)-MIN(ROW('Temp Hisfa'!L$3:L$200))+1), ROW(38:237))),"")</f>
        <v>0</v>
      </c>
      <c r="M40" s="22">
        <f t="array" ref="M40">IFERROR(INDEX('Temp Hisfa'!M$3:M$200, SMALL(IF(ISERROR('Temp Hisfa'!M$3:M$200), "", ROW('Temp Hisfa'!M$3:M$200)-MIN(ROW('Temp Hisfa'!M$3:M$200))+1), ROW(38:237))),"")</f>
        <v>0</v>
      </c>
      <c r="N40" s="22">
        <f t="array" ref="N40">IFERROR(INDEX('Temp Hisfa'!N$3:N$200, SMALL(IF(ISERROR('Temp Hisfa'!N$3:N$200), "", ROW('Temp Hisfa'!N$3:N$200)-MIN(ROW('Temp Hisfa'!N$3:N$200))+1), ROW(38:237))),"")</f>
        <v>1900</v>
      </c>
      <c r="O40" s="22" t="str">
        <f t="array" ref="O40">IFERROR(INDEX('Temp Hisfa'!O$3:O$200, SMALL(IF(ISERROR('Temp Hisfa'!O$3:O$200), "", ROW('Temp Hisfa'!O$3:O$200)-MIN(ROW('Temp Hisfa'!O$3:O$200))+1), ROW(38:237))),"")</f>
        <v>enero</v>
      </c>
      <c r="P40" s="22">
        <f t="array" ref="P40">IFERROR(INDEX('Temp Hisfa'!P$3:P$200, SMALL(IF(ISERROR('Temp Hisfa'!P$3:P$200), "", ROW('Temp Hisfa'!P$3:P$200)-MIN(ROW('Temp Hisfa'!P$3:P$200))+1), ROW(38:237))),"")</f>
        <v>0</v>
      </c>
      <c r="Q40" s="22">
        <f t="array" ref="Q40">IFERROR(INDEX('Temp Hisfa'!Q$3:Q$200, SMALL(IF(ISERROR('Temp Hisfa'!Q$3:Q$200), "", ROW('Temp Hisfa'!Q$3:Q$200)-MIN(ROW('Temp Hisfa'!Q$3:Q$200))+1), ROW(38:237))),"")</f>
        <v>0</v>
      </c>
      <c r="R40" s="22">
        <f t="array" ref="R40">IFERROR(INDEX('Temp Hisfa'!R$3:R$200, SMALL(IF(ISERROR('Temp Hisfa'!R$3:R$200), "", ROW('Temp Hisfa'!R$3:R$200)-MIN(ROW('Temp Hisfa'!R$3:R$200))+1), ROW(38:237))),"")</f>
        <v>0</v>
      </c>
      <c r="S40" s="22">
        <f t="array" ref="S40">IFERROR(INDEX('Temp Hisfa'!S$3:S$200, SMALL(IF(ISERROR('Temp Hisfa'!S$3:S$200), "", ROW('Temp Hisfa'!S$3:S$200)-MIN(ROW('Temp Hisfa'!S$3:S$200))+1), ROW(38:237))),"")</f>
        <v>0</v>
      </c>
      <c r="T40" s="22">
        <f t="array" ref="T40">IFERROR(INDEX('Temp Hisfa'!T$3:T$200, SMALL(IF(ISERROR('Temp Hisfa'!T$3:T$200), "", ROW('Temp Hisfa'!T$3:T$200)-MIN(ROW('Temp Hisfa'!T$3:T$200))+1), ROW(38:237))),"")</f>
        <v>0</v>
      </c>
      <c r="U40" s="22">
        <f t="array" ref="U40">IFERROR(INDEX('Temp Hisfa'!U$3:U$200, SMALL(IF(ISERROR('Temp Hisfa'!U$3:U$200), "", ROW('Temp Hisfa'!U$3:U$200)-MIN(ROW('Temp Hisfa'!U$3:U$200))+1), ROW(38:237))),"")</f>
        <v>0</v>
      </c>
      <c r="V40" s="22">
        <f t="array" ref="V40">IFERROR(INDEX('Temp Hisfa'!V$3:V$200, SMALL(IF(ISERROR('Temp Hisfa'!V$3:V$200), "", ROW('Temp Hisfa'!V$3:V$200)-MIN(ROW('Temp Hisfa'!V$3:V$200))+1), ROW(38:237))),"")</f>
        <v>0</v>
      </c>
      <c r="W40" s="22">
        <f t="array" ref="W40">IFERROR(INDEX('Temp Hisfa'!W$3:W$200, SMALL(IF(ISERROR('Temp Hisfa'!W$3:W$200), "", ROW('Temp Hisfa'!W$3:W$200)-MIN(ROW('Temp Hisfa'!W$3:W$200))+1), ROW(38:237))),"")</f>
        <v>0</v>
      </c>
      <c r="X40" s="22">
        <f t="array" ref="X40">IFERROR(INDEX('Temp Hisfa'!X$3:X$200, SMALL(IF(ISERROR('Temp Hisfa'!X$3:X$200), "", ROW('Temp Hisfa'!X$3:X$200)-MIN(ROW('Temp Hisfa'!X$3:X$200))+1), ROW(38:237))),"")</f>
        <v>0</v>
      </c>
      <c r="Y40" s="22">
        <f t="array" ref="Y40">IFERROR(INDEX('Temp Hisfa'!Y$3:Y$200, SMALL(IF(ISERROR('Temp Hisfa'!Y$3:Y$200), "", ROW('Temp Hisfa'!Y$3:Y$200)-MIN(ROW('Temp Hisfa'!Y$3:Y$200))+1), ROW(38:237))),"")</f>
        <v>0</v>
      </c>
      <c r="Z40" s="22">
        <f t="array" ref="Z40">IFERROR(INDEX('Temp Hisfa'!Z$3:Z$200, SMALL(IF(ISERROR('Temp Hisfa'!Z$3:Z$200), "", ROW('Temp Hisfa'!Z$3:Z$200)-MIN(ROW('Temp Hisfa'!Z$3:Z$200))+1), ROW(38:237))),"")</f>
        <v>0</v>
      </c>
      <c r="AA40" s="22">
        <f t="array" ref="AA40">IFERROR(INDEX('Temp Hisfa'!AA$3:AA$200, SMALL(IF(ISERROR('Temp Hisfa'!AA$3:AA$200), "", ROW('Temp Hisfa'!AA$3:AA$200)-MIN(ROW('Temp Hisfa'!AA$3:AA$200))+1), ROW(38:237))),"")</f>
        <v>0</v>
      </c>
      <c r="AB40" s="22">
        <f t="array" ref="AB40">IFERROR(INDEX('Temp Hisfa'!AB$3:AB$200, SMALL(IF(ISERROR('Temp Hisfa'!AB$3:AB$200), "", ROW('Temp Hisfa'!AB$3:AB$200)-MIN(ROW('Temp Hisfa'!AB$3:AB$200))+1), ROW(38:237))),"")</f>
        <v>0</v>
      </c>
      <c r="AD40" s="4" t="s">
        <v>48</v>
      </c>
      <c r="AE40" s="4" t="s">
        <v>49</v>
      </c>
    </row>
    <row r="41" spans="1:31" x14ac:dyDescent="0.3">
      <c r="A41" s="22">
        <f t="array" ref="A41">IFERROR(INDEX('Temp Hisfa'!A$3:A$200, SMALL(IF(ISERROR('Temp Hisfa'!A$3:A$200), "", ROW('Temp Hisfa'!A$3:A$200)-MIN(ROW('Temp Hisfa'!A$3:A$200))+1), ROW(39:237))),"")</f>
        <v>0</v>
      </c>
      <c r="B41" s="4">
        <f t="array" ref="B41">IFERROR(INDEX('Temp Hisfa'!B$3:B$200, SMALL(IF(ISERROR('Temp Hisfa'!B$3:B$200), "", ROW('Temp Hisfa'!B$3:B$200)-MIN(ROW('Temp Hisfa'!B$3:B$200))+1), ROW(39:237))),"")</f>
        <v>0</v>
      </c>
      <c r="C41" s="3">
        <f t="array" ref="C41">IFERROR(INDEX('Temp Hisfa'!C$3:C$200, SMALL(IF(ISERROR('Temp Hisfa'!C$3:C$200), "", ROW('Temp Hisfa'!C$3:C$200)-MIN(ROW('Temp Hisfa'!C$3:C$200))+1), ROW(39:237))),"")</f>
        <v>0</v>
      </c>
      <c r="D41" s="3">
        <f t="array" ref="D41">IFERROR(INDEX('Temp Hisfa'!D$3:D$200, SMALL(IF(ISERROR('Temp Hisfa'!D$3:D$200), "", ROW('Temp Hisfa'!D$3:D$200)-MIN(ROW('Temp Hisfa'!D$3:D$200))+1), ROW(39:237))),"")</f>
        <v>0</v>
      </c>
      <c r="E41" s="29">
        <f t="array" ref="E41">IFERROR(INDEX('Temp Hisfa'!E$3:E$200, SMALL(IF(ISERROR('Temp Hisfa'!E$3:E$200), "", ROW('Temp Hisfa'!E$3:E$200)-MIN(ROW('Temp Hisfa'!E$3:E$200))+1), ROW(39:238))),"")</f>
        <v>0</v>
      </c>
      <c r="F41" s="22">
        <f t="array" ref="F41">IFERROR(INDEX('Temp Hisfa'!F$3:F$200, SMALL(IF(ISERROR('Temp Hisfa'!F$3:F$200), "", ROW('Temp Hisfa'!F$3:F$200)-MIN(ROW('Temp Hisfa'!F$3:F$200))+1), ROW(39:238))),"")</f>
        <v>0</v>
      </c>
      <c r="G41" s="30">
        <f t="array" ref="G41">IFERROR(INDEX('Temp Hisfa'!G$3:G$200, SMALL(IF(ISERROR('Temp Hisfa'!G$3:G$200), "", ROW('Temp Hisfa'!G$3:G$200)-MIN(ROW('Temp Hisfa'!G$3:G$200))+1), ROW(39:238))),"")</f>
        <v>0</v>
      </c>
      <c r="H41" s="22">
        <f t="array" ref="H41">IFERROR(INDEX('Temp Hisfa'!H$3:H$200, SMALL(IF(ISERROR('Temp Hisfa'!H$3:H$200), "", ROW('Temp Hisfa'!H$3:H$200)-MIN(ROW('Temp Hisfa'!H$3:H$200))+1), ROW(39:238))),"")</f>
        <v>0</v>
      </c>
      <c r="I41" s="22">
        <f t="array" ref="I41">IFERROR(INDEX('Temp Hisfa'!I$3:I$200, SMALL(IF(ISERROR('Temp Hisfa'!I$3:I$200), "", ROW('Temp Hisfa'!I$3:I$200)-MIN(ROW('Temp Hisfa'!I$3:I$200))+1), ROW(39:238))),"")</f>
        <v>0</v>
      </c>
      <c r="J41" s="22">
        <f t="array" ref="J41">IFERROR(INDEX('Temp Hisfa'!J$3:J$200, SMALL(IF(ISERROR('Temp Hisfa'!J$3:J$200), "", ROW('Temp Hisfa'!J$3:J$200)-MIN(ROW('Temp Hisfa'!J$3:J$200))+1), ROW(39:238))),"")</f>
        <v>0</v>
      </c>
      <c r="K41" s="30">
        <f t="array" ref="K41">IFERROR(INDEX('Temp Hisfa'!K$3:K$200, SMALL(IF(ISERROR('Temp Hisfa'!K$3:K$200), "", ROW('Temp Hisfa'!K$3:K$200)-MIN(ROW('Temp Hisfa'!K$3:K$200))+1), ROW(39:238))),"")</f>
        <v>0</v>
      </c>
      <c r="L41" s="22">
        <f t="array" ref="L41">IFERROR(INDEX('Temp Hisfa'!L$3:L$200, SMALL(IF(ISERROR('Temp Hisfa'!L$3:L$200), "", ROW('Temp Hisfa'!L$3:L$200)-MIN(ROW('Temp Hisfa'!L$3:L$200))+1), ROW(39:238))),"")</f>
        <v>0</v>
      </c>
      <c r="M41" s="22">
        <f t="array" ref="M41">IFERROR(INDEX('Temp Hisfa'!M$3:M$200, SMALL(IF(ISERROR('Temp Hisfa'!M$3:M$200), "", ROW('Temp Hisfa'!M$3:M$200)-MIN(ROW('Temp Hisfa'!M$3:M$200))+1), ROW(39:238))),"")</f>
        <v>0</v>
      </c>
      <c r="N41" s="22">
        <f t="array" ref="N41">IFERROR(INDEX('Temp Hisfa'!N$3:N$200, SMALL(IF(ISERROR('Temp Hisfa'!N$3:N$200), "", ROW('Temp Hisfa'!N$3:N$200)-MIN(ROW('Temp Hisfa'!N$3:N$200))+1), ROW(39:238))),"")</f>
        <v>1900</v>
      </c>
      <c r="O41" s="22" t="str">
        <f t="array" ref="O41">IFERROR(INDEX('Temp Hisfa'!O$3:O$200, SMALL(IF(ISERROR('Temp Hisfa'!O$3:O$200), "", ROW('Temp Hisfa'!O$3:O$200)-MIN(ROW('Temp Hisfa'!O$3:O$200))+1), ROW(39:238))),"")</f>
        <v>enero</v>
      </c>
      <c r="P41" s="22">
        <f t="array" ref="P41">IFERROR(INDEX('Temp Hisfa'!P$3:P$200, SMALL(IF(ISERROR('Temp Hisfa'!P$3:P$200), "", ROW('Temp Hisfa'!P$3:P$200)-MIN(ROW('Temp Hisfa'!P$3:P$200))+1), ROW(39:238))),"")</f>
        <v>0</v>
      </c>
      <c r="Q41" s="22">
        <f t="array" ref="Q41">IFERROR(INDEX('Temp Hisfa'!Q$3:Q$200, SMALL(IF(ISERROR('Temp Hisfa'!Q$3:Q$200), "", ROW('Temp Hisfa'!Q$3:Q$200)-MIN(ROW('Temp Hisfa'!Q$3:Q$200))+1), ROW(39:238))),"")</f>
        <v>0</v>
      </c>
      <c r="R41" s="22">
        <f t="array" ref="R41">IFERROR(INDEX('Temp Hisfa'!R$3:R$200, SMALL(IF(ISERROR('Temp Hisfa'!R$3:R$200), "", ROW('Temp Hisfa'!R$3:R$200)-MIN(ROW('Temp Hisfa'!R$3:R$200))+1), ROW(39:238))),"")</f>
        <v>0</v>
      </c>
      <c r="S41" s="22">
        <f t="array" ref="S41">IFERROR(INDEX('Temp Hisfa'!S$3:S$200, SMALL(IF(ISERROR('Temp Hisfa'!S$3:S$200), "", ROW('Temp Hisfa'!S$3:S$200)-MIN(ROW('Temp Hisfa'!S$3:S$200))+1), ROW(39:238))),"")</f>
        <v>0</v>
      </c>
      <c r="T41" s="22">
        <f t="array" ref="T41">IFERROR(INDEX('Temp Hisfa'!T$3:T$200, SMALL(IF(ISERROR('Temp Hisfa'!T$3:T$200), "", ROW('Temp Hisfa'!T$3:T$200)-MIN(ROW('Temp Hisfa'!T$3:T$200))+1), ROW(39:238))),"")</f>
        <v>0</v>
      </c>
      <c r="U41" s="22">
        <f t="array" ref="U41">IFERROR(INDEX('Temp Hisfa'!U$3:U$200, SMALL(IF(ISERROR('Temp Hisfa'!U$3:U$200), "", ROW('Temp Hisfa'!U$3:U$200)-MIN(ROW('Temp Hisfa'!U$3:U$200))+1), ROW(39:238))),"")</f>
        <v>0</v>
      </c>
      <c r="V41" s="22">
        <f t="array" ref="V41">IFERROR(INDEX('Temp Hisfa'!V$3:V$200, SMALL(IF(ISERROR('Temp Hisfa'!V$3:V$200), "", ROW('Temp Hisfa'!V$3:V$200)-MIN(ROW('Temp Hisfa'!V$3:V$200))+1), ROW(39:238))),"")</f>
        <v>0</v>
      </c>
      <c r="W41" s="22">
        <f t="array" ref="W41">IFERROR(INDEX('Temp Hisfa'!W$3:W$200, SMALL(IF(ISERROR('Temp Hisfa'!W$3:W$200), "", ROW('Temp Hisfa'!W$3:W$200)-MIN(ROW('Temp Hisfa'!W$3:W$200))+1), ROW(39:238))),"")</f>
        <v>0</v>
      </c>
      <c r="X41" s="22">
        <f t="array" ref="X41">IFERROR(INDEX('Temp Hisfa'!X$3:X$200, SMALL(IF(ISERROR('Temp Hisfa'!X$3:X$200), "", ROW('Temp Hisfa'!X$3:X$200)-MIN(ROW('Temp Hisfa'!X$3:X$200))+1), ROW(39:238))),"")</f>
        <v>0</v>
      </c>
      <c r="Y41" s="22">
        <f t="array" ref="Y41">IFERROR(INDEX('Temp Hisfa'!Y$3:Y$200, SMALL(IF(ISERROR('Temp Hisfa'!Y$3:Y$200), "", ROW('Temp Hisfa'!Y$3:Y$200)-MIN(ROW('Temp Hisfa'!Y$3:Y$200))+1), ROW(39:238))),"")</f>
        <v>0</v>
      </c>
      <c r="Z41" s="22">
        <f t="array" ref="Z41">IFERROR(INDEX('Temp Hisfa'!Z$3:Z$200, SMALL(IF(ISERROR('Temp Hisfa'!Z$3:Z$200), "", ROW('Temp Hisfa'!Z$3:Z$200)-MIN(ROW('Temp Hisfa'!Z$3:Z$200))+1), ROW(39:238))),"")</f>
        <v>0</v>
      </c>
      <c r="AA41" s="22">
        <f t="array" ref="AA41">IFERROR(INDEX('Temp Hisfa'!AA$3:AA$200, SMALL(IF(ISERROR('Temp Hisfa'!AA$3:AA$200), "", ROW('Temp Hisfa'!AA$3:AA$200)-MIN(ROW('Temp Hisfa'!AA$3:AA$200))+1), ROW(39:238))),"")</f>
        <v>0</v>
      </c>
      <c r="AB41" s="22">
        <f t="array" ref="AB41">IFERROR(INDEX('Temp Hisfa'!AB$3:AB$200, SMALL(IF(ISERROR('Temp Hisfa'!AB$3:AB$200), "", ROW('Temp Hisfa'!AB$3:AB$200)-MIN(ROW('Temp Hisfa'!AB$3:AB$200))+1), ROW(39:238))),"")</f>
        <v>0</v>
      </c>
      <c r="AD41" s="3"/>
      <c r="AE41" s="3"/>
    </row>
    <row r="42" spans="1:31" x14ac:dyDescent="0.3">
      <c r="A42" s="22">
        <f t="array" ref="A42">IFERROR(INDEX('Temp Hisfa'!A$3:A$200, SMALL(IF(ISERROR('Temp Hisfa'!A$3:A$200), "", ROW('Temp Hisfa'!A$3:A$200)-MIN(ROW('Temp Hisfa'!A$3:A$200))+1), ROW(40:238))),"")</f>
        <v>0</v>
      </c>
      <c r="B42" s="4">
        <f t="array" ref="B42">IFERROR(INDEX('Temp Hisfa'!B$3:B$200, SMALL(IF(ISERROR('Temp Hisfa'!B$3:B$200), "", ROW('Temp Hisfa'!B$3:B$200)-MIN(ROW('Temp Hisfa'!B$3:B$200))+1), ROW(40:238))),"")</f>
        <v>0</v>
      </c>
      <c r="C42" s="3">
        <f t="array" ref="C42">IFERROR(INDEX('Temp Hisfa'!C$3:C$200, SMALL(IF(ISERROR('Temp Hisfa'!C$3:C$200), "", ROW('Temp Hisfa'!C$3:C$200)-MIN(ROW('Temp Hisfa'!C$3:C$200))+1), ROW(40:238))),"")</f>
        <v>0</v>
      </c>
      <c r="D42" s="3">
        <f t="array" ref="D42">IFERROR(INDEX('Temp Hisfa'!D$3:D$200, SMALL(IF(ISERROR('Temp Hisfa'!D$3:D$200), "", ROW('Temp Hisfa'!D$3:D$200)-MIN(ROW('Temp Hisfa'!D$3:D$200))+1), ROW(40:238))),"")</f>
        <v>0</v>
      </c>
      <c r="E42" s="29">
        <f t="array" ref="E42">IFERROR(INDEX('Temp Hisfa'!E$3:E$200, SMALL(IF(ISERROR('Temp Hisfa'!E$3:E$200), "", ROW('Temp Hisfa'!E$3:E$200)-MIN(ROW('Temp Hisfa'!E$3:E$200))+1), ROW(40:239))),"")</f>
        <v>0</v>
      </c>
      <c r="F42" s="22">
        <f t="array" ref="F42">IFERROR(INDEX('Temp Hisfa'!F$3:F$200, SMALL(IF(ISERROR('Temp Hisfa'!F$3:F$200), "", ROW('Temp Hisfa'!F$3:F$200)-MIN(ROW('Temp Hisfa'!F$3:F$200))+1), ROW(40:239))),"")</f>
        <v>0</v>
      </c>
      <c r="G42" s="30">
        <f t="array" ref="G42">IFERROR(INDEX('Temp Hisfa'!G$3:G$200, SMALL(IF(ISERROR('Temp Hisfa'!G$3:G$200), "", ROW('Temp Hisfa'!G$3:G$200)-MIN(ROW('Temp Hisfa'!G$3:G$200))+1), ROW(40:239))),"")</f>
        <v>0</v>
      </c>
      <c r="H42" s="22">
        <f t="array" ref="H42">IFERROR(INDEX('Temp Hisfa'!H$3:H$200, SMALL(IF(ISERROR('Temp Hisfa'!H$3:H$200), "", ROW('Temp Hisfa'!H$3:H$200)-MIN(ROW('Temp Hisfa'!H$3:H$200))+1), ROW(40:239))),"")</f>
        <v>0</v>
      </c>
      <c r="I42" s="22">
        <f t="array" ref="I42">IFERROR(INDEX('Temp Hisfa'!I$3:I$200, SMALL(IF(ISERROR('Temp Hisfa'!I$3:I$200), "", ROW('Temp Hisfa'!I$3:I$200)-MIN(ROW('Temp Hisfa'!I$3:I$200))+1), ROW(40:239))),"")</f>
        <v>0</v>
      </c>
      <c r="J42" s="22">
        <f t="array" ref="J42">IFERROR(INDEX('Temp Hisfa'!J$3:J$200, SMALL(IF(ISERROR('Temp Hisfa'!J$3:J$200), "", ROW('Temp Hisfa'!J$3:J$200)-MIN(ROW('Temp Hisfa'!J$3:J$200))+1), ROW(40:239))),"")</f>
        <v>0</v>
      </c>
      <c r="K42" s="30">
        <f t="array" ref="K42">IFERROR(INDEX('Temp Hisfa'!K$3:K$200, SMALL(IF(ISERROR('Temp Hisfa'!K$3:K$200), "", ROW('Temp Hisfa'!K$3:K$200)-MIN(ROW('Temp Hisfa'!K$3:K$200))+1), ROW(40:239))),"")</f>
        <v>0</v>
      </c>
      <c r="L42" s="22">
        <f t="array" ref="L42">IFERROR(INDEX('Temp Hisfa'!L$3:L$200, SMALL(IF(ISERROR('Temp Hisfa'!L$3:L$200), "", ROW('Temp Hisfa'!L$3:L$200)-MIN(ROW('Temp Hisfa'!L$3:L$200))+1), ROW(40:239))),"")</f>
        <v>0</v>
      </c>
      <c r="M42" s="22">
        <f t="array" ref="M42">IFERROR(INDEX('Temp Hisfa'!M$3:M$200, SMALL(IF(ISERROR('Temp Hisfa'!M$3:M$200), "", ROW('Temp Hisfa'!M$3:M$200)-MIN(ROW('Temp Hisfa'!M$3:M$200))+1), ROW(40:239))),"")</f>
        <v>0</v>
      </c>
      <c r="N42" s="22">
        <f t="array" ref="N42">IFERROR(INDEX('Temp Hisfa'!N$3:N$200, SMALL(IF(ISERROR('Temp Hisfa'!N$3:N$200), "", ROW('Temp Hisfa'!N$3:N$200)-MIN(ROW('Temp Hisfa'!N$3:N$200))+1), ROW(40:239))),"")</f>
        <v>1900</v>
      </c>
      <c r="O42" s="22" t="str">
        <f t="array" ref="O42">IFERROR(INDEX('Temp Hisfa'!O$3:O$200, SMALL(IF(ISERROR('Temp Hisfa'!O$3:O$200), "", ROW('Temp Hisfa'!O$3:O$200)-MIN(ROW('Temp Hisfa'!O$3:O$200))+1), ROW(40:239))),"")</f>
        <v>enero</v>
      </c>
      <c r="P42" s="22">
        <f t="array" ref="P42">IFERROR(INDEX('Temp Hisfa'!P$3:P$200, SMALL(IF(ISERROR('Temp Hisfa'!P$3:P$200), "", ROW('Temp Hisfa'!P$3:P$200)-MIN(ROW('Temp Hisfa'!P$3:P$200))+1), ROW(40:239))),"")</f>
        <v>0</v>
      </c>
      <c r="Q42" s="22">
        <f t="array" ref="Q42">IFERROR(INDEX('Temp Hisfa'!Q$3:Q$200, SMALL(IF(ISERROR('Temp Hisfa'!Q$3:Q$200), "", ROW('Temp Hisfa'!Q$3:Q$200)-MIN(ROW('Temp Hisfa'!Q$3:Q$200))+1), ROW(40:239))),"")</f>
        <v>0</v>
      </c>
      <c r="R42" s="22">
        <f t="array" ref="R42">IFERROR(INDEX('Temp Hisfa'!R$3:R$200, SMALL(IF(ISERROR('Temp Hisfa'!R$3:R$200), "", ROW('Temp Hisfa'!R$3:R$200)-MIN(ROW('Temp Hisfa'!R$3:R$200))+1), ROW(40:239))),"")</f>
        <v>0</v>
      </c>
      <c r="S42" s="22">
        <f t="array" ref="S42">IFERROR(INDEX('Temp Hisfa'!S$3:S$200, SMALL(IF(ISERROR('Temp Hisfa'!S$3:S$200), "", ROW('Temp Hisfa'!S$3:S$200)-MIN(ROW('Temp Hisfa'!S$3:S$200))+1), ROW(40:239))),"")</f>
        <v>0</v>
      </c>
      <c r="T42" s="22">
        <f t="array" ref="T42">IFERROR(INDEX('Temp Hisfa'!T$3:T$200, SMALL(IF(ISERROR('Temp Hisfa'!T$3:T$200), "", ROW('Temp Hisfa'!T$3:T$200)-MIN(ROW('Temp Hisfa'!T$3:T$200))+1), ROW(40:239))),"")</f>
        <v>0</v>
      </c>
      <c r="U42" s="22">
        <f t="array" ref="U42">IFERROR(INDEX('Temp Hisfa'!U$3:U$200, SMALL(IF(ISERROR('Temp Hisfa'!U$3:U$200), "", ROW('Temp Hisfa'!U$3:U$200)-MIN(ROW('Temp Hisfa'!U$3:U$200))+1), ROW(40:239))),"")</f>
        <v>0</v>
      </c>
      <c r="V42" s="22">
        <f t="array" ref="V42">IFERROR(INDEX('Temp Hisfa'!V$3:V$200, SMALL(IF(ISERROR('Temp Hisfa'!V$3:V$200), "", ROW('Temp Hisfa'!V$3:V$200)-MIN(ROW('Temp Hisfa'!V$3:V$200))+1), ROW(40:239))),"")</f>
        <v>0</v>
      </c>
      <c r="W42" s="22">
        <f t="array" ref="W42">IFERROR(INDEX('Temp Hisfa'!W$3:W$200, SMALL(IF(ISERROR('Temp Hisfa'!W$3:W$200), "", ROW('Temp Hisfa'!W$3:W$200)-MIN(ROW('Temp Hisfa'!W$3:W$200))+1), ROW(40:239))),"")</f>
        <v>0</v>
      </c>
      <c r="X42" s="22">
        <f t="array" ref="X42">IFERROR(INDEX('Temp Hisfa'!X$3:X$200, SMALL(IF(ISERROR('Temp Hisfa'!X$3:X$200), "", ROW('Temp Hisfa'!X$3:X$200)-MIN(ROW('Temp Hisfa'!X$3:X$200))+1), ROW(40:239))),"")</f>
        <v>0</v>
      </c>
      <c r="Y42" s="22">
        <f t="array" ref="Y42">IFERROR(INDEX('Temp Hisfa'!Y$3:Y$200, SMALL(IF(ISERROR('Temp Hisfa'!Y$3:Y$200), "", ROW('Temp Hisfa'!Y$3:Y$200)-MIN(ROW('Temp Hisfa'!Y$3:Y$200))+1), ROW(40:239))),"")</f>
        <v>0</v>
      </c>
      <c r="Z42" s="22">
        <f t="array" ref="Z42">IFERROR(INDEX('Temp Hisfa'!Z$3:Z$200, SMALL(IF(ISERROR('Temp Hisfa'!Z$3:Z$200), "", ROW('Temp Hisfa'!Z$3:Z$200)-MIN(ROW('Temp Hisfa'!Z$3:Z$200))+1), ROW(40:239))),"")</f>
        <v>0</v>
      </c>
      <c r="AA42" s="22">
        <f t="array" ref="AA42">IFERROR(INDEX('Temp Hisfa'!AA$3:AA$200, SMALL(IF(ISERROR('Temp Hisfa'!AA$3:AA$200), "", ROW('Temp Hisfa'!AA$3:AA$200)-MIN(ROW('Temp Hisfa'!AA$3:AA$200))+1), ROW(40:239))),"")</f>
        <v>0</v>
      </c>
      <c r="AB42" s="22">
        <f t="array" ref="AB42">IFERROR(INDEX('Temp Hisfa'!AB$3:AB$200, SMALL(IF(ISERROR('Temp Hisfa'!AB$3:AB$200), "", ROW('Temp Hisfa'!AB$3:AB$200)-MIN(ROW('Temp Hisfa'!AB$3:AB$200))+1), ROW(40:239))),"")</f>
        <v>0</v>
      </c>
      <c r="AD42" s="56" t="s">
        <v>26</v>
      </c>
      <c r="AE42" s="56">
        <f>AE41-AD41</f>
        <v>0</v>
      </c>
    </row>
    <row r="43" spans="1:31" x14ac:dyDescent="0.3">
      <c r="A43" s="22">
        <f t="array" ref="A43">IFERROR(INDEX('Temp Hisfa'!A$3:A$200, SMALL(IF(ISERROR('Temp Hisfa'!A$3:A$200), "", ROW('Temp Hisfa'!A$3:A$200)-MIN(ROW('Temp Hisfa'!A$3:A$200))+1), ROW(41:239))),"")</f>
        <v>0</v>
      </c>
      <c r="B43" s="4">
        <f t="array" ref="B43">IFERROR(INDEX('Temp Hisfa'!B$3:B$200, SMALL(IF(ISERROR('Temp Hisfa'!B$3:B$200), "", ROW('Temp Hisfa'!B$3:B$200)-MIN(ROW('Temp Hisfa'!B$3:B$200))+1), ROW(41:239))),"")</f>
        <v>0</v>
      </c>
      <c r="C43" s="3">
        <f t="array" ref="C43">IFERROR(INDEX('Temp Hisfa'!C$3:C$200, SMALL(IF(ISERROR('Temp Hisfa'!C$3:C$200), "", ROW('Temp Hisfa'!C$3:C$200)-MIN(ROW('Temp Hisfa'!C$3:C$200))+1), ROW(41:239))),"")</f>
        <v>0</v>
      </c>
      <c r="D43" s="3">
        <f t="array" ref="D43">IFERROR(INDEX('Temp Hisfa'!D$3:D$200, SMALL(IF(ISERROR('Temp Hisfa'!D$3:D$200), "", ROW('Temp Hisfa'!D$3:D$200)-MIN(ROW('Temp Hisfa'!D$3:D$200))+1), ROW(41:239))),"")</f>
        <v>0</v>
      </c>
      <c r="E43" s="29">
        <f t="array" ref="E43">IFERROR(INDEX('Temp Hisfa'!E$3:E$200, SMALL(IF(ISERROR('Temp Hisfa'!E$3:E$200), "", ROW('Temp Hisfa'!E$3:E$200)-MIN(ROW('Temp Hisfa'!E$3:E$200))+1), ROW(41:240))),"")</f>
        <v>0</v>
      </c>
      <c r="F43" s="22">
        <f t="array" ref="F43">IFERROR(INDEX('Temp Hisfa'!F$3:F$200, SMALL(IF(ISERROR('Temp Hisfa'!F$3:F$200), "", ROW('Temp Hisfa'!F$3:F$200)-MIN(ROW('Temp Hisfa'!F$3:F$200))+1), ROW(41:240))),"")</f>
        <v>0</v>
      </c>
      <c r="G43" s="30">
        <f t="array" ref="G43">IFERROR(INDEX('Temp Hisfa'!G$3:G$200, SMALL(IF(ISERROR('Temp Hisfa'!G$3:G$200), "", ROW('Temp Hisfa'!G$3:G$200)-MIN(ROW('Temp Hisfa'!G$3:G$200))+1), ROW(41:240))),"")</f>
        <v>0</v>
      </c>
      <c r="H43" s="22">
        <f t="array" ref="H43">IFERROR(INDEX('Temp Hisfa'!H$3:H$200, SMALL(IF(ISERROR('Temp Hisfa'!H$3:H$200), "", ROW('Temp Hisfa'!H$3:H$200)-MIN(ROW('Temp Hisfa'!H$3:H$200))+1), ROW(41:240))),"")</f>
        <v>0</v>
      </c>
      <c r="I43" s="22">
        <f t="array" ref="I43">IFERROR(INDEX('Temp Hisfa'!I$3:I$200, SMALL(IF(ISERROR('Temp Hisfa'!I$3:I$200), "", ROW('Temp Hisfa'!I$3:I$200)-MIN(ROW('Temp Hisfa'!I$3:I$200))+1), ROW(41:240))),"")</f>
        <v>0</v>
      </c>
      <c r="J43" s="22">
        <f t="array" ref="J43">IFERROR(INDEX('Temp Hisfa'!J$3:J$200, SMALL(IF(ISERROR('Temp Hisfa'!J$3:J$200), "", ROW('Temp Hisfa'!J$3:J$200)-MIN(ROW('Temp Hisfa'!J$3:J$200))+1), ROW(41:240))),"")</f>
        <v>0</v>
      </c>
      <c r="K43" s="30">
        <f t="array" ref="K43">IFERROR(INDEX('Temp Hisfa'!K$3:K$200, SMALL(IF(ISERROR('Temp Hisfa'!K$3:K$200), "", ROW('Temp Hisfa'!K$3:K$200)-MIN(ROW('Temp Hisfa'!K$3:K$200))+1), ROW(41:240))),"")</f>
        <v>0</v>
      </c>
      <c r="L43" s="22">
        <f t="array" ref="L43">IFERROR(INDEX('Temp Hisfa'!L$3:L$200, SMALL(IF(ISERROR('Temp Hisfa'!L$3:L$200), "", ROW('Temp Hisfa'!L$3:L$200)-MIN(ROW('Temp Hisfa'!L$3:L$200))+1), ROW(41:240))),"")</f>
        <v>0</v>
      </c>
      <c r="M43" s="22">
        <f t="array" ref="M43">IFERROR(INDEX('Temp Hisfa'!M$3:M$200, SMALL(IF(ISERROR('Temp Hisfa'!M$3:M$200), "", ROW('Temp Hisfa'!M$3:M$200)-MIN(ROW('Temp Hisfa'!M$3:M$200))+1), ROW(41:240))),"")</f>
        <v>0</v>
      </c>
      <c r="N43" s="22">
        <f t="array" ref="N43">IFERROR(INDEX('Temp Hisfa'!N$3:N$200, SMALL(IF(ISERROR('Temp Hisfa'!N$3:N$200), "", ROW('Temp Hisfa'!N$3:N$200)-MIN(ROW('Temp Hisfa'!N$3:N$200))+1), ROW(41:240))),"")</f>
        <v>1900</v>
      </c>
      <c r="O43" s="22" t="str">
        <f t="array" ref="O43">IFERROR(INDEX('Temp Hisfa'!O$3:O$200, SMALL(IF(ISERROR('Temp Hisfa'!O$3:O$200), "", ROW('Temp Hisfa'!O$3:O$200)-MIN(ROW('Temp Hisfa'!O$3:O$200))+1), ROW(41:240))),"")</f>
        <v>enero</v>
      </c>
      <c r="P43" s="22">
        <f t="array" ref="P43">IFERROR(INDEX('Temp Hisfa'!P$3:P$200, SMALL(IF(ISERROR('Temp Hisfa'!P$3:P$200), "", ROW('Temp Hisfa'!P$3:P$200)-MIN(ROW('Temp Hisfa'!P$3:P$200))+1), ROW(41:240))),"")</f>
        <v>0</v>
      </c>
      <c r="Q43" s="22">
        <f t="array" ref="Q43">IFERROR(INDEX('Temp Hisfa'!Q$3:Q$200, SMALL(IF(ISERROR('Temp Hisfa'!Q$3:Q$200), "", ROW('Temp Hisfa'!Q$3:Q$200)-MIN(ROW('Temp Hisfa'!Q$3:Q$200))+1), ROW(41:240))),"")</f>
        <v>0</v>
      </c>
      <c r="R43" s="22">
        <f t="array" ref="R43">IFERROR(INDEX('Temp Hisfa'!R$3:R$200, SMALL(IF(ISERROR('Temp Hisfa'!R$3:R$200), "", ROW('Temp Hisfa'!R$3:R$200)-MIN(ROW('Temp Hisfa'!R$3:R$200))+1), ROW(41:240))),"")</f>
        <v>0</v>
      </c>
      <c r="S43" s="22">
        <f t="array" ref="S43">IFERROR(INDEX('Temp Hisfa'!S$3:S$200, SMALL(IF(ISERROR('Temp Hisfa'!S$3:S$200), "", ROW('Temp Hisfa'!S$3:S$200)-MIN(ROW('Temp Hisfa'!S$3:S$200))+1), ROW(41:240))),"")</f>
        <v>0</v>
      </c>
      <c r="T43" s="22">
        <f t="array" ref="T43">IFERROR(INDEX('Temp Hisfa'!T$3:T$200, SMALL(IF(ISERROR('Temp Hisfa'!T$3:T$200), "", ROW('Temp Hisfa'!T$3:T$200)-MIN(ROW('Temp Hisfa'!T$3:T$200))+1), ROW(41:240))),"")</f>
        <v>0</v>
      </c>
      <c r="U43" s="22">
        <f t="array" ref="U43">IFERROR(INDEX('Temp Hisfa'!U$3:U$200, SMALL(IF(ISERROR('Temp Hisfa'!U$3:U$200), "", ROW('Temp Hisfa'!U$3:U$200)-MIN(ROW('Temp Hisfa'!U$3:U$200))+1), ROW(41:240))),"")</f>
        <v>0</v>
      </c>
      <c r="V43" s="22">
        <f t="array" ref="V43">IFERROR(INDEX('Temp Hisfa'!V$3:V$200, SMALL(IF(ISERROR('Temp Hisfa'!V$3:V$200), "", ROW('Temp Hisfa'!V$3:V$200)-MIN(ROW('Temp Hisfa'!V$3:V$200))+1), ROW(41:240))),"")</f>
        <v>0</v>
      </c>
      <c r="W43" s="22">
        <f t="array" ref="W43">IFERROR(INDEX('Temp Hisfa'!W$3:W$200, SMALL(IF(ISERROR('Temp Hisfa'!W$3:W$200), "", ROW('Temp Hisfa'!W$3:W$200)-MIN(ROW('Temp Hisfa'!W$3:W$200))+1), ROW(41:240))),"")</f>
        <v>0</v>
      </c>
      <c r="X43" s="22">
        <f t="array" ref="X43">IFERROR(INDEX('Temp Hisfa'!X$3:X$200, SMALL(IF(ISERROR('Temp Hisfa'!X$3:X$200), "", ROW('Temp Hisfa'!X$3:X$200)-MIN(ROW('Temp Hisfa'!X$3:X$200))+1), ROW(41:240))),"")</f>
        <v>0</v>
      </c>
      <c r="Y43" s="22">
        <f t="array" ref="Y43">IFERROR(INDEX('Temp Hisfa'!Y$3:Y$200, SMALL(IF(ISERROR('Temp Hisfa'!Y$3:Y$200), "", ROW('Temp Hisfa'!Y$3:Y$200)-MIN(ROW('Temp Hisfa'!Y$3:Y$200))+1), ROW(41:240))),"")</f>
        <v>0</v>
      </c>
      <c r="Z43" s="22">
        <f t="array" ref="Z43">IFERROR(INDEX('Temp Hisfa'!Z$3:Z$200, SMALL(IF(ISERROR('Temp Hisfa'!Z$3:Z$200), "", ROW('Temp Hisfa'!Z$3:Z$200)-MIN(ROW('Temp Hisfa'!Z$3:Z$200))+1), ROW(41:240))),"")</f>
        <v>0</v>
      </c>
      <c r="AA43" s="22">
        <f t="array" ref="AA43">IFERROR(INDEX('Temp Hisfa'!AA$3:AA$200, SMALL(IF(ISERROR('Temp Hisfa'!AA$3:AA$200), "", ROW('Temp Hisfa'!AA$3:AA$200)-MIN(ROW('Temp Hisfa'!AA$3:AA$200))+1), ROW(41:240))),"")</f>
        <v>0</v>
      </c>
      <c r="AB43" s="22">
        <f t="array" ref="AB43">IFERROR(INDEX('Temp Hisfa'!AB$3:AB$200, SMALL(IF(ISERROR('Temp Hisfa'!AB$3:AB$200), "", ROW('Temp Hisfa'!AB$3:AB$200)-MIN(ROW('Temp Hisfa'!AB$3:AB$200))+1), ROW(41:240))),"")</f>
        <v>0</v>
      </c>
      <c r="AD43" s="121" t="s">
        <v>80</v>
      </c>
      <c r="AE43" s="122"/>
    </row>
    <row r="44" spans="1:31" x14ac:dyDescent="0.3">
      <c r="A44" s="22">
        <f t="array" ref="A44">IFERROR(INDEX('Temp Hisfa'!A$3:A$200, SMALL(IF(ISERROR('Temp Hisfa'!A$3:A$200), "", ROW('Temp Hisfa'!A$3:A$200)-MIN(ROW('Temp Hisfa'!A$3:A$200))+1), ROW(42:240))),"")</f>
        <v>0</v>
      </c>
      <c r="B44" s="4">
        <f t="array" ref="B44">IFERROR(INDEX('Temp Hisfa'!B$3:B$200, SMALL(IF(ISERROR('Temp Hisfa'!B$3:B$200), "", ROW('Temp Hisfa'!B$3:B$200)-MIN(ROW('Temp Hisfa'!B$3:B$200))+1), ROW(42:240))),"")</f>
        <v>0</v>
      </c>
      <c r="C44" s="3">
        <f t="array" ref="C44">IFERROR(INDEX('Temp Hisfa'!C$3:C$200, SMALL(IF(ISERROR('Temp Hisfa'!C$3:C$200), "", ROW('Temp Hisfa'!C$3:C$200)-MIN(ROW('Temp Hisfa'!C$3:C$200))+1), ROW(42:240))),"")</f>
        <v>0</v>
      </c>
      <c r="D44" s="3">
        <f t="array" ref="D44">IFERROR(INDEX('Temp Hisfa'!D$3:D$200, SMALL(IF(ISERROR('Temp Hisfa'!D$3:D$200), "", ROW('Temp Hisfa'!D$3:D$200)-MIN(ROW('Temp Hisfa'!D$3:D$200))+1), ROW(42:240))),"")</f>
        <v>0</v>
      </c>
      <c r="E44" s="29">
        <f t="array" ref="E44">IFERROR(INDEX('Temp Hisfa'!E$3:E$200, SMALL(IF(ISERROR('Temp Hisfa'!E$3:E$200), "", ROW('Temp Hisfa'!E$3:E$200)-MIN(ROW('Temp Hisfa'!E$3:E$200))+1), ROW(42:241))),"")</f>
        <v>0</v>
      </c>
      <c r="F44" s="22">
        <f t="array" ref="F44">IFERROR(INDEX('Temp Hisfa'!F$3:F$200, SMALL(IF(ISERROR('Temp Hisfa'!F$3:F$200), "", ROW('Temp Hisfa'!F$3:F$200)-MIN(ROW('Temp Hisfa'!F$3:F$200))+1), ROW(42:241))),"")</f>
        <v>0</v>
      </c>
      <c r="G44" s="30">
        <f t="array" ref="G44">IFERROR(INDEX('Temp Hisfa'!G$3:G$200, SMALL(IF(ISERROR('Temp Hisfa'!G$3:G$200), "", ROW('Temp Hisfa'!G$3:G$200)-MIN(ROW('Temp Hisfa'!G$3:G$200))+1), ROW(42:241))),"")</f>
        <v>0</v>
      </c>
      <c r="H44" s="22">
        <f t="array" ref="H44">IFERROR(INDEX('Temp Hisfa'!H$3:H$200, SMALL(IF(ISERROR('Temp Hisfa'!H$3:H$200), "", ROW('Temp Hisfa'!H$3:H$200)-MIN(ROW('Temp Hisfa'!H$3:H$200))+1), ROW(42:241))),"")</f>
        <v>0</v>
      </c>
      <c r="I44" s="22">
        <f t="array" ref="I44">IFERROR(INDEX('Temp Hisfa'!I$3:I$200, SMALL(IF(ISERROR('Temp Hisfa'!I$3:I$200), "", ROW('Temp Hisfa'!I$3:I$200)-MIN(ROW('Temp Hisfa'!I$3:I$200))+1), ROW(42:241))),"")</f>
        <v>0</v>
      </c>
      <c r="J44" s="22">
        <f t="array" ref="J44">IFERROR(INDEX('Temp Hisfa'!J$3:J$200, SMALL(IF(ISERROR('Temp Hisfa'!J$3:J$200), "", ROW('Temp Hisfa'!J$3:J$200)-MIN(ROW('Temp Hisfa'!J$3:J$200))+1), ROW(42:241))),"")</f>
        <v>0</v>
      </c>
      <c r="K44" s="30">
        <f t="array" ref="K44">IFERROR(INDEX('Temp Hisfa'!K$3:K$200, SMALL(IF(ISERROR('Temp Hisfa'!K$3:K$200), "", ROW('Temp Hisfa'!K$3:K$200)-MIN(ROW('Temp Hisfa'!K$3:K$200))+1), ROW(42:241))),"")</f>
        <v>0</v>
      </c>
      <c r="L44" s="22">
        <f t="array" ref="L44">IFERROR(INDEX('Temp Hisfa'!L$3:L$200, SMALL(IF(ISERROR('Temp Hisfa'!L$3:L$200), "", ROW('Temp Hisfa'!L$3:L$200)-MIN(ROW('Temp Hisfa'!L$3:L$200))+1), ROW(42:241))),"")</f>
        <v>0</v>
      </c>
      <c r="M44" s="22">
        <f t="array" ref="M44">IFERROR(INDEX('Temp Hisfa'!M$3:M$200, SMALL(IF(ISERROR('Temp Hisfa'!M$3:M$200), "", ROW('Temp Hisfa'!M$3:M$200)-MIN(ROW('Temp Hisfa'!M$3:M$200))+1), ROW(42:241))),"")</f>
        <v>0</v>
      </c>
      <c r="N44" s="22">
        <f t="array" ref="N44">IFERROR(INDEX('Temp Hisfa'!N$3:N$200, SMALL(IF(ISERROR('Temp Hisfa'!N$3:N$200), "", ROW('Temp Hisfa'!N$3:N$200)-MIN(ROW('Temp Hisfa'!N$3:N$200))+1), ROW(42:241))),"")</f>
        <v>1900</v>
      </c>
      <c r="O44" s="22" t="str">
        <f t="array" ref="O44">IFERROR(INDEX('Temp Hisfa'!O$3:O$200, SMALL(IF(ISERROR('Temp Hisfa'!O$3:O$200), "", ROW('Temp Hisfa'!O$3:O$200)-MIN(ROW('Temp Hisfa'!O$3:O$200))+1), ROW(42:241))),"")</f>
        <v>enero</v>
      </c>
      <c r="P44" s="22">
        <f t="array" ref="P44">IFERROR(INDEX('Temp Hisfa'!P$3:P$200, SMALL(IF(ISERROR('Temp Hisfa'!P$3:P$200), "", ROW('Temp Hisfa'!P$3:P$200)-MIN(ROW('Temp Hisfa'!P$3:P$200))+1), ROW(42:241))),"")</f>
        <v>0</v>
      </c>
      <c r="Q44" s="22">
        <f t="array" ref="Q44">IFERROR(INDEX('Temp Hisfa'!Q$3:Q$200, SMALL(IF(ISERROR('Temp Hisfa'!Q$3:Q$200), "", ROW('Temp Hisfa'!Q$3:Q$200)-MIN(ROW('Temp Hisfa'!Q$3:Q$200))+1), ROW(42:241))),"")</f>
        <v>0</v>
      </c>
      <c r="R44" s="22">
        <f t="array" ref="R44">IFERROR(INDEX('Temp Hisfa'!R$3:R$200, SMALL(IF(ISERROR('Temp Hisfa'!R$3:R$200), "", ROW('Temp Hisfa'!R$3:R$200)-MIN(ROW('Temp Hisfa'!R$3:R$200))+1), ROW(42:241))),"")</f>
        <v>0</v>
      </c>
      <c r="S44" s="22">
        <f t="array" ref="S44">IFERROR(INDEX('Temp Hisfa'!S$3:S$200, SMALL(IF(ISERROR('Temp Hisfa'!S$3:S$200), "", ROW('Temp Hisfa'!S$3:S$200)-MIN(ROW('Temp Hisfa'!S$3:S$200))+1), ROW(42:241))),"")</f>
        <v>0</v>
      </c>
      <c r="T44" s="22">
        <f t="array" ref="T44">IFERROR(INDEX('Temp Hisfa'!T$3:T$200, SMALL(IF(ISERROR('Temp Hisfa'!T$3:T$200), "", ROW('Temp Hisfa'!T$3:T$200)-MIN(ROW('Temp Hisfa'!T$3:T$200))+1), ROW(42:241))),"")</f>
        <v>0</v>
      </c>
      <c r="U44" s="22">
        <f t="array" ref="U44">IFERROR(INDEX('Temp Hisfa'!U$3:U$200, SMALL(IF(ISERROR('Temp Hisfa'!U$3:U$200), "", ROW('Temp Hisfa'!U$3:U$200)-MIN(ROW('Temp Hisfa'!U$3:U$200))+1), ROW(42:241))),"")</f>
        <v>0</v>
      </c>
      <c r="V44" s="22">
        <f t="array" ref="V44">IFERROR(INDEX('Temp Hisfa'!V$3:V$200, SMALL(IF(ISERROR('Temp Hisfa'!V$3:V$200), "", ROW('Temp Hisfa'!V$3:V$200)-MIN(ROW('Temp Hisfa'!V$3:V$200))+1), ROW(42:241))),"")</f>
        <v>0</v>
      </c>
      <c r="W44" s="22">
        <f t="array" ref="W44">IFERROR(INDEX('Temp Hisfa'!W$3:W$200, SMALL(IF(ISERROR('Temp Hisfa'!W$3:W$200), "", ROW('Temp Hisfa'!W$3:W$200)-MIN(ROW('Temp Hisfa'!W$3:W$200))+1), ROW(42:241))),"")</f>
        <v>0</v>
      </c>
      <c r="X44" s="22">
        <f t="array" ref="X44">IFERROR(INDEX('Temp Hisfa'!X$3:X$200, SMALL(IF(ISERROR('Temp Hisfa'!X$3:X$200), "", ROW('Temp Hisfa'!X$3:X$200)-MIN(ROW('Temp Hisfa'!X$3:X$200))+1), ROW(42:241))),"")</f>
        <v>0</v>
      </c>
      <c r="Y44" s="22">
        <f t="array" ref="Y44">IFERROR(INDEX('Temp Hisfa'!Y$3:Y$200, SMALL(IF(ISERROR('Temp Hisfa'!Y$3:Y$200), "", ROW('Temp Hisfa'!Y$3:Y$200)-MIN(ROW('Temp Hisfa'!Y$3:Y$200))+1), ROW(42:241))),"")</f>
        <v>0</v>
      </c>
      <c r="Z44" s="22">
        <f t="array" ref="Z44">IFERROR(INDEX('Temp Hisfa'!Z$3:Z$200, SMALL(IF(ISERROR('Temp Hisfa'!Z$3:Z$200), "", ROW('Temp Hisfa'!Z$3:Z$200)-MIN(ROW('Temp Hisfa'!Z$3:Z$200))+1), ROW(42:241))),"")</f>
        <v>0</v>
      </c>
      <c r="AA44" s="22">
        <f t="array" ref="AA44">IFERROR(INDEX('Temp Hisfa'!AA$3:AA$200, SMALL(IF(ISERROR('Temp Hisfa'!AA$3:AA$200), "", ROW('Temp Hisfa'!AA$3:AA$200)-MIN(ROW('Temp Hisfa'!AA$3:AA$200))+1), ROW(42:241))),"")</f>
        <v>0</v>
      </c>
      <c r="AB44" s="22">
        <f t="array" ref="AB44">IFERROR(INDEX('Temp Hisfa'!AB$3:AB$200, SMALL(IF(ISERROR('Temp Hisfa'!AB$3:AB$200), "", ROW('Temp Hisfa'!AB$3:AB$200)-MIN(ROW('Temp Hisfa'!AB$3:AB$200))+1), ROW(42:241))),"")</f>
        <v>0</v>
      </c>
      <c r="AD44" s="56" t="s">
        <v>74</v>
      </c>
      <c r="AE44" s="84">
        <v>0</v>
      </c>
    </row>
    <row r="45" spans="1:31" x14ac:dyDescent="0.3">
      <c r="A45" s="22">
        <f t="array" ref="A45">IFERROR(INDEX('Temp Hisfa'!A$3:A$200, SMALL(IF(ISERROR('Temp Hisfa'!A$3:A$200), "", ROW('Temp Hisfa'!A$3:A$200)-MIN(ROW('Temp Hisfa'!A$3:A$200))+1), ROW(43:241))),"")</f>
        <v>0</v>
      </c>
      <c r="B45" s="4">
        <f t="array" ref="B45">IFERROR(INDEX('Temp Hisfa'!B$3:B$200, SMALL(IF(ISERROR('Temp Hisfa'!B$3:B$200), "", ROW('Temp Hisfa'!B$3:B$200)-MIN(ROW('Temp Hisfa'!B$3:B$200))+1), ROW(43:241))),"")</f>
        <v>0</v>
      </c>
      <c r="C45" s="3">
        <f t="array" ref="C45">IFERROR(INDEX('Temp Hisfa'!C$3:C$200, SMALL(IF(ISERROR('Temp Hisfa'!C$3:C$200), "", ROW('Temp Hisfa'!C$3:C$200)-MIN(ROW('Temp Hisfa'!C$3:C$200))+1), ROW(43:241))),"")</f>
        <v>0</v>
      </c>
      <c r="D45" s="3">
        <f t="array" ref="D45">IFERROR(INDEX('Temp Hisfa'!D$3:D$200, SMALL(IF(ISERROR('Temp Hisfa'!D$3:D$200), "", ROW('Temp Hisfa'!D$3:D$200)-MIN(ROW('Temp Hisfa'!D$3:D$200))+1), ROW(43:241))),"")</f>
        <v>0</v>
      </c>
      <c r="E45" s="29">
        <f t="array" ref="E45">IFERROR(INDEX('Temp Hisfa'!E$3:E$200, SMALL(IF(ISERROR('Temp Hisfa'!E$3:E$200), "", ROW('Temp Hisfa'!E$3:E$200)-MIN(ROW('Temp Hisfa'!E$3:E$200))+1), ROW(43:242))),"")</f>
        <v>0</v>
      </c>
      <c r="F45" s="22">
        <f t="array" ref="F45">IFERROR(INDEX('Temp Hisfa'!F$3:F$200, SMALL(IF(ISERROR('Temp Hisfa'!F$3:F$200), "", ROW('Temp Hisfa'!F$3:F$200)-MIN(ROW('Temp Hisfa'!F$3:F$200))+1), ROW(43:242))),"")</f>
        <v>0</v>
      </c>
      <c r="G45" s="30">
        <f t="array" ref="G45">IFERROR(INDEX('Temp Hisfa'!G$3:G$200, SMALL(IF(ISERROR('Temp Hisfa'!G$3:G$200), "", ROW('Temp Hisfa'!G$3:G$200)-MIN(ROW('Temp Hisfa'!G$3:G$200))+1), ROW(43:242))),"")</f>
        <v>0</v>
      </c>
      <c r="H45" s="22">
        <f t="array" ref="H45">IFERROR(INDEX('Temp Hisfa'!H$3:H$200, SMALL(IF(ISERROR('Temp Hisfa'!H$3:H$200), "", ROW('Temp Hisfa'!H$3:H$200)-MIN(ROW('Temp Hisfa'!H$3:H$200))+1), ROW(43:242))),"")</f>
        <v>0</v>
      </c>
      <c r="I45" s="22">
        <f t="array" ref="I45">IFERROR(INDEX('Temp Hisfa'!I$3:I$200, SMALL(IF(ISERROR('Temp Hisfa'!I$3:I$200), "", ROW('Temp Hisfa'!I$3:I$200)-MIN(ROW('Temp Hisfa'!I$3:I$200))+1), ROW(43:242))),"")</f>
        <v>0</v>
      </c>
      <c r="J45" s="22">
        <f t="array" ref="J45">IFERROR(INDEX('Temp Hisfa'!J$3:J$200, SMALL(IF(ISERROR('Temp Hisfa'!J$3:J$200), "", ROW('Temp Hisfa'!J$3:J$200)-MIN(ROW('Temp Hisfa'!J$3:J$200))+1), ROW(43:242))),"")</f>
        <v>0</v>
      </c>
      <c r="K45" s="30">
        <f t="array" ref="K45">IFERROR(INDEX('Temp Hisfa'!K$3:K$200, SMALL(IF(ISERROR('Temp Hisfa'!K$3:K$200), "", ROW('Temp Hisfa'!K$3:K$200)-MIN(ROW('Temp Hisfa'!K$3:K$200))+1), ROW(43:242))),"")</f>
        <v>0</v>
      </c>
      <c r="L45" s="22">
        <f t="array" ref="L45">IFERROR(INDEX('Temp Hisfa'!L$3:L$200, SMALL(IF(ISERROR('Temp Hisfa'!L$3:L$200), "", ROW('Temp Hisfa'!L$3:L$200)-MIN(ROW('Temp Hisfa'!L$3:L$200))+1), ROW(43:242))),"")</f>
        <v>0</v>
      </c>
      <c r="M45" s="22">
        <f t="array" ref="M45">IFERROR(INDEX('Temp Hisfa'!M$3:M$200, SMALL(IF(ISERROR('Temp Hisfa'!M$3:M$200), "", ROW('Temp Hisfa'!M$3:M$200)-MIN(ROW('Temp Hisfa'!M$3:M$200))+1), ROW(43:242))),"")</f>
        <v>0</v>
      </c>
      <c r="N45" s="22">
        <f t="array" ref="N45">IFERROR(INDEX('Temp Hisfa'!N$3:N$200, SMALL(IF(ISERROR('Temp Hisfa'!N$3:N$200), "", ROW('Temp Hisfa'!N$3:N$200)-MIN(ROW('Temp Hisfa'!N$3:N$200))+1), ROW(43:242))),"")</f>
        <v>1900</v>
      </c>
      <c r="O45" s="22" t="str">
        <f t="array" ref="O45">IFERROR(INDEX('Temp Hisfa'!O$3:O$200, SMALL(IF(ISERROR('Temp Hisfa'!O$3:O$200), "", ROW('Temp Hisfa'!O$3:O$200)-MIN(ROW('Temp Hisfa'!O$3:O$200))+1), ROW(43:242))),"")</f>
        <v>enero</v>
      </c>
      <c r="P45" s="22">
        <f t="array" ref="P45">IFERROR(INDEX('Temp Hisfa'!P$3:P$200, SMALL(IF(ISERROR('Temp Hisfa'!P$3:P$200), "", ROW('Temp Hisfa'!P$3:P$200)-MIN(ROW('Temp Hisfa'!P$3:P$200))+1), ROW(43:242))),"")</f>
        <v>0</v>
      </c>
      <c r="Q45" s="22">
        <f t="array" ref="Q45">IFERROR(INDEX('Temp Hisfa'!Q$3:Q$200, SMALL(IF(ISERROR('Temp Hisfa'!Q$3:Q$200), "", ROW('Temp Hisfa'!Q$3:Q$200)-MIN(ROW('Temp Hisfa'!Q$3:Q$200))+1), ROW(43:242))),"")</f>
        <v>0</v>
      </c>
      <c r="R45" s="22">
        <f t="array" ref="R45">IFERROR(INDEX('Temp Hisfa'!R$3:R$200, SMALL(IF(ISERROR('Temp Hisfa'!R$3:R$200), "", ROW('Temp Hisfa'!R$3:R$200)-MIN(ROW('Temp Hisfa'!R$3:R$200))+1), ROW(43:242))),"")</f>
        <v>0</v>
      </c>
      <c r="S45" s="22">
        <f t="array" ref="S45">IFERROR(INDEX('Temp Hisfa'!S$3:S$200, SMALL(IF(ISERROR('Temp Hisfa'!S$3:S$200), "", ROW('Temp Hisfa'!S$3:S$200)-MIN(ROW('Temp Hisfa'!S$3:S$200))+1), ROW(43:242))),"")</f>
        <v>0</v>
      </c>
      <c r="T45" s="22">
        <f t="array" ref="T45">IFERROR(INDEX('Temp Hisfa'!T$3:T$200, SMALL(IF(ISERROR('Temp Hisfa'!T$3:T$200), "", ROW('Temp Hisfa'!T$3:T$200)-MIN(ROW('Temp Hisfa'!T$3:T$200))+1), ROW(43:242))),"")</f>
        <v>0</v>
      </c>
      <c r="U45" s="22">
        <f t="array" ref="U45">IFERROR(INDEX('Temp Hisfa'!U$3:U$200, SMALL(IF(ISERROR('Temp Hisfa'!U$3:U$200), "", ROW('Temp Hisfa'!U$3:U$200)-MIN(ROW('Temp Hisfa'!U$3:U$200))+1), ROW(43:242))),"")</f>
        <v>0</v>
      </c>
      <c r="V45" s="22">
        <f t="array" ref="V45">IFERROR(INDEX('Temp Hisfa'!V$3:V$200, SMALL(IF(ISERROR('Temp Hisfa'!V$3:V$200), "", ROW('Temp Hisfa'!V$3:V$200)-MIN(ROW('Temp Hisfa'!V$3:V$200))+1), ROW(43:242))),"")</f>
        <v>0</v>
      </c>
      <c r="W45" s="22">
        <f t="array" ref="W45">IFERROR(INDEX('Temp Hisfa'!W$3:W$200, SMALL(IF(ISERROR('Temp Hisfa'!W$3:W$200), "", ROW('Temp Hisfa'!W$3:W$200)-MIN(ROW('Temp Hisfa'!W$3:W$200))+1), ROW(43:242))),"")</f>
        <v>0</v>
      </c>
      <c r="X45" s="22">
        <f t="array" ref="X45">IFERROR(INDEX('Temp Hisfa'!X$3:X$200, SMALL(IF(ISERROR('Temp Hisfa'!X$3:X$200), "", ROW('Temp Hisfa'!X$3:X$200)-MIN(ROW('Temp Hisfa'!X$3:X$200))+1), ROW(43:242))),"")</f>
        <v>0</v>
      </c>
      <c r="Y45" s="22">
        <f t="array" ref="Y45">IFERROR(INDEX('Temp Hisfa'!Y$3:Y$200, SMALL(IF(ISERROR('Temp Hisfa'!Y$3:Y$200), "", ROW('Temp Hisfa'!Y$3:Y$200)-MIN(ROW('Temp Hisfa'!Y$3:Y$200))+1), ROW(43:242))),"")</f>
        <v>0</v>
      </c>
      <c r="Z45" s="22">
        <f t="array" ref="Z45">IFERROR(INDEX('Temp Hisfa'!Z$3:Z$200, SMALL(IF(ISERROR('Temp Hisfa'!Z$3:Z$200), "", ROW('Temp Hisfa'!Z$3:Z$200)-MIN(ROW('Temp Hisfa'!Z$3:Z$200))+1), ROW(43:242))),"")</f>
        <v>0</v>
      </c>
      <c r="AA45" s="22">
        <f t="array" ref="AA45">IFERROR(INDEX('Temp Hisfa'!AA$3:AA$200, SMALL(IF(ISERROR('Temp Hisfa'!AA$3:AA$200), "", ROW('Temp Hisfa'!AA$3:AA$200)-MIN(ROW('Temp Hisfa'!AA$3:AA$200))+1), ROW(43:242))),"")</f>
        <v>0</v>
      </c>
      <c r="AB45" s="22">
        <f t="array" ref="AB45">IFERROR(INDEX('Temp Hisfa'!AB$3:AB$200, SMALL(IF(ISERROR('Temp Hisfa'!AB$3:AB$200), "", ROW('Temp Hisfa'!AB$3:AB$200)-MIN(ROW('Temp Hisfa'!AB$3:AB$200))+1), ROW(43:242))),"")</f>
        <v>0</v>
      </c>
      <c r="AD45" s="56" t="s">
        <v>75</v>
      </c>
      <c r="AE45" s="85">
        <f>IFERROR(AE44/AE42,0)</f>
        <v>0</v>
      </c>
    </row>
    <row r="46" spans="1:31" x14ac:dyDescent="0.3">
      <c r="A46" s="22">
        <f t="array" ref="A46">IFERROR(INDEX('Temp Hisfa'!A$3:A$200, SMALL(IF(ISERROR('Temp Hisfa'!A$3:A$200), "", ROW('Temp Hisfa'!A$3:A$200)-MIN(ROW('Temp Hisfa'!A$3:A$200))+1), ROW(44:242))),"")</f>
        <v>0</v>
      </c>
      <c r="B46" s="4">
        <f t="array" ref="B46">IFERROR(INDEX('Temp Hisfa'!B$3:B$200, SMALL(IF(ISERROR('Temp Hisfa'!B$3:B$200), "", ROW('Temp Hisfa'!B$3:B$200)-MIN(ROW('Temp Hisfa'!B$3:B$200))+1), ROW(44:242))),"")</f>
        <v>0</v>
      </c>
      <c r="C46" s="3">
        <f t="array" ref="C46">IFERROR(INDEX('Temp Hisfa'!C$3:C$200, SMALL(IF(ISERROR('Temp Hisfa'!C$3:C$200), "", ROW('Temp Hisfa'!C$3:C$200)-MIN(ROW('Temp Hisfa'!C$3:C$200))+1), ROW(44:242))),"")</f>
        <v>0</v>
      </c>
      <c r="D46" s="3">
        <f t="array" ref="D46">IFERROR(INDEX('Temp Hisfa'!D$3:D$200, SMALL(IF(ISERROR('Temp Hisfa'!D$3:D$200), "", ROW('Temp Hisfa'!D$3:D$200)-MIN(ROW('Temp Hisfa'!D$3:D$200))+1), ROW(44:242))),"")</f>
        <v>0</v>
      </c>
      <c r="E46" s="29">
        <f t="array" ref="E46">IFERROR(INDEX('Temp Hisfa'!E$3:E$200, SMALL(IF(ISERROR('Temp Hisfa'!E$3:E$200), "", ROW('Temp Hisfa'!E$3:E$200)-MIN(ROW('Temp Hisfa'!E$3:E$200))+1), ROW(44:243))),"")</f>
        <v>0</v>
      </c>
      <c r="F46" s="22">
        <f t="array" ref="F46">IFERROR(INDEX('Temp Hisfa'!F$3:F$200, SMALL(IF(ISERROR('Temp Hisfa'!F$3:F$200), "", ROW('Temp Hisfa'!F$3:F$200)-MIN(ROW('Temp Hisfa'!F$3:F$200))+1), ROW(44:243))),"")</f>
        <v>0</v>
      </c>
      <c r="G46" s="30">
        <f t="array" ref="G46">IFERROR(INDEX('Temp Hisfa'!G$3:G$200, SMALL(IF(ISERROR('Temp Hisfa'!G$3:G$200), "", ROW('Temp Hisfa'!G$3:G$200)-MIN(ROW('Temp Hisfa'!G$3:G$200))+1), ROW(44:243))),"")</f>
        <v>0</v>
      </c>
      <c r="H46" s="22">
        <f t="array" ref="H46">IFERROR(INDEX('Temp Hisfa'!H$3:H$200, SMALL(IF(ISERROR('Temp Hisfa'!H$3:H$200), "", ROW('Temp Hisfa'!H$3:H$200)-MIN(ROW('Temp Hisfa'!H$3:H$200))+1), ROW(44:243))),"")</f>
        <v>0</v>
      </c>
      <c r="I46" s="22">
        <f t="array" ref="I46">IFERROR(INDEX('Temp Hisfa'!I$3:I$200, SMALL(IF(ISERROR('Temp Hisfa'!I$3:I$200), "", ROW('Temp Hisfa'!I$3:I$200)-MIN(ROW('Temp Hisfa'!I$3:I$200))+1), ROW(44:243))),"")</f>
        <v>0</v>
      </c>
      <c r="J46" s="22">
        <f t="array" ref="J46">IFERROR(INDEX('Temp Hisfa'!J$3:J$200, SMALL(IF(ISERROR('Temp Hisfa'!J$3:J$200), "", ROW('Temp Hisfa'!J$3:J$200)-MIN(ROW('Temp Hisfa'!J$3:J$200))+1), ROW(44:243))),"")</f>
        <v>0</v>
      </c>
      <c r="K46" s="30">
        <f t="array" ref="K46">IFERROR(INDEX('Temp Hisfa'!K$3:K$200, SMALL(IF(ISERROR('Temp Hisfa'!K$3:K$200), "", ROW('Temp Hisfa'!K$3:K$200)-MIN(ROW('Temp Hisfa'!K$3:K$200))+1), ROW(44:243))),"")</f>
        <v>0</v>
      </c>
      <c r="L46" s="22">
        <f t="array" ref="L46">IFERROR(INDEX('Temp Hisfa'!L$3:L$200, SMALL(IF(ISERROR('Temp Hisfa'!L$3:L$200), "", ROW('Temp Hisfa'!L$3:L$200)-MIN(ROW('Temp Hisfa'!L$3:L$200))+1), ROW(44:243))),"")</f>
        <v>0</v>
      </c>
      <c r="M46" s="22">
        <f t="array" ref="M46">IFERROR(INDEX('Temp Hisfa'!M$3:M$200, SMALL(IF(ISERROR('Temp Hisfa'!M$3:M$200), "", ROW('Temp Hisfa'!M$3:M$200)-MIN(ROW('Temp Hisfa'!M$3:M$200))+1), ROW(44:243))),"")</f>
        <v>0</v>
      </c>
      <c r="N46" s="22">
        <f t="array" ref="N46">IFERROR(INDEX('Temp Hisfa'!N$3:N$200, SMALL(IF(ISERROR('Temp Hisfa'!N$3:N$200), "", ROW('Temp Hisfa'!N$3:N$200)-MIN(ROW('Temp Hisfa'!N$3:N$200))+1), ROW(44:243))),"")</f>
        <v>1900</v>
      </c>
      <c r="O46" s="22" t="str">
        <f t="array" ref="O46">IFERROR(INDEX('Temp Hisfa'!O$3:O$200, SMALL(IF(ISERROR('Temp Hisfa'!O$3:O$200), "", ROW('Temp Hisfa'!O$3:O$200)-MIN(ROW('Temp Hisfa'!O$3:O$200))+1), ROW(44:243))),"")</f>
        <v>enero</v>
      </c>
      <c r="P46" s="22">
        <f t="array" ref="P46">IFERROR(INDEX('Temp Hisfa'!P$3:P$200, SMALL(IF(ISERROR('Temp Hisfa'!P$3:P$200), "", ROW('Temp Hisfa'!P$3:P$200)-MIN(ROW('Temp Hisfa'!P$3:P$200))+1), ROW(44:243))),"")</f>
        <v>0</v>
      </c>
      <c r="Q46" s="22">
        <f t="array" ref="Q46">IFERROR(INDEX('Temp Hisfa'!Q$3:Q$200, SMALL(IF(ISERROR('Temp Hisfa'!Q$3:Q$200), "", ROW('Temp Hisfa'!Q$3:Q$200)-MIN(ROW('Temp Hisfa'!Q$3:Q$200))+1), ROW(44:243))),"")</f>
        <v>0</v>
      </c>
      <c r="R46" s="22">
        <f t="array" ref="R46">IFERROR(INDEX('Temp Hisfa'!R$3:R$200, SMALL(IF(ISERROR('Temp Hisfa'!R$3:R$200), "", ROW('Temp Hisfa'!R$3:R$200)-MIN(ROW('Temp Hisfa'!R$3:R$200))+1), ROW(44:243))),"")</f>
        <v>0</v>
      </c>
      <c r="S46" s="22">
        <f t="array" ref="S46">IFERROR(INDEX('Temp Hisfa'!S$3:S$200, SMALL(IF(ISERROR('Temp Hisfa'!S$3:S$200), "", ROW('Temp Hisfa'!S$3:S$200)-MIN(ROW('Temp Hisfa'!S$3:S$200))+1), ROW(44:243))),"")</f>
        <v>0</v>
      </c>
      <c r="T46" s="22">
        <f t="array" ref="T46">IFERROR(INDEX('Temp Hisfa'!T$3:T$200, SMALL(IF(ISERROR('Temp Hisfa'!T$3:T$200), "", ROW('Temp Hisfa'!T$3:T$200)-MIN(ROW('Temp Hisfa'!T$3:T$200))+1), ROW(44:243))),"")</f>
        <v>0</v>
      </c>
      <c r="U46" s="22">
        <f t="array" ref="U46">IFERROR(INDEX('Temp Hisfa'!U$3:U$200, SMALL(IF(ISERROR('Temp Hisfa'!U$3:U$200), "", ROW('Temp Hisfa'!U$3:U$200)-MIN(ROW('Temp Hisfa'!U$3:U$200))+1), ROW(44:243))),"")</f>
        <v>0</v>
      </c>
      <c r="V46" s="22">
        <f t="array" ref="V46">IFERROR(INDEX('Temp Hisfa'!V$3:V$200, SMALL(IF(ISERROR('Temp Hisfa'!V$3:V$200), "", ROW('Temp Hisfa'!V$3:V$200)-MIN(ROW('Temp Hisfa'!V$3:V$200))+1), ROW(44:243))),"")</f>
        <v>0</v>
      </c>
      <c r="W46" s="22">
        <f t="array" ref="W46">IFERROR(INDEX('Temp Hisfa'!W$3:W$200, SMALL(IF(ISERROR('Temp Hisfa'!W$3:W$200), "", ROW('Temp Hisfa'!W$3:W$200)-MIN(ROW('Temp Hisfa'!W$3:W$200))+1), ROW(44:243))),"")</f>
        <v>0</v>
      </c>
      <c r="X46" s="22">
        <f t="array" ref="X46">IFERROR(INDEX('Temp Hisfa'!X$3:X$200, SMALL(IF(ISERROR('Temp Hisfa'!X$3:X$200), "", ROW('Temp Hisfa'!X$3:X$200)-MIN(ROW('Temp Hisfa'!X$3:X$200))+1), ROW(44:243))),"")</f>
        <v>0</v>
      </c>
      <c r="Y46" s="22">
        <f t="array" ref="Y46">IFERROR(INDEX('Temp Hisfa'!Y$3:Y$200, SMALL(IF(ISERROR('Temp Hisfa'!Y$3:Y$200), "", ROW('Temp Hisfa'!Y$3:Y$200)-MIN(ROW('Temp Hisfa'!Y$3:Y$200))+1), ROW(44:243))),"")</f>
        <v>0</v>
      </c>
      <c r="Z46" s="22">
        <f t="array" ref="Z46">IFERROR(INDEX('Temp Hisfa'!Z$3:Z$200, SMALL(IF(ISERROR('Temp Hisfa'!Z$3:Z$200), "", ROW('Temp Hisfa'!Z$3:Z$200)-MIN(ROW('Temp Hisfa'!Z$3:Z$200))+1), ROW(44:243))),"")</f>
        <v>0</v>
      </c>
      <c r="AA46" s="22">
        <f t="array" ref="AA46">IFERROR(INDEX('Temp Hisfa'!AA$3:AA$200, SMALL(IF(ISERROR('Temp Hisfa'!AA$3:AA$200), "", ROW('Temp Hisfa'!AA$3:AA$200)-MIN(ROW('Temp Hisfa'!AA$3:AA$200))+1), ROW(44:243))),"")</f>
        <v>0</v>
      </c>
      <c r="AB46" s="22">
        <f t="array" ref="AB46">IFERROR(INDEX('Temp Hisfa'!AB$3:AB$200, SMALL(IF(ISERROR('Temp Hisfa'!AB$3:AB$200), "", ROW('Temp Hisfa'!AB$3:AB$200)-MIN(ROW('Temp Hisfa'!AB$3:AB$200))+1), ROW(44:243))),"")</f>
        <v>0</v>
      </c>
    </row>
    <row r="47" spans="1:31" x14ac:dyDescent="0.3">
      <c r="A47" s="22">
        <f t="array" ref="A47">IFERROR(INDEX('Temp Hisfa'!A$3:A$200, SMALL(IF(ISERROR('Temp Hisfa'!A$3:A$200), "", ROW('Temp Hisfa'!A$3:A$200)-MIN(ROW('Temp Hisfa'!A$3:A$200))+1), ROW(45:243))),"")</f>
        <v>0</v>
      </c>
      <c r="B47" s="4">
        <f t="array" ref="B47">IFERROR(INDEX('Temp Hisfa'!B$3:B$200, SMALL(IF(ISERROR('Temp Hisfa'!B$3:B$200), "", ROW('Temp Hisfa'!B$3:B$200)-MIN(ROW('Temp Hisfa'!B$3:B$200))+1), ROW(45:243))),"")</f>
        <v>0</v>
      </c>
      <c r="C47" s="3">
        <f t="array" ref="C47">IFERROR(INDEX('Temp Hisfa'!C$3:C$200, SMALL(IF(ISERROR('Temp Hisfa'!C$3:C$200), "", ROW('Temp Hisfa'!C$3:C$200)-MIN(ROW('Temp Hisfa'!C$3:C$200))+1), ROW(45:243))),"")</f>
        <v>0</v>
      </c>
      <c r="D47" s="3">
        <f t="array" ref="D47">IFERROR(INDEX('Temp Hisfa'!D$3:D$200, SMALL(IF(ISERROR('Temp Hisfa'!D$3:D$200), "", ROW('Temp Hisfa'!D$3:D$200)-MIN(ROW('Temp Hisfa'!D$3:D$200))+1), ROW(45:243))),"")</f>
        <v>0</v>
      </c>
      <c r="E47" s="29">
        <f t="array" ref="E47">IFERROR(INDEX('Temp Hisfa'!E$3:E$200, SMALL(IF(ISERROR('Temp Hisfa'!E$3:E$200), "", ROW('Temp Hisfa'!E$3:E$200)-MIN(ROW('Temp Hisfa'!E$3:E$200))+1), ROW(45:244))),"")</f>
        <v>0</v>
      </c>
      <c r="F47" s="22">
        <f t="array" ref="F47">IFERROR(INDEX('Temp Hisfa'!F$3:F$200, SMALL(IF(ISERROR('Temp Hisfa'!F$3:F$200), "", ROW('Temp Hisfa'!F$3:F$200)-MIN(ROW('Temp Hisfa'!F$3:F$200))+1), ROW(45:244))),"")</f>
        <v>0</v>
      </c>
      <c r="G47" s="30">
        <f t="array" ref="G47">IFERROR(INDEX('Temp Hisfa'!G$3:G$200, SMALL(IF(ISERROR('Temp Hisfa'!G$3:G$200), "", ROW('Temp Hisfa'!G$3:G$200)-MIN(ROW('Temp Hisfa'!G$3:G$200))+1), ROW(45:244))),"")</f>
        <v>0</v>
      </c>
      <c r="H47" s="22">
        <f t="array" ref="H47">IFERROR(INDEX('Temp Hisfa'!H$3:H$200, SMALL(IF(ISERROR('Temp Hisfa'!H$3:H$200), "", ROW('Temp Hisfa'!H$3:H$200)-MIN(ROW('Temp Hisfa'!H$3:H$200))+1), ROW(45:244))),"")</f>
        <v>0</v>
      </c>
      <c r="I47" s="22">
        <f t="array" ref="I47">IFERROR(INDEX('Temp Hisfa'!I$3:I$200, SMALL(IF(ISERROR('Temp Hisfa'!I$3:I$200), "", ROW('Temp Hisfa'!I$3:I$200)-MIN(ROW('Temp Hisfa'!I$3:I$200))+1), ROW(45:244))),"")</f>
        <v>0</v>
      </c>
      <c r="J47" s="22">
        <f t="array" ref="J47">IFERROR(INDEX('Temp Hisfa'!J$3:J$200, SMALL(IF(ISERROR('Temp Hisfa'!J$3:J$200), "", ROW('Temp Hisfa'!J$3:J$200)-MIN(ROW('Temp Hisfa'!J$3:J$200))+1), ROW(45:244))),"")</f>
        <v>0</v>
      </c>
      <c r="K47" s="30">
        <f t="array" ref="K47">IFERROR(INDEX('Temp Hisfa'!K$3:K$200, SMALL(IF(ISERROR('Temp Hisfa'!K$3:K$200), "", ROW('Temp Hisfa'!K$3:K$200)-MIN(ROW('Temp Hisfa'!K$3:K$200))+1), ROW(45:244))),"")</f>
        <v>0</v>
      </c>
      <c r="L47" s="22">
        <f t="array" ref="L47">IFERROR(INDEX('Temp Hisfa'!L$3:L$200, SMALL(IF(ISERROR('Temp Hisfa'!L$3:L$200), "", ROW('Temp Hisfa'!L$3:L$200)-MIN(ROW('Temp Hisfa'!L$3:L$200))+1), ROW(45:244))),"")</f>
        <v>0</v>
      </c>
      <c r="M47" s="22">
        <f t="array" ref="M47">IFERROR(INDEX('Temp Hisfa'!M$3:M$200, SMALL(IF(ISERROR('Temp Hisfa'!M$3:M$200), "", ROW('Temp Hisfa'!M$3:M$200)-MIN(ROW('Temp Hisfa'!M$3:M$200))+1), ROW(45:244))),"")</f>
        <v>0</v>
      </c>
      <c r="N47" s="22">
        <f t="array" ref="N47">IFERROR(INDEX('Temp Hisfa'!N$3:N$200, SMALL(IF(ISERROR('Temp Hisfa'!N$3:N$200), "", ROW('Temp Hisfa'!N$3:N$200)-MIN(ROW('Temp Hisfa'!N$3:N$200))+1), ROW(45:244))),"")</f>
        <v>1900</v>
      </c>
      <c r="O47" s="22" t="str">
        <f t="array" ref="O47">IFERROR(INDEX('Temp Hisfa'!O$3:O$200, SMALL(IF(ISERROR('Temp Hisfa'!O$3:O$200), "", ROW('Temp Hisfa'!O$3:O$200)-MIN(ROW('Temp Hisfa'!O$3:O$200))+1), ROW(45:244))),"")</f>
        <v>enero</v>
      </c>
      <c r="P47" s="22">
        <f t="array" ref="P47">IFERROR(INDEX('Temp Hisfa'!P$3:P$200, SMALL(IF(ISERROR('Temp Hisfa'!P$3:P$200), "", ROW('Temp Hisfa'!P$3:P$200)-MIN(ROW('Temp Hisfa'!P$3:P$200))+1), ROW(45:244))),"")</f>
        <v>0</v>
      </c>
      <c r="Q47" s="22">
        <f t="array" ref="Q47">IFERROR(INDEX('Temp Hisfa'!Q$3:Q$200, SMALL(IF(ISERROR('Temp Hisfa'!Q$3:Q$200), "", ROW('Temp Hisfa'!Q$3:Q$200)-MIN(ROW('Temp Hisfa'!Q$3:Q$200))+1), ROW(45:244))),"")</f>
        <v>0</v>
      </c>
      <c r="R47" s="22">
        <f t="array" ref="R47">IFERROR(INDEX('Temp Hisfa'!R$3:R$200, SMALL(IF(ISERROR('Temp Hisfa'!R$3:R$200), "", ROW('Temp Hisfa'!R$3:R$200)-MIN(ROW('Temp Hisfa'!R$3:R$200))+1), ROW(45:244))),"")</f>
        <v>0</v>
      </c>
      <c r="S47" s="22">
        <f t="array" ref="S47">IFERROR(INDEX('Temp Hisfa'!S$3:S$200, SMALL(IF(ISERROR('Temp Hisfa'!S$3:S$200), "", ROW('Temp Hisfa'!S$3:S$200)-MIN(ROW('Temp Hisfa'!S$3:S$200))+1), ROW(45:244))),"")</f>
        <v>0</v>
      </c>
      <c r="T47" s="22">
        <f t="array" ref="T47">IFERROR(INDEX('Temp Hisfa'!T$3:T$200, SMALL(IF(ISERROR('Temp Hisfa'!T$3:T$200), "", ROW('Temp Hisfa'!T$3:T$200)-MIN(ROW('Temp Hisfa'!T$3:T$200))+1), ROW(45:244))),"")</f>
        <v>0</v>
      </c>
      <c r="U47" s="22">
        <f t="array" ref="U47">IFERROR(INDEX('Temp Hisfa'!U$3:U$200, SMALL(IF(ISERROR('Temp Hisfa'!U$3:U$200), "", ROW('Temp Hisfa'!U$3:U$200)-MIN(ROW('Temp Hisfa'!U$3:U$200))+1), ROW(45:244))),"")</f>
        <v>0</v>
      </c>
      <c r="V47" s="22">
        <f t="array" ref="V47">IFERROR(INDEX('Temp Hisfa'!V$3:V$200, SMALL(IF(ISERROR('Temp Hisfa'!V$3:V$200), "", ROW('Temp Hisfa'!V$3:V$200)-MIN(ROW('Temp Hisfa'!V$3:V$200))+1), ROW(45:244))),"")</f>
        <v>0</v>
      </c>
      <c r="W47" s="22">
        <f t="array" ref="W47">IFERROR(INDEX('Temp Hisfa'!W$3:W$200, SMALL(IF(ISERROR('Temp Hisfa'!W$3:W$200), "", ROW('Temp Hisfa'!W$3:W$200)-MIN(ROW('Temp Hisfa'!W$3:W$200))+1), ROW(45:244))),"")</f>
        <v>0</v>
      </c>
      <c r="X47" s="22">
        <f t="array" ref="X47">IFERROR(INDEX('Temp Hisfa'!X$3:X$200, SMALL(IF(ISERROR('Temp Hisfa'!X$3:X$200), "", ROW('Temp Hisfa'!X$3:X$200)-MIN(ROW('Temp Hisfa'!X$3:X$200))+1), ROW(45:244))),"")</f>
        <v>0</v>
      </c>
      <c r="Y47" s="22">
        <f t="array" ref="Y47">IFERROR(INDEX('Temp Hisfa'!Y$3:Y$200, SMALL(IF(ISERROR('Temp Hisfa'!Y$3:Y$200), "", ROW('Temp Hisfa'!Y$3:Y$200)-MIN(ROW('Temp Hisfa'!Y$3:Y$200))+1), ROW(45:244))),"")</f>
        <v>0</v>
      </c>
      <c r="Z47" s="22">
        <f t="array" ref="Z47">IFERROR(INDEX('Temp Hisfa'!Z$3:Z$200, SMALL(IF(ISERROR('Temp Hisfa'!Z$3:Z$200), "", ROW('Temp Hisfa'!Z$3:Z$200)-MIN(ROW('Temp Hisfa'!Z$3:Z$200))+1), ROW(45:244))),"")</f>
        <v>0</v>
      </c>
      <c r="AA47" s="22">
        <f t="array" ref="AA47">IFERROR(INDEX('Temp Hisfa'!AA$3:AA$200, SMALL(IF(ISERROR('Temp Hisfa'!AA$3:AA$200), "", ROW('Temp Hisfa'!AA$3:AA$200)-MIN(ROW('Temp Hisfa'!AA$3:AA$200))+1), ROW(45:244))),"")</f>
        <v>0</v>
      </c>
      <c r="AB47" s="22">
        <f t="array" ref="AB47">IFERROR(INDEX('Temp Hisfa'!AB$3:AB$200, SMALL(IF(ISERROR('Temp Hisfa'!AB$3:AB$200), "", ROW('Temp Hisfa'!AB$3:AB$200)-MIN(ROW('Temp Hisfa'!AB$3:AB$200))+1), ROW(45:244))),"")</f>
        <v>0</v>
      </c>
    </row>
    <row r="48" spans="1:31" x14ac:dyDescent="0.3">
      <c r="A48" s="22">
        <f t="array" ref="A48">IFERROR(INDEX('Temp Hisfa'!A$3:A$200, SMALL(IF(ISERROR('Temp Hisfa'!A$3:A$200), "", ROW('Temp Hisfa'!A$3:A$200)-MIN(ROW('Temp Hisfa'!A$3:A$200))+1), ROW(46:244))),"")</f>
        <v>0</v>
      </c>
      <c r="B48" s="4">
        <f t="array" ref="B48">IFERROR(INDEX('Temp Hisfa'!B$3:B$200, SMALL(IF(ISERROR('Temp Hisfa'!B$3:B$200), "", ROW('Temp Hisfa'!B$3:B$200)-MIN(ROW('Temp Hisfa'!B$3:B$200))+1), ROW(46:244))),"")</f>
        <v>0</v>
      </c>
      <c r="C48" s="3">
        <f t="array" ref="C48">IFERROR(INDEX('Temp Hisfa'!C$3:C$200, SMALL(IF(ISERROR('Temp Hisfa'!C$3:C$200), "", ROW('Temp Hisfa'!C$3:C$200)-MIN(ROW('Temp Hisfa'!C$3:C$200))+1), ROW(46:244))),"")</f>
        <v>0</v>
      </c>
      <c r="D48" s="3">
        <f t="array" ref="D48">IFERROR(INDEX('Temp Hisfa'!D$3:D$200, SMALL(IF(ISERROR('Temp Hisfa'!D$3:D$200), "", ROW('Temp Hisfa'!D$3:D$200)-MIN(ROW('Temp Hisfa'!D$3:D$200))+1), ROW(46:244))),"")</f>
        <v>0</v>
      </c>
      <c r="E48" s="29">
        <f t="array" ref="E48">IFERROR(INDEX('Temp Hisfa'!E$3:E$200, SMALL(IF(ISERROR('Temp Hisfa'!E$3:E$200), "", ROW('Temp Hisfa'!E$3:E$200)-MIN(ROW('Temp Hisfa'!E$3:E$200))+1), ROW(46:245))),"")</f>
        <v>0</v>
      </c>
      <c r="F48" s="22">
        <f t="array" ref="F48">IFERROR(INDEX('Temp Hisfa'!F$3:F$200, SMALL(IF(ISERROR('Temp Hisfa'!F$3:F$200), "", ROW('Temp Hisfa'!F$3:F$200)-MIN(ROW('Temp Hisfa'!F$3:F$200))+1), ROW(46:245))),"")</f>
        <v>0</v>
      </c>
      <c r="G48" s="30">
        <f t="array" ref="G48">IFERROR(INDEX('Temp Hisfa'!G$3:G$200, SMALL(IF(ISERROR('Temp Hisfa'!G$3:G$200), "", ROW('Temp Hisfa'!G$3:G$200)-MIN(ROW('Temp Hisfa'!G$3:G$200))+1), ROW(46:245))),"")</f>
        <v>0</v>
      </c>
      <c r="H48" s="22">
        <f t="array" ref="H48">IFERROR(INDEX('Temp Hisfa'!H$3:H$200, SMALL(IF(ISERROR('Temp Hisfa'!H$3:H$200), "", ROW('Temp Hisfa'!H$3:H$200)-MIN(ROW('Temp Hisfa'!H$3:H$200))+1), ROW(46:245))),"")</f>
        <v>0</v>
      </c>
      <c r="I48" s="22">
        <f t="array" ref="I48">IFERROR(INDEX('Temp Hisfa'!I$3:I$200, SMALL(IF(ISERROR('Temp Hisfa'!I$3:I$200), "", ROW('Temp Hisfa'!I$3:I$200)-MIN(ROW('Temp Hisfa'!I$3:I$200))+1), ROW(46:245))),"")</f>
        <v>0</v>
      </c>
      <c r="J48" s="22">
        <f t="array" ref="J48">IFERROR(INDEX('Temp Hisfa'!J$3:J$200, SMALL(IF(ISERROR('Temp Hisfa'!J$3:J$200), "", ROW('Temp Hisfa'!J$3:J$200)-MIN(ROW('Temp Hisfa'!J$3:J$200))+1), ROW(46:245))),"")</f>
        <v>0</v>
      </c>
      <c r="K48" s="30">
        <f t="array" ref="K48">IFERROR(INDEX('Temp Hisfa'!K$3:K$200, SMALL(IF(ISERROR('Temp Hisfa'!K$3:K$200), "", ROW('Temp Hisfa'!K$3:K$200)-MIN(ROW('Temp Hisfa'!K$3:K$200))+1), ROW(46:245))),"")</f>
        <v>0</v>
      </c>
      <c r="L48" s="22">
        <f t="array" ref="L48">IFERROR(INDEX('Temp Hisfa'!L$3:L$200, SMALL(IF(ISERROR('Temp Hisfa'!L$3:L$200), "", ROW('Temp Hisfa'!L$3:L$200)-MIN(ROW('Temp Hisfa'!L$3:L$200))+1), ROW(46:245))),"")</f>
        <v>0</v>
      </c>
      <c r="M48" s="22">
        <f t="array" ref="M48">IFERROR(INDEX('Temp Hisfa'!M$3:M$200, SMALL(IF(ISERROR('Temp Hisfa'!M$3:M$200), "", ROW('Temp Hisfa'!M$3:M$200)-MIN(ROW('Temp Hisfa'!M$3:M$200))+1), ROW(46:245))),"")</f>
        <v>0</v>
      </c>
      <c r="N48" s="22">
        <f t="array" ref="N48">IFERROR(INDEX('Temp Hisfa'!N$3:N$200, SMALL(IF(ISERROR('Temp Hisfa'!N$3:N$200), "", ROW('Temp Hisfa'!N$3:N$200)-MIN(ROW('Temp Hisfa'!N$3:N$200))+1), ROW(46:245))),"")</f>
        <v>1900</v>
      </c>
      <c r="O48" s="22" t="str">
        <f t="array" ref="O48">IFERROR(INDEX('Temp Hisfa'!O$3:O$200, SMALL(IF(ISERROR('Temp Hisfa'!O$3:O$200), "", ROW('Temp Hisfa'!O$3:O$200)-MIN(ROW('Temp Hisfa'!O$3:O$200))+1), ROW(46:245))),"")</f>
        <v>enero</v>
      </c>
      <c r="P48" s="22">
        <f t="array" ref="P48">IFERROR(INDEX('Temp Hisfa'!P$3:P$200, SMALL(IF(ISERROR('Temp Hisfa'!P$3:P$200), "", ROW('Temp Hisfa'!P$3:P$200)-MIN(ROW('Temp Hisfa'!P$3:P$200))+1), ROW(46:245))),"")</f>
        <v>0</v>
      </c>
      <c r="Q48" s="22">
        <f t="array" ref="Q48">IFERROR(INDEX('Temp Hisfa'!Q$3:Q$200, SMALL(IF(ISERROR('Temp Hisfa'!Q$3:Q$200), "", ROW('Temp Hisfa'!Q$3:Q$200)-MIN(ROW('Temp Hisfa'!Q$3:Q$200))+1), ROW(46:245))),"")</f>
        <v>0</v>
      </c>
      <c r="R48" s="22">
        <f t="array" ref="R48">IFERROR(INDEX('Temp Hisfa'!R$3:R$200, SMALL(IF(ISERROR('Temp Hisfa'!R$3:R$200), "", ROW('Temp Hisfa'!R$3:R$200)-MIN(ROW('Temp Hisfa'!R$3:R$200))+1), ROW(46:245))),"")</f>
        <v>0</v>
      </c>
      <c r="S48" s="22">
        <f t="array" ref="S48">IFERROR(INDEX('Temp Hisfa'!S$3:S$200, SMALL(IF(ISERROR('Temp Hisfa'!S$3:S$200), "", ROW('Temp Hisfa'!S$3:S$200)-MIN(ROW('Temp Hisfa'!S$3:S$200))+1), ROW(46:245))),"")</f>
        <v>0</v>
      </c>
      <c r="T48" s="22">
        <f t="array" ref="T48">IFERROR(INDEX('Temp Hisfa'!T$3:T$200, SMALL(IF(ISERROR('Temp Hisfa'!T$3:T$200), "", ROW('Temp Hisfa'!T$3:T$200)-MIN(ROW('Temp Hisfa'!T$3:T$200))+1), ROW(46:245))),"")</f>
        <v>0</v>
      </c>
      <c r="U48" s="22">
        <f t="array" ref="U48">IFERROR(INDEX('Temp Hisfa'!U$3:U$200, SMALL(IF(ISERROR('Temp Hisfa'!U$3:U$200), "", ROW('Temp Hisfa'!U$3:U$200)-MIN(ROW('Temp Hisfa'!U$3:U$200))+1), ROW(46:245))),"")</f>
        <v>0</v>
      </c>
      <c r="V48" s="22">
        <f t="array" ref="V48">IFERROR(INDEX('Temp Hisfa'!V$3:V$200, SMALL(IF(ISERROR('Temp Hisfa'!V$3:V$200), "", ROW('Temp Hisfa'!V$3:V$200)-MIN(ROW('Temp Hisfa'!V$3:V$200))+1), ROW(46:245))),"")</f>
        <v>0</v>
      </c>
      <c r="W48" s="22">
        <f t="array" ref="W48">IFERROR(INDEX('Temp Hisfa'!W$3:W$200, SMALL(IF(ISERROR('Temp Hisfa'!W$3:W$200), "", ROW('Temp Hisfa'!W$3:W$200)-MIN(ROW('Temp Hisfa'!W$3:W$200))+1), ROW(46:245))),"")</f>
        <v>0</v>
      </c>
      <c r="X48" s="22">
        <f t="array" ref="X48">IFERROR(INDEX('Temp Hisfa'!X$3:X$200, SMALL(IF(ISERROR('Temp Hisfa'!X$3:X$200), "", ROW('Temp Hisfa'!X$3:X$200)-MIN(ROW('Temp Hisfa'!X$3:X$200))+1), ROW(46:245))),"")</f>
        <v>0</v>
      </c>
      <c r="Y48" s="22">
        <f t="array" ref="Y48">IFERROR(INDEX('Temp Hisfa'!Y$3:Y$200, SMALL(IF(ISERROR('Temp Hisfa'!Y$3:Y$200), "", ROW('Temp Hisfa'!Y$3:Y$200)-MIN(ROW('Temp Hisfa'!Y$3:Y$200))+1), ROW(46:245))),"")</f>
        <v>0</v>
      </c>
      <c r="Z48" s="22">
        <f t="array" ref="Z48">IFERROR(INDEX('Temp Hisfa'!Z$3:Z$200, SMALL(IF(ISERROR('Temp Hisfa'!Z$3:Z$200), "", ROW('Temp Hisfa'!Z$3:Z$200)-MIN(ROW('Temp Hisfa'!Z$3:Z$200))+1), ROW(46:245))),"")</f>
        <v>0</v>
      </c>
      <c r="AA48" s="22">
        <f t="array" ref="AA48">IFERROR(INDEX('Temp Hisfa'!AA$3:AA$200, SMALL(IF(ISERROR('Temp Hisfa'!AA$3:AA$200), "", ROW('Temp Hisfa'!AA$3:AA$200)-MIN(ROW('Temp Hisfa'!AA$3:AA$200))+1), ROW(46:245))),"")</f>
        <v>0</v>
      </c>
      <c r="AB48" s="22">
        <f t="array" ref="AB48">IFERROR(INDEX('Temp Hisfa'!AB$3:AB$200, SMALL(IF(ISERROR('Temp Hisfa'!AB$3:AB$200), "", ROW('Temp Hisfa'!AB$3:AB$200)-MIN(ROW('Temp Hisfa'!AB$3:AB$200))+1), ROW(46:245))),"")</f>
        <v>0</v>
      </c>
      <c r="AD48" t="s">
        <v>160</v>
      </c>
      <c r="AE48" s="15">
        <f>IFERROR(AE29/AE37,0)</f>
        <v>0</v>
      </c>
    </row>
    <row r="49" spans="1:31" x14ac:dyDescent="0.3">
      <c r="A49" s="22">
        <f t="array" ref="A49">IFERROR(INDEX('Temp Hisfa'!A$3:A$200, SMALL(IF(ISERROR('Temp Hisfa'!A$3:A$200), "", ROW('Temp Hisfa'!A$3:A$200)-MIN(ROW('Temp Hisfa'!A$3:A$200))+1), ROW(47:245))),"")</f>
        <v>0</v>
      </c>
      <c r="B49" s="4">
        <f t="array" ref="B49">IFERROR(INDEX('Temp Hisfa'!B$3:B$200, SMALL(IF(ISERROR('Temp Hisfa'!B$3:B$200), "", ROW('Temp Hisfa'!B$3:B$200)-MIN(ROW('Temp Hisfa'!B$3:B$200))+1), ROW(47:245))),"")</f>
        <v>0</v>
      </c>
      <c r="C49" s="3">
        <f t="array" ref="C49">IFERROR(INDEX('Temp Hisfa'!C$3:C$200, SMALL(IF(ISERROR('Temp Hisfa'!C$3:C$200), "", ROW('Temp Hisfa'!C$3:C$200)-MIN(ROW('Temp Hisfa'!C$3:C$200))+1), ROW(47:245))),"")</f>
        <v>0</v>
      </c>
      <c r="D49" s="3">
        <f t="array" ref="D49">IFERROR(INDEX('Temp Hisfa'!D$3:D$200, SMALL(IF(ISERROR('Temp Hisfa'!D$3:D$200), "", ROW('Temp Hisfa'!D$3:D$200)-MIN(ROW('Temp Hisfa'!D$3:D$200))+1), ROW(47:245))),"")</f>
        <v>0</v>
      </c>
      <c r="E49" s="29">
        <f t="array" ref="E49">IFERROR(INDEX('Temp Hisfa'!E$3:E$200, SMALL(IF(ISERROR('Temp Hisfa'!E$3:E$200), "", ROW('Temp Hisfa'!E$3:E$200)-MIN(ROW('Temp Hisfa'!E$3:E$200))+1), ROW(47:246))),"")</f>
        <v>0</v>
      </c>
      <c r="F49" s="22">
        <f t="array" ref="F49">IFERROR(INDEX('Temp Hisfa'!F$3:F$200, SMALL(IF(ISERROR('Temp Hisfa'!F$3:F$200), "", ROW('Temp Hisfa'!F$3:F$200)-MIN(ROW('Temp Hisfa'!F$3:F$200))+1), ROW(47:246))),"")</f>
        <v>0</v>
      </c>
      <c r="G49" s="30">
        <f t="array" ref="G49">IFERROR(INDEX('Temp Hisfa'!G$3:G$200, SMALL(IF(ISERROR('Temp Hisfa'!G$3:G$200), "", ROW('Temp Hisfa'!G$3:G$200)-MIN(ROW('Temp Hisfa'!G$3:G$200))+1), ROW(47:246))),"")</f>
        <v>0</v>
      </c>
      <c r="H49" s="22">
        <f t="array" ref="H49">IFERROR(INDEX('Temp Hisfa'!H$3:H$200, SMALL(IF(ISERROR('Temp Hisfa'!H$3:H$200), "", ROW('Temp Hisfa'!H$3:H$200)-MIN(ROW('Temp Hisfa'!H$3:H$200))+1), ROW(47:246))),"")</f>
        <v>0</v>
      </c>
      <c r="I49" s="22">
        <f t="array" ref="I49">IFERROR(INDEX('Temp Hisfa'!I$3:I$200, SMALL(IF(ISERROR('Temp Hisfa'!I$3:I$200), "", ROW('Temp Hisfa'!I$3:I$200)-MIN(ROW('Temp Hisfa'!I$3:I$200))+1), ROW(47:246))),"")</f>
        <v>0</v>
      </c>
      <c r="J49" s="22">
        <f t="array" ref="J49">IFERROR(INDEX('Temp Hisfa'!J$3:J$200, SMALL(IF(ISERROR('Temp Hisfa'!J$3:J$200), "", ROW('Temp Hisfa'!J$3:J$200)-MIN(ROW('Temp Hisfa'!J$3:J$200))+1), ROW(47:246))),"")</f>
        <v>0</v>
      </c>
      <c r="K49" s="30">
        <f t="array" ref="K49">IFERROR(INDEX('Temp Hisfa'!K$3:K$200, SMALL(IF(ISERROR('Temp Hisfa'!K$3:K$200), "", ROW('Temp Hisfa'!K$3:K$200)-MIN(ROW('Temp Hisfa'!K$3:K$200))+1), ROW(47:246))),"")</f>
        <v>0</v>
      </c>
      <c r="L49" s="22">
        <f t="array" ref="L49">IFERROR(INDEX('Temp Hisfa'!L$3:L$200, SMALL(IF(ISERROR('Temp Hisfa'!L$3:L$200), "", ROW('Temp Hisfa'!L$3:L$200)-MIN(ROW('Temp Hisfa'!L$3:L$200))+1), ROW(47:246))),"")</f>
        <v>0</v>
      </c>
      <c r="M49" s="22">
        <f t="array" ref="M49">IFERROR(INDEX('Temp Hisfa'!M$3:M$200, SMALL(IF(ISERROR('Temp Hisfa'!M$3:M$200), "", ROW('Temp Hisfa'!M$3:M$200)-MIN(ROW('Temp Hisfa'!M$3:M$200))+1), ROW(47:246))),"")</f>
        <v>0</v>
      </c>
      <c r="N49" s="22">
        <f t="array" ref="N49">IFERROR(INDEX('Temp Hisfa'!N$3:N$200, SMALL(IF(ISERROR('Temp Hisfa'!N$3:N$200), "", ROW('Temp Hisfa'!N$3:N$200)-MIN(ROW('Temp Hisfa'!N$3:N$200))+1), ROW(47:246))),"")</f>
        <v>1900</v>
      </c>
      <c r="O49" s="22" t="str">
        <f t="array" ref="O49">IFERROR(INDEX('Temp Hisfa'!O$3:O$200, SMALL(IF(ISERROR('Temp Hisfa'!O$3:O$200), "", ROW('Temp Hisfa'!O$3:O$200)-MIN(ROW('Temp Hisfa'!O$3:O$200))+1), ROW(47:246))),"")</f>
        <v>enero</v>
      </c>
      <c r="P49" s="22">
        <f t="array" ref="P49">IFERROR(INDEX('Temp Hisfa'!P$3:P$200, SMALL(IF(ISERROR('Temp Hisfa'!P$3:P$200), "", ROW('Temp Hisfa'!P$3:P$200)-MIN(ROW('Temp Hisfa'!P$3:P$200))+1), ROW(47:246))),"")</f>
        <v>0</v>
      </c>
      <c r="Q49" s="22">
        <f t="array" ref="Q49">IFERROR(INDEX('Temp Hisfa'!Q$3:Q$200, SMALL(IF(ISERROR('Temp Hisfa'!Q$3:Q$200), "", ROW('Temp Hisfa'!Q$3:Q$200)-MIN(ROW('Temp Hisfa'!Q$3:Q$200))+1), ROW(47:246))),"")</f>
        <v>0</v>
      </c>
      <c r="R49" s="22">
        <f t="array" ref="R49">IFERROR(INDEX('Temp Hisfa'!R$3:R$200, SMALL(IF(ISERROR('Temp Hisfa'!R$3:R$200), "", ROW('Temp Hisfa'!R$3:R$200)-MIN(ROW('Temp Hisfa'!R$3:R$200))+1), ROW(47:246))),"")</f>
        <v>0</v>
      </c>
      <c r="S49" s="22">
        <f t="array" ref="S49">IFERROR(INDEX('Temp Hisfa'!S$3:S$200, SMALL(IF(ISERROR('Temp Hisfa'!S$3:S$200), "", ROW('Temp Hisfa'!S$3:S$200)-MIN(ROW('Temp Hisfa'!S$3:S$200))+1), ROW(47:246))),"")</f>
        <v>0</v>
      </c>
      <c r="T49" s="22">
        <f t="array" ref="T49">IFERROR(INDEX('Temp Hisfa'!T$3:T$200, SMALL(IF(ISERROR('Temp Hisfa'!T$3:T$200), "", ROW('Temp Hisfa'!T$3:T$200)-MIN(ROW('Temp Hisfa'!T$3:T$200))+1), ROW(47:246))),"")</f>
        <v>0</v>
      </c>
      <c r="U49" s="22">
        <f t="array" ref="U49">IFERROR(INDEX('Temp Hisfa'!U$3:U$200, SMALL(IF(ISERROR('Temp Hisfa'!U$3:U$200), "", ROW('Temp Hisfa'!U$3:U$200)-MIN(ROW('Temp Hisfa'!U$3:U$200))+1), ROW(47:246))),"")</f>
        <v>0</v>
      </c>
      <c r="V49" s="22">
        <f t="array" ref="V49">IFERROR(INDEX('Temp Hisfa'!V$3:V$200, SMALL(IF(ISERROR('Temp Hisfa'!V$3:V$200), "", ROW('Temp Hisfa'!V$3:V$200)-MIN(ROW('Temp Hisfa'!V$3:V$200))+1), ROW(47:246))),"")</f>
        <v>0</v>
      </c>
      <c r="W49" s="22">
        <f t="array" ref="W49">IFERROR(INDEX('Temp Hisfa'!W$3:W$200, SMALL(IF(ISERROR('Temp Hisfa'!W$3:W$200), "", ROW('Temp Hisfa'!W$3:W$200)-MIN(ROW('Temp Hisfa'!W$3:W$200))+1), ROW(47:246))),"")</f>
        <v>0</v>
      </c>
      <c r="X49" s="22">
        <f t="array" ref="X49">IFERROR(INDEX('Temp Hisfa'!X$3:X$200, SMALL(IF(ISERROR('Temp Hisfa'!X$3:X$200), "", ROW('Temp Hisfa'!X$3:X$200)-MIN(ROW('Temp Hisfa'!X$3:X$200))+1), ROW(47:246))),"")</f>
        <v>0</v>
      </c>
      <c r="Y49" s="22">
        <f t="array" ref="Y49">IFERROR(INDEX('Temp Hisfa'!Y$3:Y$200, SMALL(IF(ISERROR('Temp Hisfa'!Y$3:Y$200), "", ROW('Temp Hisfa'!Y$3:Y$200)-MIN(ROW('Temp Hisfa'!Y$3:Y$200))+1), ROW(47:246))),"")</f>
        <v>0</v>
      </c>
      <c r="Z49" s="22">
        <f t="array" ref="Z49">IFERROR(INDEX('Temp Hisfa'!Z$3:Z$200, SMALL(IF(ISERROR('Temp Hisfa'!Z$3:Z$200), "", ROW('Temp Hisfa'!Z$3:Z$200)-MIN(ROW('Temp Hisfa'!Z$3:Z$200))+1), ROW(47:246))),"")</f>
        <v>0</v>
      </c>
      <c r="AA49" s="22">
        <f t="array" ref="AA49">IFERROR(INDEX('Temp Hisfa'!AA$3:AA$200, SMALL(IF(ISERROR('Temp Hisfa'!AA$3:AA$200), "", ROW('Temp Hisfa'!AA$3:AA$200)-MIN(ROW('Temp Hisfa'!AA$3:AA$200))+1), ROW(47:246))),"")</f>
        <v>0</v>
      </c>
      <c r="AB49" s="22">
        <f t="array" ref="AB49">IFERROR(INDEX('Temp Hisfa'!AB$3:AB$200, SMALL(IF(ISERROR('Temp Hisfa'!AB$3:AB$200), "", ROW('Temp Hisfa'!AB$3:AB$200)-MIN(ROW('Temp Hisfa'!AB$3:AB$200))+1), ROW(47:246))),"")</f>
        <v>0</v>
      </c>
      <c r="AD49" t="s">
        <v>109</v>
      </c>
      <c r="AE49" s="15">
        <f>IFERROR(100-AE37*100/AE29,0)</f>
        <v>0</v>
      </c>
    </row>
    <row r="50" spans="1:31" x14ac:dyDescent="0.3">
      <c r="A50" s="22">
        <f t="array" ref="A50">IFERROR(INDEX('Temp Hisfa'!A$3:A$200, SMALL(IF(ISERROR('Temp Hisfa'!A$3:A$200), "", ROW('Temp Hisfa'!A$3:A$200)-MIN(ROW('Temp Hisfa'!A$3:A$200))+1), ROW(48:246))),"")</f>
        <v>0</v>
      </c>
      <c r="B50" s="4">
        <f t="array" ref="B50">IFERROR(INDEX('Temp Hisfa'!B$3:B$200, SMALL(IF(ISERROR('Temp Hisfa'!B$3:B$200), "", ROW('Temp Hisfa'!B$3:B$200)-MIN(ROW('Temp Hisfa'!B$3:B$200))+1), ROW(48:246))),"")</f>
        <v>0</v>
      </c>
      <c r="C50" s="3">
        <f t="array" ref="C50">IFERROR(INDEX('Temp Hisfa'!C$3:C$200, SMALL(IF(ISERROR('Temp Hisfa'!C$3:C$200), "", ROW('Temp Hisfa'!C$3:C$200)-MIN(ROW('Temp Hisfa'!C$3:C$200))+1), ROW(48:246))),"")</f>
        <v>0</v>
      </c>
      <c r="D50" s="3">
        <f t="array" ref="D50">IFERROR(INDEX('Temp Hisfa'!D$3:D$200, SMALL(IF(ISERROR('Temp Hisfa'!D$3:D$200), "", ROW('Temp Hisfa'!D$3:D$200)-MIN(ROW('Temp Hisfa'!D$3:D$200))+1), ROW(48:246))),"")</f>
        <v>0</v>
      </c>
      <c r="E50" s="29">
        <f t="array" ref="E50">IFERROR(INDEX('Temp Hisfa'!E$3:E$200, SMALL(IF(ISERROR('Temp Hisfa'!E$3:E$200), "", ROW('Temp Hisfa'!E$3:E$200)-MIN(ROW('Temp Hisfa'!E$3:E$200))+1), ROW(48:247))),"")</f>
        <v>0</v>
      </c>
      <c r="F50" s="22">
        <f t="array" ref="F50">IFERROR(INDEX('Temp Hisfa'!F$3:F$200, SMALL(IF(ISERROR('Temp Hisfa'!F$3:F$200), "", ROW('Temp Hisfa'!F$3:F$200)-MIN(ROW('Temp Hisfa'!F$3:F$200))+1), ROW(48:247))),"")</f>
        <v>0</v>
      </c>
      <c r="G50" s="30">
        <f t="array" ref="G50">IFERROR(INDEX('Temp Hisfa'!G$3:G$200, SMALL(IF(ISERROR('Temp Hisfa'!G$3:G$200), "", ROW('Temp Hisfa'!G$3:G$200)-MIN(ROW('Temp Hisfa'!G$3:G$200))+1), ROW(48:247))),"")</f>
        <v>0</v>
      </c>
      <c r="H50" s="22">
        <f t="array" ref="H50">IFERROR(INDEX('Temp Hisfa'!H$3:H$200, SMALL(IF(ISERROR('Temp Hisfa'!H$3:H$200), "", ROW('Temp Hisfa'!H$3:H$200)-MIN(ROW('Temp Hisfa'!H$3:H$200))+1), ROW(48:247))),"")</f>
        <v>0</v>
      </c>
      <c r="I50" s="22">
        <f t="array" ref="I50">IFERROR(INDEX('Temp Hisfa'!I$3:I$200, SMALL(IF(ISERROR('Temp Hisfa'!I$3:I$200), "", ROW('Temp Hisfa'!I$3:I$200)-MIN(ROW('Temp Hisfa'!I$3:I$200))+1), ROW(48:247))),"")</f>
        <v>0</v>
      </c>
      <c r="J50" s="22">
        <f t="array" ref="J50">IFERROR(INDEX('Temp Hisfa'!J$3:J$200, SMALL(IF(ISERROR('Temp Hisfa'!J$3:J$200), "", ROW('Temp Hisfa'!J$3:J$200)-MIN(ROW('Temp Hisfa'!J$3:J$200))+1), ROW(48:247))),"")</f>
        <v>0</v>
      </c>
      <c r="K50" s="30">
        <f t="array" ref="K50">IFERROR(INDEX('Temp Hisfa'!K$3:K$200, SMALL(IF(ISERROR('Temp Hisfa'!K$3:K$200), "", ROW('Temp Hisfa'!K$3:K$200)-MIN(ROW('Temp Hisfa'!K$3:K$200))+1), ROW(48:247))),"")</f>
        <v>0</v>
      </c>
      <c r="L50" s="22">
        <f t="array" ref="L50">IFERROR(INDEX('Temp Hisfa'!L$3:L$200, SMALL(IF(ISERROR('Temp Hisfa'!L$3:L$200), "", ROW('Temp Hisfa'!L$3:L$200)-MIN(ROW('Temp Hisfa'!L$3:L$200))+1), ROW(48:247))),"")</f>
        <v>0</v>
      </c>
      <c r="M50" s="22">
        <f t="array" ref="M50">IFERROR(INDEX('Temp Hisfa'!M$3:M$200, SMALL(IF(ISERROR('Temp Hisfa'!M$3:M$200), "", ROW('Temp Hisfa'!M$3:M$200)-MIN(ROW('Temp Hisfa'!M$3:M$200))+1), ROW(48:247))),"")</f>
        <v>0</v>
      </c>
      <c r="N50" s="22">
        <f t="array" ref="N50">IFERROR(INDEX('Temp Hisfa'!N$3:N$200, SMALL(IF(ISERROR('Temp Hisfa'!N$3:N$200), "", ROW('Temp Hisfa'!N$3:N$200)-MIN(ROW('Temp Hisfa'!N$3:N$200))+1), ROW(48:247))),"")</f>
        <v>1900</v>
      </c>
      <c r="O50" s="22" t="str">
        <f t="array" ref="O50">IFERROR(INDEX('Temp Hisfa'!O$3:O$200, SMALL(IF(ISERROR('Temp Hisfa'!O$3:O$200), "", ROW('Temp Hisfa'!O$3:O$200)-MIN(ROW('Temp Hisfa'!O$3:O$200))+1), ROW(48:247))),"")</f>
        <v>enero</v>
      </c>
      <c r="P50" s="22">
        <f t="array" ref="P50">IFERROR(INDEX('Temp Hisfa'!P$3:P$200, SMALL(IF(ISERROR('Temp Hisfa'!P$3:P$200), "", ROW('Temp Hisfa'!P$3:P$200)-MIN(ROW('Temp Hisfa'!P$3:P$200))+1), ROW(48:247))),"")</f>
        <v>0</v>
      </c>
      <c r="Q50" s="22">
        <f t="array" ref="Q50">IFERROR(INDEX('Temp Hisfa'!Q$3:Q$200, SMALL(IF(ISERROR('Temp Hisfa'!Q$3:Q$200), "", ROW('Temp Hisfa'!Q$3:Q$200)-MIN(ROW('Temp Hisfa'!Q$3:Q$200))+1), ROW(48:247))),"")</f>
        <v>0</v>
      </c>
      <c r="R50" s="22">
        <f t="array" ref="R50">IFERROR(INDEX('Temp Hisfa'!R$3:R$200, SMALL(IF(ISERROR('Temp Hisfa'!R$3:R$200), "", ROW('Temp Hisfa'!R$3:R$200)-MIN(ROW('Temp Hisfa'!R$3:R$200))+1), ROW(48:247))),"")</f>
        <v>0</v>
      </c>
      <c r="S50" s="22">
        <f t="array" ref="S50">IFERROR(INDEX('Temp Hisfa'!S$3:S$200, SMALL(IF(ISERROR('Temp Hisfa'!S$3:S$200), "", ROW('Temp Hisfa'!S$3:S$200)-MIN(ROW('Temp Hisfa'!S$3:S$200))+1), ROW(48:247))),"")</f>
        <v>0</v>
      </c>
      <c r="T50" s="22">
        <f t="array" ref="T50">IFERROR(INDEX('Temp Hisfa'!T$3:T$200, SMALL(IF(ISERROR('Temp Hisfa'!T$3:T$200), "", ROW('Temp Hisfa'!T$3:T$200)-MIN(ROW('Temp Hisfa'!T$3:T$200))+1), ROW(48:247))),"")</f>
        <v>0</v>
      </c>
      <c r="U50" s="22">
        <f t="array" ref="U50">IFERROR(INDEX('Temp Hisfa'!U$3:U$200, SMALL(IF(ISERROR('Temp Hisfa'!U$3:U$200), "", ROW('Temp Hisfa'!U$3:U$200)-MIN(ROW('Temp Hisfa'!U$3:U$200))+1), ROW(48:247))),"")</f>
        <v>0</v>
      </c>
      <c r="V50" s="22">
        <f t="array" ref="V50">IFERROR(INDEX('Temp Hisfa'!V$3:V$200, SMALL(IF(ISERROR('Temp Hisfa'!V$3:V$200), "", ROW('Temp Hisfa'!V$3:V$200)-MIN(ROW('Temp Hisfa'!V$3:V$200))+1), ROW(48:247))),"")</f>
        <v>0</v>
      </c>
      <c r="W50" s="22">
        <f t="array" ref="W50">IFERROR(INDEX('Temp Hisfa'!W$3:W$200, SMALL(IF(ISERROR('Temp Hisfa'!W$3:W$200), "", ROW('Temp Hisfa'!W$3:W$200)-MIN(ROW('Temp Hisfa'!W$3:W$200))+1), ROW(48:247))),"")</f>
        <v>0</v>
      </c>
      <c r="X50" s="22">
        <f t="array" ref="X50">IFERROR(INDEX('Temp Hisfa'!X$3:X$200, SMALL(IF(ISERROR('Temp Hisfa'!X$3:X$200), "", ROW('Temp Hisfa'!X$3:X$200)-MIN(ROW('Temp Hisfa'!X$3:X$200))+1), ROW(48:247))),"")</f>
        <v>0</v>
      </c>
      <c r="Y50" s="22">
        <f t="array" ref="Y50">IFERROR(INDEX('Temp Hisfa'!Y$3:Y$200, SMALL(IF(ISERROR('Temp Hisfa'!Y$3:Y$200), "", ROW('Temp Hisfa'!Y$3:Y$200)-MIN(ROW('Temp Hisfa'!Y$3:Y$200))+1), ROW(48:247))),"")</f>
        <v>0</v>
      </c>
      <c r="Z50" s="22">
        <f t="array" ref="Z50">IFERROR(INDEX('Temp Hisfa'!Z$3:Z$200, SMALL(IF(ISERROR('Temp Hisfa'!Z$3:Z$200), "", ROW('Temp Hisfa'!Z$3:Z$200)-MIN(ROW('Temp Hisfa'!Z$3:Z$200))+1), ROW(48:247))),"")</f>
        <v>0</v>
      </c>
      <c r="AA50" s="22">
        <f t="array" ref="AA50">IFERROR(INDEX('Temp Hisfa'!AA$3:AA$200, SMALL(IF(ISERROR('Temp Hisfa'!AA$3:AA$200), "", ROW('Temp Hisfa'!AA$3:AA$200)-MIN(ROW('Temp Hisfa'!AA$3:AA$200))+1), ROW(48:247))),"")</f>
        <v>0</v>
      </c>
      <c r="AB50" s="22">
        <f t="array" ref="AB50">IFERROR(INDEX('Temp Hisfa'!AB$3:AB$200, SMALL(IF(ISERROR('Temp Hisfa'!AB$3:AB$200), "", ROW('Temp Hisfa'!AB$3:AB$200)-MIN(ROW('Temp Hisfa'!AB$3:AB$200))+1), ROW(48:247))),"")</f>
        <v>0</v>
      </c>
    </row>
    <row r="51" spans="1:31" x14ac:dyDescent="0.3">
      <c r="A51" s="22">
        <f t="array" ref="A51">IFERROR(INDEX('Temp Hisfa'!A$3:A$200, SMALL(IF(ISERROR('Temp Hisfa'!A$3:A$200), "", ROW('Temp Hisfa'!A$3:A$200)-MIN(ROW('Temp Hisfa'!A$3:A$200))+1), ROW(49:247))),"")</f>
        <v>0</v>
      </c>
      <c r="B51" s="4">
        <f t="array" ref="B51">IFERROR(INDEX('Temp Hisfa'!B$3:B$200, SMALL(IF(ISERROR('Temp Hisfa'!B$3:B$200), "", ROW('Temp Hisfa'!B$3:B$200)-MIN(ROW('Temp Hisfa'!B$3:B$200))+1), ROW(49:247))),"")</f>
        <v>0</v>
      </c>
      <c r="C51" s="3">
        <f t="array" ref="C51">IFERROR(INDEX('Temp Hisfa'!C$3:C$200, SMALL(IF(ISERROR('Temp Hisfa'!C$3:C$200), "", ROW('Temp Hisfa'!C$3:C$200)-MIN(ROW('Temp Hisfa'!C$3:C$200))+1), ROW(49:247))),"")</f>
        <v>0</v>
      </c>
      <c r="D51" s="3">
        <f t="array" ref="D51">IFERROR(INDEX('Temp Hisfa'!D$3:D$200, SMALL(IF(ISERROR('Temp Hisfa'!D$3:D$200), "", ROW('Temp Hisfa'!D$3:D$200)-MIN(ROW('Temp Hisfa'!D$3:D$200))+1), ROW(49:247))),"")</f>
        <v>0</v>
      </c>
      <c r="E51" s="29">
        <f t="array" ref="E51">IFERROR(INDEX('Temp Hisfa'!E$3:E$200, SMALL(IF(ISERROR('Temp Hisfa'!E$3:E$200), "", ROW('Temp Hisfa'!E$3:E$200)-MIN(ROW('Temp Hisfa'!E$3:E$200))+1), ROW(49:248))),"")</f>
        <v>0</v>
      </c>
      <c r="F51" s="22">
        <f t="array" ref="F51">IFERROR(INDEX('Temp Hisfa'!F$3:F$200, SMALL(IF(ISERROR('Temp Hisfa'!F$3:F$200), "", ROW('Temp Hisfa'!F$3:F$200)-MIN(ROW('Temp Hisfa'!F$3:F$200))+1), ROW(49:248))),"")</f>
        <v>0</v>
      </c>
      <c r="G51" s="30">
        <f t="array" ref="G51">IFERROR(INDEX('Temp Hisfa'!G$3:G$200, SMALL(IF(ISERROR('Temp Hisfa'!G$3:G$200), "", ROW('Temp Hisfa'!G$3:G$200)-MIN(ROW('Temp Hisfa'!G$3:G$200))+1), ROW(49:248))),"")</f>
        <v>0</v>
      </c>
      <c r="H51" s="22">
        <f t="array" ref="H51">IFERROR(INDEX('Temp Hisfa'!H$3:H$200, SMALL(IF(ISERROR('Temp Hisfa'!H$3:H$200), "", ROW('Temp Hisfa'!H$3:H$200)-MIN(ROW('Temp Hisfa'!H$3:H$200))+1), ROW(49:248))),"")</f>
        <v>0</v>
      </c>
      <c r="I51" s="22">
        <f t="array" ref="I51">IFERROR(INDEX('Temp Hisfa'!I$3:I$200, SMALL(IF(ISERROR('Temp Hisfa'!I$3:I$200), "", ROW('Temp Hisfa'!I$3:I$200)-MIN(ROW('Temp Hisfa'!I$3:I$200))+1), ROW(49:248))),"")</f>
        <v>0</v>
      </c>
      <c r="J51" s="22">
        <f t="array" ref="J51">IFERROR(INDEX('Temp Hisfa'!J$3:J$200, SMALL(IF(ISERROR('Temp Hisfa'!J$3:J$200), "", ROW('Temp Hisfa'!J$3:J$200)-MIN(ROW('Temp Hisfa'!J$3:J$200))+1), ROW(49:248))),"")</f>
        <v>0</v>
      </c>
      <c r="K51" s="30">
        <f t="array" ref="K51">IFERROR(INDEX('Temp Hisfa'!K$3:K$200, SMALL(IF(ISERROR('Temp Hisfa'!K$3:K$200), "", ROW('Temp Hisfa'!K$3:K$200)-MIN(ROW('Temp Hisfa'!K$3:K$200))+1), ROW(49:248))),"")</f>
        <v>0</v>
      </c>
      <c r="L51" s="22">
        <f t="array" ref="L51">IFERROR(INDEX('Temp Hisfa'!L$3:L$200, SMALL(IF(ISERROR('Temp Hisfa'!L$3:L$200), "", ROW('Temp Hisfa'!L$3:L$200)-MIN(ROW('Temp Hisfa'!L$3:L$200))+1), ROW(49:248))),"")</f>
        <v>0</v>
      </c>
      <c r="M51" s="22">
        <f t="array" ref="M51">IFERROR(INDEX('Temp Hisfa'!M$3:M$200, SMALL(IF(ISERROR('Temp Hisfa'!M$3:M$200), "", ROW('Temp Hisfa'!M$3:M$200)-MIN(ROW('Temp Hisfa'!M$3:M$200))+1), ROW(49:248))),"")</f>
        <v>0</v>
      </c>
      <c r="N51" s="22">
        <f t="array" ref="N51">IFERROR(INDEX('Temp Hisfa'!N$3:N$200, SMALL(IF(ISERROR('Temp Hisfa'!N$3:N$200), "", ROW('Temp Hisfa'!N$3:N$200)-MIN(ROW('Temp Hisfa'!N$3:N$200))+1), ROW(49:248))),"")</f>
        <v>1900</v>
      </c>
      <c r="O51" s="22" t="str">
        <f t="array" ref="O51">IFERROR(INDEX('Temp Hisfa'!O$3:O$200, SMALL(IF(ISERROR('Temp Hisfa'!O$3:O$200), "", ROW('Temp Hisfa'!O$3:O$200)-MIN(ROW('Temp Hisfa'!O$3:O$200))+1), ROW(49:248))),"")</f>
        <v>enero</v>
      </c>
      <c r="P51" s="22">
        <f t="array" ref="P51">IFERROR(INDEX('Temp Hisfa'!P$3:P$200, SMALL(IF(ISERROR('Temp Hisfa'!P$3:P$200), "", ROW('Temp Hisfa'!P$3:P$200)-MIN(ROW('Temp Hisfa'!P$3:P$200))+1), ROW(49:248))),"")</f>
        <v>0</v>
      </c>
      <c r="Q51" s="22">
        <f t="array" ref="Q51">IFERROR(INDEX('Temp Hisfa'!Q$3:Q$200, SMALL(IF(ISERROR('Temp Hisfa'!Q$3:Q$200), "", ROW('Temp Hisfa'!Q$3:Q$200)-MIN(ROW('Temp Hisfa'!Q$3:Q$200))+1), ROW(49:248))),"")</f>
        <v>0</v>
      </c>
      <c r="R51" s="22">
        <f t="array" ref="R51">IFERROR(INDEX('Temp Hisfa'!R$3:R$200, SMALL(IF(ISERROR('Temp Hisfa'!R$3:R$200), "", ROW('Temp Hisfa'!R$3:R$200)-MIN(ROW('Temp Hisfa'!R$3:R$200))+1), ROW(49:248))),"")</f>
        <v>0</v>
      </c>
      <c r="S51" s="22">
        <f t="array" ref="S51">IFERROR(INDEX('Temp Hisfa'!S$3:S$200, SMALL(IF(ISERROR('Temp Hisfa'!S$3:S$200), "", ROW('Temp Hisfa'!S$3:S$200)-MIN(ROW('Temp Hisfa'!S$3:S$200))+1), ROW(49:248))),"")</f>
        <v>0</v>
      </c>
      <c r="T51" s="22">
        <f t="array" ref="T51">IFERROR(INDEX('Temp Hisfa'!T$3:T$200, SMALL(IF(ISERROR('Temp Hisfa'!T$3:T$200), "", ROW('Temp Hisfa'!T$3:T$200)-MIN(ROW('Temp Hisfa'!T$3:T$200))+1), ROW(49:248))),"")</f>
        <v>0</v>
      </c>
      <c r="U51" s="22">
        <f t="array" ref="U51">IFERROR(INDEX('Temp Hisfa'!U$3:U$200, SMALL(IF(ISERROR('Temp Hisfa'!U$3:U$200), "", ROW('Temp Hisfa'!U$3:U$200)-MIN(ROW('Temp Hisfa'!U$3:U$200))+1), ROW(49:248))),"")</f>
        <v>0</v>
      </c>
      <c r="V51" s="22">
        <f t="array" ref="V51">IFERROR(INDEX('Temp Hisfa'!V$3:V$200, SMALL(IF(ISERROR('Temp Hisfa'!V$3:V$200), "", ROW('Temp Hisfa'!V$3:V$200)-MIN(ROW('Temp Hisfa'!V$3:V$200))+1), ROW(49:248))),"")</f>
        <v>0</v>
      </c>
      <c r="W51" s="22">
        <f t="array" ref="W51">IFERROR(INDEX('Temp Hisfa'!W$3:W$200, SMALL(IF(ISERROR('Temp Hisfa'!W$3:W$200), "", ROW('Temp Hisfa'!W$3:W$200)-MIN(ROW('Temp Hisfa'!W$3:W$200))+1), ROW(49:248))),"")</f>
        <v>0</v>
      </c>
      <c r="X51" s="22">
        <f t="array" ref="X51">IFERROR(INDEX('Temp Hisfa'!X$3:X$200, SMALL(IF(ISERROR('Temp Hisfa'!X$3:X$200), "", ROW('Temp Hisfa'!X$3:X$200)-MIN(ROW('Temp Hisfa'!X$3:X$200))+1), ROW(49:248))),"")</f>
        <v>0</v>
      </c>
      <c r="Y51" s="22">
        <f t="array" ref="Y51">IFERROR(INDEX('Temp Hisfa'!Y$3:Y$200, SMALL(IF(ISERROR('Temp Hisfa'!Y$3:Y$200), "", ROW('Temp Hisfa'!Y$3:Y$200)-MIN(ROW('Temp Hisfa'!Y$3:Y$200))+1), ROW(49:248))),"")</f>
        <v>0</v>
      </c>
      <c r="Z51" s="22">
        <f t="array" ref="Z51">IFERROR(INDEX('Temp Hisfa'!Z$3:Z$200, SMALL(IF(ISERROR('Temp Hisfa'!Z$3:Z$200), "", ROW('Temp Hisfa'!Z$3:Z$200)-MIN(ROW('Temp Hisfa'!Z$3:Z$200))+1), ROW(49:248))),"")</f>
        <v>0</v>
      </c>
      <c r="AA51" s="22">
        <f t="array" ref="AA51">IFERROR(INDEX('Temp Hisfa'!AA$3:AA$200, SMALL(IF(ISERROR('Temp Hisfa'!AA$3:AA$200), "", ROW('Temp Hisfa'!AA$3:AA$200)-MIN(ROW('Temp Hisfa'!AA$3:AA$200))+1), ROW(49:248))),"")</f>
        <v>0</v>
      </c>
      <c r="AB51" s="22">
        <f t="array" ref="AB51">IFERROR(INDEX('Temp Hisfa'!AB$3:AB$200, SMALL(IF(ISERROR('Temp Hisfa'!AB$3:AB$200), "", ROW('Temp Hisfa'!AB$3:AB$200)-MIN(ROW('Temp Hisfa'!AB$3:AB$200))+1), ROW(49:248))),"")</f>
        <v>0</v>
      </c>
    </row>
    <row r="52" spans="1:31" x14ac:dyDescent="0.3">
      <c r="A52" s="22">
        <f t="array" ref="A52">IFERROR(INDEX('Temp Hisfa'!A$3:A$200, SMALL(IF(ISERROR('Temp Hisfa'!A$3:A$200), "", ROW('Temp Hisfa'!A$3:A$200)-MIN(ROW('Temp Hisfa'!A$3:A$200))+1), ROW(50:248))),"")</f>
        <v>0</v>
      </c>
      <c r="B52" s="4">
        <f t="array" ref="B52">IFERROR(INDEX('Temp Hisfa'!B$3:B$200, SMALL(IF(ISERROR('Temp Hisfa'!B$3:B$200), "", ROW('Temp Hisfa'!B$3:B$200)-MIN(ROW('Temp Hisfa'!B$3:B$200))+1), ROW(50:248))),"")</f>
        <v>0</v>
      </c>
      <c r="C52" s="3">
        <f t="array" ref="C52">IFERROR(INDEX('Temp Hisfa'!C$3:C$200, SMALL(IF(ISERROR('Temp Hisfa'!C$3:C$200), "", ROW('Temp Hisfa'!C$3:C$200)-MIN(ROW('Temp Hisfa'!C$3:C$200))+1), ROW(50:248))),"")</f>
        <v>0</v>
      </c>
      <c r="D52" s="3">
        <f t="array" ref="D52">IFERROR(INDEX('Temp Hisfa'!D$3:D$200, SMALL(IF(ISERROR('Temp Hisfa'!D$3:D$200), "", ROW('Temp Hisfa'!D$3:D$200)-MIN(ROW('Temp Hisfa'!D$3:D$200))+1), ROW(50:248))),"")</f>
        <v>0</v>
      </c>
      <c r="E52" s="29">
        <f t="array" ref="E52">IFERROR(INDEX('Temp Hisfa'!E$3:E$200, SMALL(IF(ISERROR('Temp Hisfa'!E$3:E$200), "", ROW('Temp Hisfa'!E$3:E$200)-MIN(ROW('Temp Hisfa'!E$3:E$200))+1), ROW(50:249))),"")</f>
        <v>0</v>
      </c>
      <c r="F52" s="22">
        <f t="array" ref="F52">IFERROR(INDEX('Temp Hisfa'!F$3:F$200, SMALL(IF(ISERROR('Temp Hisfa'!F$3:F$200), "", ROW('Temp Hisfa'!F$3:F$200)-MIN(ROW('Temp Hisfa'!F$3:F$200))+1), ROW(50:249))),"")</f>
        <v>0</v>
      </c>
      <c r="G52" s="30">
        <f t="array" ref="G52">IFERROR(INDEX('Temp Hisfa'!G$3:G$200, SMALL(IF(ISERROR('Temp Hisfa'!G$3:G$200), "", ROW('Temp Hisfa'!G$3:G$200)-MIN(ROW('Temp Hisfa'!G$3:G$200))+1), ROW(50:249))),"")</f>
        <v>0</v>
      </c>
      <c r="H52" s="22">
        <f t="array" ref="H52">IFERROR(INDEX('Temp Hisfa'!H$3:H$200, SMALL(IF(ISERROR('Temp Hisfa'!H$3:H$200), "", ROW('Temp Hisfa'!H$3:H$200)-MIN(ROW('Temp Hisfa'!H$3:H$200))+1), ROW(50:249))),"")</f>
        <v>0</v>
      </c>
      <c r="I52" s="22">
        <f t="array" ref="I52">IFERROR(INDEX('Temp Hisfa'!I$3:I$200, SMALL(IF(ISERROR('Temp Hisfa'!I$3:I$200), "", ROW('Temp Hisfa'!I$3:I$200)-MIN(ROW('Temp Hisfa'!I$3:I$200))+1), ROW(50:249))),"")</f>
        <v>0</v>
      </c>
      <c r="J52" s="22">
        <f t="array" ref="J52">IFERROR(INDEX('Temp Hisfa'!J$3:J$200, SMALL(IF(ISERROR('Temp Hisfa'!J$3:J$200), "", ROW('Temp Hisfa'!J$3:J$200)-MIN(ROW('Temp Hisfa'!J$3:J$200))+1), ROW(50:249))),"")</f>
        <v>0</v>
      </c>
      <c r="K52" s="30">
        <f t="array" ref="K52">IFERROR(INDEX('Temp Hisfa'!K$3:K$200, SMALL(IF(ISERROR('Temp Hisfa'!K$3:K$200), "", ROW('Temp Hisfa'!K$3:K$200)-MIN(ROW('Temp Hisfa'!K$3:K$200))+1), ROW(50:249))),"")</f>
        <v>0</v>
      </c>
      <c r="L52" s="22">
        <f t="array" ref="L52">IFERROR(INDEX('Temp Hisfa'!L$3:L$200, SMALL(IF(ISERROR('Temp Hisfa'!L$3:L$200), "", ROW('Temp Hisfa'!L$3:L$200)-MIN(ROW('Temp Hisfa'!L$3:L$200))+1), ROW(50:249))),"")</f>
        <v>0</v>
      </c>
      <c r="M52" s="22">
        <f t="array" ref="M52">IFERROR(INDEX('Temp Hisfa'!M$3:M$200, SMALL(IF(ISERROR('Temp Hisfa'!M$3:M$200), "", ROW('Temp Hisfa'!M$3:M$200)-MIN(ROW('Temp Hisfa'!M$3:M$200))+1), ROW(50:249))),"")</f>
        <v>0</v>
      </c>
      <c r="N52" s="22">
        <f t="array" ref="N52">IFERROR(INDEX('Temp Hisfa'!N$3:N$200, SMALL(IF(ISERROR('Temp Hisfa'!N$3:N$200), "", ROW('Temp Hisfa'!N$3:N$200)-MIN(ROW('Temp Hisfa'!N$3:N$200))+1), ROW(50:249))),"")</f>
        <v>1900</v>
      </c>
      <c r="O52" s="22" t="str">
        <f t="array" ref="O52">IFERROR(INDEX('Temp Hisfa'!O$3:O$200, SMALL(IF(ISERROR('Temp Hisfa'!O$3:O$200), "", ROW('Temp Hisfa'!O$3:O$200)-MIN(ROW('Temp Hisfa'!O$3:O$200))+1), ROW(50:249))),"")</f>
        <v>enero</v>
      </c>
      <c r="P52" s="22">
        <f t="array" ref="P52">IFERROR(INDEX('Temp Hisfa'!P$3:P$200, SMALL(IF(ISERROR('Temp Hisfa'!P$3:P$200), "", ROW('Temp Hisfa'!P$3:P$200)-MIN(ROW('Temp Hisfa'!P$3:P$200))+1), ROW(50:249))),"")</f>
        <v>0</v>
      </c>
      <c r="Q52" s="22">
        <f t="array" ref="Q52">IFERROR(INDEX('Temp Hisfa'!Q$3:Q$200, SMALL(IF(ISERROR('Temp Hisfa'!Q$3:Q$200), "", ROW('Temp Hisfa'!Q$3:Q$200)-MIN(ROW('Temp Hisfa'!Q$3:Q$200))+1), ROW(50:249))),"")</f>
        <v>0</v>
      </c>
      <c r="R52" s="22">
        <f t="array" ref="R52">IFERROR(INDEX('Temp Hisfa'!R$3:R$200, SMALL(IF(ISERROR('Temp Hisfa'!R$3:R$200), "", ROW('Temp Hisfa'!R$3:R$200)-MIN(ROW('Temp Hisfa'!R$3:R$200))+1), ROW(50:249))),"")</f>
        <v>0</v>
      </c>
      <c r="S52" s="22">
        <f t="array" ref="S52">IFERROR(INDEX('Temp Hisfa'!S$3:S$200, SMALL(IF(ISERROR('Temp Hisfa'!S$3:S$200), "", ROW('Temp Hisfa'!S$3:S$200)-MIN(ROW('Temp Hisfa'!S$3:S$200))+1), ROW(50:249))),"")</f>
        <v>0</v>
      </c>
      <c r="T52" s="22">
        <f t="array" ref="T52">IFERROR(INDEX('Temp Hisfa'!T$3:T$200, SMALL(IF(ISERROR('Temp Hisfa'!T$3:T$200), "", ROW('Temp Hisfa'!T$3:T$200)-MIN(ROW('Temp Hisfa'!T$3:T$200))+1), ROW(50:249))),"")</f>
        <v>0</v>
      </c>
      <c r="U52" s="22">
        <f t="array" ref="U52">IFERROR(INDEX('Temp Hisfa'!U$3:U$200, SMALL(IF(ISERROR('Temp Hisfa'!U$3:U$200), "", ROW('Temp Hisfa'!U$3:U$200)-MIN(ROW('Temp Hisfa'!U$3:U$200))+1), ROW(50:249))),"")</f>
        <v>0</v>
      </c>
      <c r="V52" s="22">
        <f t="array" ref="V52">IFERROR(INDEX('Temp Hisfa'!V$3:V$200, SMALL(IF(ISERROR('Temp Hisfa'!V$3:V$200), "", ROW('Temp Hisfa'!V$3:V$200)-MIN(ROW('Temp Hisfa'!V$3:V$200))+1), ROW(50:249))),"")</f>
        <v>0</v>
      </c>
      <c r="W52" s="22">
        <f t="array" ref="W52">IFERROR(INDEX('Temp Hisfa'!W$3:W$200, SMALL(IF(ISERROR('Temp Hisfa'!W$3:W$200), "", ROW('Temp Hisfa'!W$3:W$200)-MIN(ROW('Temp Hisfa'!W$3:W$200))+1), ROW(50:249))),"")</f>
        <v>0</v>
      </c>
      <c r="X52" s="22">
        <f t="array" ref="X52">IFERROR(INDEX('Temp Hisfa'!X$3:X$200, SMALL(IF(ISERROR('Temp Hisfa'!X$3:X$200), "", ROW('Temp Hisfa'!X$3:X$200)-MIN(ROW('Temp Hisfa'!X$3:X$200))+1), ROW(50:249))),"")</f>
        <v>0</v>
      </c>
      <c r="Y52" s="22">
        <f t="array" ref="Y52">IFERROR(INDEX('Temp Hisfa'!Y$3:Y$200, SMALL(IF(ISERROR('Temp Hisfa'!Y$3:Y$200), "", ROW('Temp Hisfa'!Y$3:Y$200)-MIN(ROW('Temp Hisfa'!Y$3:Y$200))+1), ROW(50:249))),"")</f>
        <v>0</v>
      </c>
      <c r="Z52" s="22">
        <f t="array" ref="Z52">IFERROR(INDEX('Temp Hisfa'!Z$3:Z$200, SMALL(IF(ISERROR('Temp Hisfa'!Z$3:Z$200), "", ROW('Temp Hisfa'!Z$3:Z$200)-MIN(ROW('Temp Hisfa'!Z$3:Z$200))+1), ROW(50:249))),"")</f>
        <v>0</v>
      </c>
      <c r="AA52" s="22">
        <f t="array" ref="AA52">IFERROR(INDEX('Temp Hisfa'!AA$3:AA$200, SMALL(IF(ISERROR('Temp Hisfa'!AA$3:AA$200), "", ROW('Temp Hisfa'!AA$3:AA$200)-MIN(ROW('Temp Hisfa'!AA$3:AA$200))+1), ROW(50:249))),"")</f>
        <v>0</v>
      </c>
      <c r="AB52" s="22">
        <f t="array" ref="AB52">IFERROR(INDEX('Temp Hisfa'!AB$3:AB$200, SMALL(IF(ISERROR('Temp Hisfa'!AB$3:AB$200), "", ROW('Temp Hisfa'!AB$3:AB$200)-MIN(ROW('Temp Hisfa'!AB$3:AB$200))+1), ROW(50:249))),"")</f>
        <v>0</v>
      </c>
    </row>
    <row r="53" spans="1:31" x14ac:dyDescent="0.3">
      <c r="A53" s="4">
        <f t="array" ref="A53">IFERROR(INDEX('Temp Hisfa'!A$3:A$200, SMALL(IF(ISERROR('Temp Hisfa'!A$3:A$200), "", ROW('Temp Hisfa'!A$3:A$200)-MIN(ROW('Temp Hisfa'!A$3:A$200))+1), ROW(51:249))),"")</f>
        <v>0</v>
      </c>
      <c r="B53" s="4">
        <f t="array" ref="B53">IFERROR(INDEX('Temp Hisfa'!B$3:B$200, SMALL(IF(ISERROR('Temp Hisfa'!B$3:B$200), "", ROW('Temp Hisfa'!B$3:B$200)-MIN(ROW('Temp Hisfa'!B$3:B$200))+1), ROW(51:249))),"")</f>
        <v>0</v>
      </c>
      <c r="C53" s="3">
        <f t="array" ref="C53">IFERROR(INDEX('Temp Hisfa'!C$3:C$200, SMALL(IF(ISERROR('Temp Hisfa'!C$3:C$200), "", ROW('Temp Hisfa'!C$3:C$200)-MIN(ROW('Temp Hisfa'!C$3:C$200))+1), ROW(51:249))),"")</f>
        <v>0</v>
      </c>
      <c r="D53" s="3">
        <f t="array" ref="D53">IFERROR(INDEX('Temp Hisfa'!D$3:D$200, SMALL(IF(ISERROR('Temp Hisfa'!D$3:D$200), "", ROW('Temp Hisfa'!D$3:D$200)-MIN(ROW('Temp Hisfa'!D$3:D$200))+1), ROW(51:249))),"")</f>
        <v>0</v>
      </c>
      <c r="E53" s="29">
        <f t="array" ref="E53">IFERROR(INDEX('Temp Hisfa'!E$3:E$200, SMALL(IF(ISERROR('Temp Hisfa'!E$3:E$200), "", ROW('Temp Hisfa'!E$3:E$200)-MIN(ROW('Temp Hisfa'!E$3:E$200))+1), ROW(51:250))),"")</f>
        <v>0</v>
      </c>
      <c r="F53" s="22">
        <f t="array" ref="F53">IFERROR(INDEX('Temp Hisfa'!F$3:F$200, SMALL(IF(ISERROR('Temp Hisfa'!F$3:F$200), "", ROW('Temp Hisfa'!F$3:F$200)-MIN(ROW('Temp Hisfa'!F$3:F$200))+1), ROW(51:250))),"")</f>
        <v>0</v>
      </c>
      <c r="G53" s="30">
        <f t="array" ref="G53">IFERROR(INDEX('Temp Hisfa'!G$3:G$200, SMALL(IF(ISERROR('Temp Hisfa'!G$3:G$200), "", ROW('Temp Hisfa'!G$3:G$200)-MIN(ROW('Temp Hisfa'!G$3:G$200))+1), ROW(51:250))),"")</f>
        <v>0</v>
      </c>
      <c r="H53" s="22">
        <f t="array" ref="H53">IFERROR(INDEX('Temp Hisfa'!H$3:H$200, SMALL(IF(ISERROR('Temp Hisfa'!H$3:H$200), "", ROW('Temp Hisfa'!H$3:H$200)-MIN(ROW('Temp Hisfa'!H$3:H$200))+1), ROW(51:250))),"")</f>
        <v>0</v>
      </c>
      <c r="I53" s="22">
        <f t="array" ref="I53">IFERROR(INDEX('Temp Hisfa'!I$3:I$200, SMALL(IF(ISERROR('Temp Hisfa'!I$3:I$200), "", ROW('Temp Hisfa'!I$3:I$200)-MIN(ROW('Temp Hisfa'!I$3:I$200))+1), ROW(51:250))),"")</f>
        <v>0</v>
      </c>
      <c r="J53" s="22">
        <f t="array" ref="J53">IFERROR(INDEX('Temp Hisfa'!J$3:J$200, SMALL(IF(ISERROR('Temp Hisfa'!J$3:J$200), "", ROW('Temp Hisfa'!J$3:J$200)-MIN(ROW('Temp Hisfa'!J$3:J$200))+1), ROW(51:250))),"")</f>
        <v>0</v>
      </c>
      <c r="K53" s="30">
        <f t="array" ref="K53">IFERROR(INDEX('Temp Hisfa'!K$3:K$200, SMALL(IF(ISERROR('Temp Hisfa'!K$3:K$200), "", ROW('Temp Hisfa'!K$3:K$200)-MIN(ROW('Temp Hisfa'!K$3:K$200))+1), ROW(51:250))),"")</f>
        <v>0</v>
      </c>
      <c r="L53" s="22">
        <f t="array" ref="L53">IFERROR(INDEX('Temp Hisfa'!L$3:L$200, SMALL(IF(ISERROR('Temp Hisfa'!L$3:L$200), "", ROW('Temp Hisfa'!L$3:L$200)-MIN(ROW('Temp Hisfa'!L$3:L$200))+1), ROW(51:250))),"")</f>
        <v>0</v>
      </c>
      <c r="M53" s="22">
        <f t="array" ref="M53">IFERROR(INDEX('Temp Hisfa'!M$3:M$200, SMALL(IF(ISERROR('Temp Hisfa'!M$3:M$200), "", ROW('Temp Hisfa'!M$3:M$200)-MIN(ROW('Temp Hisfa'!M$3:M$200))+1), ROW(51:250))),"")</f>
        <v>0</v>
      </c>
      <c r="N53" s="22">
        <f t="array" ref="N53">IFERROR(INDEX('Temp Hisfa'!N$3:N$200, SMALL(IF(ISERROR('Temp Hisfa'!N$3:N$200), "", ROW('Temp Hisfa'!N$3:N$200)-MIN(ROW('Temp Hisfa'!N$3:N$200))+1), ROW(51:250))),"")</f>
        <v>1900</v>
      </c>
      <c r="O53" s="22" t="str">
        <f t="array" ref="O53">IFERROR(INDEX('Temp Hisfa'!O$3:O$200, SMALL(IF(ISERROR('Temp Hisfa'!O$3:O$200), "", ROW('Temp Hisfa'!O$3:O$200)-MIN(ROW('Temp Hisfa'!O$3:O$200))+1), ROW(51:250))),"")</f>
        <v>enero</v>
      </c>
      <c r="P53" s="22">
        <f t="array" ref="P53">IFERROR(INDEX('Temp Hisfa'!P$3:P$200, SMALL(IF(ISERROR('Temp Hisfa'!P$3:P$200), "", ROW('Temp Hisfa'!P$3:P$200)-MIN(ROW('Temp Hisfa'!P$3:P$200))+1), ROW(51:250))),"")</f>
        <v>0</v>
      </c>
      <c r="Q53" s="22">
        <f t="array" ref="Q53">IFERROR(INDEX('Temp Hisfa'!Q$3:Q$200, SMALL(IF(ISERROR('Temp Hisfa'!Q$3:Q$200), "", ROW('Temp Hisfa'!Q$3:Q$200)-MIN(ROW('Temp Hisfa'!Q$3:Q$200))+1), ROW(51:250))),"")</f>
        <v>0</v>
      </c>
      <c r="R53" s="22">
        <f t="array" ref="R53">IFERROR(INDEX('Temp Hisfa'!R$3:R$200, SMALL(IF(ISERROR('Temp Hisfa'!R$3:R$200), "", ROW('Temp Hisfa'!R$3:R$200)-MIN(ROW('Temp Hisfa'!R$3:R$200))+1), ROW(51:250))),"")</f>
        <v>0</v>
      </c>
      <c r="S53" s="22">
        <f t="array" ref="S53">IFERROR(INDEX('Temp Hisfa'!S$3:S$200, SMALL(IF(ISERROR('Temp Hisfa'!S$3:S$200), "", ROW('Temp Hisfa'!S$3:S$200)-MIN(ROW('Temp Hisfa'!S$3:S$200))+1), ROW(51:250))),"")</f>
        <v>0</v>
      </c>
      <c r="T53" s="22">
        <f t="array" ref="T53">IFERROR(INDEX('Temp Hisfa'!T$3:T$200, SMALL(IF(ISERROR('Temp Hisfa'!T$3:T$200), "", ROW('Temp Hisfa'!T$3:T$200)-MIN(ROW('Temp Hisfa'!T$3:T$200))+1), ROW(51:250))),"")</f>
        <v>0</v>
      </c>
      <c r="U53" s="22">
        <f t="array" ref="U53">IFERROR(INDEX('Temp Hisfa'!U$3:U$200, SMALL(IF(ISERROR('Temp Hisfa'!U$3:U$200), "", ROW('Temp Hisfa'!U$3:U$200)-MIN(ROW('Temp Hisfa'!U$3:U$200))+1), ROW(51:250))),"")</f>
        <v>0</v>
      </c>
      <c r="V53" s="22">
        <f t="array" ref="V53">IFERROR(INDEX('Temp Hisfa'!V$3:V$200, SMALL(IF(ISERROR('Temp Hisfa'!V$3:V$200), "", ROW('Temp Hisfa'!V$3:V$200)-MIN(ROW('Temp Hisfa'!V$3:V$200))+1), ROW(51:250))),"")</f>
        <v>0</v>
      </c>
      <c r="W53" s="22">
        <f t="array" ref="W53">IFERROR(INDEX('Temp Hisfa'!W$3:W$200, SMALL(IF(ISERROR('Temp Hisfa'!W$3:W$200), "", ROW('Temp Hisfa'!W$3:W$200)-MIN(ROW('Temp Hisfa'!W$3:W$200))+1), ROW(51:250))),"")</f>
        <v>0</v>
      </c>
      <c r="X53" s="22">
        <f t="array" ref="X53">IFERROR(INDEX('Temp Hisfa'!X$3:X$200, SMALL(IF(ISERROR('Temp Hisfa'!X$3:X$200), "", ROW('Temp Hisfa'!X$3:X$200)-MIN(ROW('Temp Hisfa'!X$3:X$200))+1), ROW(51:250))),"")</f>
        <v>0</v>
      </c>
      <c r="Y53" s="22">
        <f t="array" ref="Y53">IFERROR(INDEX('Temp Hisfa'!Y$3:Y$200, SMALL(IF(ISERROR('Temp Hisfa'!Y$3:Y$200), "", ROW('Temp Hisfa'!Y$3:Y$200)-MIN(ROW('Temp Hisfa'!Y$3:Y$200))+1), ROW(51:250))),"")</f>
        <v>0</v>
      </c>
      <c r="Z53" s="22">
        <f t="array" ref="Z53">IFERROR(INDEX('Temp Hisfa'!Z$3:Z$200, SMALL(IF(ISERROR('Temp Hisfa'!Z$3:Z$200), "", ROW('Temp Hisfa'!Z$3:Z$200)-MIN(ROW('Temp Hisfa'!Z$3:Z$200))+1), ROW(51:250))),"")</f>
        <v>0</v>
      </c>
      <c r="AA53" s="22">
        <f t="array" ref="AA53">IFERROR(INDEX('Temp Hisfa'!AA$3:AA$200, SMALL(IF(ISERROR('Temp Hisfa'!AA$3:AA$200), "", ROW('Temp Hisfa'!AA$3:AA$200)-MIN(ROW('Temp Hisfa'!AA$3:AA$200))+1), ROW(51:250))),"")</f>
        <v>0</v>
      </c>
      <c r="AB53" s="22">
        <f t="array" ref="AB53">IFERROR(INDEX('Temp Hisfa'!AB$3:AB$200, SMALL(IF(ISERROR('Temp Hisfa'!AB$3:AB$200), "", ROW('Temp Hisfa'!AB$3:AB$200)-MIN(ROW('Temp Hisfa'!AB$3:AB$200))+1), ROW(51:250))),"")</f>
        <v>0</v>
      </c>
    </row>
    <row r="54" spans="1:31" x14ac:dyDescent="0.3">
      <c r="A54" s="4">
        <f t="array" ref="A54">IFERROR(INDEX('Temp Hisfa'!A$3:A$200, SMALL(IF(ISERROR('Temp Hisfa'!A$3:A$200), "", ROW('Temp Hisfa'!A$3:A$200)-MIN(ROW('Temp Hisfa'!A$3:A$200))+1), ROW(52:250))),"")</f>
        <v>0</v>
      </c>
      <c r="B54" s="4">
        <f t="array" ref="B54">IFERROR(INDEX('Temp Hisfa'!B$3:B$200, SMALL(IF(ISERROR('Temp Hisfa'!B$3:B$200), "", ROW('Temp Hisfa'!B$3:B$200)-MIN(ROW('Temp Hisfa'!B$3:B$200))+1), ROW(52:250))),"")</f>
        <v>0</v>
      </c>
      <c r="C54" s="3">
        <f t="array" ref="C54">IFERROR(INDEX('Temp Hisfa'!C$3:C$200, SMALL(IF(ISERROR('Temp Hisfa'!C$3:C$200), "", ROW('Temp Hisfa'!C$3:C$200)-MIN(ROW('Temp Hisfa'!C$3:C$200))+1), ROW(52:250))),"")</f>
        <v>0</v>
      </c>
      <c r="D54" s="3">
        <f t="array" ref="D54">IFERROR(INDEX('Temp Hisfa'!D$3:D$200, SMALL(IF(ISERROR('Temp Hisfa'!D$3:D$200), "", ROW('Temp Hisfa'!D$3:D$200)-MIN(ROW('Temp Hisfa'!D$3:D$200))+1), ROW(52:250))),"")</f>
        <v>0</v>
      </c>
      <c r="E54" s="29">
        <f t="array" ref="E54">IFERROR(INDEX('Temp Hisfa'!E$3:E$200, SMALL(IF(ISERROR('Temp Hisfa'!E$3:E$200), "", ROW('Temp Hisfa'!E$3:E$200)-MIN(ROW('Temp Hisfa'!E$3:E$200))+1), ROW(52:251))),"")</f>
        <v>0</v>
      </c>
      <c r="F54" s="22">
        <f t="array" ref="F54">IFERROR(INDEX('Temp Hisfa'!F$3:F$200, SMALL(IF(ISERROR('Temp Hisfa'!F$3:F$200), "", ROW('Temp Hisfa'!F$3:F$200)-MIN(ROW('Temp Hisfa'!F$3:F$200))+1), ROW(52:251))),"")</f>
        <v>0</v>
      </c>
      <c r="G54" s="30">
        <f t="array" ref="G54">IFERROR(INDEX('Temp Hisfa'!G$3:G$200, SMALL(IF(ISERROR('Temp Hisfa'!G$3:G$200), "", ROW('Temp Hisfa'!G$3:G$200)-MIN(ROW('Temp Hisfa'!G$3:G$200))+1), ROW(52:251))),"")</f>
        <v>0</v>
      </c>
      <c r="H54" s="22">
        <f t="array" ref="H54">IFERROR(INDEX('Temp Hisfa'!H$3:H$200, SMALL(IF(ISERROR('Temp Hisfa'!H$3:H$200), "", ROW('Temp Hisfa'!H$3:H$200)-MIN(ROW('Temp Hisfa'!H$3:H$200))+1), ROW(52:251))),"")</f>
        <v>0</v>
      </c>
      <c r="I54" s="22">
        <f t="array" ref="I54">IFERROR(INDEX('Temp Hisfa'!I$3:I$200, SMALL(IF(ISERROR('Temp Hisfa'!I$3:I$200), "", ROW('Temp Hisfa'!I$3:I$200)-MIN(ROW('Temp Hisfa'!I$3:I$200))+1), ROW(52:251))),"")</f>
        <v>0</v>
      </c>
      <c r="J54" s="22">
        <f t="array" ref="J54">IFERROR(INDEX('Temp Hisfa'!J$3:J$200, SMALL(IF(ISERROR('Temp Hisfa'!J$3:J$200), "", ROW('Temp Hisfa'!J$3:J$200)-MIN(ROW('Temp Hisfa'!J$3:J$200))+1), ROW(52:251))),"")</f>
        <v>0</v>
      </c>
      <c r="K54" s="30">
        <f t="array" ref="K54">IFERROR(INDEX('Temp Hisfa'!K$3:K$200, SMALL(IF(ISERROR('Temp Hisfa'!K$3:K$200), "", ROW('Temp Hisfa'!K$3:K$200)-MIN(ROW('Temp Hisfa'!K$3:K$200))+1), ROW(52:251))),"")</f>
        <v>0</v>
      </c>
      <c r="L54" s="22">
        <f t="array" ref="L54">IFERROR(INDEX('Temp Hisfa'!L$3:L$200, SMALL(IF(ISERROR('Temp Hisfa'!L$3:L$200), "", ROW('Temp Hisfa'!L$3:L$200)-MIN(ROW('Temp Hisfa'!L$3:L$200))+1), ROW(52:251))),"")</f>
        <v>0</v>
      </c>
      <c r="M54" s="22">
        <f t="array" ref="M54">IFERROR(INDEX('Temp Hisfa'!M$3:M$200, SMALL(IF(ISERROR('Temp Hisfa'!M$3:M$200), "", ROW('Temp Hisfa'!M$3:M$200)-MIN(ROW('Temp Hisfa'!M$3:M$200))+1), ROW(52:251))),"")</f>
        <v>0</v>
      </c>
      <c r="N54" s="22">
        <f t="array" ref="N54">IFERROR(INDEX('Temp Hisfa'!N$3:N$200, SMALL(IF(ISERROR('Temp Hisfa'!N$3:N$200), "", ROW('Temp Hisfa'!N$3:N$200)-MIN(ROW('Temp Hisfa'!N$3:N$200))+1), ROW(52:251))),"")</f>
        <v>1900</v>
      </c>
      <c r="O54" s="22" t="str">
        <f t="array" ref="O54">IFERROR(INDEX('Temp Hisfa'!O$3:O$200, SMALL(IF(ISERROR('Temp Hisfa'!O$3:O$200), "", ROW('Temp Hisfa'!O$3:O$200)-MIN(ROW('Temp Hisfa'!O$3:O$200))+1), ROW(52:251))),"")</f>
        <v>enero</v>
      </c>
      <c r="P54" s="22">
        <f t="array" ref="P54">IFERROR(INDEX('Temp Hisfa'!P$3:P$200, SMALL(IF(ISERROR('Temp Hisfa'!P$3:P$200), "", ROW('Temp Hisfa'!P$3:P$200)-MIN(ROW('Temp Hisfa'!P$3:P$200))+1), ROW(52:251))),"")</f>
        <v>0</v>
      </c>
      <c r="Q54" s="22">
        <f t="array" ref="Q54">IFERROR(INDEX('Temp Hisfa'!Q$3:Q$200, SMALL(IF(ISERROR('Temp Hisfa'!Q$3:Q$200), "", ROW('Temp Hisfa'!Q$3:Q$200)-MIN(ROW('Temp Hisfa'!Q$3:Q$200))+1), ROW(52:251))),"")</f>
        <v>0</v>
      </c>
      <c r="R54" s="22">
        <f t="array" ref="R54">IFERROR(INDEX('Temp Hisfa'!R$3:R$200, SMALL(IF(ISERROR('Temp Hisfa'!R$3:R$200), "", ROW('Temp Hisfa'!R$3:R$200)-MIN(ROW('Temp Hisfa'!R$3:R$200))+1), ROW(52:251))),"")</f>
        <v>0</v>
      </c>
      <c r="S54" s="22">
        <f t="array" ref="S54">IFERROR(INDEX('Temp Hisfa'!S$3:S$200, SMALL(IF(ISERROR('Temp Hisfa'!S$3:S$200), "", ROW('Temp Hisfa'!S$3:S$200)-MIN(ROW('Temp Hisfa'!S$3:S$200))+1), ROW(52:251))),"")</f>
        <v>0</v>
      </c>
      <c r="T54" s="22">
        <f t="array" ref="T54">IFERROR(INDEX('Temp Hisfa'!T$3:T$200, SMALL(IF(ISERROR('Temp Hisfa'!T$3:T$200), "", ROW('Temp Hisfa'!T$3:T$200)-MIN(ROW('Temp Hisfa'!T$3:T$200))+1), ROW(52:251))),"")</f>
        <v>0</v>
      </c>
      <c r="U54" s="22">
        <f t="array" ref="U54">IFERROR(INDEX('Temp Hisfa'!U$3:U$200, SMALL(IF(ISERROR('Temp Hisfa'!U$3:U$200), "", ROW('Temp Hisfa'!U$3:U$200)-MIN(ROW('Temp Hisfa'!U$3:U$200))+1), ROW(52:251))),"")</f>
        <v>0</v>
      </c>
      <c r="V54" s="22">
        <f t="array" ref="V54">IFERROR(INDEX('Temp Hisfa'!V$3:V$200, SMALL(IF(ISERROR('Temp Hisfa'!V$3:V$200), "", ROW('Temp Hisfa'!V$3:V$200)-MIN(ROW('Temp Hisfa'!V$3:V$200))+1), ROW(52:251))),"")</f>
        <v>0</v>
      </c>
      <c r="W54" s="22">
        <f t="array" ref="W54">IFERROR(INDEX('Temp Hisfa'!W$3:W$200, SMALL(IF(ISERROR('Temp Hisfa'!W$3:W$200), "", ROW('Temp Hisfa'!W$3:W$200)-MIN(ROW('Temp Hisfa'!W$3:W$200))+1), ROW(52:251))),"")</f>
        <v>0</v>
      </c>
      <c r="X54" s="22">
        <f t="array" ref="X54">IFERROR(INDEX('Temp Hisfa'!X$3:X$200, SMALL(IF(ISERROR('Temp Hisfa'!X$3:X$200), "", ROW('Temp Hisfa'!X$3:X$200)-MIN(ROW('Temp Hisfa'!X$3:X$200))+1), ROW(52:251))),"")</f>
        <v>0</v>
      </c>
      <c r="Y54" s="22">
        <f t="array" ref="Y54">IFERROR(INDEX('Temp Hisfa'!Y$3:Y$200, SMALL(IF(ISERROR('Temp Hisfa'!Y$3:Y$200), "", ROW('Temp Hisfa'!Y$3:Y$200)-MIN(ROW('Temp Hisfa'!Y$3:Y$200))+1), ROW(52:251))),"")</f>
        <v>0</v>
      </c>
      <c r="Z54" s="22">
        <f t="array" ref="Z54">IFERROR(INDEX('Temp Hisfa'!Z$3:Z$200, SMALL(IF(ISERROR('Temp Hisfa'!Z$3:Z$200), "", ROW('Temp Hisfa'!Z$3:Z$200)-MIN(ROW('Temp Hisfa'!Z$3:Z$200))+1), ROW(52:251))),"")</f>
        <v>0</v>
      </c>
      <c r="AA54" s="22">
        <f t="array" ref="AA54">IFERROR(INDEX('Temp Hisfa'!AA$3:AA$200, SMALL(IF(ISERROR('Temp Hisfa'!AA$3:AA$200), "", ROW('Temp Hisfa'!AA$3:AA$200)-MIN(ROW('Temp Hisfa'!AA$3:AA$200))+1), ROW(52:251))),"")</f>
        <v>0</v>
      </c>
      <c r="AB54" s="22">
        <f t="array" ref="AB54">IFERROR(INDEX('Temp Hisfa'!AB$3:AB$200, SMALL(IF(ISERROR('Temp Hisfa'!AB$3:AB$200), "", ROW('Temp Hisfa'!AB$3:AB$200)-MIN(ROW('Temp Hisfa'!AB$3:AB$200))+1), ROW(52:251))),"")</f>
        <v>0</v>
      </c>
    </row>
    <row r="55" spans="1:31" x14ac:dyDescent="0.3">
      <c r="A55" s="4">
        <f t="array" ref="A55">IFERROR(INDEX('Temp Hisfa'!A$3:A$200, SMALL(IF(ISERROR('Temp Hisfa'!A$3:A$200), "", ROW('Temp Hisfa'!A$3:A$200)-MIN(ROW('Temp Hisfa'!A$3:A$200))+1), ROW(53:251))),"")</f>
        <v>0</v>
      </c>
      <c r="B55" s="4">
        <f t="array" ref="B55">IFERROR(INDEX('Temp Hisfa'!B$3:B$200, SMALL(IF(ISERROR('Temp Hisfa'!B$3:B$200), "", ROW('Temp Hisfa'!B$3:B$200)-MIN(ROW('Temp Hisfa'!B$3:B$200))+1), ROW(53:251))),"")</f>
        <v>0</v>
      </c>
      <c r="C55" s="3">
        <f t="array" ref="C55">IFERROR(INDEX('Temp Hisfa'!C$3:C$200, SMALL(IF(ISERROR('Temp Hisfa'!C$3:C$200), "", ROW('Temp Hisfa'!C$3:C$200)-MIN(ROW('Temp Hisfa'!C$3:C$200))+1), ROW(53:251))),"")</f>
        <v>0</v>
      </c>
      <c r="D55" s="3">
        <f t="array" ref="D55">IFERROR(INDEX('Temp Hisfa'!D$3:D$200, SMALL(IF(ISERROR('Temp Hisfa'!D$3:D$200), "", ROW('Temp Hisfa'!D$3:D$200)-MIN(ROW('Temp Hisfa'!D$3:D$200))+1), ROW(53:251))),"")</f>
        <v>0</v>
      </c>
      <c r="E55" s="29">
        <f t="array" ref="E55">IFERROR(INDEX('Temp Hisfa'!E$3:E$200, SMALL(IF(ISERROR('Temp Hisfa'!E$3:E$200), "", ROW('Temp Hisfa'!E$3:E$200)-MIN(ROW('Temp Hisfa'!E$3:E$200))+1), ROW(53:252))),"")</f>
        <v>0</v>
      </c>
      <c r="F55" s="22">
        <f t="array" ref="F55">IFERROR(INDEX('Temp Hisfa'!F$3:F$200, SMALL(IF(ISERROR('Temp Hisfa'!F$3:F$200), "", ROW('Temp Hisfa'!F$3:F$200)-MIN(ROW('Temp Hisfa'!F$3:F$200))+1), ROW(53:252))),"")</f>
        <v>0</v>
      </c>
      <c r="G55" s="30">
        <f t="array" ref="G55">IFERROR(INDEX('Temp Hisfa'!G$3:G$200, SMALL(IF(ISERROR('Temp Hisfa'!G$3:G$200), "", ROW('Temp Hisfa'!G$3:G$200)-MIN(ROW('Temp Hisfa'!G$3:G$200))+1), ROW(53:252))),"")</f>
        <v>0</v>
      </c>
      <c r="H55" s="22">
        <f t="array" ref="H55">IFERROR(INDEX('Temp Hisfa'!H$3:H$200, SMALL(IF(ISERROR('Temp Hisfa'!H$3:H$200), "", ROW('Temp Hisfa'!H$3:H$200)-MIN(ROW('Temp Hisfa'!H$3:H$200))+1), ROW(53:252))),"")</f>
        <v>0</v>
      </c>
      <c r="I55" s="22">
        <f t="array" ref="I55">IFERROR(INDEX('Temp Hisfa'!I$3:I$200, SMALL(IF(ISERROR('Temp Hisfa'!I$3:I$200), "", ROW('Temp Hisfa'!I$3:I$200)-MIN(ROW('Temp Hisfa'!I$3:I$200))+1), ROW(53:252))),"")</f>
        <v>0</v>
      </c>
      <c r="J55" s="22">
        <f t="array" ref="J55">IFERROR(INDEX('Temp Hisfa'!J$3:J$200, SMALL(IF(ISERROR('Temp Hisfa'!J$3:J$200), "", ROW('Temp Hisfa'!J$3:J$200)-MIN(ROW('Temp Hisfa'!J$3:J$200))+1), ROW(53:252))),"")</f>
        <v>0</v>
      </c>
      <c r="K55" s="30">
        <f t="array" ref="K55">IFERROR(INDEX('Temp Hisfa'!K$3:K$200, SMALL(IF(ISERROR('Temp Hisfa'!K$3:K$200), "", ROW('Temp Hisfa'!K$3:K$200)-MIN(ROW('Temp Hisfa'!K$3:K$200))+1), ROW(53:252))),"")</f>
        <v>0</v>
      </c>
      <c r="L55" s="22">
        <f t="array" ref="L55">IFERROR(INDEX('Temp Hisfa'!L$3:L$200, SMALL(IF(ISERROR('Temp Hisfa'!L$3:L$200), "", ROW('Temp Hisfa'!L$3:L$200)-MIN(ROW('Temp Hisfa'!L$3:L$200))+1), ROW(53:252))),"")</f>
        <v>0</v>
      </c>
      <c r="M55" s="22">
        <f t="array" ref="M55">IFERROR(INDEX('Temp Hisfa'!M$3:M$200, SMALL(IF(ISERROR('Temp Hisfa'!M$3:M$200), "", ROW('Temp Hisfa'!M$3:M$200)-MIN(ROW('Temp Hisfa'!M$3:M$200))+1), ROW(53:252))),"")</f>
        <v>0</v>
      </c>
      <c r="N55" s="22">
        <f t="array" ref="N55">IFERROR(INDEX('Temp Hisfa'!N$3:N$200, SMALL(IF(ISERROR('Temp Hisfa'!N$3:N$200), "", ROW('Temp Hisfa'!N$3:N$200)-MIN(ROW('Temp Hisfa'!N$3:N$200))+1), ROW(53:252))),"")</f>
        <v>1900</v>
      </c>
      <c r="O55" s="22" t="str">
        <f t="array" ref="O55">IFERROR(INDEX('Temp Hisfa'!O$3:O$200, SMALL(IF(ISERROR('Temp Hisfa'!O$3:O$200), "", ROW('Temp Hisfa'!O$3:O$200)-MIN(ROW('Temp Hisfa'!O$3:O$200))+1), ROW(53:252))),"")</f>
        <v>enero</v>
      </c>
      <c r="P55" s="22">
        <f t="array" ref="P55">IFERROR(INDEX('Temp Hisfa'!P$3:P$200, SMALL(IF(ISERROR('Temp Hisfa'!P$3:P$200), "", ROW('Temp Hisfa'!P$3:P$200)-MIN(ROW('Temp Hisfa'!P$3:P$200))+1), ROW(53:252))),"")</f>
        <v>0</v>
      </c>
      <c r="Q55" s="22">
        <f t="array" ref="Q55">IFERROR(INDEX('Temp Hisfa'!Q$3:Q$200, SMALL(IF(ISERROR('Temp Hisfa'!Q$3:Q$200), "", ROW('Temp Hisfa'!Q$3:Q$200)-MIN(ROW('Temp Hisfa'!Q$3:Q$200))+1), ROW(53:252))),"")</f>
        <v>0</v>
      </c>
      <c r="R55" s="22">
        <f t="array" ref="R55">IFERROR(INDEX('Temp Hisfa'!R$3:R$200, SMALL(IF(ISERROR('Temp Hisfa'!R$3:R$200), "", ROW('Temp Hisfa'!R$3:R$200)-MIN(ROW('Temp Hisfa'!R$3:R$200))+1), ROW(53:252))),"")</f>
        <v>0</v>
      </c>
      <c r="S55" s="22">
        <f t="array" ref="S55">IFERROR(INDEX('Temp Hisfa'!S$3:S$200, SMALL(IF(ISERROR('Temp Hisfa'!S$3:S$200), "", ROW('Temp Hisfa'!S$3:S$200)-MIN(ROW('Temp Hisfa'!S$3:S$200))+1), ROW(53:252))),"")</f>
        <v>0</v>
      </c>
      <c r="T55" s="22">
        <f t="array" ref="T55">IFERROR(INDEX('Temp Hisfa'!T$3:T$200, SMALL(IF(ISERROR('Temp Hisfa'!T$3:T$200), "", ROW('Temp Hisfa'!T$3:T$200)-MIN(ROW('Temp Hisfa'!T$3:T$200))+1), ROW(53:252))),"")</f>
        <v>0</v>
      </c>
      <c r="U55" s="22">
        <f t="array" ref="U55">IFERROR(INDEX('Temp Hisfa'!U$3:U$200, SMALL(IF(ISERROR('Temp Hisfa'!U$3:U$200), "", ROW('Temp Hisfa'!U$3:U$200)-MIN(ROW('Temp Hisfa'!U$3:U$200))+1), ROW(53:252))),"")</f>
        <v>0</v>
      </c>
      <c r="V55" s="22">
        <f t="array" ref="V55">IFERROR(INDEX('Temp Hisfa'!V$3:V$200, SMALL(IF(ISERROR('Temp Hisfa'!V$3:V$200), "", ROW('Temp Hisfa'!V$3:V$200)-MIN(ROW('Temp Hisfa'!V$3:V$200))+1), ROW(53:252))),"")</f>
        <v>0</v>
      </c>
      <c r="W55" s="22">
        <f t="array" ref="W55">IFERROR(INDEX('Temp Hisfa'!W$3:W$200, SMALL(IF(ISERROR('Temp Hisfa'!W$3:W$200), "", ROW('Temp Hisfa'!W$3:W$200)-MIN(ROW('Temp Hisfa'!W$3:W$200))+1), ROW(53:252))),"")</f>
        <v>0</v>
      </c>
      <c r="X55" s="22">
        <f t="array" ref="X55">IFERROR(INDEX('Temp Hisfa'!X$3:X$200, SMALL(IF(ISERROR('Temp Hisfa'!X$3:X$200), "", ROW('Temp Hisfa'!X$3:X$200)-MIN(ROW('Temp Hisfa'!X$3:X$200))+1), ROW(53:252))),"")</f>
        <v>0</v>
      </c>
      <c r="Y55" s="22">
        <f t="array" ref="Y55">IFERROR(INDEX('Temp Hisfa'!Y$3:Y$200, SMALL(IF(ISERROR('Temp Hisfa'!Y$3:Y$200), "", ROW('Temp Hisfa'!Y$3:Y$200)-MIN(ROW('Temp Hisfa'!Y$3:Y$200))+1), ROW(53:252))),"")</f>
        <v>0</v>
      </c>
      <c r="Z55" s="22">
        <f t="array" ref="Z55">IFERROR(INDEX('Temp Hisfa'!Z$3:Z$200, SMALL(IF(ISERROR('Temp Hisfa'!Z$3:Z$200), "", ROW('Temp Hisfa'!Z$3:Z$200)-MIN(ROW('Temp Hisfa'!Z$3:Z$200))+1), ROW(53:252))),"")</f>
        <v>0</v>
      </c>
      <c r="AA55" s="22">
        <f t="array" ref="AA55">IFERROR(INDEX('Temp Hisfa'!AA$3:AA$200, SMALL(IF(ISERROR('Temp Hisfa'!AA$3:AA$200), "", ROW('Temp Hisfa'!AA$3:AA$200)-MIN(ROW('Temp Hisfa'!AA$3:AA$200))+1), ROW(53:252))),"")</f>
        <v>0</v>
      </c>
      <c r="AB55" s="22">
        <f t="array" ref="AB55">IFERROR(INDEX('Temp Hisfa'!AB$3:AB$200, SMALL(IF(ISERROR('Temp Hisfa'!AB$3:AB$200), "", ROW('Temp Hisfa'!AB$3:AB$200)-MIN(ROW('Temp Hisfa'!AB$3:AB$200))+1), ROW(53:252))),"")</f>
        <v>0</v>
      </c>
    </row>
    <row r="56" spans="1:31" x14ac:dyDescent="0.3">
      <c r="A56" s="4">
        <f t="array" ref="A56">IFERROR(INDEX('Temp Hisfa'!A$3:A$200, SMALL(IF(ISERROR('Temp Hisfa'!A$3:A$200), "", ROW('Temp Hisfa'!A$3:A$200)-MIN(ROW('Temp Hisfa'!A$3:A$200))+1), ROW(54:252))),"")</f>
        <v>0</v>
      </c>
      <c r="B56" s="4">
        <f t="array" ref="B56">IFERROR(INDEX('Temp Hisfa'!B$3:B$200, SMALL(IF(ISERROR('Temp Hisfa'!B$3:B$200), "", ROW('Temp Hisfa'!B$3:B$200)-MIN(ROW('Temp Hisfa'!B$3:B$200))+1), ROW(54:252))),"")</f>
        <v>0</v>
      </c>
      <c r="C56" s="3">
        <f t="array" ref="C56">IFERROR(INDEX('Temp Hisfa'!C$3:C$200, SMALL(IF(ISERROR('Temp Hisfa'!C$3:C$200), "", ROW('Temp Hisfa'!C$3:C$200)-MIN(ROW('Temp Hisfa'!C$3:C$200))+1), ROW(54:252))),"")</f>
        <v>0</v>
      </c>
      <c r="D56" s="3">
        <f t="array" ref="D56">IFERROR(INDEX('Temp Hisfa'!D$3:D$200, SMALL(IF(ISERROR('Temp Hisfa'!D$3:D$200), "", ROW('Temp Hisfa'!D$3:D$200)-MIN(ROW('Temp Hisfa'!D$3:D$200))+1), ROW(54:252))),"")</f>
        <v>0</v>
      </c>
      <c r="E56" s="29">
        <f t="array" ref="E56">IFERROR(INDEX('Temp Hisfa'!E$3:E$200, SMALL(IF(ISERROR('Temp Hisfa'!E$3:E$200), "", ROW('Temp Hisfa'!E$3:E$200)-MIN(ROW('Temp Hisfa'!E$3:E$200))+1), ROW(54:253))),"")</f>
        <v>0</v>
      </c>
      <c r="F56" s="22">
        <f t="array" ref="F56">IFERROR(INDEX('Temp Hisfa'!F$3:F$200, SMALL(IF(ISERROR('Temp Hisfa'!F$3:F$200), "", ROW('Temp Hisfa'!F$3:F$200)-MIN(ROW('Temp Hisfa'!F$3:F$200))+1), ROW(54:253))),"")</f>
        <v>0</v>
      </c>
      <c r="G56" s="30">
        <f t="array" ref="G56">IFERROR(INDEX('Temp Hisfa'!G$3:G$200, SMALL(IF(ISERROR('Temp Hisfa'!G$3:G$200), "", ROW('Temp Hisfa'!G$3:G$200)-MIN(ROW('Temp Hisfa'!G$3:G$200))+1), ROW(54:253))),"")</f>
        <v>0</v>
      </c>
      <c r="H56" s="22">
        <f t="array" ref="H56">IFERROR(INDEX('Temp Hisfa'!H$3:H$200, SMALL(IF(ISERROR('Temp Hisfa'!H$3:H$200), "", ROW('Temp Hisfa'!H$3:H$200)-MIN(ROW('Temp Hisfa'!H$3:H$200))+1), ROW(54:253))),"")</f>
        <v>0</v>
      </c>
      <c r="I56" s="22">
        <f t="array" ref="I56">IFERROR(INDEX('Temp Hisfa'!I$3:I$200, SMALL(IF(ISERROR('Temp Hisfa'!I$3:I$200), "", ROW('Temp Hisfa'!I$3:I$200)-MIN(ROW('Temp Hisfa'!I$3:I$200))+1), ROW(54:253))),"")</f>
        <v>0</v>
      </c>
      <c r="J56" s="22">
        <f t="array" ref="J56">IFERROR(INDEX('Temp Hisfa'!J$3:J$200, SMALL(IF(ISERROR('Temp Hisfa'!J$3:J$200), "", ROW('Temp Hisfa'!J$3:J$200)-MIN(ROW('Temp Hisfa'!J$3:J$200))+1), ROW(54:253))),"")</f>
        <v>0</v>
      </c>
      <c r="K56" s="30">
        <f t="array" ref="K56">IFERROR(INDEX('Temp Hisfa'!K$3:K$200, SMALL(IF(ISERROR('Temp Hisfa'!K$3:K$200), "", ROW('Temp Hisfa'!K$3:K$200)-MIN(ROW('Temp Hisfa'!K$3:K$200))+1), ROW(54:253))),"")</f>
        <v>0</v>
      </c>
      <c r="L56" s="22">
        <f t="array" ref="L56">IFERROR(INDEX('Temp Hisfa'!L$3:L$200, SMALL(IF(ISERROR('Temp Hisfa'!L$3:L$200), "", ROW('Temp Hisfa'!L$3:L$200)-MIN(ROW('Temp Hisfa'!L$3:L$200))+1), ROW(54:253))),"")</f>
        <v>0</v>
      </c>
      <c r="M56" s="22">
        <f t="array" ref="M56">IFERROR(INDEX('Temp Hisfa'!M$3:M$200, SMALL(IF(ISERROR('Temp Hisfa'!M$3:M$200), "", ROW('Temp Hisfa'!M$3:M$200)-MIN(ROW('Temp Hisfa'!M$3:M$200))+1), ROW(54:253))),"")</f>
        <v>0</v>
      </c>
      <c r="N56" s="22">
        <f t="array" ref="N56">IFERROR(INDEX('Temp Hisfa'!N$3:N$200, SMALL(IF(ISERROR('Temp Hisfa'!N$3:N$200), "", ROW('Temp Hisfa'!N$3:N$200)-MIN(ROW('Temp Hisfa'!N$3:N$200))+1), ROW(54:253))),"")</f>
        <v>1900</v>
      </c>
      <c r="O56" s="22" t="str">
        <f t="array" ref="O56">IFERROR(INDEX('Temp Hisfa'!O$3:O$200, SMALL(IF(ISERROR('Temp Hisfa'!O$3:O$200), "", ROW('Temp Hisfa'!O$3:O$200)-MIN(ROW('Temp Hisfa'!O$3:O$200))+1), ROW(54:253))),"")</f>
        <v>enero</v>
      </c>
      <c r="P56" s="22">
        <f t="array" ref="P56">IFERROR(INDEX('Temp Hisfa'!P$3:P$200, SMALL(IF(ISERROR('Temp Hisfa'!P$3:P$200), "", ROW('Temp Hisfa'!P$3:P$200)-MIN(ROW('Temp Hisfa'!P$3:P$200))+1), ROW(54:253))),"")</f>
        <v>0</v>
      </c>
      <c r="Q56" s="22">
        <f t="array" ref="Q56">IFERROR(INDEX('Temp Hisfa'!Q$3:Q$200, SMALL(IF(ISERROR('Temp Hisfa'!Q$3:Q$200), "", ROW('Temp Hisfa'!Q$3:Q$200)-MIN(ROW('Temp Hisfa'!Q$3:Q$200))+1), ROW(54:253))),"")</f>
        <v>0</v>
      </c>
      <c r="R56" s="22">
        <f t="array" ref="R56">IFERROR(INDEX('Temp Hisfa'!R$3:R$200, SMALL(IF(ISERROR('Temp Hisfa'!R$3:R$200), "", ROW('Temp Hisfa'!R$3:R$200)-MIN(ROW('Temp Hisfa'!R$3:R$200))+1), ROW(54:253))),"")</f>
        <v>0</v>
      </c>
      <c r="S56" s="22">
        <f t="array" ref="S56">IFERROR(INDEX('Temp Hisfa'!S$3:S$200, SMALL(IF(ISERROR('Temp Hisfa'!S$3:S$200), "", ROW('Temp Hisfa'!S$3:S$200)-MIN(ROW('Temp Hisfa'!S$3:S$200))+1), ROW(54:253))),"")</f>
        <v>0</v>
      </c>
      <c r="T56" s="22">
        <f t="array" ref="T56">IFERROR(INDEX('Temp Hisfa'!T$3:T$200, SMALL(IF(ISERROR('Temp Hisfa'!T$3:T$200), "", ROW('Temp Hisfa'!T$3:T$200)-MIN(ROW('Temp Hisfa'!T$3:T$200))+1), ROW(54:253))),"")</f>
        <v>0</v>
      </c>
      <c r="U56" s="22">
        <f t="array" ref="U56">IFERROR(INDEX('Temp Hisfa'!U$3:U$200, SMALL(IF(ISERROR('Temp Hisfa'!U$3:U$200), "", ROW('Temp Hisfa'!U$3:U$200)-MIN(ROW('Temp Hisfa'!U$3:U$200))+1), ROW(54:253))),"")</f>
        <v>0</v>
      </c>
      <c r="V56" s="22">
        <f t="array" ref="V56">IFERROR(INDEX('Temp Hisfa'!V$3:V$200, SMALL(IF(ISERROR('Temp Hisfa'!V$3:V$200), "", ROW('Temp Hisfa'!V$3:V$200)-MIN(ROW('Temp Hisfa'!V$3:V$200))+1), ROW(54:253))),"")</f>
        <v>0</v>
      </c>
      <c r="W56" s="22">
        <f t="array" ref="W56">IFERROR(INDEX('Temp Hisfa'!W$3:W$200, SMALL(IF(ISERROR('Temp Hisfa'!W$3:W$200), "", ROW('Temp Hisfa'!W$3:W$200)-MIN(ROW('Temp Hisfa'!W$3:W$200))+1), ROW(54:253))),"")</f>
        <v>0</v>
      </c>
      <c r="X56" s="22">
        <f t="array" ref="X56">IFERROR(INDEX('Temp Hisfa'!X$3:X$200, SMALL(IF(ISERROR('Temp Hisfa'!X$3:X$200), "", ROW('Temp Hisfa'!X$3:X$200)-MIN(ROW('Temp Hisfa'!X$3:X$200))+1), ROW(54:253))),"")</f>
        <v>0</v>
      </c>
      <c r="Y56" s="22">
        <f t="array" ref="Y56">IFERROR(INDEX('Temp Hisfa'!Y$3:Y$200, SMALL(IF(ISERROR('Temp Hisfa'!Y$3:Y$200), "", ROW('Temp Hisfa'!Y$3:Y$200)-MIN(ROW('Temp Hisfa'!Y$3:Y$200))+1), ROW(54:253))),"")</f>
        <v>0</v>
      </c>
      <c r="Z56" s="22">
        <f t="array" ref="Z56">IFERROR(INDEX('Temp Hisfa'!Z$3:Z$200, SMALL(IF(ISERROR('Temp Hisfa'!Z$3:Z$200), "", ROW('Temp Hisfa'!Z$3:Z$200)-MIN(ROW('Temp Hisfa'!Z$3:Z$200))+1), ROW(54:253))),"")</f>
        <v>0</v>
      </c>
      <c r="AA56" s="22">
        <f t="array" ref="AA56">IFERROR(INDEX('Temp Hisfa'!AA$3:AA$200, SMALL(IF(ISERROR('Temp Hisfa'!AA$3:AA$200), "", ROW('Temp Hisfa'!AA$3:AA$200)-MIN(ROW('Temp Hisfa'!AA$3:AA$200))+1), ROW(54:253))),"")</f>
        <v>0</v>
      </c>
      <c r="AB56" s="22">
        <f t="array" ref="AB56">IFERROR(INDEX('Temp Hisfa'!AB$3:AB$200, SMALL(IF(ISERROR('Temp Hisfa'!AB$3:AB$200), "", ROW('Temp Hisfa'!AB$3:AB$200)-MIN(ROW('Temp Hisfa'!AB$3:AB$200))+1), ROW(54:253))),"")</f>
        <v>0</v>
      </c>
    </row>
    <row r="57" spans="1:31" x14ac:dyDescent="0.3">
      <c r="A57" s="4">
        <f t="array" ref="A57">IFERROR(INDEX('Temp Hisfa'!A$3:A$200, SMALL(IF(ISERROR('Temp Hisfa'!A$3:A$200), "", ROW('Temp Hisfa'!A$3:A$200)-MIN(ROW('Temp Hisfa'!A$3:A$200))+1), ROW(55:253))),"")</f>
        <v>0</v>
      </c>
      <c r="B57" s="4">
        <f t="array" ref="B57">IFERROR(INDEX('Temp Hisfa'!B$3:B$200, SMALL(IF(ISERROR('Temp Hisfa'!B$3:B$200), "", ROW('Temp Hisfa'!B$3:B$200)-MIN(ROW('Temp Hisfa'!B$3:B$200))+1), ROW(55:253))),"")</f>
        <v>0</v>
      </c>
      <c r="C57" s="3">
        <f t="array" ref="C57">IFERROR(INDEX('Temp Hisfa'!C$3:C$200, SMALL(IF(ISERROR('Temp Hisfa'!C$3:C$200), "", ROW('Temp Hisfa'!C$3:C$200)-MIN(ROW('Temp Hisfa'!C$3:C$200))+1), ROW(55:253))),"")</f>
        <v>0</v>
      </c>
      <c r="D57" s="3">
        <f t="array" ref="D57">IFERROR(INDEX('Temp Hisfa'!D$3:D$200, SMALL(IF(ISERROR('Temp Hisfa'!D$3:D$200), "", ROW('Temp Hisfa'!D$3:D$200)-MIN(ROW('Temp Hisfa'!D$3:D$200))+1), ROW(55:253))),"")</f>
        <v>0</v>
      </c>
      <c r="E57" s="29">
        <f t="array" ref="E57">IFERROR(INDEX('Temp Hisfa'!E$3:E$200, SMALL(IF(ISERROR('Temp Hisfa'!E$3:E$200), "", ROW('Temp Hisfa'!E$3:E$200)-MIN(ROW('Temp Hisfa'!E$3:E$200))+1), ROW(55:254))),"")</f>
        <v>0</v>
      </c>
      <c r="F57" s="22">
        <f t="array" ref="F57">IFERROR(INDEX('Temp Hisfa'!F$3:F$200, SMALL(IF(ISERROR('Temp Hisfa'!F$3:F$200), "", ROW('Temp Hisfa'!F$3:F$200)-MIN(ROW('Temp Hisfa'!F$3:F$200))+1), ROW(55:254))),"")</f>
        <v>0</v>
      </c>
      <c r="G57" s="30">
        <f t="array" ref="G57">IFERROR(INDEX('Temp Hisfa'!G$3:G$200, SMALL(IF(ISERROR('Temp Hisfa'!G$3:G$200), "", ROW('Temp Hisfa'!G$3:G$200)-MIN(ROW('Temp Hisfa'!G$3:G$200))+1), ROW(55:254))),"")</f>
        <v>0</v>
      </c>
      <c r="H57" s="22">
        <f t="array" ref="H57">IFERROR(INDEX('Temp Hisfa'!H$3:H$200, SMALL(IF(ISERROR('Temp Hisfa'!H$3:H$200), "", ROW('Temp Hisfa'!H$3:H$200)-MIN(ROW('Temp Hisfa'!H$3:H$200))+1), ROW(55:254))),"")</f>
        <v>0</v>
      </c>
      <c r="I57" s="22">
        <f t="array" ref="I57">IFERROR(INDEX('Temp Hisfa'!I$3:I$200, SMALL(IF(ISERROR('Temp Hisfa'!I$3:I$200), "", ROW('Temp Hisfa'!I$3:I$200)-MIN(ROW('Temp Hisfa'!I$3:I$200))+1), ROW(55:254))),"")</f>
        <v>0</v>
      </c>
      <c r="J57" s="22">
        <f t="array" ref="J57">IFERROR(INDEX('Temp Hisfa'!J$3:J$200, SMALL(IF(ISERROR('Temp Hisfa'!J$3:J$200), "", ROW('Temp Hisfa'!J$3:J$200)-MIN(ROW('Temp Hisfa'!J$3:J$200))+1), ROW(55:254))),"")</f>
        <v>0</v>
      </c>
      <c r="K57" s="30">
        <f t="array" ref="K57">IFERROR(INDEX('Temp Hisfa'!K$3:K$200, SMALL(IF(ISERROR('Temp Hisfa'!K$3:K$200), "", ROW('Temp Hisfa'!K$3:K$200)-MIN(ROW('Temp Hisfa'!K$3:K$200))+1), ROW(55:254))),"")</f>
        <v>0</v>
      </c>
      <c r="L57" s="22">
        <f t="array" ref="L57">IFERROR(INDEX('Temp Hisfa'!L$3:L$200, SMALL(IF(ISERROR('Temp Hisfa'!L$3:L$200), "", ROW('Temp Hisfa'!L$3:L$200)-MIN(ROW('Temp Hisfa'!L$3:L$200))+1), ROW(55:254))),"")</f>
        <v>0</v>
      </c>
      <c r="M57" s="22">
        <f t="array" ref="M57">IFERROR(INDEX('Temp Hisfa'!M$3:M$200, SMALL(IF(ISERROR('Temp Hisfa'!M$3:M$200), "", ROW('Temp Hisfa'!M$3:M$200)-MIN(ROW('Temp Hisfa'!M$3:M$200))+1), ROW(55:254))),"")</f>
        <v>0</v>
      </c>
      <c r="N57" s="22">
        <f t="array" ref="N57">IFERROR(INDEX('Temp Hisfa'!N$3:N$200, SMALL(IF(ISERROR('Temp Hisfa'!N$3:N$200), "", ROW('Temp Hisfa'!N$3:N$200)-MIN(ROW('Temp Hisfa'!N$3:N$200))+1), ROW(55:254))),"")</f>
        <v>1900</v>
      </c>
      <c r="O57" s="22" t="str">
        <f t="array" ref="O57">IFERROR(INDEX('Temp Hisfa'!O$3:O$200, SMALL(IF(ISERROR('Temp Hisfa'!O$3:O$200), "", ROW('Temp Hisfa'!O$3:O$200)-MIN(ROW('Temp Hisfa'!O$3:O$200))+1), ROW(55:254))),"")</f>
        <v>enero</v>
      </c>
      <c r="P57" s="22">
        <f t="array" ref="P57">IFERROR(INDEX('Temp Hisfa'!P$3:P$200, SMALL(IF(ISERROR('Temp Hisfa'!P$3:P$200), "", ROW('Temp Hisfa'!P$3:P$200)-MIN(ROW('Temp Hisfa'!P$3:P$200))+1), ROW(55:254))),"")</f>
        <v>0</v>
      </c>
      <c r="Q57" s="22">
        <f t="array" ref="Q57">IFERROR(INDEX('Temp Hisfa'!Q$3:Q$200, SMALL(IF(ISERROR('Temp Hisfa'!Q$3:Q$200), "", ROW('Temp Hisfa'!Q$3:Q$200)-MIN(ROW('Temp Hisfa'!Q$3:Q$200))+1), ROW(55:254))),"")</f>
        <v>0</v>
      </c>
      <c r="R57" s="22">
        <f t="array" ref="R57">IFERROR(INDEX('Temp Hisfa'!R$3:R$200, SMALL(IF(ISERROR('Temp Hisfa'!R$3:R$200), "", ROW('Temp Hisfa'!R$3:R$200)-MIN(ROW('Temp Hisfa'!R$3:R$200))+1), ROW(55:254))),"")</f>
        <v>0</v>
      </c>
      <c r="S57" s="22">
        <f t="array" ref="S57">IFERROR(INDEX('Temp Hisfa'!S$3:S$200, SMALL(IF(ISERROR('Temp Hisfa'!S$3:S$200), "", ROW('Temp Hisfa'!S$3:S$200)-MIN(ROW('Temp Hisfa'!S$3:S$200))+1), ROW(55:254))),"")</f>
        <v>0</v>
      </c>
      <c r="T57" s="22">
        <f t="array" ref="T57">IFERROR(INDEX('Temp Hisfa'!T$3:T$200, SMALL(IF(ISERROR('Temp Hisfa'!T$3:T$200), "", ROW('Temp Hisfa'!T$3:T$200)-MIN(ROW('Temp Hisfa'!T$3:T$200))+1), ROW(55:254))),"")</f>
        <v>0</v>
      </c>
      <c r="U57" s="22">
        <f t="array" ref="U57">IFERROR(INDEX('Temp Hisfa'!U$3:U$200, SMALL(IF(ISERROR('Temp Hisfa'!U$3:U$200), "", ROW('Temp Hisfa'!U$3:U$200)-MIN(ROW('Temp Hisfa'!U$3:U$200))+1), ROW(55:254))),"")</f>
        <v>0</v>
      </c>
      <c r="V57" s="22">
        <f t="array" ref="V57">IFERROR(INDEX('Temp Hisfa'!V$3:V$200, SMALL(IF(ISERROR('Temp Hisfa'!V$3:V$200), "", ROW('Temp Hisfa'!V$3:V$200)-MIN(ROW('Temp Hisfa'!V$3:V$200))+1), ROW(55:254))),"")</f>
        <v>0</v>
      </c>
      <c r="W57" s="22">
        <f t="array" ref="W57">IFERROR(INDEX('Temp Hisfa'!W$3:W$200, SMALL(IF(ISERROR('Temp Hisfa'!W$3:W$200), "", ROW('Temp Hisfa'!W$3:W$200)-MIN(ROW('Temp Hisfa'!W$3:W$200))+1), ROW(55:254))),"")</f>
        <v>0</v>
      </c>
      <c r="X57" s="22">
        <f t="array" ref="X57">IFERROR(INDEX('Temp Hisfa'!X$3:X$200, SMALL(IF(ISERROR('Temp Hisfa'!X$3:X$200), "", ROW('Temp Hisfa'!X$3:X$200)-MIN(ROW('Temp Hisfa'!X$3:X$200))+1), ROW(55:254))),"")</f>
        <v>0</v>
      </c>
      <c r="Y57" s="22">
        <f t="array" ref="Y57">IFERROR(INDEX('Temp Hisfa'!Y$3:Y$200, SMALL(IF(ISERROR('Temp Hisfa'!Y$3:Y$200), "", ROW('Temp Hisfa'!Y$3:Y$200)-MIN(ROW('Temp Hisfa'!Y$3:Y$200))+1), ROW(55:254))),"")</f>
        <v>0</v>
      </c>
      <c r="Z57" s="22">
        <f t="array" ref="Z57">IFERROR(INDEX('Temp Hisfa'!Z$3:Z$200, SMALL(IF(ISERROR('Temp Hisfa'!Z$3:Z$200), "", ROW('Temp Hisfa'!Z$3:Z$200)-MIN(ROW('Temp Hisfa'!Z$3:Z$200))+1), ROW(55:254))),"")</f>
        <v>0</v>
      </c>
      <c r="AA57" s="22">
        <f t="array" ref="AA57">IFERROR(INDEX('Temp Hisfa'!AA$3:AA$200, SMALL(IF(ISERROR('Temp Hisfa'!AA$3:AA$200), "", ROW('Temp Hisfa'!AA$3:AA$200)-MIN(ROW('Temp Hisfa'!AA$3:AA$200))+1), ROW(55:254))),"")</f>
        <v>0</v>
      </c>
      <c r="AB57" s="22">
        <f t="array" ref="AB57">IFERROR(INDEX('Temp Hisfa'!AB$3:AB$200, SMALL(IF(ISERROR('Temp Hisfa'!AB$3:AB$200), "", ROW('Temp Hisfa'!AB$3:AB$200)-MIN(ROW('Temp Hisfa'!AB$3:AB$200))+1), ROW(55:254))),"")</f>
        <v>0</v>
      </c>
    </row>
    <row r="58" spans="1:31" x14ac:dyDescent="0.3">
      <c r="A58" s="4">
        <f t="array" ref="A58">IFERROR(INDEX('Temp Hisfa'!A$3:A$200, SMALL(IF(ISERROR('Temp Hisfa'!A$3:A$200), "", ROW('Temp Hisfa'!A$3:A$200)-MIN(ROW('Temp Hisfa'!A$3:A$200))+1), ROW(56:254))),"")</f>
        <v>0</v>
      </c>
      <c r="B58" s="4">
        <f t="array" ref="B58">IFERROR(INDEX('Temp Hisfa'!B$3:B$200, SMALL(IF(ISERROR('Temp Hisfa'!B$3:B$200), "", ROW('Temp Hisfa'!B$3:B$200)-MIN(ROW('Temp Hisfa'!B$3:B$200))+1), ROW(56:254))),"")</f>
        <v>0</v>
      </c>
      <c r="C58" s="3">
        <f t="array" ref="C58">IFERROR(INDEX('Temp Hisfa'!C$3:C$200, SMALL(IF(ISERROR('Temp Hisfa'!C$3:C$200), "", ROW('Temp Hisfa'!C$3:C$200)-MIN(ROW('Temp Hisfa'!C$3:C$200))+1), ROW(56:254))),"")</f>
        <v>0</v>
      </c>
      <c r="D58" s="3">
        <f t="array" ref="D58">IFERROR(INDEX('Temp Hisfa'!D$3:D$200, SMALL(IF(ISERROR('Temp Hisfa'!D$3:D$200), "", ROW('Temp Hisfa'!D$3:D$200)-MIN(ROW('Temp Hisfa'!D$3:D$200))+1), ROW(56:254))),"")</f>
        <v>0</v>
      </c>
      <c r="E58" s="29">
        <f t="array" ref="E58">IFERROR(INDEX('Temp Hisfa'!E$3:E$200, SMALL(IF(ISERROR('Temp Hisfa'!E$3:E$200), "", ROW('Temp Hisfa'!E$3:E$200)-MIN(ROW('Temp Hisfa'!E$3:E$200))+1), ROW(56:255))),"")</f>
        <v>0</v>
      </c>
      <c r="F58" s="22">
        <f t="array" ref="F58">IFERROR(INDEX('Temp Hisfa'!F$3:F$200, SMALL(IF(ISERROR('Temp Hisfa'!F$3:F$200), "", ROW('Temp Hisfa'!F$3:F$200)-MIN(ROW('Temp Hisfa'!F$3:F$200))+1), ROW(56:255))),"")</f>
        <v>0</v>
      </c>
      <c r="G58" s="30">
        <f t="array" ref="G58">IFERROR(INDEX('Temp Hisfa'!G$3:G$200, SMALL(IF(ISERROR('Temp Hisfa'!G$3:G$200), "", ROW('Temp Hisfa'!G$3:G$200)-MIN(ROW('Temp Hisfa'!G$3:G$200))+1), ROW(56:255))),"")</f>
        <v>0</v>
      </c>
      <c r="H58" s="22">
        <f t="array" ref="H58">IFERROR(INDEX('Temp Hisfa'!H$3:H$200, SMALL(IF(ISERROR('Temp Hisfa'!H$3:H$200), "", ROW('Temp Hisfa'!H$3:H$200)-MIN(ROW('Temp Hisfa'!H$3:H$200))+1), ROW(56:255))),"")</f>
        <v>0</v>
      </c>
      <c r="I58" s="22">
        <f t="array" ref="I58">IFERROR(INDEX('Temp Hisfa'!I$3:I$200, SMALL(IF(ISERROR('Temp Hisfa'!I$3:I$200), "", ROW('Temp Hisfa'!I$3:I$200)-MIN(ROW('Temp Hisfa'!I$3:I$200))+1), ROW(56:255))),"")</f>
        <v>0</v>
      </c>
      <c r="J58" s="22">
        <f t="array" ref="J58">IFERROR(INDEX('Temp Hisfa'!J$3:J$200, SMALL(IF(ISERROR('Temp Hisfa'!J$3:J$200), "", ROW('Temp Hisfa'!J$3:J$200)-MIN(ROW('Temp Hisfa'!J$3:J$200))+1), ROW(56:255))),"")</f>
        <v>0</v>
      </c>
      <c r="K58" s="30">
        <f t="array" ref="K58">IFERROR(INDEX('Temp Hisfa'!K$3:K$200, SMALL(IF(ISERROR('Temp Hisfa'!K$3:K$200), "", ROW('Temp Hisfa'!K$3:K$200)-MIN(ROW('Temp Hisfa'!K$3:K$200))+1), ROW(56:255))),"")</f>
        <v>0</v>
      </c>
      <c r="L58" s="22">
        <f t="array" ref="L58">IFERROR(INDEX('Temp Hisfa'!L$3:L$200, SMALL(IF(ISERROR('Temp Hisfa'!L$3:L$200), "", ROW('Temp Hisfa'!L$3:L$200)-MIN(ROW('Temp Hisfa'!L$3:L$200))+1), ROW(56:255))),"")</f>
        <v>0</v>
      </c>
      <c r="M58" s="22">
        <f t="array" ref="M58">IFERROR(INDEX('Temp Hisfa'!M$3:M$200, SMALL(IF(ISERROR('Temp Hisfa'!M$3:M$200), "", ROW('Temp Hisfa'!M$3:M$200)-MIN(ROW('Temp Hisfa'!M$3:M$200))+1), ROW(56:255))),"")</f>
        <v>0</v>
      </c>
      <c r="N58" s="22">
        <f t="array" ref="N58">IFERROR(INDEX('Temp Hisfa'!N$3:N$200, SMALL(IF(ISERROR('Temp Hisfa'!N$3:N$200), "", ROW('Temp Hisfa'!N$3:N$200)-MIN(ROW('Temp Hisfa'!N$3:N$200))+1), ROW(56:255))),"")</f>
        <v>1900</v>
      </c>
      <c r="O58" s="22" t="str">
        <f t="array" ref="O58">IFERROR(INDEX('Temp Hisfa'!O$3:O$200, SMALL(IF(ISERROR('Temp Hisfa'!O$3:O$200), "", ROW('Temp Hisfa'!O$3:O$200)-MIN(ROW('Temp Hisfa'!O$3:O$200))+1), ROW(56:255))),"")</f>
        <v>enero</v>
      </c>
      <c r="P58" s="22">
        <f t="array" ref="P58">IFERROR(INDEX('Temp Hisfa'!P$3:P$200, SMALL(IF(ISERROR('Temp Hisfa'!P$3:P$200), "", ROW('Temp Hisfa'!P$3:P$200)-MIN(ROW('Temp Hisfa'!P$3:P$200))+1), ROW(56:255))),"")</f>
        <v>0</v>
      </c>
      <c r="Q58" s="22">
        <f t="array" ref="Q58">IFERROR(INDEX('Temp Hisfa'!Q$3:Q$200, SMALL(IF(ISERROR('Temp Hisfa'!Q$3:Q$200), "", ROW('Temp Hisfa'!Q$3:Q$200)-MIN(ROW('Temp Hisfa'!Q$3:Q$200))+1), ROW(56:255))),"")</f>
        <v>0</v>
      </c>
      <c r="R58" s="22">
        <f t="array" ref="R58">IFERROR(INDEX('Temp Hisfa'!R$3:R$200, SMALL(IF(ISERROR('Temp Hisfa'!R$3:R$200), "", ROW('Temp Hisfa'!R$3:R$200)-MIN(ROW('Temp Hisfa'!R$3:R$200))+1), ROW(56:255))),"")</f>
        <v>0</v>
      </c>
      <c r="S58" s="22">
        <f t="array" ref="S58">IFERROR(INDEX('Temp Hisfa'!S$3:S$200, SMALL(IF(ISERROR('Temp Hisfa'!S$3:S$200), "", ROW('Temp Hisfa'!S$3:S$200)-MIN(ROW('Temp Hisfa'!S$3:S$200))+1), ROW(56:255))),"")</f>
        <v>0</v>
      </c>
      <c r="T58" s="22">
        <f t="array" ref="T58">IFERROR(INDEX('Temp Hisfa'!T$3:T$200, SMALL(IF(ISERROR('Temp Hisfa'!T$3:T$200), "", ROW('Temp Hisfa'!T$3:T$200)-MIN(ROW('Temp Hisfa'!T$3:T$200))+1), ROW(56:255))),"")</f>
        <v>0</v>
      </c>
      <c r="U58" s="22">
        <f t="array" ref="U58">IFERROR(INDEX('Temp Hisfa'!U$3:U$200, SMALL(IF(ISERROR('Temp Hisfa'!U$3:U$200), "", ROW('Temp Hisfa'!U$3:U$200)-MIN(ROW('Temp Hisfa'!U$3:U$200))+1), ROW(56:255))),"")</f>
        <v>0</v>
      </c>
      <c r="V58" s="22">
        <f t="array" ref="V58">IFERROR(INDEX('Temp Hisfa'!V$3:V$200, SMALL(IF(ISERROR('Temp Hisfa'!V$3:V$200), "", ROW('Temp Hisfa'!V$3:V$200)-MIN(ROW('Temp Hisfa'!V$3:V$200))+1), ROW(56:255))),"")</f>
        <v>0</v>
      </c>
      <c r="W58" s="22">
        <f t="array" ref="W58">IFERROR(INDEX('Temp Hisfa'!W$3:W$200, SMALL(IF(ISERROR('Temp Hisfa'!W$3:W$200), "", ROW('Temp Hisfa'!W$3:W$200)-MIN(ROW('Temp Hisfa'!W$3:W$200))+1), ROW(56:255))),"")</f>
        <v>0</v>
      </c>
      <c r="X58" s="22">
        <f t="array" ref="X58">IFERROR(INDEX('Temp Hisfa'!X$3:X$200, SMALL(IF(ISERROR('Temp Hisfa'!X$3:X$200), "", ROW('Temp Hisfa'!X$3:X$200)-MIN(ROW('Temp Hisfa'!X$3:X$200))+1), ROW(56:255))),"")</f>
        <v>0</v>
      </c>
      <c r="Y58" s="22">
        <f t="array" ref="Y58">IFERROR(INDEX('Temp Hisfa'!Y$3:Y$200, SMALL(IF(ISERROR('Temp Hisfa'!Y$3:Y$200), "", ROW('Temp Hisfa'!Y$3:Y$200)-MIN(ROW('Temp Hisfa'!Y$3:Y$200))+1), ROW(56:255))),"")</f>
        <v>0</v>
      </c>
      <c r="Z58" s="22">
        <f t="array" ref="Z58">IFERROR(INDEX('Temp Hisfa'!Z$3:Z$200, SMALL(IF(ISERROR('Temp Hisfa'!Z$3:Z$200), "", ROW('Temp Hisfa'!Z$3:Z$200)-MIN(ROW('Temp Hisfa'!Z$3:Z$200))+1), ROW(56:255))),"")</f>
        <v>0</v>
      </c>
      <c r="AA58" s="22">
        <f t="array" ref="AA58">IFERROR(INDEX('Temp Hisfa'!AA$3:AA$200, SMALL(IF(ISERROR('Temp Hisfa'!AA$3:AA$200), "", ROW('Temp Hisfa'!AA$3:AA$200)-MIN(ROW('Temp Hisfa'!AA$3:AA$200))+1), ROW(56:255))),"")</f>
        <v>0</v>
      </c>
      <c r="AB58" s="22">
        <f t="array" ref="AB58">IFERROR(INDEX('Temp Hisfa'!AB$3:AB$200, SMALL(IF(ISERROR('Temp Hisfa'!AB$3:AB$200), "", ROW('Temp Hisfa'!AB$3:AB$200)-MIN(ROW('Temp Hisfa'!AB$3:AB$200))+1), ROW(56:255))),"")</f>
        <v>0</v>
      </c>
    </row>
    <row r="59" spans="1:31" x14ac:dyDescent="0.3">
      <c r="A59" s="4">
        <f t="array" ref="A59">IFERROR(INDEX('Temp Hisfa'!A$3:A$200, SMALL(IF(ISERROR('Temp Hisfa'!A$3:A$200), "", ROW('Temp Hisfa'!A$3:A$200)-MIN(ROW('Temp Hisfa'!A$3:A$200))+1), ROW(57:255))),"")</f>
        <v>0</v>
      </c>
      <c r="B59" s="4">
        <f t="array" ref="B59">IFERROR(INDEX('Temp Hisfa'!B$3:B$200, SMALL(IF(ISERROR('Temp Hisfa'!B$3:B$200), "", ROW('Temp Hisfa'!B$3:B$200)-MIN(ROW('Temp Hisfa'!B$3:B$200))+1), ROW(57:255))),"")</f>
        <v>0</v>
      </c>
      <c r="C59" s="3">
        <f t="array" ref="C59">IFERROR(INDEX('Temp Hisfa'!C$3:C$200, SMALL(IF(ISERROR('Temp Hisfa'!C$3:C$200), "", ROW('Temp Hisfa'!C$3:C$200)-MIN(ROW('Temp Hisfa'!C$3:C$200))+1), ROW(57:255))),"")</f>
        <v>0</v>
      </c>
      <c r="D59" s="3">
        <f t="array" ref="D59">IFERROR(INDEX('Temp Hisfa'!D$3:D$200, SMALL(IF(ISERROR('Temp Hisfa'!D$3:D$200), "", ROW('Temp Hisfa'!D$3:D$200)-MIN(ROW('Temp Hisfa'!D$3:D$200))+1), ROW(57:255))),"")</f>
        <v>0</v>
      </c>
      <c r="E59" s="29">
        <f t="array" ref="E59">IFERROR(INDEX('Temp Hisfa'!E$3:E$200, SMALL(IF(ISERROR('Temp Hisfa'!E$3:E$200), "", ROW('Temp Hisfa'!E$3:E$200)-MIN(ROW('Temp Hisfa'!E$3:E$200))+1), ROW(57:256))),"")</f>
        <v>0</v>
      </c>
      <c r="F59" s="22">
        <f t="array" ref="F59">IFERROR(INDEX('Temp Hisfa'!F$3:F$200, SMALL(IF(ISERROR('Temp Hisfa'!F$3:F$200), "", ROW('Temp Hisfa'!F$3:F$200)-MIN(ROW('Temp Hisfa'!F$3:F$200))+1), ROW(57:256))),"")</f>
        <v>0</v>
      </c>
      <c r="G59" s="30">
        <f t="array" ref="G59">IFERROR(INDEX('Temp Hisfa'!G$3:G$200, SMALL(IF(ISERROR('Temp Hisfa'!G$3:G$200), "", ROW('Temp Hisfa'!G$3:G$200)-MIN(ROW('Temp Hisfa'!G$3:G$200))+1), ROW(57:256))),"")</f>
        <v>0</v>
      </c>
      <c r="H59" s="22">
        <f t="array" ref="H59">IFERROR(INDEX('Temp Hisfa'!H$3:H$200, SMALL(IF(ISERROR('Temp Hisfa'!H$3:H$200), "", ROW('Temp Hisfa'!H$3:H$200)-MIN(ROW('Temp Hisfa'!H$3:H$200))+1), ROW(57:256))),"")</f>
        <v>0</v>
      </c>
      <c r="I59" s="22">
        <f t="array" ref="I59">IFERROR(INDEX('Temp Hisfa'!I$3:I$200, SMALL(IF(ISERROR('Temp Hisfa'!I$3:I$200), "", ROW('Temp Hisfa'!I$3:I$200)-MIN(ROW('Temp Hisfa'!I$3:I$200))+1), ROW(57:256))),"")</f>
        <v>0</v>
      </c>
      <c r="J59" s="22">
        <f t="array" ref="J59">IFERROR(INDEX('Temp Hisfa'!J$3:J$200, SMALL(IF(ISERROR('Temp Hisfa'!J$3:J$200), "", ROW('Temp Hisfa'!J$3:J$200)-MIN(ROW('Temp Hisfa'!J$3:J$200))+1), ROW(57:256))),"")</f>
        <v>0</v>
      </c>
      <c r="K59" s="30">
        <f t="array" ref="K59">IFERROR(INDEX('Temp Hisfa'!K$3:K$200, SMALL(IF(ISERROR('Temp Hisfa'!K$3:K$200), "", ROW('Temp Hisfa'!K$3:K$200)-MIN(ROW('Temp Hisfa'!K$3:K$200))+1), ROW(57:256))),"")</f>
        <v>0</v>
      </c>
      <c r="L59" s="22">
        <f t="array" ref="L59">IFERROR(INDEX('Temp Hisfa'!L$3:L$200, SMALL(IF(ISERROR('Temp Hisfa'!L$3:L$200), "", ROW('Temp Hisfa'!L$3:L$200)-MIN(ROW('Temp Hisfa'!L$3:L$200))+1), ROW(57:256))),"")</f>
        <v>0</v>
      </c>
      <c r="M59" s="22">
        <f t="array" ref="M59">IFERROR(INDEX('Temp Hisfa'!M$3:M$200, SMALL(IF(ISERROR('Temp Hisfa'!M$3:M$200), "", ROW('Temp Hisfa'!M$3:M$200)-MIN(ROW('Temp Hisfa'!M$3:M$200))+1), ROW(57:256))),"")</f>
        <v>0</v>
      </c>
      <c r="N59" s="22">
        <f t="array" ref="N59">IFERROR(INDEX('Temp Hisfa'!N$3:N$200, SMALL(IF(ISERROR('Temp Hisfa'!N$3:N$200), "", ROW('Temp Hisfa'!N$3:N$200)-MIN(ROW('Temp Hisfa'!N$3:N$200))+1), ROW(57:256))),"")</f>
        <v>1900</v>
      </c>
      <c r="O59" s="22" t="str">
        <f t="array" ref="O59">IFERROR(INDEX('Temp Hisfa'!O$3:O$200, SMALL(IF(ISERROR('Temp Hisfa'!O$3:O$200), "", ROW('Temp Hisfa'!O$3:O$200)-MIN(ROW('Temp Hisfa'!O$3:O$200))+1), ROW(57:256))),"")</f>
        <v>enero</v>
      </c>
      <c r="P59" s="22">
        <f t="array" ref="P59">IFERROR(INDEX('Temp Hisfa'!P$3:P$200, SMALL(IF(ISERROR('Temp Hisfa'!P$3:P$200), "", ROW('Temp Hisfa'!P$3:P$200)-MIN(ROW('Temp Hisfa'!P$3:P$200))+1), ROW(57:256))),"")</f>
        <v>0</v>
      </c>
      <c r="Q59" s="22">
        <f t="array" ref="Q59">IFERROR(INDEX('Temp Hisfa'!Q$3:Q$200, SMALL(IF(ISERROR('Temp Hisfa'!Q$3:Q$200), "", ROW('Temp Hisfa'!Q$3:Q$200)-MIN(ROW('Temp Hisfa'!Q$3:Q$200))+1), ROW(57:256))),"")</f>
        <v>0</v>
      </c>
      <c r="R59" s="22">
        <f t="array" ref="R59">IFERROR(INDEX('Temp Hisfa'!R$3:R$200, SMALL(IF(ISERROR('Temp Hisfa'!R$3:R$200), "", ROW('Temp Hisfa'!R$3:R$200)-MIN(ROW('Temp Hisfa'!R$3:R$200))+1), ROW(57:256))),"")</f>
        <v>0</v>
      </c>
      <c r="S59" s="22">
        <f t="array" ref="S59">IFERROR(INDEX('Temp Hisfa'!S$3:S$200, SMALL(IF(ISERROR('Temp Hisfa'!S$3:S$200), "", ROW('Temp Hisfa'!S$3:S$200)-MIN(ROW('Temp Hisfa'!S$3:S$200))+1), ROW(57:256))),"")</f>
        <v>0</v>
      </c>
      <c r="T59" s="22">
        <f t="array" ref="T59">IFERROR(INDEX('Temp Hisfa'!T$3:T$200, SMALL(IF(ISERROR('Temp Hisfa'!T$3:T$200), "", ROW('Temp Hisfa'!T$3:T$200)-MIN(ROW('Temp Hisfa'!T$3:T$200))+1), ROW(57:256))),"")</f>
        <v>0</v>
      </c>
      <c r="U59" s="22">
        <f t="array" ref="U59">IFERROR(INDEX('Temp Hisfa'!U$3:U$200, SMALL(IF(ISERROR('Temp Hisfa'!U$3:U$200), "", ROW('Temp Hisfa'!U$3:U$200)-MIN(ROW('Temp Hisfa'!U$3:U$200))+1), ROW(57:256))),"")</f>
        <v>0</v>
      </c>
      <c r="V59" s="22">
        <f t="array" ref="V59">IFERROR(INDEX('Temp Hisfa'!V$3:V$200, SMALL(IF(ISERROR('Temp Hisfa'!V$3:V$200), "", ROW('Temp Hisfa'!V$3:V$200)-MIN(ROW('Temp Hisfa'!V$3:V$200))+1), ROW(57:256))),"")</f>
        <v>0</v>
      </c>
      <c r="W59" s="22">
        <f t="array" ref="W59">IFERROR(INDEX('Temp Hisfa'!W$3:W$200, SMALL(IF(ISERROR('Temp Hisfa'!W$3:W$200), "", ROW('Temp Hisfa'!W$3:W$200)-MIN(ROW('Temp Hisfa'!W$3:W$200))+1), ROW(57:256))),"")</f>
        <v>0</v>
      </c>
      <c r="X59" s="22">
        <f t="array" ref="X59">IFERROR(INDEX('Temp Hisfa'!X$3:X$200, SMALL(IF(ISERROR('Temp Hisfa'!X$3:X$200), "", ROW('Temp Hisfa'!X$3:X$200)-MIN(ROW('Temp Hisfa'!X$3:X$200))+1), ROW(57:256))),"")</f>
        <v>0</v>
      </c>
      <c r="Y59" s="22">
        <f t="array" ref="Y59">IFERROR(INDEX('Temp Hisfa'!Y$3:Y$200, SMALL(IF(ISERROR('Temp Hisfa'!Y$3:Y$200), "", ROW('Temp Hisfa'!Y$3:Y$200)-MIN(ROW('Temp Hisfa'!Y$3:Y$200))+1), ROW(57:256))),"")</f>
        <v>0</v>
      </c>
      <c r="Z59" s="22">
        <f t="array" ref="Z59">IFERROR(INDEX('Temp Hisfa'!Z$3:Z$200, SMALL(IF(ISERROR('Temp Hisfa'!Z$3:Z$200), "", ROW('Temp Hisfa'!Z$3:Z$200)-MIN(ROW('Temp Hisfa'!Z$3:Z$200))+1), ROW(57:256))),"")</f>
        <v>0</v>
      </c>
      <c r="AA59" s="22">
        <f t="array" ref="AA59">IFERROR(INDEX('Temp Hisfa'!AA$3:AA$200, SMALL(IF(ISERROR('Temp Hisfa'!AA$3:AA$200), "", ROW('Temp Hisfa'!AA$3:AA$200)-MIN(ROW('Temp Hisfa'!AA$3:AA$200))+1), ROW(57:256))),"")</f>
        <v>0</v>
      </c>
      <c r="AB59" s="22">
        <f t="array" ref="AB59">IFERROR(INDEX('Temp Hisfa'!AB$3:AB$200, SMALL(IF(ISERROR('Temp Hisfa'!AB$3:AB$200), "", ROW('Temp Hisfa'!AB$3:AB$200)-MIN(ROW('Temp Hisfa'!AB$3:AB$200))+1), ROW(57:256))),"")</f>
        <v>0</v>
      </c>
    </row>
    <row r="60" spans="1:31" x14ac:dyDescent="0.3">
      <c r="A60" s="4">
        <f t="array" ref="A60">IFERROR(INDEX('Temp Hisfa'!A$3:A$200, SMALL(IF(ISERROR('Temp Hisfa'!A$3:A$200), "", ROW('Temp Hisfa'!A$3:A$200)-MIN(ROW('Temp Hisfa'!A$3:A$200))+1), ROW(58:256))),"")</f>
        <v>0</v>
      </c>
      <c r="B60" s="4">
        <f t="array" ref="B60">IFERROR(INDEX('Temp Hisfa'!B$3:B$200, SMALL(IF(ISERROR('Temp Hisfa'!B$3:B$200), "", ROW('Temp Hisfa'!B$3:B$200)-MIN(ROW('Temp Hisfa'!B$3:B$200))+1), ROW(58:256))),"")</f>
        <v>0</v>
      </c>
      <c r="C60" s="3">
        <f t="array" ref="C60">IFERROR(INDEX('Temp Hisfa'!C$3:C$200, SMALL(IF(ISERROR('Temp Hisfa'!C$3:C$200), "", ROW('Temp Hisfa'!C$3:C$200)-MIN(ROW('Temp Hisfa'!C$3:C$200))+1), ROW(58:256))),"")</f>
        <v>0</v>
      </c>
      <c r="D60" s="3">
        <f t="array" ref="D60">IFERROR(INDEX('Temp Hisfa'!D$3:D$200, SMALL(IF(ISERROR('Temp Hisfa'!D$3:D$200), "", ROW('Temp Hisfa'!D$3:D$200)-MIN(ROW('Temp Hisfa'!D$3:D$200))+1), ROW(58:256))),"")</f>
        <v>0</v>
      </c>
      <c r="E60" s="29">
        <f t="array" ref="E60">IFERROR(INDEX('Temp Hisfa'!E$3:E$200, SMALL(IF(ISERROR('Temp Hisfa'!E$3:E$200), "", ROW('Temp Hisfa'!E$3:E$200)-MIN(ROW('Temp Hisfa'!E$3:E$200))+1), ROW(58:257))),"")</f>
        <v>0</v>
      </c>
      <c r="F60" s="22">
        <f t="array" ref="F60">IFERROR(INDEX('Temp Hisfa'!F$3:F$200, SMALL(IF(ISERROR('Temp Hisfa'!F$3:F$200), "", ROW('Temp Hisfa'!F$3:F$200)-MIN(ROW('Temp Hisfa'!F$3:F$200))+1), ROW(58:257))),"")</f>
        <v>0</v>
      </c>
      <c r="G60" s="30">
        <f t="array" ref="G60">IFERROR(INDEX('Temp Hisfa'!G$3:G$200, SMALL(IF(ISERROR('Temp Hisfa'!G$3:G$200), "", ROW('Temp Hisfa'!G$3:G$200)-MIN(ROW('Temp Hisfa'!G$3:G$200))+1), ROW(58:257))),"")</f>
        <v>0</v>
      </c>
      <c r="H60" s="22">
        <f t="array" ref="H60">IFERROR(INDEX('Temp Hisfa'!H$3:H$200, SMALL(IF(ISERROR('Temp Hisfa'!H$3:H$200), "", ROW('Temp Hisfa'!H$3:H$200)-MIN(ROW('Temp Hisfa'!H$3:H$200))+1), ROW(58:257))),"")</f>
        <v>0</v>
      </c>
      <c r="I60" s="22">
        <f t="array" ref="I60">IFERROR(INDEX('Temp Hisfa'!I$3:I$200, SMALL(IF(ISERROR('Temp Hisfa'!I$3:I$200), "", ROW('Temp Hisfa'!I$3:I$200)-MIN(ROW('Temp Hisfa'!I$3:I$200))+1), ROW(58:257))),"")</f>
        <v>0</v>
      </c>
      <c r="J60" s="22">
        <f t="array" ref="J60">IFERROR(INDEX('Temp Hisfa'!J$3:J$200, SMALL(IF(ISERROR('Temp Hisfa'!J$3:J$200), "", ROW('Temp Hisfa'!J$3:J$200)-MIN(ROW('Temp Hisfa'!J$3:J$200))+1), ROW(58:257))),"")</f>
        <v>0</v>
      </c>
      <c r="K60" s="30">
        <f t="array" ref="K60">IFERROR(INDEX('Temp Hisfa'!K$3:K$200, SMALL(IF(ISERROR('Temp Hisfa'!K$3:K$200), "", ROW('Temp Hisfa'!K$3:K$200)-MIN(ROW('Temp Hisfa'!K$3:K$200))+1), ROW(58:257))),"")</f>
        <v>0</v>
      </c>
      <c r="L60" s="22">
        <f t="array" ref="L60">IFERROR(INDEX('Temp Hisfa'!L$3:L$200, SMALL(IF(ISERROR('Temp Hisfa'!L$3:L$200), "", ROW('Temp Hisfa'!L$3:L$200)-MIN(ROW('Temp Hisfa'!L$3:L$200))+1), ROW(58:257))),"")</f>
        <v>0</v>
      </c>
      <c r="M60" s="22">
        <f t="array" ref="M60">IFERROR(INDEX('Temp Hisfa'!M$3:M$200, SMALL(IF(ISERROR('Temp Hisfa'!M$3:M$200), "", ROW('Temp Hisfa'!M$3:M$200)-MIN(ROW('Temp Hisfa'!M$3:M$200))+1), ROW(58:257))),"")</f>
        <v>0</v>
      </c>
      <c r="N60" s="22">
        <f t="array" ref="N60">IFERROR(INDEX('Temp Hisfa'!N$3:N$200, SMALL(IF(ISERROR('Temp Hisfa'!N$3:N$200), "", ROW('Temp Hisfa'!N$3:N$200)-MIN(ROW('Temp Hisfa'!N$3:N$200))+1), ROW(58:257))),"")</f>
        <v>1900</v>
      </c>
      <c r="O60" s="22" t="str">
        <f t="array" ref="O60">IFERROR(INDEX('Temp Hisfa'!O$3:O$200, SMALL(IF(ISERROR('Temp Hisfa'!O$3:O$200), "", ROW('Temp Hisfa'!O$3:O$200)-MIN(ROW('Temp Hisfa'!O$3:O$200))+1), ROW(58:257))),"")</f>
        <v>enero</v>
      </c>
      <c r="P60" s="22">
        <f t="array" ref="P60">IFERROR(INDEX('Temp Hisfa'!P$3:P$200, SMALL(IF(ISERROR('Temp Hisfa'!P$3:P$200), "", ROW('Temp Hisfa'!P$3:P$200)-MIN(ROW('Temp Hisfa'!P$3:P$200))+1), ROW(58:257))),"")</f>
        <v>0</v>
      </c>
      <c r="Q60" s="22">
        <f t="array" ref="Q60">IFERROR(INDEX('Temp Hisfa'!Q$3:Q$200, SMALL(IF(ISERROR('Temp Hisfa'!Q$3:Q$200), "", ROW('Temp Hisfa'!Q$3:Q$200)-MIN(ROW('Temp Hisfa'!Q$3:Q$200))+1), ROW(58:257))),"")</f>
        <v>0</v>
      </c>
      <c r="R60" s="22">
        <f t="array" ref="R60">IFERROR(INDEX('Temp Hisfa'!R$3:R$200, SMALL(IF(ISERROR('Temp Hisfa'!R$3:R$200), "", ROW('Temp Hisfa'!R$3:R$200)-MIN(ROW('Temp Hisfa'!R$3:R$200))+1), ROW(58:257))),"")</f>
        <v>0</v>
      </c>
      <c r="S60" s="22">
        <f t="array" ref="S60">IFERROR(INDEX('Temp Hisfa'!S$3:S$200, SMALL(IF(ISERROR('Temp Hisfa'!S$3:S$200), "", ROW('Temp Hisfa'!S$3:S$200)-MIN(ROW('Temp Hisfa'!S$3:S$200))+1), ROW(58:257))),"")</f>
        <v>0</v>
      </c>
      <c r="T60" s="22">
        <f t="array" ref="T60">IFERROR(INDEX('Temp Hisfa'!T$3:T$200, SMALL(IF(ISERROR('Temp Hisfa'!T$3:T$200), "", ROW('Temp Hisfa'!T$3:T$200)-MIN(ROW('Temp Hisfa'!T$3:T$200))+1), ROW(58:257))),"")</f>
        <v>0</v>
      </c>
      <c r="U60" s="22">
        <f t="array" ref="U60">IFERROR(INDEX('Temp Hisfa'!U$3:U$200, SMALL(IF(ISERROR('Temp Hisfa'!U$3:U$200), "", ROW('Temp Hisfa'!U$3:U$200)-MIN(ROW('Temp Hisfa'!U$3:U$200))+1), ROW(58:257))),"")</f>
        <v>0</v>
      </c>
      <c r="V60" s="22">
        <f t="array" ref="V60">IFERROR(INDEX('Temp Hisfa'!V$3:V$200, SMALL(IF(ISERROR('Temp Hisfa'!V$3:V$200), "", ROW('Temp Hisfa'!V$3:V$200)-MIN(ROW('Temp Hisfa'!V$3:V$200))+1), ROW(58:257))),"")</f>
        <v>0</v>
      </c>
      <c r="W60" s="22">
        <f t="array" ref="W60">IFERROR(INDEX('Temp Hisfa'!W$3:W$200, SMALL(IF(ISERROR('Temp Hisfa'!W$3:W$200), "", ROW('Temp Hisfa'!W$3:W$200)-MIN(ROW('Temp Hisfa'!W$3:W$200))+1), ROW(58:257))),"")</f>
        <v>0</v>
      </c>
      <c r="X60" s="22">
        <f t="array" ref="X60">IFERROR(INDEX('Temp Hisfa'!X$3:X$200, SMALL(IF(ISERROR('Temp Hisfa'!X$3:X$200), "", ROW('Temp Hisfa'!X$3:X$200)-MIN(ROW('Temp Hisfa'!X$3:X$200))+1), ROW(58:257))),"")</f>
        <v>0</v>
      </c>
      <c r="Y60" s="22">
        <f t="array" ref="Y60">IFERROR(INDEX('Temp Hisfa'!Y$3:Y$200, SMALL(IF(ISERROR('Temp Hisfa'!Y$3:Y$200), "", ROW('Temp Hisfa'!Y$3:Y$200)-MIN(ROW('Temp Hisfa'!Y$3:Y$200))+1), ROW(58:257))),"")</f>
        <v>0</v>
      </c>
      <c r="Z60" s="22">
        <f t="array" ref="Z60">IFERROR(INDEX('Temp Hisfa'!Z$3:Z$200, SMALL(IF(ISERROR('Temp Hisfa'!Z$3:Z$200), "", ROW('Temp Hisfa'!Z$3:Z$200)-MIN(ROW('Temp Hisfa'!Z$3:Z$200))+1), ROW(58:257))),"")</f>
        <v>0</v>
      </c>
      <c r="AA60" s="22">
        <f t="array" ref="AA60">IFERROR(INDEX('Temp Hisfa'!AA$3:AA$200, SMALL(IF(ISERROR('Temp Hisfa'!AA$3:AA$200), "", ROW('Temp Hisfa'!AA$3:AA$200)-MIN(ROW('Temp Hisfa'!AA$3:AA$200))+1), ROW(58:257))),"")</f>
        <v>0</v>
      </c>
      <c r="AB60" s="22">
        <f t="array" ref="AB60">IFERROR(INDEX('Temp Hisfa'!AB$3:AB$200, SMALL(IF(ISERROR('Temp Hisfa'!AB$3:AB$200), "", ROW('Temp Hisfa'!AB$3:AB$200)-MIN(ROW('Temp Hisfa'!AB$3:AB$200))+1), ROW(58:257))),"")</f>
        <v>0</v>
      </c>
    </row>
    <row r="61" spans="1:31" x14ac:dyDescent="0.3">
      <c r="A61" s="4">
        <f t="array" ref="A61">IFERROR(INDEX('Temp Hisfa'!A$3:A$200, SMALL(IF(ISERROR('Temp Hisfa'!A$3:A$200), "", ROW('Temp Hisfa'!A$3:A$200)-MIN(ROW('Temp Hisfa'!A$3:A$200))+1), ROW(59:257))),"")</f>
        <v>0</v>
      </c>
      <c r="B61" s="4">
        <f t="array" ref="B61">IFERROR(INDEX('Temp Hisfa'!B$3:B$200, SMALL(IF(ISERROR('Temp Hisfa'!B$3:B$200), "", ROW('Temp Hisfa'!B$3:B$200)-MIN(ROW('Temp Hisfa'!B$3:B$200))+1), ROW(59:257))),"")</f>
        <v>0</v>
      </c>
      <c r="C61" s="3">
        <f t="array" ref="C61">IFERROR(INDEX('Temp Hisfa'!C$3:C$200, SMALL(IF(ISERROR('Temp Hisfa'!C$3:C$200), "", ROW('Temp Hisfa'!C$3:C$200)-MIN(ROW('Temp Hisfa'!C$3:C$200))+1), ROW(59:257))),"")</f>
        <v>0</v>
      </c>
      <c r="D61" s="3">
        <f t="array" ref="D61">IFERROR(INDEX('Temp Hisfa'!D$3:D$200, SMALL(IF(ISERROR('Temp Hisfa'!D$3:D$200), "", ROW('Temp Hisfa'!D$3:D$200)-MIN(ROW('Temp Hisfa'!D$3:D$200))+1), ROW(59:257))),"")</f>
        <v>0</v>
      </c>
      <c r="E61" s="29">
        <f t="array" ref="E61">IFERROR(INDEX('Temp Hisfa'!E$3:E$200, SMALL(IF(ISERROR('Temp Hisfa'!E$3:E$200), "", ROW('Temp Hisfa'!E$3:E$200)-MIN(ROW('Temp Hisfa'!E$3:E$200))+1), ROW(59:258))),"")</f>
        <v>0</v>
      </c>
      <c r="F61" s="22">
        <f t="array" ref="F61">IFERROR(INDEX('Temp Hisfa'!F$3:F$200, SMALL(IF(ISERROR('Temp Hisfa'!F$3:F$200), "", ROW('Temp Hisfa'!F$3:F$200)-MIN(ROW('Temp Hisfa'!F$3:F$200))+1), ROW(59:258))),"")</f>
        <v>0</v>
      </c>
      <c r="G61" s="30">
        <f t="array" ref="G61">IFERROR(INDEX('Temp Hisfa'!G$3:G$200, SMALL(IF(ISERROR('Temp Hisfa'!G$3:G$200), "", ROW('Temp Hisfa'!G$3:G$200)-MIN(ROW('Temp Hisfa'!G$3:G$200))+1), ROW(59:258))),"")</f>
        <v>0</v>
      </c>
      <c r="H61" s="22">
        <f t="array" ref="H61">IFERROR(INDEX('Temp Hisfa'!H$3:H$200, SMALL(IF(ISERROR('Temp Hisfa'!H$3:H$200), "", ROW('Temp Hisfa'!H$3:H$200)-MIN(ROW('Temp Hisfa'!H$3:H$200))+1), ROW(59:258))),"")</f>
        <v>0</v>
      </c>
      <c r="I61" s="22">
        <f t="array" ref="I61">IFERROR(INDEX('Temp Hisfa'!I$3:I$200, SMALL(IF(ISERROR('Temp Hisfa'!I$3:I$200), "", ROW('Temp Hisfa'!I$3:I$200)-MIN(ROW('Temp Hisfa'!I$3:I$200))+1), ROW(59:258))),"")</f>
        <v>0</v>
      </c>
      <c r="J61" s="22">
        <f t="array" ref="J61">IFERROR(INDEX('Temp Hisfa'!J$3:J$200, SMALL(IF(ISERROR('Temp Hisfa'!J$3:J$200), "", ROW('Temp Hisfa'!J$3:J$200)-MIN(ROW('Temp Hisfa'!J$3:J$200))+1), ROW(59:258))),"")</f>
        <v>0</v>
      </c>
      <c r="K61" s="30">
        <f t="array" ref="K61">IFERROR(INDEX('Temp Hisfa'!K$3:K$200, SMALL(IF(ISERROR('Temp Hisfa'!K$3:K$200), "", ROW('Temp Hisfa'!K$3:K$200)-MIN(ROW('Temp Hisfa'!K$3:K$200))+1), ROW(59:258))),"")</f>
        <v>0</v>
      </c>
      <c r="L61" s="22">
        <f t="array" ref="L61">IFERROR(INDEX('Temp Hisfa'!L$3:L$200, SMALL(IF(ISERROR('Temp Hisfa'!L$3:L$200), "", ROW('Temp Hisfa'!L$3:L$200)-MIN(ROW('Temp Hisfa'!L$3:L$200))+1), ROW(59:258))),"")</f>
        <v>0</v>
      </c>
      <c r="M61" s="22">
        <f t="array" ref="M61">IFERROR(INDEX('Temp Hisfa'!M$3:M$200, SMALL(IF(ISERROR('Temp Hisfa'!M$3:M$200), "", ROW('Temp Hisfa'!M$3:M$200)-MIN(ROW('Temp Hisfa'!M$3:M$200))+1), ROW(59:258))),"")</f>
        <v>0</v>
      </c>
      <c r="N61" s="22">
        <f t="array" ref="N61">IFERROR(INDEX('Temp Hisfa'!N$3:N$200, SMALL(IF(ISERROR('Temp Hisfa'!N$3:N$200), "", ROW('Temp Hisfa'!N$3:N$200)-MIN(ROW('Temp Hisfa'!N$3:N$200))+1), ROW(59:258))),"")</f>
        <v>1900</v>
      </c>
      <c r="O61" s="22" t="str">
        <f t="array" ref="O61">IFERROR(INDEX('Temp Hisfa'!O$3:O$200, SMALL(IF(ISERROR('Temp Hisfa'!O$3:O$200), "", ROW('Temp Hisfa'!O$3:O$200)-MIN(ROW('Temp Hisfa'!O$3:O$200))+1), ROW(59:258))),"")</f>
        <v>enero</v>
      </c>
      <c r="P61" s="22">
        <f t="array" ref="P61">IFERROR(INDEX('Temp Hisfa'!P$3:P$200, SMALL(IF(ISERROR('Temp Hisfa'!P$3:P$200), "", ROW('Temp Hisfa'!P$3:P$200)-MIN(ROW('Temp Hisfa'!P$3:P$200))+1), ROW(59:258))),"")</f>
        <v>0</v>
      </c>
      <c r="Q61" s="22">
        <f t="array" ref="Q61">IFERROR(INDEX('Temp Hisfa'!Q$3:Q$200, SMALL(IF(ISERROR('Temp Hisfa'!Q$3:Q$200), "", ROW('Temp Hisfa'!Q$3:Q$200)-MIN(ROW('Temp Hisfa'!Q$3:Q$200))+1), ROW(59:258))),"")</f>
        <v>0</v>
      </c>
      <c r="R61" s="22">
        <f t="array" ref="R61">IFERROR(INDEX('Temp Hisfa'!R$3:R$200, SMALL(IF(ISERROR('Temp Hisfa'!R$3:R$200), "", ROW('Temp Hisfa'!R$3:R$200)-MIN(ROW('Temp Hisfa'!R$3:R$200))+1), ROW(59:258))),"")</f>
        <v>0</v>
      </c>
      <c r="S61" s="22">
        <f t="array" ref="S61">IFERROR(INDEX('Temp Hisfa'!S$3:S$200, SMALL(IF(ISERROR('Temp Hisfa'!S$3:S$200), "", ROW('Temp Hisfa'!S$3:S$200)-MIN(ROW('Temp Hisfa'!S$3:S$200))+1), ROW(59:258))),"")</f>
        <v>0</v>
      </c>
      <c r="T61" s="22">
        <f t="array" ref="T61">IFERROR(INDEX('Temp Hisfa'!T$3:T$200, SMALL(IF(ISERROR('Temp Hisfa'!T$3:T$200), "", ROW('Temp Hisfa'!T$3:T$200)-MIN(ROW('Temp Hisfa'!T$3:T$200))+1), ROW(59:258))),"")</f>
        <v>0</v>
      </c>
      <c r="U61" s="22">
        <f t="array" ref="U61">IFERROR(INDEX('Temp Hisfa'!U$3:U$200, SMALL(IF(ISERROR('Temp Hisfa'!U$3:U$200), "", ROW('Temp Hisfa'!U$3:U$200)-MIN(ROW('Temp Hisfa'!U$3:U$200))+1), ROW(59:258))),"")</f>
        <v>0</v>
      </c>
      <c r="V61" s="22">
        <f t="array" ref="V61">IFERROR(INDEX('Temp Hisfa'!V$3:V$200, SMALL(IF(ISERROR('Temp Hisfa'!V$3:V$200), "", ROW('Temp Hisfa'!V$3:V$200)-MIN(ROW('Temp Hisfa'!V$3:V$200))+1), ROW(59:258))),"")</f>
        <v>0</v>
      </c>
      <c r="W61" s="22">
        <f t="array" ref="W61">IFERROR(INDEX('Temp Hisfa'!W$3:W$200, SMALL(IF(ISERROR('Temp Hisfa'!W$3:W$200), "", ROW('Temp Hisfa'!W$3:W$200)-MIN(ROW('Temp Hisfa'!W$3:W$200))+1), ROW(59:258))),"")</f>
        <v>0</v>
      </c>
      <c r="X61" s="22">
        <f t="array" ref="X61">IFERROR(INDEX('Temp Hisfa'!X$3:X$200, SMALL(IF(ISERROR('Temp Hisfa'!X$3:X$200), "", ROW('Temp Hisfa'!X$3:X$200)-MIN(ROW('Temp Hisfa'!X$3:X$200))+1), ROW(59:258))),"")</f>
        <v>0</v>
      </c>
      <c r="Y61" s="22">
        <f t="array" ref="Y61">IFERROR(INDEX('Temp Hisfa'!Y$3:Y$200, SMALL(IF(ISERROR('Temp Hisfa'!Y$3:Y$200), "", ROW('Temp Hisfa'!Y$3:Y$200)-MIN(ROW('Temp Hisfa'!Y$3:Y$200))+1), ROW(59:258))),"")</f>
        <v>0</v>
      </c>
      <c r="Z61" s="22">
        <f t="array" ref="Z61">IFERROR(INDEX('Temp Hisfa'!Z$3:Z$200, SMALL(IF(ISERROR('Temp Hisfa'!Z$3:Z$200), "", ROW('Temp Hisfa'!Z$3:Z$200)-MIN(ROW('Temp Hisfa'!Z$3:Z$200))+1), ROW(59:258))),"")</f>
        <v>0</v>
      </c>
      <c r="AA61" s="22">
        <f t="array" ref="AA61">IFERROR(INDEX('Temp Hisfa'!AA$3:AA$200, SMALL(IF(ISERROR('Temp Hisfa'!AA$3:AA$200), "", ROW('Temp Hisfa'!AA$3:AA$200)-MIN(ROW('Temp Hisfa'!AA$3:AA$200))+1), ROW(59:258))),"")</f>
        <v>0</v>
      </c>
      <c r="AB61" s="22">
        <f t="array" ref="AB61">IFERROR(INDEX('Temp Hisfa'!AB$3:AB$200, SMALL(IF(ISERROR('Temp Hisfa'!AB$3:AB$200), "", ROW('Temp Hisfa'!AB$3:AB$200)-MIN(ROW('Temp Hisfa'!AB$3:AB$200))+1), ROW(59:258))),"")</f>
        <v>0</v>
      </c>
    </row>
    <row r="62" spans="1:31" x14ac:dyDescent="0.3">
      <c r="A62" s="4">
        <f t="array" ref="A62">IFERROR(INDEX('Temp Hisfa'!A$3:A$200, SMALL(IF(ISERROR('Temp Hisfa'!A$3:A$200), "", ROW('Temp Hisfa'!A$3:A$200)-MIN(ROW('Temp Hisfa'!A$3:A$200))+1), ROW(60:258))),"")</f>
        <v>0</v>
      </c>
      <c r="B62" s="4">
        <f t="array" ref="B62">IFERROR(INDEX('Temp Hisfa'!B$3:B$200, SMALL(IF(ISERROR('Temp Hisfa'!B$3:B$200), "", ROW('Temp Hisfa'!B$3:B$200)-MIN(ROW('Temp Hisfa'!B$3:B$200))+1), ROW(60:258))),"")</f>
        <v>0</v>
      </c>
      <c r="C62" s="3">
        <f t="array" ref="C62">IFERROR(INDEX('Temp Hisfa'!C$3:C$200, SMALL(IF(ISERROR('Temp Hisfa'!C$3:C$200), "", ROW('Temp Hisfa'!C$3:C$200)-MIN(ROW('Temp Hisfa'!C$3:C$200))+1), ROW(60:258))),"")</f>
        <v>0</v>
      </c>
      <c r="D62" s="3">
        <f t="array" ref="D62">IFERROR(INDEX('Temp Hisfa'!D$3:D$200, SMALL(IF(ISERROR('Temp Hisfa'!D$3:D$200), "", ROW('Temp Hisfa'!D$3:D$200)-MIN(ROW('Temp Hisfa'!D$3:D$200))+1), ROW(60:258))),"")</f>
        <v>0</v>
      </c>
      <c r="E62" s="29">
        <f t="array" ref="E62">IFERROR(INDEX('Temp Hisfa'!E$3:E$200, SMALL(IF(ISERROR('Temp Hisfa'!E$3:E$200), "", ROW('Temp Hisfa'!E$3:E$200)-MIN(ROW('Temp Hisfa'!E$3:E$200))+1), ROW(60:259))),"")</f>
        <v>0</v>
      </c>
      <c r="F62" s="22">
        <f t="array" ref="F62">IFERROR(INDEX('Temp Hisfa'!F$3:F$200, SMALL(IF(ISERROR('Temp Hisfa'!F$3:F$200), "", ROW('Temp Hisfa'!F$3:F$200)-MIN(ROW('Temp Hisfa'!F$3:F$200))+1), ROW(60:259))),"")</f>
        <v>0</v>
      </c>
      <c r="G62" s="30">
        <f t="array" ref="G62">IFERROR(INDEX('Temp Hisfa'!G$3:G$200, SMALL(IF(ISERROR('Temp Hisfa'!G$3:G$200), "", ROW('Temp Hisfa'!G$3:G$200)-MIN(ROW('Temp Hisfa'!G$3:G$200))+1), ROW(60:259))),"")</f>
        <v>0</v>
      </c>
      <c r="H62" s="22">
        <f t="array" ref="H62">IFERROR(INDEX('Temp Hisfa'!H$3:H$200, SMALL(IF(ISERROR('Temp Hisfa'!H$3:H$200), "", ROW('Temp Hisfa'!H$3:H$200)-MIN(ROW('Temp Hisfa'!H$3:H$200))+1), ROW(60:259))),"")</f>
        <v>0</v>
      </c>
      <c r="I62" s="22">
        <f t="array" ref="I62">IFERROR(INDEX('Temp Hisfa'!I$3:I$200, SMALL(IF(ISERROR('Temp Hisfa'!I$3:I$200), "", ROW('Temp Hisfa'!I$3:I$200)-MIN(ROW('Temp Hisfa'!I$3:I$200))+1), ROW(60:259))),"")</f>
        <v>0</v>
      </c>
      <c r="J62" s="22">
        <f t="array" ref="J62">IFERROR(INDEX('Temp Hisfa'!J$3:J$200, SMALL(IF(ISERROR('Temp Hisfa'!J$3:J$200), "", ROW('Temp Hisfa'!J$3:J$200)-MIN(ROW('Temp Hisfa'!J$3:J$200))+1), ROW(60:259))),"")</f>
        <v>0</v>
      </c>
      <c r="K62" s="30">
        <f t="array" ref="K62">IFERROR(INDEX('Temp Hisfa'!K$3:K$200, SMALL(IF(ISERROR('Temp Hisfa'!K$3:K$200), "", ROW('Temp Hisfa'!K$3:K$200)-MIN(ROW('Temp Hisfa'!K$3:K$200))+1), ROW(60:259))),"")</f>
        <v>0</v>
      </c>
      <c r="L62" s="22">
        <f t="array" ref="L62">IFERROR(INDEX('Temp Hisfa'!L$3:L$200, SMALL(IF(ISERROR('Temp Hisfa'!L$3:L$200), "", ROW('Temp Hisfa'!L$3:L$200)-MIN(ROW('Temp Hisfa'!L$3:L$200))+1), ROW(60:259))),"")</f>
        <v>0</v>
      </c>
      <c r="M62" s="22">
        <f t="array" ref="M62">IFERROR(INDEX('Temp Hisfa'!M$3:M$200, SMALL(IF(ISERROR('Temp Hisfa'!M$3:M$200), "", ROW('Temp Hisfa'!M$3:M$200)-MIN(ROW('Temp Hisfa'!M$3:M$200))+1), ROW(60:259))),"")</f>
        <v>0</v>
      </c>
      <c r="N62" s="22">
        <f t="array" ref="N62">IFERROR(INDEX('Temp Hisfa'!N$3:N$200, SMALL(IF(ISERROR('Temp Hisfa'!N$3:N$200), "", ROW('Temp Hisfa'!N$3:N$200)-MIN(ROW('Temp Hisfa'!N$3:N$200))+1), ROW(60:259))),"")</f>
        <v>1900</v>
      </c>
      <c r="O62" s="22" t="str">
        <f t="array" ref="O62">IFERROR(INDEX('Temp Hisfa'!O$3:O$200, SMALL(IF(ISERROR('Temp Hisfa'!O$3:O$200), "", ROW('Temp Hisfa'!O$3:O$200)-MIN(ROW('Temp Hisfa'!O$3:O$200))+1), ROW(60:259))),"")</f>
        <v>enero</v>
      </c>
      <c r="P62" s="22">
        <f t="array" ref="P62">IFERROR(INDEX('Temp Hisfa'!P$3:P$200, SMALL(IF(ISERROR('Temp Hisfa'!P$3:P$200), "", ROW('Temp Hisfa'!P$3:P$200)-MIN(ROW('Temp Hisfa'!P$3:P$200))+1), ROW(60:259))),"")</f>
        <v>0</v>
      </c>
      <c r="Q62" s="22">
        <f t="array" ref="Q62">IFERROR(INDEX('Temp Hisfa'!Q$3:Q$200, SMALL(IF(ISERROR('Temp Hisfa'!Q$3:Q$200), "", ROW('Temp Hisfa'!Q$3:Q$200)-MIN(ROW('Temp Hisfa'!Q$3:Q$200))+1), ROW(60:259))),"")</f>
        <v>0</v>
      </c>
      <c r="R62" s="22">
        <f t="array" ref="R62">IFERROR(INDEX('Temp Hisfa'!R$3:R$200, SMALL(IF(ISERROR('Temp Hisfa'!R$3:R$200), "", ROW('Temp Hisfa'!R$3:R$200)-MIN(ROW('Temp Hisfa'!R$3:R$200))+1), ROW(60:259))),"")</f>
        <v>0</v>
      </c>
      <c r="S62" s="22">
        <f t="array" ref="S62">IFERROR(INDEX('Temp Hisfa'!S$3:S$200, SMALL(IF(ISERROR('Temp Hisfa'!S$3:S$200), "", ROW('Temp Hisfa'!S$3:S$200)-MIN(ROW('Temp Hisfa'!S$3:S$200))+1), ROW(60:259))),"")</f>
        <v>0</v>
      </c>
      <c r="T62" s="22">
        <f t="array" ref="T62">IFERROR(INDEX('Temp Hisfa'!T$3:T$200, SMALL(IF(ISERROR('Temp Hisfa'!T$3:T$200), "", ROW('Temp Hisfa'!T$3:T$200)-MIN(ROW('Temp Hisfa'!T$3:T$200))+1), ROW(60:259))),"")</f>
        <v>0</v>
      </c>
      <c r="U62" s="22">
        <f t="array" ref="U62">IFERROR(INDEX('Temp Hisfa'!U$3:U$200, SMALL(IF(ISERROR('Temp Hisfa'!U$3:U$200), "", ROW('Temp Hisfa'!U$3:U$200)-MIN(ROW('Temp Hisfa'!U$3:U$200))+1), ROW(60:259))),"")</f>
        <v>0</v>
      </c>
      <c r="V62" s="22">
        <f t="array" ref="V62">IFERROR(INDEX('Temp Hisfa'!V$3:V$200, SMALL(IF(ISERROR('Temp Hisfa'!V$3:V$200), "", ROW('Temp Hisfa'!V$3:V$200)-MIN(ROW('Temp Hisfa'!V$3:V$200))+1), ROW(60:259))),"")</f>
        <v>0</v>
      </c>
      <c r="W62" s="22">
        <f t="array" ref="W62">IFERROR(INDEX('Temp Hisfa'!W$3:W$200, SMALL(IF(ISERROR('Temp Hisfa'!W$3:W$200), "", ROW('Temp Hisfa'!W$3:W$200)-MIN(ROW('Temp Hisfa'!W$3:W$200))+1), ROW(60:259))),"")</f>
        <v>0</v>
      </c>
      <c r="X62" s="22">
        <f t="array" ref="X62">IFERROR(INDEX('Temp Hisfa'!X$3:X$200, SMALL(IF(ISERROR('Temp Hisfa'!X$3:X$200), "", ROW('Temp Hisfa'!X$3:X$200)-MIN(ROW('Temp Hisfa'!X$3:X$200))+1), ROW(60:259))),"")</f>
        <v>0</v>
      </c>
      <c r="Y62" s="22">
        <f t="array" ref="Y62">IFERROR(INDEX('Temp Hisfa'!Y$3:Y$200, SMALL(IF(ISERROR('Temp Hisfa'!Y$3:Y$200), "", ROW('Temp Hisfa'!Y$3:Y$200)-MIN(ROW('Temp Hisfa'!Y$3:Y$200))+1), ROW(60:259))),"")</f>
        <v>0</v>
      </c>
      <c r="Z62" s="22">
        <f t="array" ref="Z62">IFERROR(INDEX('Temp Hisfa'!Z$3:Z$200, SMALL(IF(ISERROR('Temp Hisfa'!Z$3:Z$200), "", ROW('Temp Hisfa'!Z$3:Z$200)-MIN(ROW('Temp Hisfa'!Z$3:Z$200))+1), ROW(60:259))),"")</f>
        <v>0</v>
      </c>
      <c r="AA62" s="22">
        <f t="array" ref="AA62">IFERROR(INDEX('Temp Hisfa'!AA$3:AA$200, SMALL(IF(ISERROR('Temp Hisfa'!AA$3:AA$200), "", ROW('Temp Hisfa'!AA$3:AA$200)-MIN(ROW('Temp Hisfa'!AA$3:AA$200))+1), ROW(60:259))),"")</f>
        <v>0</v>
      </c>
      <c r="AB62" s="22">
        <f t="array" ref="AB62">IFERROR(INDEX('Temp Hisfa'!AB$3:AB$200, SMALL(IF(ISERROR('Temp Hisfa'!AB$3:AB$200), "", ROW('Temp Hisfa'!AB$3:AB$200)-MIN(ROW('Temp Hisfa'!AB$3:AB$200))+1), ROW(60:259))),"")</f>
        <v>0</v>
      </c>
    </row>
    <row r="63" spans="1:31" x14ac:dyDescent="0.3">
      <c r="A63" s="4">
        <f t="array" ref="A63">IFERROR(INDEX('Temp Hisfa'!A$3:A$200, SMALL(IF(ISERROR('Temp Hisfa'!A$3:A$200), "", ROW('Temp Hisfa'!A$3:A$200)-MIN(ROW('Temp Hisfa'!A$3:A$200))+1), ROW(61:259))),"")</f>
        <v>0</v>
      </c>
      <c r="B63" s="4">
        <f t="array" ref="B63">IFERROR(INDEX('Temp Hisfa'!B$3:B$200, SMALL(IF(ISERROR('Temp Hisfa'!B$3:B$200), "", ROW('Temp Hisfa'!B$3:B$200)-MIN(ROW('Temp Hisfa'!B$3:B$200))+1), ROW(61:259))),"")</f>
        <v>0</v>
      </c>
      <c r="C63" s="3">
        <f t="array" ref="C63">IFERROR(INDEX('Temp Hisfa'!C$3:C$200, SMALL(IF(ISERROR('Temp Hisfa'!C$3:C$200), "", ROW('Temp Hisfa'!C$3:C$200)-MIN(ROW('Temp Hisfa'!C$3:C$200))+1), ROW(61:259))),"")</f>
        <v>0</v>
      </c>
      <c r="D63" s="3">
        <f t="array" ref="D63">IFERROR(INDEX('Temp Hisfa'!D$3:D$200, SMALL(IF(ISERROR('Temp Hisfa'!D$3:D$200), "", ROW('Temp Hisfa'!D$3:D$200)-MIN(ROW('Temp Hisfa'!D$3:D$200))+1), ROW(61:259))),"")</f>
        <v>0</v>
      </c>
      <c r="E63" s="29">
        <f t="array" ref="E63">IFERROR(INDEX('Temp Hisfa'!E$3:E$200, SMALL(IF(ISERROR('Temp Hisfa'!E$3:E$200), "", ROW('Temp Hisfa'!E$3:E$200)-MIN(ROW('Temp Hisfa'!E$3:E$200))+1), ROW(61:260))),"")</f>
        <v>0</v>
      </c>
      <c r="F63" s="22">
        <f t="array" ref="F63">IFERROR(INDEX('Temp Hisfa'!F$3:F$200, SMALL(IF(ISERROR('Temp Hisfa'!F$3:F$200), "", ROW('Temp Hisfa'!F$3:F$200)-MIN(ROW('Temp Hisfa'!F$3:F$200))+1), ROW(61:260))),"")</f>
        <v>0</v>
      </c>
      <c r="G63" s="30">
        <f t="array" ref="G63">IFERROR(INDEX('Temp Hisfa'!G$3:G$200, SMALL(IF(ISERROR('Temp Hisfa'!G$3:G$200), "", ROW('Temp Hisfa'!G$3:G$200)-MIN(ROW('Temp Hisfa'!G$3:G$200))+1), ROW(61:260))),"")</f>
        <v>0</v>
      </c>
      <c r="H63" s="22">
        <f t="array" ref="H63">IFERROR(INDEX('Temp Hisfa'!H$3:H$200, SMALL(IF(ISERROR('Temp Hisfa'!H$3:H$200), "", ROW('Temp Hisfa'!H$3:H$200)-MIN(ROW('Temp Hisfa'!H$3:H$200))+1), ROW(61:260))),"")</f>
        <v>0</v>
      </c>
      <c r="I63" s="22">
        <f t="array" ref="I63">IFERROR(INDEX('Temp Hisfa'!I$3:I$200, SMALL(IF(ISERROR('Temp Hisfa'!I$3:I$200), "", ROW('Temp Hisfa'!I$3:I$200)-MIN(ROW('Temp Hisfa'!I$3:I$200))+1), ROW(61:260))),"")</f>
        <v>0</v>
      </c>
      <c r="J63" s="22">
        <f t="array" ref="J63">IFERROR(INDEX('Temp Hisfa'!J$3:J$200, SMALL(IF(ISERROR('Temp Hisfa'!J$3:J$200), "", ROW('Temp Hisfa'!J$3:J$200)-MIN(ROW('Temp Hisfa'!J$3:J$200))+1), ROW(61:260))),"")</f>
        <v>0</v>
      </c>
      <c r="K63" s="30">
        <f t="array" ref="K63">IFERROR(INDEX('Temp Hisfa'!K$3:K$200, SMALL(IF(ISERROR('Temp Hisfa'!K$3:K$200), "", ROW('Temp Hisfa'!K$3:K$200)-MIN(ROW('Temp Hisfa'!K$3:K$200))+1), ROW(61:260))),"")</f>
        <v>0</v>
      </c>
      <c r="L63" s="22">
        <f t="array" ref="L63">IFERROR(INDEX('Temp Hisfa'!L$3:L$200, SMALL(IF(ISERROR('Temp Hisfa'!L$3:L$200), "", ROW('Temp Hisfa'!L$3:L$200)-MIN(ROW('Temp Hisfa'!L$3:L$200))+1), ROW(61:260))),"")</f>
        <v>0</v>
      </c>
      <c r="M63" s="22">
        <f t="array" ref="M63">IFERROR(INDEX('Temp Hisfa'!M$3:M$200, SMALL(IF(ISERROR('Temp Hisfa'!M$3:M$200), "", ROW('Temp Hisfa'!M$3:M$200)-MIN(ROW('Temp Hisfa'!M$3:M$200))+1), ROW(61:260))),"")</f>
        <v>0</v>
      </c>
      <c r="N63" s="22">
        <f t="array" ref="N63">IFERROR(INDEX('Temp Hisfa'!N$3:N$200, SMALL(IF(ISERROR('Temp Hisfa'!N$3:N$200), "", ROW('Temp Hisfa'!N$3:N$200)-MIN(ROW('Temp Hisfa'!N$3:N$200))+1), ROW(61:260))),"")</f>
        <v>1900</v>
      </c>
      <c r="O63" s="22" t="str">
        <f t="array" ref="O63">IFERROR(INDEX('Temp Hisfa'!O$3:O$200, SMALL(IF(ISERROR('Temp Hisfa'!O$3:O$200), "", ROW('Temp Hisfa'!O$3:O$200)-MIN(ROW('Temp Hisfa'!O$3:O$200))+1), ROW(61:260))),"")</f>
        <v>enero</v>
      </c>
      <c r="P63" s="22">
        <f t="array" ref="P63">IFERROR(INDEX('Temp Hisfa'!P$3:P$200, SMALL(IF(ISERROR('Temp Hisfa'!P$3:P$200), "", ROW('Temp Hisfa'!P$3:P$200)-MIN(ROW('Temp Hisfa'!P$3:P$200))+1), ROW(61:260))),"")</f>
        <v>0</v>
      </c>
      <c r="Q63" s="22">
        <f t="array" ref="Q63">IFERROR(INDEX('Temp Hisfa'!Q$3:Q$200, SMALL(IF(ISERROR('Temp Hisfa'!Q$3:Q$200), "", ROW('Temp Hisfa'!Q$3:Q$200)-MIN(ROW('Temp Hisfa'!Q$3:Q$200))+1), ROW(61:260))),"")</f>
        <v>0</v>
      </c>
      <c r="R63" s="22">
        <f t="array" ref="R63">IFERROR(INDEX('Temp Hisfa'!R$3:R$200, SMALL(IF(ISERROR('Temp Hisfa'!R$3:R$200), "", ROW('Temp Hisfa'!R$3:R$200)-MIN(ROW('Temp Hisfa'!R$3:R$200))+1), ROW(61:260))),"")</f>
        <v>0</v>
      </c>
      <c r="S63" s="22">
        <f t="array" ref="S63">IFERROR(INDEX('Temp Hisfa'!S$3:S$200, SMALL(IF(ISERROR('Temp Hisfa'!S$3:S$200), "", ROW('Temp Hisfa'!S$3:S$200)-MIN(ROW('Temp Hisfa'!S$3:S$200))+1), ROW(61:260))),"")</f>
        <v>0</v>
      </c>
      <c r="T63" s="22">
        <f t="array" ref="T63">IFERROR(INDEX('Temp Hisfa'!T$3:T$200, SMALL(IF(ISERROR('Temp Hisfa'!T$3:T$200), "", ROW('Temp Hisfa'!T$3:T$200)-MIN(ROW('Temp Hisfa'!T$3:T$200))+1), ROW(61:260))),"")</f>
        <v>0</v>
      </c>
      <c r="U63" s="22">
        <f t="array" ref="U63">IFERROR(INDEX('Temp Hisfa'!U$3:U$200, SMALL(IF(ISERROR('Temp Hisfa'!U$3:U$200), "", ROW('Temp Hisfa'!U$3:U$200)-MIN(ROW('Temp Hisfa'!U$3:U$200))+1), ROW(61:260))),"")</f>
        <v>0</v>
      </c>
      <c r="V63" s="22">
        <f t="array" ref="V63">IFERROR(INDEX('Temp Hisfa'!V$3:V$200, SMALL(IF(ISERROR('Temp Hisfa'!V$3:V$200), "", ROW('Temp Hisfa'!V$3:V$200)-MIN(ROW('Temp Hisfa'!V$3:V$200))+1), ROW(61:260))),"")</f>
        <v>0</v>
      </c>
      <c r="W63" s="22">
        <f t="array" ref="W63">IFERROR(INDEX('Temp Hisfa'!W$3:W$200, SMALL(IF(ISERROR('Temp Hisfa'!W$3:W$200), "", ROW('Temp Hisfa'!W$3:W$200)-MIN(ROW('Temp Hisfa'!W$3:W$200))+1), ROW(61:260))),"")</f>
        <v>0</v>
      </c>
      <c r="X63" s="22">
        <f t="array" ref="X63">IFERROR(INDEX('Temp Hisfa'!X$3:X$200, SMALL(IF(ISERROR('Temp Hisfa'!X$3:X$200), "", ROW('Temp Hisfa'!X$3:X$200)-MIN(ROW('Temp Hisfa'!X$3:X$200))+1), ROW(61:260))),"")</f>
        <v>0</v>
      </c>
      <c r="Y63" s="22">
        <f t="array" ref="Y63">IFERROR(INDEX('Temp Hisfa'!Y$3:Y$200, SMALL(IF(ISERROR('Temp Hisfa'!Y$3:Y$200), "", ROW('Temp Hisfa'!Y$3:Y$200)-MIN(ROW('Temp Hisfa'!Y$3:Y$200))+1), ROW(61:260))),"")</f>
        <v>0</v>
      </c>
      <c r="Z63" s="22">
        <f t="array" ref="Z63">IFERROR(INDEX('Temp Hisfa'!Z$3:Z$200, SMALL(IF(ISERROR('Temp Hisfa'!Z$3:Z$200), "", ROW('Temp Hisfa'!Z$3:Z$200)-MIN(ROW('Temp Hisfa'!Z$3:Z$200))+1), ROW(61:260))),"")</f>
        <v>0</v>
      </c>
      <c r="AA63" s="22">
        <f t="array" ref="AA63">IFERROR(INDEX('Temp Hisfa'!AA$3:AA$200, SMALL(IF(ISERROR('Temp Hisfa'!AA$3:AA$200), "", ROW('Temp Hisfa'!AA$3:AA$200)-MIN(ROW('Temp Hisfa'!AA$3:AA$200))+1), ROW(61:260))),"")</f>
        <v>0</v>
      </c>
      <c r="AB63" s="22">
        <f t="array" ref="AB63">IFERROR(INDEX('Temp Hisfa'!AB$3:AB$200, SMALL(IF(ISERROR('Temp Hisfa'!AB$3:AB$200), "", ROW('Temp Hisfa'!AB$3:AB$200)-MIN(ROW('Temp Hisfa'!AB$3:AB$200))+1), ROW(61:260))),"")</f>
        <v>0</v>
      </c>
    </row>
    <row r="64" spans="1:31" x14ac:dyDescent="0.3">
      <c r="A64" s="4">
        <f t="array" ref="A64">IFERROR(INDEX('Temp Hisfa'!A$3:A$200, SMALL(IF(ISERROR('Temp Hisfa'!A$3:A$200), "", ROW('Temp Hisfa'!A$3:A$200)-MIN(ROW('Temp Hisfa'!A$3:A$200))+1), ROW(62:260))),"")</f>
        <v>0</v>
      </c>
      <c r="B64" s="4">
        <f t="array" ref="B64">IFERROR(INDEX('Temp Hisfa'!B$3:B$200, SMALL(IF(ISERROR('Temp Hisfa'!B$3:B$200), "", ROW('Temp Hisfa'!B$3:B$200)-MIN(ROW('Temp Hisfa'!B$3:B$200))+1), ROW(62:260))),"")</f>
        <v>0</v>
      </c>
      <c r="C64" s="3">
        <f t="array" ref="C64">IFERROR(INDEX('Temp Hisfa'!C$3:C$200, SMALL(IF(ISERROR('Temp Hisfa'!C$3:C$200), "", ROW('Temp Hisfa'!C$3:C$200)-MIN(ROW('Temp Hisfa'!C$3:C$200))+1), ROW(62:260))),"")</f>
        <v>0</v>
      </c>
      <c r="D64" s="3">
        <f t="array" ref="D64">IFERROR(INDEX('Temp Hisfa'!D$3:D$200, SMALL(IF(ISERROR('Temp Hisfa'!D$3:D$200), "", ROW('Temp Hisfa'!D$3:D$200)-MIN(ROW('Temp Hisfa'!D$3:D$200))+1), ROW(62:260))),"")</f>
        <v>0</v>
      </c>
      <c r="E64" s="29">
        <f t="array" ref="E64">IFERROR(INDEX('Temp Hisfa'!E$3:E$200, SMALL(IF(ISERROR('Temp Hisfa'!E$3:E$200), "", ROW('Temp Hisfa'!E$3:E$200)-MIN(ROW('Temp Hisfa'!E$3:E$200))+1), ROW(62:261))),"")</f>
        <v>0</v>
      </c>
      <c r="F64" s="22">
        <f t="array" ref="F64">IFERROR(INDEX('Temp Hisfa'!F$3:F$200, SMALL(IF(ISERROR('Temp Hisfa'!F$3:F$200), "", ROW('Temp Hisfa'!F$3:F$200)-MIN(ROW('Temp Hisfa'!F$3:F$200))+1), ROW(62:261))),"")</f>
        <v>0</v>
      </c>
      <c r="G64" s="30">
        <f t="array" ref="G64">IFERROR(INDEX('Temp Hisfa'!G$3:G$200, SMALL(IF(ISERROR('Temp Hisfa'!G$3:G$200), "", ROW('Temp Hisfa'!G$3:G$200)-MIN(ROW('Temp Hisfa'!G$3:G$200))+1), ROW(62:261))),"")</f>
        <v>0</v>
      </c>
      <c r="H64" s="22">
        <f t="array" ref="H64">IFERROR(INDEX('Temp Hisfa'!H$3:H$200, SMALL(IF(ISERROR('Temp Hisfa'!H$3:H$200), "", ROW('Temp Hisfa'!H$3:H$200)-MIN(ROW('Temp Hisfa'!H$3:H$200))+1), ROW(62:261))),"")</f>
        <v>0</v>
      </c>
      <c r="I64" s="22">
        <f t="array" ref="I64">IFERROR(INDEX('Temp Hisfa'!I$3:I$200, SMALL(IF(ISERROR('Temp Hisfa'!I$3:I$200), "", ROW('Temp Hisfa'!I$3:I$200)-MIN(ROW('Temp Hisfa'!I$3:I$200))+1), ROW(62:261))),"")</f>
        <v>0</v>
      </c>
      <c r="J64" s="22">
        <f t="array" ref="J64">IFERROR(INDEX('Temp Hisfa'!J$3:J$200, SMALL(IF(ISERROR('Temp Hisfa'!J$3:J$200), "", ROW('Temp Hisfa'!J$3:J$200)-MIN(ROW('Temp Hisfa'!J$3:J$200))+1), ROW(62:261))),"")</f>
        <v>0</v>
      </c>
      <c r="K64" s="30">
        <f t="array" ref="K64">IFERROR(INDEX('Temp Hisfa'!K$3:K$200, SMALL(IF(ISERROR('Temp Hisfa'!K$3:K$200), "", ROW('Temp Hisfa'!K$3:K$200)-MIN(ROW('Temp Hisfa'!K$3:K$200))+1), ROW(62:261))),"")</f>
        <v>0</v>
      </c>
      <c r="L64" s="22">
        <f t="array" ref="L64">IFERROR(INDEX('Temp Hisfa'!L$3:L$200, SMALL(IF(ISERROR('Temp Hisfa'!L$3:L$200), "", ROW('Temp Hisfa'!L$3:L$200)-MIN(ROW('Temp Hisfa'!L$3:L$200))+1), ROW(62:261))),"")</f>
        <v>0</v>
      </c>
      <c r="M64" s="22">
        <f t="array" ref="M64">IFERROR(INDEX('Temp Hisfa'!M$3:M$200, SMALL(IF(ISERROR('Temp Hisfa'!M$3:M$200), "", ROW('Temp Hisfa'!M$3:M$200)-MIN(ROW('Temp Hisfa'!M$3:M$200))+1), ROW(62:261))),"")</f>
        <v>0</v>
      </c>
      <c r="N64" s="22">
        <f t="array" ref="N64">IFERROR(INDEX('Temp Hisfa'!N$3:N$200, SMALL(IF(ISERROR('Temp Hisfa'!N$3:N$200), "", ROW('Temp Hisfa'!N$3:N$200)-MIN(ROW('Temp Hisfa'!N$3:N$200))+1), ROW(62:261))),"")</f>
        <v>1900</v>
      </c>
      <c r="O64" s="22" t="str">
        <f t="array" ref="O64">IFERROR(INDEX('Temp Hisfa'!O$3:O$200, SMALL(IF(ISERROR('Temp Hisfa'!O$3:O$200), "", ROW('Temp Hisfa'!O$3:O$200)-MIN(ROW('Temp Hisfa'!O$3:O$200))+1), ROW(62:261))),"")</f>
        <v>enero</v>
      </c>
      <c r="P64" s="22">
        <f t="array" ref="P64">IFERROR(INDEX('Temp Hisfa'!P$3:P$200, SMALL(IF(ISERROR('Temp Hisfa'!P$3:P$200), "", ROW('Temp Hisfa'!P$3:P$200)-MIN(ROW('Temp Hisfa'!P$3:P$200))+1), ROW(62:261))),"")</f>
        <v>0</v>
      </c>
      <c r="Q64" s="22">
        <f t="array" ref="Q64">IFERROR(INDEX('Temp Hisfa'!Q$3:Q$200, SMALL(IF(ISERROR('Temp Hisfa'!Q$3:Q$200), "", ROW('Temp Hisfa'!Q$3:Q$200)-MIN(ROW('Temp Hisfa'!Q$3:Q$200))+1), ROW(62:261))),"")</f>
        <v>0</v>
      </c>
      <c r="R64" s="22">
        <f t="array" ref="R64">IFERROR(INDEX('Temp Hisfa'!R$3:R$200, SMALL(IF(ISERROR('Temp Hisfa'!R$3:R$200), "", ROW('Temp Hisfa'!R$3:R$200)-MIN(ROW('Temp Hisfa'!R$3:R$200))+1), ROW(62:261))),"")</f>
        <v>0</v>
      </c>
      <c r="S64" s="22">
        <f t="array" ref="S64">IFERROR(INDEX('Temp Hisfa'!S$3:S$200, SMALL(IF(ISERROR('Temp Hisfa'!S$3:S$200), "", ROW('Temp Hisfa'!S$3:S$200)-MIN(ROW('Temp Hisfa'!S$3:S$200))+1), ROW(62:261))),"")</f>
        <v>0</v>
      </c>
      <c r="T64" s="22">
        <f t="array" ref="T64">IFERROR(INDEX('Temp Hisfa'!T$3:T$200, SMALL(IF(ISERROR('Temp Hisfa'!T$3:T$200), "", ROW('Temp Hisfa'!T$3:T$200)-MIN(ROW('Temp Hisfa'!T$3:T$200))+1), ROW(62:261))),"")</f>
        <v>0</v>
      </c>
      <c r="U64" s="22">
        <f t="array" ref="U64">IFERROR(INDEX('Temp Hisfa'!U$3:U$200, SMALL(IF(ISERROR('Temp Hisfa'!U$3:U$200), "", ROW('Temp Hisfa'!U$3:U$200)-MIN(ROW('Temp Hisfa'!U$3:U$200))+1), ROW(62:261))),"")</f>
        <v>0</v>
      </c>
      <c r="V64" s="22">
        <f t="array" ref="V64">IFERROR(INDEX('Temp Hisfa'!V$3:V$200, SMALL(IF(ISERROR('Temp Hisfa'!V$3:V$200), "", ROW('Temp Hisfa'!V$3:V$200)-MIN(ROW('Temp Hisfa'!V$3:V$200))+1), ROW(62:261))),"")</f>
        <v>0</v>
      </c>
      <c r="W64" s="22">
        <f t="array" ref="W64">IFERROR(INDEX('Temp Hisfa'!W$3:W$200, SMALL(IF(ISERROR('Temp Hisfa'!W$3:W$200), "", ROW('Temp Hisfa'!W$3:W$200)-MIN(ROW('Temp Hisfa'!W$3:W$200))+1), ROW(62:261))),"")</f>
        <v>0</v>
      </c>
      <c r="X64" s="22">
        <f t="array" ref="X64">IFERROR(INDEX('Temp Hisfa'!X$3:X$200, SMALL(IF(ISERROR('Temp Hisfa'!X$3:X$200), "", ROW('Temp Hisfa'!X$3:X$200)-MIN(ROW('Temp Hisfa'!X$3:X$200))+1), ROW(62:261))),"")</f>
        <v>0</v>
      </c>
      <c r="Y64" s="22">
        <f t="array" ref="Y64">IFERROR(INDEX('Temp Hisfa'!Y$3:Y$200, SMALL(IF(ISERROR('Temp Hisfa'!Y$3:Y$200), "", ROW('Temp Hisfa'!Y$3:Y$200)-MIN(ROW('Temp Hisfa'!Y$3:Y$200))+1), ROW(62:261))),"")</f>
        <v>0</v>
      </c>
      <c r="Z64" s="22">
        <f t="array" ref="Z64">IFERROR(INDEX('Temp Hisfa'!Z$3:Z$200, SMALL(IF(ISERROR('Temp Hisfa'!Z$3:Z$200), "", ROW('Temp Hisfa'!Z$3:Z$200)-MIN(ROW('Temp Hisfa'!Z$3:Z$200))+1), ROW(62:261))),"")</f>
        <v>0</v>
      </c>
      <c r="AA64" s="22">
        <f t="array" ref="AA64">IFERROR(INDEX('Temp Hisfa'!AA$3:AA$200, SMALL(IF(ISERROR('Temp Hisfa'!AA$3:AA$200), "", ROW('Temp Hisfa'!AA$3:AA$200)-MIN(ROW('Temp Hisfa'!AA$3:AA$200))+1), ROW(62:261))),"")</f>
        <v>0</v>
      </c>
      <c r="AB64" s="22">
        <f t="array" ref="AB64">IFERROR(INDEX('Temp Hisfa'!AB$3:AB$200, SMALL(IF(ISERROR('Temp Hisfa'!AB$3:AB$200), "", ROW('Temp Hisfa'!AB$3:AB$200)-MIN(ROW('Temp Hisfa'!AB$3:AB$200))+1), ROW(62:261))),"")</f>
        <v>0</v>
      </c>
    </row>
    <row r="65" spans="1:28" x14ac:dyDescent="0.3">
      <c r="A65" s="4">
        <f t="array" ref="A65">IFERROR(INDEX('Temp Hisfa'!A$3:A$200, SMALL(IF(ISERROR('Temp Hisfa'!A$3:A$200), "", ROW('Temp Hisfa'!A$3:A$200)-MIN(ROW('Temp Hisfa'!A$3:A$200))+1), ROW(63:261))),"")</f>
        <v>0</v>
      </c>
      <c r="B65" s="4">
        <f t="array" ref="B65">IFERROR(INDEX('Temp Hisfa'!B$3:B$200, SMALL(IF(ISERROR('Temp Hisfa'!B$3:B$200), "", ROW('Temp Hisfa'!B$3:B$200)-MIN(ROW('Temp Hisfa'!B$3:B$200))+1), ROW(63:261))),"")</f>
        <v>0</v>
      </c>
      <c r="C65" s="3">
        <f t="array" ref="C65">IFERROR(INDEX('Temp Hisfa'!C$3:C$200, SMALL(IF(ISERROR('Temp Hisfa'!C$3:C$200), "", ROW('Temp Hisfa'!C$3:C$200)-MIN(ROW('Temp Hisfa'!C$3:C$200))+1), ROW(63:261))),"")</f>
        <v>0</v>
      </c>
      <c r="D65" s="3">
        <f t="array" ref="D65">IFERROR(INDEX('Temp Hisfa'!D$3:D$200, SMALL(IF(ISERROR('Temp Hisfa'!D$3:D$200), "", ROW('Temp Hisfa'!D$3:D$200)-MIN(ROW('Temp Hisfa'!D$3:D$200))+1), ROW(63:261))),"")</f>
        <v>0</v>
      </c>
      <c r="E65" s="29">
        <f t="array" ref="E65">IFERROR(INDEX('Temp Hisfa'!E$3:E$200, SMALL(IF(ISERROR('Temp Hisfa'!E$3:E$200), "", ROW('Temp Hisfa'!E$3:E$200)-MIN(ROW('Temp Hisfa'!E$3:E$200))+1), ROW(63:262))),"")</f>
        <v>0</v>
      </c>
      <c r="F65" s="22">
        <f t="array" ref="F65">IFERROR(INDEX('Temp Hisfa'!F$3:F$200, SMALL(IF(ISERROR('Temp Hisfa'!F$3:F$200), "", ROW('Temp Hisfa'!F$3:F$200)-MIN(ROW('Temp Hisfa'!F$3:F$200))+1), ROW(63:262))),"")</f>
        <v>0</v>
      </c>
      <c r="G65" s="30">
        <f t="array" ref="G65">IFERROR(INDEX('Temp Hisfa'!G$3:G$200, SMALL(IF(ISERROR('Temp Hisfa'!G$3:G$200), "", ROW('Temp Hisfa'!G$3:G$200)-MIN(ROW('Temp Hisfa'!G$3:G$200))+1), ROW(63:262))),"")</f>
        <v>0</v>
      </c>
      <c r="H65" s="22">
        <f t="array" ref="H65">IFERROR(INDEX('Temp Hisfa'!H$3:H$200, SMALL(IF(ISERROR('Temp Hisfa'!H$3:H$200), "", ROW('Temp Hisfa'!H$3:H$200)-MIN(ROW('Temp Hisfa'!H$3:H$200))+1), ROW(63:262))),"")</f>
        <v>0</v>
      </c>
      <c r="I65" s="22">
        <f t="array" ref="I65">IFERROR(INDEX('Temp Hisfa'!I$3:I$200, SMALL(IF(ISERROR('Temp Hisfa'!I$3:I$200), "", ROW('Temp Hisfa'!I$3:I$200)-MIN(ROW('Temp Hisfa'!I$3:I$200))+1), ROW(63:262))),"")</f>
        <v>0</v>
      </c>
      <c r="J65" s="22">
        <f t="array" ref="J65">IFERROR(INDEX('Temp Hisfa'!J$3:J$200, SMALL(IF(ISERROR('Temp Hisfa'!J$3:J$200), "", ROW('Temp Hisfa'!J$3:J$200)-MIN(ROW('Temp Hisfa'!J$3:J$200))+1), ROW(63:262))),"")</f>
        <v>0</v>
      </c>
      <c r="K65" s="30">
        <f t="array" ref="K65">IFERROR(INDEX('Temp Hisfa'!K$3:K$200, SMALL(IF(ISERROR('Temp Hisfa'!K$3:K$200), "", ROW('Temp Hisfa'!K$3:K$200)-MIN(ROW('Temp Hisfa'!K$3:K$200))+1), ROW(63:262))),"")</f>
        <v>0</v>
      </c>
      <c r="L65" s="22">
        <f t="array" ref="L65">IFERROR(INDEX('Temp Hisfa'!L$3:L$200, SMALL(IF(ISERROR('Temp Hisfa'!L$3:L$200), "", ROW('Temp Hisfa'!L$3:L$200)-MIN(ROW('Temp Hisfa'!L$3:L$200))+1), ROW(63:262))),"")</f>
        <v>0</v>
      </c>
      <c r="M65" s="22">
        <f t="array" ref="M65">IFERROR(INDEX('Temp Hisfa'!M$3:M$200, SMALL(IF(ISERROR('Temp Hisfa'!M$3:M$200), "", ROW('Temp Hisfa'!M$3:M$200)-MIN(ROW('Temp Hisfa'!M$3:M$200))+1), ROW(63:262))),"")</f>
        <v>0</v>
      </c>
      <c r="N65" s="22">
        <f t="array" ref="N65">IFERROR(INDEX('Temp Hisfa'!N$3:N$200, SMALL(IF(ISERROR('Temp Hisfa'!N$3:N$200), "", ROW('Temp Hisfa'!N$3:N$200)-MIN(ROW('Temp Hisfa'!N$3:N$200))+1), ROW(63:262))),"")</f>
        <v>1900</v>
      </c>
      <c r="O65" s="22" t="str">
        <f t="array" ref="O65">IFERROR(INDEX('Temp Hisfa'!O$3:O$200, SMALL(IF(ISERROR('Temp Hisfa'!O$3:O$200), "", ROW('Temp Hisfa'!O$3:O$200)-MIN(ROW('Temp Hisfa'!O$3:O$200))+1), ROW(63:262))),"")</f>
        <v>enero</v>
      </c>
      <c r="P65" s="22">
        <f t="array" ref="P65">IFERROR(INDEX('Temp Hisfa'!P$3:P$200, SMALL(IF(ISERROR('Temp Hisfa'!P$3:P$200), "", ROW('Temp Hisfa'!P$3:P$200)-MIN(ROW('Temp Hisfa'!P$3:P$200))+1), ROW(63:262))),"")</f>
        <v>0</v>
      </c>
      <c r="Q65" s="22">
        <f t="array" ref="Q65">IFERROR(INDEX('Temp Hisfa'!Q$3:Q$200, SMALL(IF(ISERROR('Temp Hisfa'!Q$3:Q$200), "", ROW('Temp Hisfa'!Q$3:Q$200)-MIN(ROW('Temp Hisfa'!Q$3:Q$200))+1), ROW(63:262))),"")</f>
        <v>0</v>
      </c>
      <c r="R65" s="22">
        <f t="array" ref="R65">IFERROR(INDEX('Temp Hisfa'!R$3:R$200, SMALL(IF(ISERROR('Temp Hisfa'!R$3:R$200), "", ROW('Temp Hisfa'!R$3:R$200)-MIN(ROW('Temp Hisfa'!R$3:R$200))+1), ROW(63:262))),"")</f>
        <v>0</v>
      </c>
      <c r="S65" s="22">
        <f t="array" ref="S65">IFERROR(INDEX('Temp Hisfa'!S$3:S$200, SMALL(IF(ISERROR('Temp Hisfa'!S$3:S$200), "", ROW('Temp Hisfa'!S$3:S$200)-MIN(ROW('Temp Hisfa'!S$3:S$200))+1), ROW(63:262))),"")</f>
        <v>0</v>
      </c>
      <c r="T65" s="22">
        <f t="array" ref="T65">IFERROR(INDEX('Temp Hisfa'!T$3:T$200, SMALL(IF(ISERROR('Temp Hisfa'!T$3:T$200), "", ROW('Temp Hisfa'!T$3:T$200)-MIN(ROW('Temp Hisfa'!T$3:T$200))+1), ROW(63:262))),"")</f>
        <v>0</v>
      </c>
      <c r="U65" s="22">
        <f t="array" ref="U65">IFERROR(INDEX('Temp Hisfa'!U$3:U$200, SMALL(IF(ISERROR('Temp Hisfa'!U$3:U$200), "", ROW('Temp Hisfa'!U$3:U$200)-MIN(ROW('Temp Hisfa'!U$3:U$200))+1), ROW(63:262))),"")</f>
        <v>0</v>
      </c>
      <c r="V65" s="22">
        <f t="array" ref="V65">IFERROR(INDEX('Temp Hisfa'!V$3:V$200, SMALL(IF(ISERROR('Temp Hisfa'!V$3:V$200), "", ROW('Temp Hisfa'!V$3:V$200)-MIN(ROW('Temp Hisfa'!V$3:V$200))+1), ROW(63:262))),"")</f>
        <v>0</v>
      </c>
      <c r="W65" s="22">
        <f t="array" ref="W65">IFERROR(INDEX('Temp Hisfa'!W$3:W$200, SMALL(IF(ISERROR('Temp Hisfa'!W$3:W$200), "", ROW('Temp Hisfa'!W$3:W$200)-MIN(ROW('Temp Hisfa'!W$3:W$200))+1), ROW(63:262))),"")</f>
        <v>0</v>
      </c>
      <c r="X65" s="22">
        <f t="array" ref="X65">IFERROR(INDEX('Temp Hisfa'!X$3:X$200, SMALL(IF(ISERROR('Temp Hisfa'!X$3:X$200), "", ROW('Temp Hisfa'!X$3:X$200)-MIN(ROW('Temp Hisfa'!X$3:X$200))+1), ROW(63:262))),"")</f>
        <v>0</v>
      </c>
      <c r="Y65" s="22">
        <f t="array" ref="Y65">IFERROR(INDEX('Temp Hisfa'!Y$3:Y$200, SMALL(IF(ISERROR('Temp Hisfa'!Y$3:Y$200), "", ROW('Temp Hisfa'!Y$3:Y$200)-MIN(ROW('Temp Hisfa'!Y$3:Y$200))+1), ROW(63:262))),"")</f>
        <v>0</v>
      </c>
      <c r="Z65" s="22">
        <f t="array" ref="Z65">IFERROR(INDEX('Temp Hisfa'!Z$3:Z$200, SMALL(IF(ISERROR('Temp Hisfa'!Z$3:Z$200), "", ROW('Temp Hisfa'!Z$3:Z$200)-MIN(ROW('Temp Hisfa'!Z$3:Z$200))+1), ROW(63:262))),"")</f>
        <v>0</v>
      </c>
      <c r="AA65" s="22">
        <f t="array" ref="AA65">IFERROR(INDEX('Temp Hisfa'!AA$3:AA$200, SMALL(IF(ISERROR('Temp Hisfa'!AA$3:AA$200), "", ROW('Temp Hisfa'!AA$3:AA$200)-MIN(ROW('Temp Hisfa'!AA$3:AA$200))+1), ROW(63:262))),"")</f>
        <v>0</v>
      </c>
      <c r="AB65" s="22">
        <f t="array" ref="AB65">IFERROR(INDEX('Temp Hisfa'!AB$3:AB$200, SMALL(IF(ISERROR('Temp Hisfa'!AB$3:AB$200), "", ROW('Temp Hisfa'!AB$3:AB$200)-MIN(ROW('Temp Hisfa'!AB$3:AB$200))+1), ROW(63:262))),"")</f>
        <v>0</v>
      </c>
    </row>
    <row r="66" spans="1:28" x14ac:dyDescent="0.3">
      <c r="A66" s="4">
        <f t="array" ref="A66">IFERROR(INDEX('Temp Hisfa'!A$3:A$200, SMALL(IF(ISERROR('Temp Hisfa'!A$3:A$200), "", ROW('Temp Hisfa'!A$3:A$200)-MIN(ROW('Temp Hisfa'!A$3:A$200))+1), ROW(64:262))),"")</f>
        <v>0</v>
      </c>
      <c r="B66" s="4">
        <f t="array" ref="B66">IFERROR(INDEX('Temp Hisfa'!B$3:B$200, SMALL(IF(ISERROR('Temp Hisfa'!B$3:B$200), "", ROW('Temp Hisfa'!B$3:B$200)-MIN(ROW('Temp Hisfa'!B$3:B$200))+1), ROW(64:262))),"")</f>
        <v>0</v>
      </c>
      <c r="C66" s="3">
        <f t="array" ref="C66">IFERROR(INDEX('Temp Hisfa'!C$3:C$200, SMALL(IF(ISERROR('Temp Hisfa'!C$3:C$200), "", ROW('Temp Hisfa'!C$3:C$200)-MIN(ROW('Temp Hisfa'!C$3:C$200))+1), ROW(64:262))),"")</f>
        <v>0</v>
      </c>
      <c r="D66" s="3">
        <f t="array" ref="D66">IFERROR(INDEX('Temp Hisfa'!D$3:D$200, SMALL(IF(ISERROR('Temp Hisfa'!D$3:D$200), "", ROW('Temp Hisfa'!D$3:D$200)-MIN(ROW('Temp Hisfa'!D$3:D$200))+1), ROW(64:262))),"")</f>
        <v>0</v>
      </c>
      <c r="E66" s="29">
        <f t="array" ref="E66">IFERROR(INDEX('Temp Hisfa'!E$3:E$200, SMALL(IF(ISERROR('Temp Hisfa'!E$3:E$200), "", ROW('Temp Hisfa'!E$3:E$200)-MIN(ROW('Temp Hisfa'!E$3:E$200))+1), ROW(64:263))),"")</f>
        <v>0</v>
      </c>
      <c r="F66" s="22">
        <f t="array" ref="F66">IFERROR(INDEX('Temp Hisfa'!F$3:F$200, SMALL(IF(ISERROR('Temp Hisfa'!F$3:F$200), "", ROW('Temp Hisfa'!F$3:F$200)-MIN(ROW('Temp Hisfa'!F$3:F$200))+1), ROW(64:263))),"")</f>
        <v>0</v>
      </c>
      <c r="G66" s="30">
        <f t="array" ref="G66">IFERROR(INDEX('Temp Hisfa'!G$3:G$200, SMALL(IF(ISERROR('Temp Hisfa'!G$3:G$200), "", ROW('Temp Hisfa'!G$3:G$200)-MIN(ROW('Temp Hisfa'!G$3:G$200))+1), ROW(64:263))),"")</f>
        <v>0</v>
      </c>
      <c r="H66" s="22">
        <f t="array" ref="H66">IFERROR(INDEX('Temp Hisfa'!H$3:H$200, SMALL(IF(ISERROR('Temp Hisfa'!H$3:H$200), "", ROW('Temp Hisfa'!H$3:H$200)-MIN(ROW('Temp Hisfa'!H$3:H$200))+1), ROW(64:263))),"")</f>
        <v>0</v>
      </c>
      <c r="I66" s="22">
        <f t="array" ref="I66">IFERROR(INDEX('Temp Hisfa'!I$3:I$200, SMALL(IF(ISERROR('Temp Hisfa'!I$3:I$200), "", ROW('Temp Hisfa'!I$3:I$200)-MIN(ROW('Temp Hisfa'!I$3:I$200))+1), ROW(64:263))),"")</f>
        <v>0</v>
      </c>
      <c r="J66" s="22">
        <f t="array" ref="J66">IFERROR(INDEX('Temp Hisfa'!J$3:J$200, SMALL(IF(ISERROR('Temp Hisfa'!J$3:J$200), "", ROW('Temp Hisfa'!J$3:J$200)-MIN(ROW('Temp Hisfa'!J$3:J$200))+1), ROW(64:263))),"")</f>
        <v>0</v>
      </c>
      <c r="K66" s="30">
        <f t="array" ref="K66">IFERROR(INDEX('Temp Hisfa'!K$3:K$200, SMALL(IF(ISERROR('Temp Hisfa'!K$3:K$200), "", ROW('Temp Hisfa'!K$3:K$200)-MIN(ROW('Temp Hisfa'!K$3:K$200))+1), ROW(64:263))),"")</f>
        <v>0</v>
      </c>
      <c r="L66" s="22">
        <f t="array" ref="L66">IFERROR(INDEX('Temp Hisfa'!L$3:L$200, SMALL(IF(ISERROR('Temp Hisfa'!L$3:L$200), "", ROW('Temp Hisfa'!L$3:L$200)-MIN(ROW('Temp Hisfa'!L$3:L$200))+1), ROW(64:263))),"")</f>
        <v>0</v>
      </c>
      <c r="M66" s="22">
        <f t="array" ref="M66">IFERROR(INDEX('Temp Hisfa'!M$3:M$200, SMALL(IF(ISERROR('Temp Hisfa'!M$3:M$200), "", ROW('Temp Hisfa'!M$3:M$200)-MIN(ROW('Temp Hisfa'!M$3:M$200))+1), ROW(64:263))),"")</f>
        <v>0</v>
      </c>
      <c r="N66" s="22">
        <f t="array" ref="N66">IFERROR(INDEX('Temp Hisfa'!N$3:N$200, SMALL(IF(ISERROR('Temp Hisfa'!N$3:N$200), "", ROW('Temp Hisfa'!N$3:N$200)-MIN(ROW('Temp Hisfa'!N$3:N$200))+1), ROW(64:263))),"")</f>
        <v>1900</v>
      </c>
      <c r="O66" s="22" t="str">
        <f t="array" ref="O66">IFERROR(INDEX('Temp Hisfa'!O$3:O$200, SMALL(IF(ISERROR('Temp Hisfa'!O$3:O$200), "", ROW('Temp Hisfa'!O$3:O$200)-MIN(ROW('Temp Hisfa'!O$3:O$200))+1), ROW(64:263))),"")</f>
        <v>enero</v>
      </c>
      <c r="P66" s="22">
        <f t="array" ref="P66">IFERROR(INDEX('Temp Hisfa'!P$3:P$200, SMALL(IF(ISERROR('Temp Hisfa'!P$3:P$200), "", ROW('Temp Hisfa'!P$3:P$200)-MIN(ROW('Temp Hisfa'!P$3:P$200))+1), ROW(64:263))),"")</f>
        <v>0</v>
      </c>
      <c r="Q66" s="22">
        <f t="array" ref="Q66">IFERROR(INDEX('Temp Hisfa'!Q$3:Q$200, SMALL(IF(ISERROR('Temp Hisfa'!Q$3:Q$200), "", ROW('Temp Hisfa'!Q$3:Q$200)-MIN(ROW('Temp Hisfa'!Q$3:Q$200))+1), ROW(64:263))),"")</f>
        <v>0</v>
      </c>
      <c r="R66" s="22">
        <f t="array" ref="R66">IFERROR(INDEX('Temp Hisfa'!R$3:R$200, SMALL(IF(ISERROR('Temp Hisfa'!R$3:R$200), "", ROW('Temp Hisfa'!R$3:R$200)-MIN(ROW('Temp Hisfa'!R$3:R$200))+1), ROW(64:263))),"")</f>
        <v>0</v>
      </c>
      <c r="S66" s="22">
        <f t="array" ref="S66">IFERROR(INDEX('Temp Hisfa'!S$3:S$200, SMALL(IF(ISERROR('Temp Hisfa'!S$3:S$200), "", ROW('Temp Hisfa'!S$3:S$200)-MIN(ROW('Temp Hisfa'!S$3:S$200))+1), ROW(64:263))),"")</f>
        <v>0</v>
      </c>
      <c r="T66" s="22">
        <f t="array" ref="T66">IFERROR(INDEX('Temp Hisfa'!T$3:T$200, SMALL(IF(ISERROR('Temp Hisfa'!T$3:T$200), "", ROW('Temp Hisfa'!T$3:T$200)-MIN(ROW('Temp Hisfa'!T$3:T$200))+1), ROW(64:263))),"")</f>
        <v>0</v>
      </c>
      <c r="U66" s="22">
        <f t="array" ref="U66">IFERROR(INDEX('Temp Hisfa'!U$3:U$200, SMALL(IF(ISERROR('Temp Hisfa'!U$3:U$200), "", ROW('Temp Hisfa'!U$3:U$200)-MIN(ROW('Temp Hisfa'!U$3:U$200))+1), ROW(64:263))),"")</f>
        <v>0</v>
      </c>
      <c r="V66" s="22">
        <f t="array" ref="V66">IFERROR(INDEX('Temp Hisfa'!V$3:V$200, SMALL(IF(ISERROR('Temp Hisfa'!V$3:V$200), "", ROW('Temp Hisfa'!V$3:V$200)-MIN(ROW('Temp Hisfa'!V$3:V$200))+1), ROW(64:263))),"")</f>
        <v>0</v>
      </c>
      <c r="W66" s="22">
        <f t="array" ref="W66">IFERROR(INDEX('Temp Hisfa'!W$3:W$200, SMALL(IF(ISERROR('Temp Hisfa'!W$3:W$200), "", ROW('Temp Hisfa'!W$3:W$200)-MIN(ROW('Temp Hisfa'!W$3:W$200))+1), ROW(64:263))),"")</f>
        <v>0</v>
      </c>
      <c r="X66" s="22">
        <f t="array" ref="X66">IFERROR(INDEX('Temp Hisfa'!X$3:X$200, SMALL(IF(ISERROR('Temp Hisfa'!X$3:X$200), "", ROW('Temp Hisfa'!X$3:X$200)-MIN(ROW('Temp Hisfa'!X$3:X$200))+1), ROW(64:263))),"")</f>
        <v>0</v>
      </c>
      <c r="Y66" s="22">
        <f t="array" ref="Y66">IFERROR(INDEX('Temp Hisfa'!Y$3:Y$200, SMALL(IF(ISERROR('Temp Hisfa'!Y$3:Y$200), "", ROW('Temp Hisfa'!Y$3:Y$200)-MIN(ROW('Temp Hisfa'!Y$3:Y$200))+1), ROW(64:263))),"")</f>
        <v>0</v>
      </c>
      <c r="Z66" s="22">
        <f t="array" ref="Z66">IFERROR(INDEX('Temp Hisfa'!Z$3:Z$200, SMALL(IF(ISERROR('Temp Hisfa'!Z$3:Z$200), "", ROW('Temp Hisfa'!Z$3:Z$200)-MIN(ROW('Temp Hisfa'!Z$3:Z$200))+1), ROW(64:263))),"")</f>
        <v>0</v>
      </c>
      <c r="AA66" s="22">
        <f t="array" ref="AA66">IFERROR(INDEX('Temp Hisfa'!AA$3:AA$200, SMALL(IF(ISERROR('Temp Hisfa'!AA$3:AA$200), "", ROW('Temp Hisfa'!AA$3:AA$200)-MIN(ROW('Temp Hisfa'!AA$3:AA$200))+1), ROW(64:263))),"")</f>
        <v>0</v>
      </c>
      <c r="AB66" s="22">
        <f t="array" ref="AB66">IFERROR(INDEX('Temp Hisfa'!AB$3:AB$200, SMALL(IF(ISERROR('Temp Hisfa'!AB$3:AB$200), "", ROW('Temp Hisfa'!AB$3:AB$200)-MIN(ROW('Temp Hisfa'!AB$3:AB$200))+1), ROW(64:263))),"")</f>
        <v>0</v>
      </c>
    </row>
    <row r="67" spans="1:28" x14ac:dyDescent="0.3">
      <c r="A67" s="4">
        <f t="array" ref="A67">IFERROR(INDEX('Temp Hisfa'!A$3:A$200, SMALL(IF(ISERROR('Temp Hisfa'!A$3:A$200), "", ROW('Temp Hisfa'!A$3:A$200)-MIN(ROW('Temp Hisfa'!A$3:A$200))+1), ROW(65:263))),"")</f>
        <v>0</v>
      </c>
      <c r="B67" s="4">
        <f t="array" ref="B67">IFERROR(INDEX('Temp Hisfa'!B$3:B$200, SMALL(IF(ISERROR('Temp Hisfa'!B$3:B$200), "", ROW('Temp Hisfa'!B$3:B$200)-MIN(ROW('Temp Hisfa'!B$3:B$200))+1), ROW(65:263))),"")</f>
        <v>0</v>
      </c>
      <c r="C67" s="3">
        <f t="array" ref="C67">IFERROR(INDEX('Temp Hisfa'!C$3:C$200, SMALL(IF(ISERROR('Temp Hisfa'!C$3:C$200), "", ROW('Temp Hisfa'!C$3:C$200)-MIN(ROW('Temp Hisfa'!C$3:C$200))+1), ROW(65:263))),"")</f>
        <v>0</v>
      </c>
      <c r="D67" s="3">
        <f t="array" ref="D67">IFERROR(INDEX('Temp Hisfa'!D$3:D$200, SMALL(IF(ISERROR('Temp Hisfa'!D$3:D$200), "", ROW('Temp Hisfa'!D$3:D$200)-MIN(ROW('Temp Hisfa'!D$3:D$200))+1), ROW(65:263))),"")</f>
        <v>0</v>
      </c>
      <c r="E67" s="29">
        <f t="array" ref="E67">IFERROR(INDEX('Temp Hisfa'!E$3:E$200, SMALL(IF(ISERROR('Temp Hisfa'!E$3:E$200), "", ROW('Temp Hisfa'!E$3:E$200)-MIN(ROW('Temp Hisfa'!E$3:E$200))+1), ROW(65:264))),"")</f>
        <v>0</v>
      </c>
      <c r="F67" s="22">
        <f t="array" ref="F67">IFERROR(INDEX('Temp Hisfa'!F$3:F$200, SMALL(IF(ISERROR('Temp Hisfa'!F$3:F$200), "", ROW('Temp Hisfa'!F$3:F$200)-MIN(ROW('Temp Hisfa'!F$3:F$200))+1), ROW(65:264))),"")</f>
        <v>0</v>
      </c>
      <c r="G67" s="30">
        <f t="array" ref="G67">IFERROR(INDEX('Temp Hisfa'!G$3:G$200, SMALL(IF(ISERROR('Temp Hisfa'!G$3:G$200), "", ROW('Temp Hisfa'!G$3:G$200)-MIN(ROW('Temp Hisfa'!G$3:G$200))+1), ROW(65:264))),"")</f>
        <v>0</v>
      </c>
      <c r="H67" s="22">
        <f t="array" ref="H67">IFERROR(INDEX('Temp Hisfa'!H$3:H$200, SMALL(IF(ISERROR('Temp Hisfa'!H$3:H$200), "", ROW('Temp Hisfa'!H$3:H$200)-MIN(ROW('Temp Hisfa'!H$3:H$200))+1), ROW(65:264))),"")</f>
        <v>0</v>
      </c>
      <c r="I67" s="22">
        <f t="array" ref="I67">IFERROR(INDEX('Temp Hisfa'!I$3:I$200, SMALL(IF(ISERROR('Temp Hisfa'!I$3:I$200), "", ROW('Temp Hisfa'!I$3:I$200)-MIN(ROW('Temp Hisfa'!I$3:I$200))+1), ROW(65:264))),"")</f>
        <v>0</v>
      </c>
      <c r="J67" s="22">
        <f t="array" ref="J67">IFERROR(INDEX('Temp Hisfa'!J$3:J$200, SMALL(IF(ISERROR('Temp Hisfa'!J$3:J$200), "", ROW('Temp Hisfa'!J$3:J$200)-MIN(ROW('Temp Hisfa'!J$3:J$200))+1), ROW(65:264))),"")</f>
        <v>0</v>
      </c>
      <c r="K67" s="30">
        <f t="array" ref="K67">IFERROR(INDEX('Temp Hisfa'!K$3:K$200, SMALL(IF(ISERROR('Temp Hisfa'!K$3:K$200), "", ROW('Temp Hisfa'!K$3:K$200)-MIN(ROW('Temp Hisfa'!K$3:K$200))+1), ROW(65:264))),"")</f>
        <v>0</v>
      </c>
      <c r="L67" s="22">
        <f t="array" ref="L67">IFERROR(INDEX('Temp Hisfa'!L$3:L$200, SMALL(IF(ISERROR('Temp Hisfa'!L$3:L$200), "", ROW('Temp Hisfa'!L$3:L$200)-MIN(ROW('Temp Hisfa'!L$3:L$200))+1), ROW(65:264))),"")</f>
        <v>0</v>
      </c>
      <c r="M67" s="22">
        <f t="array" ref="M67">IFERROR(INDEX('Temp Hisfa'!M$3:M$200, SMALL(IF(ISERROR('Temp Hisfa'!M$3:M$200), "", ROW('Temp Hisfa'!M$3:M$200)-MIN(ROW('Temp Hisfa'!M$3:M$200))+1), ROW(65:264))),"")</f>
        <v>0</v>
      </c>
      <c r="N67" s="22">
        <f t="array" ref="N67">IFERROR(INDEX('Temp Hisfa'!N$3:N$200, SMALL(IF(ISERROR('Temp Hisfa'!N$3:N$200), "", ROW('Temp Hisfa'!N$3:N$200)-MIN(ROW('Temp Hisfa'!N$3:N$200))+1), ROW(65:264))),"")</f>
        <v>1900</v>
      </c>
      <c r="O67" s="22" t="str">
        <f t="array" ref="O67">IFERROR(INDEX('Temp Hisfa'!O$3:O$200, SMALL(IF(ISERROR('Temp Hisfa'!O$3:O$200), "", ROW('Temp Hisfa'!O$3:O$200)-MIN(ROW('Temp Hisfa'!O$3:O$200))+1), ROW(65:264))),"")</f>
        <v>enero</v>
      </c>
      <c r="P67" s="22">
        <f t="array" ref="P67">IFERROR(INDEX('Temp Hisfa'!P$3:P$200, SMALL(IF(ISERROR('Temp Hisfa'!P$3:P$200), "", ROW('Temp Hisfa'!P$3:P$200)-MIN(ROW('Temp Hisfa'!P$3:P$200))+1), ROW(65:264))),"")</f>
        <v>0</v>
      </c>
      <c r="Q67" s="22">
        <f t="array" ref="Q67">IFERROR(INDEX('Temp Hisfa'!Q$3:Q$200, SMALL(IF(ISERROR('Temp Hisfa'!Q$3:Q$200), "", ROW('Temp Hisfa'!Q$3:Q$200)-MIN(ROW('Temp Hisfa'!Q$3:Q$200))+1), ROW(65:264))),"")</f>
        <v>0</v>
      </c>
      <c r="R67" s="22">
        <f t="array" ref="R67">IFERROR(INDEX('Temp Hisfa'!R$3:R$200, SMALL(IF(ISERROR('Temp Hisfa'!R$3:R$200), "", ROW('Temp Hisfa'!R$3:R$200)-MIN(ROW('Temp Hisfa'!R$3:R$200))+1), ROW(65:264))),"")</f>
        <v>0</v>
      </c>
      <c r="S67" s="22">
        <f t="array" ref="S67">IFERROR(INDEX('Temp Hisfa'!S$3:S$200, SMALL(IF(ISERROR('Temp Hisfa'!S$3:S$200), "", ROW('Temp Hisfa'!S$3:S$200)-MIN(ROW('Temp Hisfa'!S$3:S$200))+1), ROW(65:264))),"")</f>
        <v>0</v>
      </c>
      <c r="T67" s="22">
        <f t="array" ref="T67">IFERROR(INDEX('Temp Hisfa'!T$3:T$200, SMALL(IF(ISERROR('Temp Hisfa'!T$3:T$200), "", ROW('Temp Hisfa'!T$3:T$200)-MIN(ROW('Temp Hisfa'!T$3:T$200))+1), ROW(65:264))),"")</f>
        <v>0</v>
      </c>
      <c r="U67" s="22">
        <f t="array" ref="U67">IFERROR(INDEX('Temp Hisfa'!U$3:U$200, SMALL(IF(ISERROR('Temp Hisfa'!U$3:U$200), "", ROW('Temp Hisfa'!U$3:U$200)-MIN(ROW('Temp Hisfa'!U$3:U$200))+1), ROW(65:264))),"")</f>
        <v>0</v>
      </c>
      <c r="V67" s="22">
        <f t="array" ref="V67">IFERROR(INDEX('Temp Hisfa'!V$3:V$200, SMALL(IF(ISERROR('Temp Hisfa'!V$3:V$200), "", ROW('Temp Hisfa'!V$3:V$200)-MIN(ROW('Temp Hisfa'!V$3:V$200))+1), ROW(65:264))),"")</f>
        <v>0</v>
      </c>
      <c r="W67" s="22">
        <f t="array" ref="W67">IFERROR(INDEX('Temp Hisfa'!W$3:W$200, SMALL(IF(ISERROR('Temp Hisfa'!W$3:W$200), "", ROW('Temp Hisfa'!W$3:W$200)-MIN(ROW('Temp Hisfa'!W$3:W$200))+1), ROW(65:264))),"")</f>
        <v>0</v>
      </c>
      <c r="X67" s="22">
        <f t="array" ref="X67">IFERROR(INDEX('Temp Hisfa'!X$3:X$200, SMALL(IF(ISERROR('Temp Hisfa'!X$3:X$200), "", ROW('Temp Hisfa'!X$3:X$200)-MIN(ROW('Temp Hisfa'!X$3:X$200))+1), ROW(65:264))),"")</f>
        <v>0</v>
      </c>
      <c r="Y67" s="22">
        <f t="array" ref="Y67">IFERROR(INDEX('Temp Hisfa'!Y$3:Y$200, SMALL(IF(ISERROR('Temp Hisfa'!Y$3:Y$200), "", ROW('Temp Hisfa'!Y$3:Y$200)-MIN(ROW('Temp Hisfa'!Y$3:Y$200))+1), ROW(65:264))),"")</f>
        <v>0</v>
      </c>
      <c r="Z67" s="22">
        <f t="array" ref="Z67">IFERROR(INDEX('Temp Hisfa'!Z$3:Z$200, SMALL(IF(ISERROR('Temp Hisfa'!Z$3:Z$200), "", ROW('Temp Hisfa'!Z$3:Z$200)-MIN(ROW('Temp Hisfa'!Z$3:Z$200))+1), ROW(65:264))),"")</f>
        <v>0</v>
      </c>
      <c r="AA67" s="22">
        <f t="array" ref="AA67">IFERROR(INDEX('Temp Hisfa'!AA$3:AA$200, SMALL(IF(ISERROR('Temp Hisfa'!AA$3:AA$200), "", ROW('Temp Hisfa'!AA$3:AA$200)-MIN(ROW('Temp Hisfa'!AA$3:AA$200))+1), ROW(65:264))),"")</f>
        <v>0</v>
      </c>
      <c r="AB67" s="22">
        <f t="array" ref="AB67">IFERROR(INDEX('Temp Hisfa'!AB$3:AB$200, SMALL(IF(ISERROR('Temp Hisfa'!AB$3:AB$200), "", ROW('Temp Hisfa'!AB$3:AB$200)-MIN(ROW('Temp Hisfa'!AB$3:AB$200))+1), ROW(65:264))),"")</f>
        <v>0</v>
      </c>
    </row>
    <row r="68" spans="1:28" x14ac:dyDescent="0.3">
      <c r="A68" s="4">
        <f t="array" ref="A68">IFERROR(INDEX('Temp Hisfa'!A$3:A$200, SMALL(IF(ISERROR('Temp Hisfa'!A$3:A$200), "", ROW('Temp Hisfa'!A$3:A$200)-MIN(ROW('Temp Hisfa'!A$3:A$200))+1), ROW(66:264))),"")</f>
        <v>0</v>
      </c>
      <c r="B68" s="4">
        <f t="array" ref="B68">IFERROR(INDEX('Temp Hisfa'!B$3:B$200, SMALL(IF(ISERROR('Temp Hisfa'!B$3:B$200), "", ROW('Temp Hisfa'!B$3:B$200)-MIN(ROW('Temp Hisfa'!B$3:B$200))+1), ROW(66:264))),"")</f>
        <v>0</v>
      </c>
      <c r="C68" s="3">
        <f t="array" ref="C68">IFERROR(INDEX('Temp Hisfa'!C$3:C$200, SMALL(IF(ISERROR('Temp Hisfa'!C$3:C$200), "", ROW('Temp Hisfa'!C$3:C$200)-MIN(ROW('Temp Hisfa'!C$3:C$200))+1), ROW(66:264))),"")</f>
        <v>0</v>
      </c>
      <c r="D68" s="3">
        <f t="array" ref="D68">IFERROR(INDEX('Temp Hisfa'!D$3:D$200, SMALL(IF(ISERROR('Temp Hisfa'!D$3:D$200), "", ROW('Temp Hisfa'!D$3:D$200)-MIN(ROW('Temp Hisfa'!D$3:D$200))+1), ROW(66:264))),"")</f>
        <v>0</v>
      </c>
      <c r="E68" s="29">
        <f t="array" ref="E68">IFERROR(INDEX('Temp Hisfa'!E$3:E$200, SMALL(IF(ISERROR('Temp Hisfa'!E$3:E$200), "", ROW('Temp Hisfa'!E$3:E$200)-MIN(ROW('Temp Hisfa'!E$3:E$200))+1), ROW(66:265))),"")</f>
        <v>0</v>
      </c>
      <c r="F68" s="22">
        <f t="array" ref="F68">IFERROR(INDEX('Temp Hisfa'!F$3:F$200, SMALL(IF(ISERROR('Temp Hisfa'!F$3:F$200), "", ROW('Temp Hisfa'!F$3:F$200)-MIN(ROW('Temp Hisfa'!F$3:F$200))+1), ROW(66:265))),"")</f>
        <v>0</v>
      </c>
      <c r="G68" s="30">
        <f t="array" ref="G68">IFERROR(INDEX('Temp Hisfa'!G$3:G$200, SMALL(IF(ISERROR('Temp Hisfa'!G$3:G$200), "", ROW('Temp Hisfa'!G$3:G$200)-MIN(ROW('Temp Hisfa'!G$3:G$200))+1), ROW(66:265))),"")</f>
        <v>0</v>
      </c>
      <c r="H68" s="22">
        <f t="array" ref="H68">IFERROR(INDEX('Temp Hisfa'!H$3:H$200, SMALL(IF(ISERROR('Temp Hisfa'!H$3:H$200), "", ROW('Temp Hisfa'!H$3:H$200)-MIN(ROW('Temp Hisfa'!H$3:H$200))+1), ROW(66:265))),"")</f>
        <v>0</v>
      </c>
      <c r="I68" s="22">
        <f t="array" ref="I68">IFERROR(INDEX('Temp Hisfa'!I$3:I$200, SMALL(IF(ISERROR('Temp Hisfa'!I$3:I$200), "", ROW('Temp Hisfa'!I$3:I$200)-MIN(ROW('Temp Hisfa'!I$3:I$200))+1), ROW(66:265))),"")</f>
        <v>0</v>
      </c>
      <c r="J68" s="22">
        <f t="array" ref="J68">IFERROR(INDEX('Temp Hisfa'!J$3:J$200, SMALL(IF(ISERROR('Temp Hisfa'!J$3:J$200), "", ROW('Temp Hisfa'!J$3:J$200)-MIN(ROW('Temp Hisfa'!J$3:J$200))+1), ROW(66:265))),"")</f>
        <v>0</v>
      </c>
      <c r="K68" s="30">
        <f t="array" ref="K68">IFERROR(INDEX('Temp Hisfa'!K$3:K$200, SMALL(IF(ISERROR('Temp Hisfa'!K$3:K$200), "", ROW('Temp Hisfa'!K$3:K$200)-MIN(ROW('Temp Hisfa'!K$3:K$200))+1), ROW(66:265))),"")</f>
        <v>0</v>
      </c>
      <c r="L68" s="22">
        <f t="array" ref="L68">IFERROR(INDEX('Temp Hisfa'!L$3:L$200, SMALL(IF(ISERROR('Temp Hisfa'!L$3:L$200), "", ROW('Temp Hisfa'!L$3:L$200)-MIN(ROW('Temp Hisfa'!L$3:L$200))+1), ROW(66:265))),"")</f>
        <v>0</v>
      </c>
      <c r="M68" s="22">
        <f t="array" ref="M68">IFERROR(INDEX('Temp Hisfa'!M$3:M$200, SMALL(IF(ISERROR('Temp Hisfa'!M$3:M$200), "", ROW('Temp Hisfa'!M$3:M$200)-MIN(ROW('Temp Hisfa'!M$3:M$200))+1), ROW(66:265))),"")</f>
        <v>0</v>
      </c>
      <c r="N68" s="22">
        <f t="array" ref="N68">IFERROR(INDEX('Temp Hisfa'!N$3:N$200, SMALL(IF(ISERROR('Temp Hisfa'!N$3:N$200), "", ROW('Temp Hisfa'!N$3:N$200)-MIN(ROW('Temp Hisfa'!N$3:N$200))+1), ROW(66:265))),"")</f>
        <v>1900</v>
      </c>
      <c r="O68" s="22" t="str">
        <f t="array" ref="O68">IFERROR(INDEX('Temp Hisfa'!O$3:O$200, SMALL(IF(ISERROR('Temp Hisfa'!O$3:O$200), "", ROW('Temp Hisfa'!O$3:O$200)-MIN(ROW('Temp Hisfa'!O$3:O$200))+1), ROW(66:265))),"")</f>
        <v>enero</v>
      </c>
      <c r="P68" s="22">
        <f t="array" ref="P68">IFERROR(INDEX('Temp Hisfa'!P$3:P$200, SMALL(IF(ISERROR('Temp Hisfa'!P$3:P$200), "", ROW('Temp Hisfa'!P$3:P$200)-MIN(ROW('Temp Hisfa'!P$3:P$200))+1), ROW(66:265))),"")</f>
        <v>0</v>
      </c>
      <c r="Q68" s="22">
        <f t="array" ref="Q68">IFERROR(INDEX('Temp Hisfa'!Q$3:Q$200, SMALL(IF(ISERROR('Temp Hisfa'!Q$3:Q$200), "", ROW('Temp Hisfa'!Q$3:Q$200)-MIN(ROW('Temp Hisfa'!Q$3:Q$200))+1), ROW(66:265))),"")</f>
        <v>0</v>
      </c>
      <c r="R68" s="22">
        <f t="array" ref="R68">IFERROR(INDEX('Temp Hisfa'!R$3:R$200, SMALL(IF(ISERROR('Temp Hisfa'!R$3:R$200), "", ROW('Temp Hisfa'!R$3:R$200)-MIN(ROW('Temp Hisfa'!R$3:R$200))+1), ROW(66:265))),"")</f>
        <v>0</v>
      </c>
      <c r="S68" s="22">
        <f t="array" ref="S68">IFERROR(INDEX('Temp Hisfa'!S$3:S$200, SMALL(IF(ISERROR('Temp Hisfa'!S$3:S$200), "", ROW('Temp Hisfa'!S$3:S$200)-MIN(ROW('Temp Hisfa'!S$3:S$200))+1), ROW(66:265))),"")</f>
        <v>0</v>
      </c>
      <c r="T68" s="22">
        <f t="array" ref="T68">IFERROR(INDEX('Temp Hisfa'!T$3:T$200, SMALL(IF(ISERROR('Temp Hisfa'!T$3:T$200), "", ROW('Temp Hisfa'!T$3:T$200)-MIN(ROW('Temp Hisfa'!T$3:T$200))+1), ROW(66:265))),"")</f>
        <v>0</v>
      </c>
      <c r="U68" s="22">
        <f t="array" ref="U68">IFERROR(INDEX('Temp Hisfa'!U$3:U$200, SMALL(IF(ISERROR('Temp Hisfa'!U$3:U$200), "", ROW('Temp Hisfa'!U$3:U$200)-MIN(ROW('Temp Hisfa'!U$3:U$200))+1), ROW(66:265))),"")</f>
        <v>0</v>
      </c>
      <c r="V68" s="22">
        <f t="array" ref="V68">IFERROR(INDEX('Temp Hisfa'!V$3:V$200, SMALL(IF(ISERROR('Temp Hisfa'!V$3:V$200), "", ROW('Temp Hisfa'!V$3:V$200)-MIN(ROW('Temp Hisfa'!V$3:V$200))+1), ROW(66:265))),"")</f>
        <v>0</v>
      </c>
      <c r="W68" s="22">
        <f t="array" ref="W68">IFERROR(INDEX('Temp Hisfa'!W$3:W$200, SMALL(IF(ISERROR('Temp Hisfa'!W$3:W$200), "", ROW('Temp Hisfa'!W$3:W$200)-MIN(ROW('Temp Hisfa'!W$3:W$200))+1), ROW(66:265))),"")</f>
        <v>0</v>
      </c>
      <c r="X68" s="22">
        <f t="array" ref="X68">IFERROR(INDEX('Temp Hisfa'!X$3:X$200, SMALL(IF(ISERROR('Temp Hisfa'!X$3:X$200), "", ROW('Temp Hisfa'!X$3:X$200)-MIN(ROW('Temp Hisfa'!X$3:X$200))+1), ROW(66:265))),"")</f>
        <v>0</v>
      </c>
      <c r="Y68" s="22">
        <f t="array" ref="Y68">IFERROR(INDEX('Temp Hisfa'!Y$3:Y$200, SMALL(IF(ISERROR('Temp Hisfa'!Y$3:Y$200), "", ROW('Temp Hisfa'!Y$3:Y$200)-MIN(ROW('Temp Hisfa'!Y$3:Y$200))+1), ROW(66:265))),"")</f>
        <v>0</v>
      </c>
      <c r="Z68" s="22">
        <f t="array" ref="Z68">IFERROR(INDEX('Temp Hisfa'!Z$3:Z$200, SMALL(IF(ISERROR('Temp Hisfa'!Z$3:Z$200), "", ROW('Temp Hisfa'!Z$3:Z$200)-MIN(ROW('Temp Hisfa'!Z$3:Z$200))+1), ROW(66:265))),"")</f>
        <v>0</v>
      </c>
      <c r="AA68" s="22">
        <f t="array" ref="AA68">IFERROR(INDEX('Temp Hisfa'!AA$3:AA$200, SMALL(IF(ISERROR('Temp Hisfa'!AA$3:AA$200), "", ROW('Temp Hisfa'!AA$3:AA$200)-MIN(ROW('Temp Hisfa'!AA$3:AA$200))+1), ROW(66:265))),"")</f>
        <v>0</v>
      </c>
      <c r="AB68" s="22">
        <f t="array" ref="AB68">IFERROR(INDEX('Temp Hisfa'!AB$3:AB$200, SMALL(IF(ISERROR('Temp Hisfa'!AB$3:AB$200), "", ROW('Temp Hisfa'!AB$3:AB$200)-MIN(ROW('Temp Hisfa'!AB$3:AB$200))+1), ROW(66:265))),"")</f>
        <v>0</v>
      </c>
    </row>
    <row r="69" spans="1:28" x14ac:dyDescent="0.3">
      <c r="A69" s="4">
        <f t="array" ref="A69">IFERROR(INDEX('Temp Hisfa'!A$3:A$200, SMALL(IF(ISERROR('Temp Hisfa'!A$3:A$200), "", ROW('Temp Hisfa'!A$3:A$200)-MIN(ROW('Temp Hisfa'!A$3:A$200))+1), ROW(67:265))),"")</f>
        <v>0</v>
      </c>
      <c r="B69" s="4">
        <f t="array" ref="B69">IFERROR(INDEX('Temp Hisfa'!B$3:B$200, SMALL(IF(ISERROR('Temp Hisfa'!B$3:B$200), "", ROW('Temp Hisfa'!B$3:B$200)-MIN(ROW('Temp Hisfa'!B$3:B$200))+1), ROW(67:265))),"")</f>
        <v>0</v>
      </c>
      <c r="C69" s="3">
        <f t="array" ref="C69">IFERROR(INDEX('Temp Hisfa'!C$3:C$200, SMALL(IF(ISERROR('Temp Hisfa'!C$3:C$200), "", ROW('Temp Hisfa'!C$3:C$200)-MIN(ROW('Temp Hisfa'!C$3:C$200))+1), ROW(67:265))),"")</f>
        <v>0</v>
      </c>
      <c r="D69" s="3">
        <f t="array" ref="D69">IFERROR(INDEX('Temp Hisfa'!D$3:D$200, SMALL(IF(ISERROR('Temp Hisfa'!D$3:D$200), "", ROW('Temp Hisfa'!D$3:D$200)-MIN(ROW('Temp Hisfa'!D$3:D$200))+1), ROW(67:265))),"")</f>
        <v>0</v>
      </c>
      <c r="E69" s="29">
        <f t="array" ref="E69">IFERROR(INDEX('Temp Hisfa'!E$3:E$200, SMALL(IF(ISERROR('Temp Hisfa'!E$3:E$200), "", ROW('Temp Hisfa'!E$3:E$200)-MIN(ROW('Temp Hisfa'!E$3:E$200))+1), ROW(67:266))),"")</f>
        <v>0</v>
      </c>
      <c r="F69" s="22">
        <f t="array" ref="F69">IFERROR(INDEX('Temp Hisfa'!F$3:F$200, SMALL(IF(ISERROR('Temp Hisfa'!F$3:F$200), "", ROW('Temp Hisfa'!F$3:F$200)-MIN(ROW('Temp Hisfa'!F$3:F$200))+1), ROW(67:266))),"")</f>
        <v>0</v>
      </c>
      <c r="G69" s="30">
        <f t="array" ref="G69">IFERROR(INDEX('Temp Hisfa'!G$3:G$200, SMALL(IF(ISERROR('Temp Hisfa'!G$3:G$200), "", ROW('Temp Hisfa'!G$3:G$200)-MIN(ROW('Temp Hisfa'!G$3:G$200))+1), ROW(67:266))),"")</f>
        <v>0</v>
      </c>
      <c r="H69" s="22">
        <f t="array" ref="H69">IFERROR(INDEX('Temp Hisfa'!H$3:H$200, SMALL(IF(ISERROR('Temp Hisfa'!H$3:H$200), "", ROW('Temp Hisfa'!H$3:H$200)-MIN(ROW('Temp Hisfa'!H$3:H$200))+1), ROW(67:266))),"")</f>
        <v>0</v>
      </c>
      <c r="I69" s="22">
        <f t="array" ref="I69">IFERROR(INDEX('Temp Hisfa'!I$3:I$200, SMALL(IF(ISERROR('Temp Hisfa'!I$3:I$200), "", ROW('Temp Hisfa'!I$3:I$200)-MIN(ROW('Temp Hisfa'!I$3:I$200))+1), ROW(67:266))),"")</f>
        <v>0</v>
      </c>
      <c r="J69" s="22">
        <f t="array" ref="J69">IFERROR(INDEX('Temp Hisfa'!J$3:J$200, SMALL(IF(ISERROR('Temp Hisfa'!J$3:J$200), "", ROW('Temp Hisfa'!J$3:J$200)-MIN(ROW('Temp Hisfa'!J$3:J$200))+1), ROW(67:266))),"")</f>
        <v>0</v>
      </c>
      <c r="K69" s="30">
        <f t="array" ref="K69">IFERROR(INDEX('Temp Hisfa'!K$3:K$200, SMALL(IF(ISERROR('Temp Hisfa'!K$3:K$200), "", ROW('Temp Hisfa'!K$3:K$200)-MIN(ROW('Temp Hisfa'!K$3:K$200))+1), ROW(67:266))),"")</f>
        <v>0</v>
      </c>
      <c r="L69" s="22">
        <f t="array" ref="L69">IFERROR(INDEX('Temp Hisfa'!L$3:L$200, SMALL(IF(ISERROR('Temp Hisfa'!L$3:L$200), "", ROW('Temp Hisfa'!L$3:L$200)-MIN(ROW('Temp Hisfa'!L$3:L$200))+1), ROW(67:266))),"")</f>
        <v>0</v>
      </c>
      <c r="M69" s="22">
        <f t="array" ref="M69">IFERROR(INDEX('Temp Hisfa'!M$3:M$200, SMALL(IF(ISERROR('Temp Hisfa'!M$3:M$200), "", ROW('Temp Hisfa'!M$3:M$200)-MIN(ROW('Temp Hisfa'!M$3:M$200))+1), ROW(67:266))),"")</f>
        <v>0</v>
      </c>
      <c r="N69" s="22">
        <f t="array" ref="N69">IFERROR(INDEX('Temp Hisfa'!N$3:N$200, SMALL(IF(ISERROR('Temp Hisfa'!N$3:N$200), "", ROW('Temp Hisfa'!N$3:N$200)-MIN(ROW('Temp Hisfa'!N$3:N$200))+1), ROW(67:266))),"")</f>
        <v>1900</v>
      </c>
      <c r="O69" s="22" t="str">
        <f t="array" ref="O69">IFERROR(INDEX('Temp Hisfa'!O$3:O$200, SMALL(IF(ISERROR('Temp Hisfa'!O$3:O$200), "", ROW('Temp Hisfa'!O$3:O$200)-MIN(ROW('Temp Hisfa'!O$3:O$200))+1), ROW(67:266))),"")</f>
        <v>enero</v>
      </c>
      <c r="P69" s="22">
        <f t="array" ref="P69">IFERROR(INDEX('Temp Hisfa'!P$3:P$200, SMALL(IF(ISERROR('Temp Hisfa'!P$3:P$200), "", ROW('Temp Hisfa'!P$3:P$200)-MIN(ROW('Temp Hisfa'!P$3:P$200))+1), ROW(67:266))),"")</f>
        <v>0</v>
      </c>
      <c r="Q69" s="22">
        <f t="array" ref="Q69">IFERROR(INDEX('Temp Hisfa'!Q$3:Q$200, SMALL(IF(ISERROR('Temp Hisfa'!Q$3:Q$200), "", ROW('Temp Hisfa'!Q$3:Q$200)-MIN(ROW('Temp Hisfa'!Q$3:Q$200))+1), ROW(67:266))),"")</f>
        <v>0</v>
      </c>
      <c r="R69" s="22">
        <f t="array" ref="R69">IFERROR(INDEX('Temp Hisfa'!R$3:R$200, SMALL(IF(ISERROR('Temp Hisfa'!R$3:R$200), "", ROW('Temp Hisfa'!R$3:R$200)-MIN(ROW('Temp Hisfa'!R$3:R$200))+1), ROW(67:266))),"")</f>
        <v>0</v>
      </c>
      <c r="S69" s="22">
        <f t="array" ref="S69">IFERROR(INDEX('Temp Hisfa'!S$3:S$200, SMALL(IF(ISERROR('Temp Hisfa'!S$3:S$200), "", ROW('Temp Hisfa'!S$3:S$200)-MIN(ROW('Temp Hisfa'!S$3:S$200))+1), ROW(67:266))),"")</f>
        <v>0</v>
      </c>
      <c r="T69" s="22">
        <f t="array" ref="T69">IFERROR(INDEX('Temp Hisfa'!T$3:T$200, SMALL(IF(ISERROR('Temp Hisfa'!T$3:T$200), "", ROW('Temp Hisfa'!T$3:T$200)-MIN(ROW('Temp Hisfa'!T$3:T$200))+1), ROW(67:266))),"")</f>
        <v>0</v>
      </c>
      <c r="U69" s="22">
        <f t="array" ref="U69">IFERROR(INDEX('Temp Hisfa'!U$3:U$200, SMALL(IF(ISERROR('Temp Hisfa'!U$3:U$200), "", ROW('Temp Hisfa'!U$3:U$200)-MIN(ROW('Temp Hisfa'!U$3:U$200))+1), ROW(67:266))),"")</f>
        <v>0</v>
      </c>
      <c r="V69" s="22">
        <f t="array" ref="V69">IFERROR(INDEX('Temp Hisfa'!V$3:V$200, SMALL(IF(ISERROR('Temp Hisfa'!V$3:V$200), "", ROW('Temp Hisfa'!V$3:V$200)-MIN(ROW('Temp Hisfa'!V$3:V$200))+1), ROW(67:266))),"")</f>
        <v>0</v>
      </c>
      <c r="W69" s="22">
        <f t="array" ref="W69">IFERROR(INDEX('Temp Hisfa'!W$3:W$200, SMALL(IF(ISERROR('Temp Hisfa'!W$3:W$200), "", ROW('Temp Hisfa'!W$3:W$200)-MIN(ROW('Temp Hisfa'!W$3:W$200))+1), ROW(67:266))),"")</f>
        <v>0</v>
      </c>
      <c r="X69" s="22">
        <f t="array" ref="X69">IFERROR(INDEX('Temp Hisfa'!X$3:X$200, SMALL(IF(ISERROR('Temp Hisfa'!X$3:X$200), "", ROW('Temp Hisfa'!X$3:X$200)-MIN(ROW('Temp Hisfa'!X$3:X$200))+1), ROW(67:266))),"")</f>
        <v>0</v>
      </c>
      <c r="Y69" s="22">
        <f t="array" ref="Y69">IFERROR(INDEX('Temp Hisfa'!Y$3:Y$200, SMALL(IF(ISERROR('Temp Hisfa'!Y$3:Y$200), "", ROW('Temp Hisfa'!Y$3:Y$200)-MIN(ROW('Temp Hisfa'!Y$3:Y$200))+1), ROW(67:266))),"")</f>
        <v>0</v>
      </c>
      <c r="Z69" s="22">
        <f t="array" ref="Z69">IFERROR(INDEX('Temp Hisfa'!Z$3:Z$200, SMALL(IF(ISERROR('Temp Hisfa'!Z$3:Z$200), "", ROW('Temp Hisfa'!Z$3:Z$200)-MIN(ROW('Temp Hisfa'!Z$3:Z$200))+1), ROW(67:266))),"")</f>
        <v>0</v>
      </c>
      <c r="AA69" s="22">
        <f t="array" ref="AA69">IFERROR(INDEX('Temp Hisfa'!AA$3:AA$200, SMALL(IF(ISERROR('Temp Hisfa'!AA$3:AA$200), "", ROW('Temp Hisfa'!AA$3:AA$200)-MIN(ROW('Temp Hisfa'!AA$3:AA$200))+1), ROW(67:266))),"")</f>
        <v>0</v>
      </c>
      <c r="AB69" s="22">
        <f t="array" ref="AB69">IFERROR(INDEX('Temp Hisfa'!AB$3:AB$200, SMALL(IF(ISERROR('Temp Hisfa'!AB$3:AB$200), "", ROW('Temp Hisfa'!AB$3:AB$200)-MIN(ROW('Temp Hisfa'!AB$3:AB$200))+1), ROW(67:266))),"")</f>
        <v>0</v>
      </c>
    </row>
    <row r="70" spans="1:28" x14ac:dyDescent="0.3">
      <c r="A70" s="4">
        <f t="array" ref="A70">IFERROR(INDEX('Temp Hisfa'!A$3:A$200, SMALL(IF(ISERROR('Temp Hisfa'!A$3:A$200), "", ROW('Temp Hisfa'!A$3:A$200)-MIN(ROW('Temp Hisfa'!A$3:A$200))+1), ROW(68:266))),"")</f>
        <v>0</v>
      </c>
      <c r="B70" s="4">
        <f t="array" ref="B70">IFERROR(INDEX('Temp Hisfa'!B$3:B$200, SMALL(IF(ISERROR('Temp Hisfa'!B$3:B$200), "", ROW('Temp Hisfa'!B$3:B$200)-MIN(ROW('Temp Hisfa'!B$3:B$200))+1), ROW(68:266))),"")</f>
        <v>0</v>
      </c>
      <c r="C70" s="3">
        <f t="array" ref="C70">IFERROR(INDEX('Temp Hisfa'!C$3:C$200, SMALL(IF(ISERROR('Temp Hisfa'!C$3:C$200), "", ROW('Temp Hisfa'!C$3:C$200)-MIN(ROW('Temp Hisfa'!C$3:C$200))+1), ROW(68:266))),"")</f>
        <v>0</v>
      </c>
      <c r="D70" s="3">
        <f t="array" ref="D70">IFERROR(INDEX('Temp Hisfa'!D$3:D$200, SMALL(IF(ISERROR('Temp Hisfa'!D$3:D$200), "", ROW('Temp Hisfa'!D$3:D$200)-MIN(ROW('Temp Hisfa'!D$3:D$200))+1), ROW(68:266))),"")</f>
        <v>0</v>
      </c>
      <c r="E70" s="29">
        <f t="array" ref="E70">IFERROR(INDEX('Temp Hisfa'!E$3:E$200, SMALL(IF(ISERROR('Temp Hisfa'!E$3:E$200), "", ROW('Temp Hisfa'!E$3:E$200)-MIN(ROW('Temp Hisfa'!E$3:E$200))+1), ROW(68:267))),"")</f>
        <v>0</v>
      </c>
      <c r="F70" s="22">
        <f t="array" ref="F70">IFERROR(INDEX('Temp Hisfa'!F$3:F$200, SMALL(IF(ISERROR('Temp Hisfa'!F$3:F$200), "", ROW('Temp Hisfa'!F$3:F$200)-MIN(ROW('Temp Hisfa'!F$3:F$200))+1), ROW(68:267))),"")</f>
        <v>0</v>
      </c>
      <c r="G70" s="30">
        <f t="array" ref="G70">IFERROR(INDEX('Temp Hisfa'!G$3:G$200, SMALL(IF(ISERROR('Temp Hisfa'!G$3:G$200), "", ROW('Temp Hisfa'!G$3:G$200)-MIN(ROW('Temp Hisfa'!G$3:G$200))+1), ROW(68:267))),"")</f>
        <v>0</v>
      </c>
      <c r="H70" s="22">
        <f t="array" ref="H70">IFERROR(INDEX('Temp Hisfa'!H$3:H$200, SMALL(IF(ISERROR('Temp Hisfa'!H$3:H$200), "", ROW('Temp Hisfa'!H$3:H$200)-MIN(ROW('Temp Hisfa'!H$3:H$200))+1), ROW(68:267))),"")</f>
        <v>0</v>
      </c>
      <c r="I70" s="22">
        <f t="array" ref="I70">IFERROR(INDEX('Temp Hisfa'!I$3:I$200, SMALL(IF(ISERROR('Temp Hisfa'!I$3:I$200), "", ROW('Temp Hisfa'!I$3:I$200)-MIN(ROW('Temp Hisfa'!I$3:I$200))+1), ROW(68:267))),"")</f>
        <v>0</v>
      </c>
      <c r="J70" s="22">
        <f t="array" ref="J70">IFERROR(INDEX('Temp Hisfa'!J$3:J$200, SMALL(IF(ISERROR('Temp Hisfa'!J$3:J$200), "", ROW('Temp Hisfa'!J$3:J$200)-MIN(ROW('Temp Hisfa'!J$3:J$200))+1), ROW(68:267))),"")</f>
        <v>0</v>
      </c>
      <c r="K70" s="30">
        <f t="array" ref="K70">IFERROR(INDEX('Temp Hisfa'!K$3:K$200, SMALL(IF(ISERROR('Temp Hisfa'!K$3:K$200), "", ROW('Temp Hisfa'!K$3:K$200)-MIN(ROW('Temp Hisfa'!K$3:K$200))+1), ROW(68:267))),"")</f>
        <v>0</v>
      </c>
      <c r="L70" s="22">
        <f t="array" ref="L70">IFERROR(INDEX('Temp Hisfa'!L$3:L$200, SMALL(IF(ISERROR('Temp Hisfa'!L$3:L$200), "", ROW('Temp Hisfa'!L$3:L$200)-MIN(ROW('Temp Hisfa'!L$3:L$200))+1), ROW(68:267))),"")</f>
        <v>0</v>
      </c>
      <c r="M70" s="22">
        <f t="array" ref="M70">IFERROR(INDEX('Temp Hisfa'!M$3:M$200, SMALL(IF(ISERROR('Temp Hisfa'!M$3:M$200), "", ROW('Temp Hisfa'!M$3:M$200)-MIN(ROW('Temp Hisfa'!M$3:M$200))+1), ROW(68:267))),"")</f>
        <v>0</v>
      </c>
      <c r="N70" s="22">
        <f t="array" ref="N70">IFERROR(INDEX('Temp Hisfa'!N$3:N$200, SMALL(IF(ISERROR('Temp Hisfa'!N$3:N$200), "", ROW('Temp Hisfa'!N$3:N$200)-MIN(ROW('Temp Hisfa'!N$3:N$200))+1), ROW(68:267))),"")</f>
        <v>1900</v>
      </c>
      <c r="O70" s="22" t="str">
        <f t="array" ref="O70">IFERROR(INDEX('Temp Hisfa'!O$3:O$200, SMALL(IF(ISERROR('Temp Hisfa'!O$3:O$200), "", ROW('Temp Hisfa'!O$3:O$200)-MIN(ROW('Temp Hisfa'!O$3:O$200))+1), ROW(68:267))),"")</f>
        <v>enero</v>
      </c>
      <c r="P70" s="22">
        <f t="array" ref="P70">IFERROR(INDEX('Temp Hisfa'!P$3:P$200, SMALL(IF(ISERROR('Temp Hisfa'!P$3:P$200), "", ROW('Temp Hisfa'!P$3:P$200)-MIN(ROW('Temp Hisfa'!P$3:P$200))+1), ROW(68:267))),"")</f>
        <v>0</v>
      </c>
      <c r="Q70" s="22">
        <f t="array" ref="Q70">IFERROR(INDEX('Temp Hisfa'!Q$3:Q$200, SMALL(IF(ISERROR('Temp Hisfa'!Q$3:Q$200), "", ROW('Temp Hisfa'!Q$3:Q$200)-MIN(ROW('Temp Hisfa'!Q$3:Q$200))+1), ROW(68:267))),"")</f>
        <v>0</v>
      </c>
      <c r="R70" s="22">
        <f t="array" ref="R70">IFERROR(INDEX('Temp Hisfa'!R$3:R$200, SMALL(IF(ISERROR('Temp Hisfa'!R$3:R$200), "", ROW('Temp Hisfa'!R$3:R$200)-MIN(ROW('Temp Hisfa'!R$3:R$200))+1), ROW(68:267))),"")</f>
        <v>0</v>
      </c>
      <c r="S70" s="22">
        <f t="array" ref="S70">IFERROR(INDEX('Temp Hisfa'!S$3:S$200, SMALL(IF(ISERROR('Temp Hisfa'!S$3:S$200), "", ROW('Temp Hisfa'!S$3:S$200)-MIN(ROW('Temp Hisfa'!S$3:S$200))+1), ROW(68:267))),"")</f>
        <v>0</v>
      </c>
      <c r="T70" s="22">
        <f t="array" ref="T70">IFERROR(INDEX('Temp Hisfa'!T$3:T$200, SMALL(IF(ISERROR('Temp Hisfa'!T$3:T$200), "", ROW('Temp Hisfa'!T$3:T$200)-MIN(ROW('Temp Hisfa'!T$3:T$200))+1), ROW(68:267))),"")</f>
        <v>0</v>
      </c>
      <c r="U70" s="22">
        <f t="array" ref="U70">IFERROR(INDEX('Temp Hisfa'!U$3:U$200, SMALL(IF(ISERROR('Temp Hisfa'!U$3:U$200), "", ROW('Temp Hisfa'!U$3:U$200)-MIN(ROW('Temp Hisfa'!U$3:U$200))+1), ROW(68:267))),"")</f>
        <v>0</v>
      </c>
      <c r="V70" s="22">
        <f t="array" ref="V70">IFERROR(INDEX('Temp Hisfa'!V$3:V$200, SMALL(IF(ISERROR('Temp Hisfa'!V$3:V$200), "", ROW('Temp Hisfa'!V$3:V$200)-MIN(ROW('Temp Hisfa'!V$3:V$200))+1), ROW(68:267))),"")</f>
        <v>0</v>
      </c>
      <c r="W70" s="22">
        <f t="array" ref="W70">IFERROR(INDEX('Temp Hisfa'!W$3:W$200, SMALL(IF(ISERROR('Temp Hisfa'!W$3:W$200), "", ROW('Temp Hisfa'!W$3:W$200)-MIN(ROW('Temp Hisfa'!W$3:W$200))+1), ROW(68:267))),"")</f>
        <v>0</v>
      </c>
      <c r="X70" s="22">
        <f t="array" ref="X70">IFERROR(INDEX('Temp Hisfa'!X$3:X$200, SMALL(IF(ISERROR('Temp Hisfa'!X$3:X$200), "", ROW('Temp Hisfa'!X$3:X$200)-MIN(ROW('Temp Hisfa'!X$3:X$200))+1), ROW(68:267))),"")</f>
        <v>0</v>
      </c>
      <c r="Y70" s="22">
        <f t="array" ref="Y70">IFERROR(INDEX('Temp Hisfa'!Y$3:Y$200, SMALL(IF(ISERROR('Temp Hisfa'!Y$3:Y$200), "", ROW('Temp Hisfa'!Y$3:Y$200)-MIN(ROW('Temp Hisfa'!Y$3:Y$200))+1), ROW(68:267))),"")</f>
        <v>0</v>
      </c>
      <c r="Z70" s="22">
        <f t="array" ref="Z70">IFERROR(INDEX('Temp Hisfa'!Z$3:Z$200, SMALL(IF(ISERROR('Temp Hisfa'!Z$3:Z$200), "", ROW('Temp Hisfa'!Z$3:Z$200)-MIN(ROW('Temp Hisfa'!Z$3:Z$200))+1), ROW(68:267))),"")</f>
        <v>0</v>
      </c>
      <c r="AA70" s="22">
        <f t="array" ref="AA70">IFERROR(INDEX('Temp Hisfa'!AA$3:AA$200, SMALL(IF(ISERROR('Temp Hisfa'!AA$3:AA$200), "", ROW('Temp Hisfa'!AA$3:AA$200)-MIN(ROW('Temp Hisfa'!AA$3:AA$200))+1), ROW(68:267))),"")</f>
        <v>0</v>
      </c>
      <c r="AB70" s="22">
        <f t="array" ref="AB70">IFERROR(INDEX('Temp Hisfa'!AB$3:AB$200, SMALL(IF(ISERROR('Temp Hisfa'!AB$3:AB$200), "", ROW('Temp Hisfa'!AB$3:AB$200)-MIN(ROW('Temp Hisfa'!AB$3:AB$200))+1), ROW(68:267))),"")</f>
        <v>0</v>
      </c>
    </row>
    <row r="71" spans="1:28" x14ac:dyDescent="0.3">
      <c r="A71" s="4">
        <f t="array" ref="A71">IFERROR(INDEX('Temp Hisfa'!A$3:A$200, SMALL(IF(ISERROR('Temp Hisfa'!A$3:A$200), "", ROW('Temp Hisfa'!A$3:A$200)-MIN(ROW('Temp Hisfa'!A$3:A$200))+1), ROW(69:267))),"")</f>
        <v>0</v>
      </c>
      <c r="B71" s="4">
        <f t="array" ref="B71">IFERROR(INDEX('Temp Hisfa'!B$3:B$200, SMALL(IF(ISERROR('Temp Hisfa'!B$3:B$200), "", ROW('Temp Hisfa'!B$3:B$200)-MIN(ROW('Temp Hisfa'!B$3:B$200))+1), ROW(69:267))),"")</f>
        <v>0</v>
      </c>
      <c r="C71" s="3">
        <f t="array" ref="C71">IFERROR(INDEX('Temp Hisfa'!C$3:C$200, SMALL(IF(ISERROR('Temp Hisfa'!C$3:C$200), "", ROW('Temp Hisfa'!C$3:C$200)-MIN(ROW('Temp Hisfa'!C$3:C$200))+1), ROW(69:267))),"")</f>
        <v>0</v>
      </c>
      <c r="D71" s="3">
        <f t="array" ref="D71">IFERROR(INDEX('Temp Hisfa'!D$3:D$200, SMALL(IF(ISERROR('Temp Hisfa'!D$3:D$200), "", ROW('Temp Hisfa'!D$3:D$200)-MIN(ROW('Temp Hisfa'!D$3:D$200))+1), ROW(69:267))),"")</f>
        <v>0</v>
      </c>
      <c r="E71" s="29">
        <f t="array" ref="E71">IFERROR(INDEX('Temp Hisfa'!E$3:E$200, SMALL(IF(ISERROR('Temp Hisfa'!E$3:E$200), "", ROW('Temp Hisfa'!E$3:E$200)-MIN(ROW('Temp Hisfa'!E$3:E$200))+1), ROW(69:268))),"")</f>
        <v>0</v>
      </c>
      <c r="F71" s="22">
        <f t="array" ref="F71">IFERROR(INDEX('Temp Hisfa'!F$3:F$200, SMALL(IF(ISERROR('Temp Hisfa'!F$3:F$200), "", ROW('Temp Hisfa'!F$3:F$200)-MIN(ROW('Temp Hisfa'!F$3:F$200))+1), ROW(69:268))),"")</f>
        <v>0</v>
      </c>
      <c r="G71" s="30">
        <f t="array" ref="G71">IFERROR(INDEX('Temp Hisfa'!G$3:G$200, SMALL(IF(ISERROR('Temp Hisfa'!G$3:G$200), "", ROW('Temp Hisfa'!G$3:G$200)-MIN(ROW('Temp Hisfa'!G$3:G$200))+1), ROW(69:268))),"")</f>
        <v>0</v>
      </c>
      <c r="H71" s="22">
        <f t="array" ref="H71">IFERROR(INDEX('Temp Hisfa'!H$3:H$200, SMALL(IF(ISERROR('Temp Hisfa'!H$3:H$200), "", ROW('Temp Hisfa'!H$3:H$200)-MIN(ROW('Temp Hisfa'!H$3:H$200))+1), ROW(69:268))),"")</f>
        <v>0</v>
      </c>
      <c r="I71" s="22">
        <f t="array" ref="I71">IFERROR(INDEX('Temp Hisfa'!I$3:I$200, SMALL(IF(ISERROR('Temp Hisfa'!I$3:I$200), "", ROW('Temp Hisfa'!I$3:I$200)-MIN(ROW('Temp Hisfa'!I$3:I$200))+1), ROW(69:268))),"")</f>
        <v>0</v>
      </c>
      <c r="J71" s="22">
        <f t="array" ref="J71">IFERROR(INDEX('Temp Hisfa'!J$3:J$200, SMALL(IF(ISERROR('Temp Hisfa'!J$3:J$200), "", ROW('Temp Hisfa'!J$3:J$200)-MIN(ROW('Temp Hisfa'!J$3:J$200))+1), ROW(69:268))),"")</f>
        <v>0</v>
      </c>
      <c r="K71" s="30">
        <f t="array" ref="K71">IFERROR(INDEX('Temp Hisfa'!K$3:K$200, SMALL(IF(ISERROR('Temp Hisfa'!K$3:K$200), "", ROW('Temp Hisfa'!K$3:K$200)-MIN(ROW('Temp Hisfa'!K$3:K$200))+1), ROW(69:268))),"")</f>
        <v>0</v>
      </c>
      <c r="L71" s="22">
        <f t="array" ref="L71">IFERROR(INDEX('Temp Hisfa'!L$3:L$200, SMALL(IF(ISERROR('Temp Hisfa'!L$3:L$200), "", ROW('Temp Hisfa'!L$3:L$200)-MIN(ROW('Temp Hisfa'!L$3:L$200))+1), ROW(69:268))),"")</f>
        <v>0</v>
      </c>
      <c r="M71" s="22">
        <f t="array" ref="M71">IFERROR(INDEX('Temp Hisfa'!M$3:M$200, SMALL(IF(ISERROR('Temp Hisfa'!M$3:M$200), "", ROW('Temp Hisfa'!M$3:M$200)-MIN(ROW('Temp Hisfa'!M$3:M$200))+1), ROW(69:268))),"")</f>
        <v>0</v>
      </c>
      <c r="N71" s="22">
        <f t="array" ref="N71">IFERROR(INDEX('Temp Hisfa'!N$3:N$200, SMALL(IF(ISERROR('Temp Hisfa'!N$3:N$200), "", ROW('Temp Hisfa'!N$3:N$200)-MIN(ROW('Temp Hisfa'!N$3:N$200))+1), ROW(69:268))),"")</f>
        <v>1900</v>
      </c>
      <c r="O71" s="22" t="str">
        <f t="array" ref="O71">IFERROR(INDEX('Temp Hisfa'!O$3:O$200, SMALL(IF(ISERROR('Temp Hisfa'!O$3:O$200), "", ROW('Temp Hisfa'!O$3:O$200)-MIN(ROW('Temp Hisfa'!O$3:O$200))+1), ROW(69:268))),"")</f>
        <v>enero</v>
      </c>
      <c r="P71" s="22">
        <f t="array" ref="P71">IFERROR(INDEX('Temp Hisfa'!P$3:P$200, SMALL(IF(ISERROR('Temp Hisfa'!P$3:P$200), "", ROW('Temp Hisfa'!P$3:P$200)-MIN(ROW('Temp Hisfa'!P$3:P$200))+1), ROW(69:268))),"")</f>
        <v>0</v>
      </c>
      <c r="Q71" s="22">
        <f t="array" ref="Q71">IFERROR(INDEX('Temp Hisfa'!Q$3:Q$200, SMALL(IF(ISERROR('Temp Hisfa'!Q$3:Q$200), "", ROW('Temp Hisfa'!Q$3:Q$200)-MIN(ROW('Temp Hisfa'!Q$3:Q$200))+1), ROW(69:268))),"")</f>
        <v>0</v>
      </c>
      <c r="R71" s="22">
        <f t="array" ref="R71">IFERROR(INDEX('Temp Hisfa'!R$3:R$200, SMALL(IF(ISERROR('Temp Hisfa'!R$3:R$200), "", ROW('Temp Hisfa'!R$3:R$200)-MIN(ROW('Temp Hisfa'!R$3:R$200))+1), ROW(69:268))),"")</f>
        <v>0</v>
      </c>
      <c r="S71" s="22">
        <f t="array" ref="S71">IFERROR(INDEX('Temp Hisfa'!S$3:S$200, SMALL(IF(ISERROR('Temp Hisfa'!S$3:S$200), "", ROW('Temp Hisfa'!S$3:S$200)-MIN(ROW('Temp Hisfa'!S$3:S$200))+1), ROW(69:268))),"")</f>
        <v>0</v>
      </c>
      <c r="T71" s="22">
        <f t="array" ref="T71">IFERROR(INDEX('Temp Hisfa'!T$3:T$200, SMALL(IF(ISERROR('Temp Hisfa'!T$3:T$200), "", ROW('Temp Hisfa'!T$3:T$200)-MIN(ROW('Temp Hisfa'!T$3:T$200))+1), ROW(69:268))),"")</f>
        <v>0</v>
      </c>
      <c r="U71" s="22">
        <f t="array" ref="U71">IFERROR(INDEX('Temp Hisfa'!U$3:U$200, SMALL(IF(ISERROR('Temp Hisfa'!U$3:U$200), "", ROW('Temp Hisfa'!U$3:U$200)-MIN(ROW('Temp Hisfa'!U$3:U$200))+1), ROW(69:268))),"")</f>
        <v>0</v>
      </c>
      <c r="V71" s="22">
        <f t="array" ref="V71">IFERROR(INDEX('Temp Hisfa'!V$3:V$200, SMALL(IF(ISERROR('Temp Hisfa'!V$3:V$200), "", ROW('Temp Hisfa'!V$3:V$200)-MIN(ROW('Temp Hisfa'!V$3:V$200))+1), ROW(69:268))),"")</f>
        <v>0</v>
      </c>
      <c r="W71" s="22">
        <f t="array" ref="W71">IFERROR(INDEX('Temp Hisfa'!W$3:W$200, SMALL(IF(ISERROR('Temp Hisfa'!W$3:W$200), "", ROW('Temp Hisfa'!W$3:W$200)-MIN(ROW('Temp Hisfa'!W$3:W$200))+1), ROW(69:268))),"")</f>
        <v>0</v>
      </c>
      <c r="X71" s="22">
        <f t="array" ref="X71">IFERROR(INDEX('Temp Hisfa'!X$3:X$200, SMALL(IF(ISERROR('Temp Hisfa'!X$3:X$200), "", ROW('Temp Hisfa'!X$3:X$200)-MIN(ROW('Temp Hisfa'!X$3:X$200))+1), ROW(69:268))),"")</f>
        <v>0</v>
      </c>
      <c r="Y71" s="22">
        <f t="array" ref="Y71">IFERROR(INDEX('Temp Hisfa'!Y$3:Y$200, SMALL(IF(ISERROR('Temp Hisfa'!Y$3:Y$200), "", ROW('Temp Hisfa'!Y$3:Y$200)-MIN(ROW('Temp Hisfa'!Y$3:Y$200))+1), ROW(69:268))),"")</f>
        <v>0</v>
      </c>
      <c r="Z71" s="22">
        <f t="array" ref="Z71">IFERROR(INDEX('Temp Hisfa'!Z$3:Z$200, SMALL(IF(ISERROR('Temp Hisfa'!Z$3:Z$200), "", ROW('Temp Hisfa'!Z$3:Z$200)-MIN(ROW('Temp Hisfa'!Z$3:Z$200))+1), ROW(69:268))),"")</f>
        <v>0</v>
      </c>
      <c r="AA71" s="22">
        <f t="array" ref="AA71">IFERROR(INDEX('Temp Hisfa'!AA$3:AA$200, SMALL(IF(ISERROR('Temp Hisfa'!AA$3:AA$200), "", ROW('Temp Hisfa'!AA$3:AA$200)-MIN(ROW('Temp Hisfa'!AA$3:AA$200))+1), ROW(69:268))),"")</f>
        <v>0</v>
      </c>
      <c r="AB71" s="22">
        <f t="array" ref="AB71">IFERROR(INDEX('Temp Hisfa'!AB$3:AB$200, SMALL(IF(ISERROR('Temp Hisfa'!AB$3:AB$200), "", ROW('Temp Hisfa'!AB$3:AB$200)-MIN(ROW('Temp Hisfa'!AB$3:AB$200))+1), ROW(69:268))),"")</f>
        <v>0</v>
      </c>
    </row>
    <row r="72" spans="1:28" x14ac:dyDescent="0.3">
      <c r="A72" s="4">
        <f t="array" ref="A72">IFERROR(INDEX('Temp Hisfa'!A$3:A$200, SMALL(IF(ISERROR('Temp Hisfa'!A$3:A$200), "", ROW('Temp Hisfa'!A$3:A$200)-MIN(ROW('Temp Hisfa'!A$3:A$200))+1), ROW(70:268))),"")</f>
        <v>0</v>
      </c>
      <c r="B72" s="4">
        <f t="array" ref="B72">IFERROR(INDEX('Temp Hisfa'!B$3:B$200, SMALL(IF(ISERROR('Temp Hisfa'!B$3:B$200), "", ROW('Temp Hisfa'!B$3:B$200)-MIN(ROW('Temp Hisfa'!B$3:B$200))+1), ROW(70:268))),"")</f>
        <v>0</v>
      </c>
      <c r="C72" s="3">
        <f t="array" ref="C72">IFERROR(INDEX('Temp Hisfa'!C$3:C$200, SMALL(IF(ISERROR('Temp Hisfa'!C$3:C$200), "", ROW('Temp Hisfa'!C$3:C$200)-MIN(ROW('Temp Hisfa'!C$3:C$200))+1), ROW(70:268))),"")</f>
        <v>0</v>
      </c>
      <c r="D72" s="3">
        <f t="array" ref="D72">IFERROR(INDEX('Temp Hisfa'!D$3:D$200, SMALL(IF(ISERROR('Temp Hisfa'!D$3:D$200), "", ROW('Temp Hisfa'!D$3:D$200)-MIN(ROW('Temp Hisfa'!D$3:D$200))+1), ROW(70:268))),"")</f>
        <v>0</v>
      </c>
      <c r="E72" s="29">
        <f t="array" ref="E72">IFERROR(INDEX('Temp Hisfa'!E$3:E$200, SMALL(IF(ISERROR('Temp Hisfa'!E$3:E$200), "", ROW('Temp Hisfa'!E$3:E$200)-MIN(ROW('Temp Hisfa'!E$3:E$200))+1), ROW(70:269))),"")</f>
        <v>0</v>
      </c>
      <c r="F72" s="22">
        <f t="array" ref="F72">IFERROR(INDEX('Temp Hisfa'!F$3:F$200, SMALL(IF(ISERROR('Temp Hisfa'!F$3:F$200), "", ROW('Temp Hisfa'!F$3:F$200)-MIN(ROW('Temp Hisfa'!F$3:F$200))+1), ROW(70:269))),"")</f>
        <v>0</v>
      </c>
      <c r="G72" s="30">
        <f t="array" ref="G72">IFERROR(INDEX('Temp Hisfa'!G$3:G$200, SMALL(IF(ISERROR('Temp Hisfa'!G$3:G$200), "", ROW('Temp Hisfa'!G$3:G$200)-MIN(ROW('Temp Hisfa'!G$3:G$200))+1), ROW(70:269))),"")</f>
        <v>0</v>
      </c>
      <c r="H72" s="22">
        <f t="array" ref="H72">IFERROR(INDEX('Temp Hisfa'!H$3:H$200, SMALL(IF(ISERROR('Temp Hisfa'!H$3:H$200), "", ROW('Temp Hisfa'!H$3:H$200)-MIN(ROW('Temp Hisfa'!H$3:H$200))+1), ROW(70:269))),"")</f>
        <v>0</v>
      </c>
      <c r="I72" s="22">
        <f t="array" ref="I72">IFERROR(INDEX('Temp Hisfa'!I$3:I$200, SMALL(IF(ISERROR('Temp Hisfa'!I$3:I$200), "", ROW('Temp Hisfa'!I$3:I$200)-MIN(ROW('Temp Hisfa'!I$3:I$200))+1), ROW(70:269))),"")</f>
        <v>0</v>
      </c>
      <c r="J72" s="22">
        <f t="array" ref="J72">IFERROR(INDEX('Temp Hisfa'!J$3:J$200, SMALL(IF(ISERROR('Temp Hisfa'!J$3:J$200), "", ROW('Temp Hisfa'!J$3:J$200)-MIN(ROW('Temp Hisfa'!J$3:J$200))+1), ROW(70:269))),"")</f>
        <v>0</v>
      </c>
      <c r="K72" s="30">
        <f t="array" ref="K72">IFERROR(INDEX('Temp Hisfa'!K$3:K$200, SMALL(IF(ISERROR('Temp Hisfa'!K$3:K$200), "", ROW('Temp Hisfa'!K$3:K$200)-MIN(ROW('Temp Hisfa'!K$3:K$200))+1), ROW(70:269))),"")</f>
        <v>0</v>
      </c>
      <c r="L72" s="22">
        <f t="array" ref="L72">IFERROR(INDEX('Temp Hisfa'!L$3:L$200, SMALL(IF(ISERROR('Temp Hisfa'!L$3:L$200), "", ROW('Temp Hisfa'!L$3:L$200)-MIN(ROW('Temp Hisfa'!L$3:L$200))+1), ROW(70:269))),"")</f>
        <v>0</v>
      </c>
      <c r="M72" s="22">
        <f t="array" ref="M72">IFERROR(INDEX('Temp Hisfa'!M$3:M$200, SMALL(IF(ISERROR('Temp Hisfa'!M$3:M$200), "", ROW('Temp Hisfa'!M$3:M$200)-MIN(ROW('Temp Hisfa'!M$3:M$200))+1), ROW(70:269))),"")</f>
        <v>0</v>
      </c>
      <c r="N72" s="22">
        <f t="array" ref="N72">IFERROR(INDEX('Temp Hisfa'!N$3:N$200, SMALL(IF(ISERROR('Temp Hisfa'!N$3:N$200), "", ROW('Temp Hisfa'!N$3:N$200)-MIN(ROW('Temp Hisfa'!N$3:N$200))+1), ROW(70:269))),"")</f>
        <v>1900</v>
      </c>
      <c r="O72" s="22" t="str">
        <f t="array" ref="O72">IFERROR(INDEX('Temp Hisfa'!O$3:O$200, SMALL(IF(ISERROR('Temp Hisfa'!O$3:O$200), "", ROW('Temp Hisfa'!O$3:O$200)-MIN(ROW('Temp Hisfa'!O$3:O$200))+1), ROW(70:269))),"")</f>
        <v>enero</v>
      </c>
      <c r="P72" s="22">
        <f t="array" ref="P72">IFERROR(INDEX('Temp Hisfa'!P$3:P$200, SMALL(IF(ISERROR('Temp Hisfa'!P$3:P$200), "", ROW('Temp Hisfa'!P$3:P$200)-MIN(ROW('Temp Hisfa'!P$3:P$200))+1), ROW(70:269))),"")</f>
        <v>0</v>
      </c>
      <c r="Q72" s="22">
        <f t="array" ref="Q72">IFERROR(INDEX('Temp Hisfa'!Q$3:Q$200, SMALL(IF(ISERROR('Temp Hisfa'!Q$3:Q$200), "", ROW('Temp Hisfa'!Q$3:Q$200)-MIN(ROW('Temp Hisfa'!Q$3:Q$200))+1), ROW(70:269))),"")</f>
        <v>0</v>
      </c>
      <c r="R72" s="22">
        <f t="array" ref="R72">IFERROR(INDEX('Temp Hisfa'!R$3:R$200, SMALL(IF(ISERROR('Temp Hisfa'!R$3:R$200), "", ROW('Temp Hisfa'!R$3:R$200)-MIN(ROW('Temp Hisfa'!R$3:R$200))+1), ROW(70:269))),"")</f>
        <v>0</v>
      </c>
      <c r="S72" s="22">
        <f t="array" ref="S72">IFERROR(INDEX('Temp Hisfa'!S$3:S$200, SMALL(IF(ISERROR('Temp Hisfa'!S$3:S$200), "", ROW('Temp Hisfa'!S$3:S$200)-MIN(ROW('Temp Hisfa'!S$3:S$200))+1), ROW(70:269))),"")</f>
        <v>0</v>
      </c>
      <c r="T72" s="22">
        <f t="array" ref="T72">IFERROR(INDEX('Temp Hisfa'!T$3:T$200, SMALL(IF(ISERROR('Temp Hisfa'!T$3:T$200), "", ROW('Temp Hisfa'!T$3:T$200)-MIN(ROW('Temp Hisfa'!T$3:T$200))+1), ROW(70:269))),"")</f>
        <v>0</v>
      </c>
      <c r="U72" s="22">
        <f t="array" ref="U72">IFERROR(INDEX('Temp Hisfa'!U$3:U$200, SMALL(IF(ISERROR('Temp Hisfa'!U$3:U$200), "", ROW('Temp Hisfa'!U$3:U$200)-MIN(ROW('Temp Hisfa'!U$3:U$200))+1), ROW(70:269))),"")</f>
        <v>0</v>
      </c>
      <c r="V72" s="22">
        <f t="array" ref="V72">IFERROR(INDEX('Temp Hisfa'!V$3:V$200, SMALL(IF(ISERROR('Temp Hisfa'!V$3:V$200), "", ROW('Temp Hisfa'!V$3:V$200)-MIN(ROW('Temp Hisfa'!V$3:V$200))+1), ROW(70:269))),"")</f>
        <v>0</v>
      </c>
      <c r="W72" s="22">
        <f t="array" ref="W72">IFERROR(INDEX('Temp Hisfa'!W$3:W$200, SMALL(IF(ISERROR('Temp Hisfa'!W$3:W$200), "", ROW('Temp Hisfa'!W$3:W$200)-MIN(ROW('Temp Hisfa'!W$3:W$200))+1), ROW(70:269))),"")</f>
        <v>0</v>
      </c>
      <c r="X72" s="22">
        <f t="array" ref="X72">IFERROR(INDEX('Temp Hisfa'!X$3:X$200, SMALL(IF(ISERROR('Temp Hisfa'!X$3:X$200), "", ROW('Temp Hisfa'!X$3:X$200)-MIN(ROW('Temp Hisfa'!X$3:X$200))+1), ROW(70:269))),"")</f>
        <v>0</v>
      </c>
      <c r="Y72" s="22">
        <f t="array" ref="Y72">IFERROR(INDEX('Temp Hisfa'!Y$3:Y$200, SMALL(IF(ISERROR('Temp Hisfa'!Y$3:Y$200), "", ROW('Temp Hisfa'!Y$3:Y$200)-MIN(ROW('Temp Hisfa'!Y$3:Y$200))+1), ROW(70:269))),"")</f>
        <v>0</v>
      </c>
      <c r="Z72" s="22">
        <f t="array" ref="Z72">IFERROR(INDEX('Temp Hisfa'!Z$3:Z$200, SMALL(IF(ISERROR('Temp Hisfa'!Z$3:Z$200), "", ROW('Temp Hisfa'!Z$3:Z$200)-MIN(ROW('Temp Hisfa'!Z$3:Z$200))+1), ROW(70:269))),"")</f>
        <v>0</v>
      </c>
      <c r="AA72" s="22">
        <f t="array" ref="AA72">IFERROR(INDEX('Temp Hisfa'!AA$3:AA$200, SMALL(IF(ISERROR('Temp Hisfa'!AA$3:AA$200), "", ROW('Temp Hisfa'!AA$3:AA$200)-MIN(ROW('Temp Hisfa'!AA$3:AA$200))+1), ROW(70:269))),"")</f>
        <v>0</v>
      </c>
      <c r="AB72" s="22">
        <f t="array" ref="AB72">IFERROR(INDEX('Temp Hisfa'!AB$3:AB$200, SMALL(IF(ISERROR('Temp Hisfa'!AB$3:AB$200), "", ROW('Temp Hisfa'!AB$3:AB$200)-MIN(ROW('Temp Hisfa'!AB$3:AB$200))+1), ROW(70:269))),"")</f>
        <v>0</v>
      </c>
    </row>
    <row r="73" spans="1:28" x14ac:dyDescent="0.3">
      <c r="A73" s="4">
        <f t="array" ref="A73">IFERROR(INDEX('Temp Hisfa'!A$3:A$200, SMALL(IF(ISERROR('Temp Hisfa'!A$3:A$200), "", ROW('Temp Hisfa'!A$3:A$200)-MIN(ROW('Temp Hisfa'!A$3:A$200))+1), ROW(71:269))),"")</f>
        <v>0</v>
      </c>
      <c r="B73" s="4">
        <f t="array" ref="B73">IFERROR(INDEX('Temp Hisfa'!B$3:B$200, SMALL(IF(ISERROR('Temp Hisfa'!B$3:B$200), "", ROW('Temp Hisfa'!B$3:B$200)-MIN(ROW('Temp Hisfa'!B$3:B$200))+1), ROW(71:269))),"")</f>
        <v>0</v>
      </c>
      <c r="C73" s="3">
        <f t="array" ref="C73">IFERROR(INDEX('Temp Hisfa'!C$3:C$200, SMALL(IF(ISERROR('Temp Hisfa'!C$3:C$200), "", ROW('Temp Hisfa'!C$3:C$200)-MIN(ROW('Temp Hisfa'!C$3:C$200))+1), ROW(71:269))),"")</f>
        <v>0</v>
      </c>
      <c r="D73" s="3">
        <f t="array" ref="D73">IFERROR(INDEX('Temp Hisfa'!D$3:D$200, SMALL(IF(ISERROR('Temp Hisfa'!D$3:D$200), "", ROW('Temp Hisfa'!D$3:D$200)-MIN(ROW('Temp Hisfa'!D$3:D$200))+1), ROW(71:269))),"")</f>
        <v>0</v>
      </c>
      <c r="E73" s="29">
        <f t="array" ref="E73">IFERROR(INDEX('Temp Hisfa'!E$3:E$200, SMALL(IF(ISERROR('Temp Hisfa'!E$3:E$200), "", ROW('Temp Hisfa'!E$3:E$200)-MIN(ROW('Temp Hisfa'!E$3:E$200))+1), ROW(71:270))),"")</f>
        <v>0</v>
      </c>
      <c r="F73" s="22">
        <f t="array" ref="F73">IFERROR(INDEX('Temp Hisfa'!F$3:F$200, SMALL(IF(ISERROR('Temp Hisfa'!F$3:F$200), "", ROW('Temp Hisfa'!F$3:F$200)-MIN(ROW('Temp Hisfa'!F$3:F$200))+1), ROW(71:270))),"")</f>
        <v>0</v>
      </c>
      <c r="G73" s="30">
        <f t="array" ref="G73">IFERROR(INDEX('Temp Hisfa'!G$3:G$200, SMALL(IF(ISERROR('Temp Hisfa'!G$3:G$200), "", ROW('Temp Hisfa'!G$3:G$200)-MIN(ROW('Temp Hisfa'!G$3:G$200))+1), ROW(71:270))),"")</f>
        <v>0</v>
      </c>
      <c r="H73" s="22">
        <f t="array" ref="H73">IFERROR(INDEX('Temp Hisfa'!H$3:H$200, SMALL(IF(ISERROR('Temp Hisfa'!H$3:H$200), "", ROW('Temp Hisfa'!H$3:H$200)-MIN(ROW('Temp Hisfa'!H$3:H$200))+1), ROW(71:270))),"")</f>
        <v>0</v>
      </c>
      <c r="I73" s="22">
        <f t="array" ref="I73">IFERROR(INDEX('Temp Hisfa'!I$3:I$200, SMALL(IF(ISERROR('Temp Hisfa'!I$3:I$200), "", ROW('Temp Hisfa'!I$3:I$200)-MIN(ROW('Temp Hisfa'!I$3:I$200))+1), ROW(71:270))),"")</f>
        <v>0</v>
      </c>
      <c r="J73" s="22">
        <f t="array" ref="J73">IFERROR(INDEX('Temp Hisfa'!J$3:J$200, SMALL(IF(ISERROR('Temp Hisfa'!J$3:J$200), "", ROW('Temp Hisfa'!J$3:J$200)-MIN(ROW('Temp Hisfa'!J$3:J$200))+1), ROW(71:270))),"")</f>
        <v>0</v>
      </c>
      <c r="K73" s="30">
        <f t="array" ref="K73">IFERROR(INDEX('Temp Hisfa'!K$3:K$200, SMALL(IF(ISERROR('Temp Hisfa'!K$3:K$200), "", ROW('Temp Hisfa'!K$3:K$200)-MIN(ROW('Temp Hisfa'!K$3:K$200))+1), ROW(71:270))),"")</f>
        <v>0</v>
      </c>
      <c r="L73" s="22">
        <f t="array" ref="L73">IFERROR(INDEX('Temp Hisfa'!L$3:L$200, SMALL(IF(ISERROR('Temp Hisfa'!L$3:L$200), "", ROW('Temp Hisfa'!L$3:L$200)-MIN(ROW('Temp Hisfa'!L$3:L$200))+1), ROW(71:270))),"")</f>
        <v>0</v>
      </c>
      <c r="M73" s="22">
        <f t="array" ref="M73">IFERROR(INDEX('Temp Hisfa'!M$3:M$200, SMALL(IF(ISERROR('Temp Hisfa'!M$3:M$200), "", ROW('Temp Hisfa'!M$3:M$200)-MIN(ROW('Temp Hisfa'!M$3:M$200))+1), ROW(71:270))),"")</f>
        <v>0</v>
      </c>
      <c r="N73" s="22">
        <f t="array" ref="N73">IFERROR(INDEX('Temp Hisfa'!N$3:N$200, SMALL(IF(ISERROR('Temp Hisfa'!N$3:N$200), "", ROW('Temp Hisfa'!N$3:N$200)-MIN(ROW('Temp Hisfa'!N$3:N$200))+1), ROW(71:270))),"")</f>
        <v>1900</v>
      </c>
      <c r="O73" s="22" t="str">
        <f t="array" ref="O73">IFERROR(INDEX('Temp Hisfa'!O$3:O$200, SMALL(IF(ISERROR('Temp Hisfa'!O$3:O$200), "", ROW('Temp Hisfa'!O$3:O$200)-MIN(ROW('Temp Hisfa'!O$3:O$200))+1), ROW(71:270))),"")</f>
        <v>enero</v>
      </c>
      <c r="P73" s="22">
        <f t="array" ref="P73">IFERROR(INDEX('Temp Hisfa'!P$3:P$200, SMALL(IF(ISERROR('Temp Hisfa'!P$3:P$200), "", ROW('Temp Hisfa'!P$3:P$200)-MIN(ROW('Temp Hisfa'!P$3:P$200))+1), ROW(71:270))),"")</f>
        <v>0</v>
      </c>
      <c r="Q73" s="22">
        <f t="array" ref="Q73">IFERROR(INDEX('Temp Hisfa'!Q$3:Q$200, SMALL(IF(ISERROR('Temp Hisfa'!Q$3:Q$200), "", ROW('Temp Hisfa'!Q$3:Q$200)-MIN(ROW('Temp Hisfa'!Q$3:Q$200))+1), ROW(71:270))),"")</f>
        <v>0</v>
      </c>
      <c r="R73" s="22">
        <f t="array" ref="R73">IFERROR(INDEX('Temp Hisfa'!R$3:R$200, SMALL(IF(ISERROR('Temp Hisfa'!R$3:R$200), "", ROW('Temp Hisfa'!R$3:R$200)-MIN(ROW('Temp Hisfa'!R$3:R$200))+1), ROW(71:270))),"")</f>
        <v>0</v>
      </c>
      <c r="S73" s="22">
        <f t="array" ref="S73">IFERROR(INDEX('Temp Hisfa'!S$3:S$200, SMALL(IF(ISERROR('Temp Hisfa'!S$3:S$200), "", ROW('Temp Hisfa'!S$3:S$200)-MIN(ROW('Temp Hisfa'!S$3:S$200))+1), ROW(71:270))),"")</f>
        <v>0</v>
      </c>
      <c r="T73" s="22">
        <f t="array" ref="T73">IFERROR(INDEX('Temp Hisfa'!T$3:T$200, SMALL(IF(ISERROR('Temp Hisfa'!T$3:T$200), "", ROW('Temp Hisfa'!T$3:T$200)-MIN(ROW('Temp Hisfa'!T$3:T$200))+1), ROW(71:270))),"")</f>
        <v>0</v>
      </c>
      <c r="U73" s="22">
        <f t="array" ref="U73">IFERROR(INDEX('Temp Hisfa'!U$3:U$200, SMALL(IF(ISERROR('Temp Hisfa'!U$3:U$200), "", ROW('Temp Hisfa'!U$3:U$200)-MIN(ROW('Temp Hisfa'!U$3:U$200))+1), ROW(71:270))),"")</f>
        <v>0</v>
      </c>
      <c r="V73" s="22">
        <f t="array" ref="V73">IFERROR(INDEX('Temp Hisfa'!V$3:V$200, SMALL(IF(ISERROR('Temp Hisfa'!V$3:V$200), "", ROW('Temp Hisfa'!V$3:V$200)-MIN(ROW('Temp Hisfa'!V$3:V$200))+1), ROW(71:270))),"")</f>
        <v>0</v>
      </c>
      <c r="W73" s="22">
        <f t="array" ref="W73">IFERROR(INDEX('Temp Hisfa'!W$3:W$200, SMALL(IF(ISERROR('Temp Hisfa'!W$3:W$200), "", ROW('Temp Hisfa'!W$3:W$200)-MIN(ROW('Temp Hisfa'!W$3:W$200))+1), ROW(71:270))),"")</f>
        <v>0</v>
      </c>
      <c r="X73" s="22">
        <f t="array" ref="X73">IFERROR(INDEX('Temp Hisfa'!X$3:X$200, SMALL(IF(ISERROR('Temp Hisfa'!X$3:X$200), "", ROW('Temp Hisfa'!X$3:X$200)-MIN(ROW('Temp Hisfa'!X$3:X$200))+1), ROW(71:270))),"")</f>
        <v>0</v>
      </c>
      <c r="Y73" s="22">
        <f t="array" ref="Y73">IFERROR(INDEX('Temp Hisfa'!Y$3:Y$200, SMALL(IF(ISERROR('Temp Hisfa'!Y$3:Y$200), "", ROW('Temp Hisfa'!Y$3:Y$200)-MIN(ROW('Temp Hisfa'!Y$3:Y$200))+1), ROW(71:270))),"")</f>
        <v>0</v>
      </c>
      <c r="Z73" s="22">
        <f t="array" ref="Z73">IFERROR(INDEX('Temp Hisfa'!Z$3:Z$200, SMALL(IF(ISERROR('Temp Hisfa'!Z$3:Z$200), "", ROW('Temp Hisfa'!Z$3:Z$200)-MIN(ROW('Temp Hisfa'!Z$3:Z$200))+1), ROW(71:270))),"")</f>
        <v>0</v>
      </c>
      <c r="AA73" s="22">
        <f t="array" ref="AA73">IFERROR(INDEX('Temp Hisfa'!AA$3:AA$200, SMALL(IF(ISERROR('Temp Hisfa'!AA$3:AA$200), "", ROW('Temp Hisfa'!AA$3:AA$200)-MIN(ROW('Temp Hisfa'!AA$3:AA$200))+1), ROW(71:270))),"")</f>
        <v>0</v>
      </c>
      <c r="AB73" s="22">
        <f t="array" ref="AB73">IFERROR(INDEX('Temp Hisfa'!AB$3:AB$200, SMALL(IF(ISERROR('Temp Hisfa'!AB$3:AB$200), "", ROW('Temp Hisfa'!AB$3:AB$200)-MIN(ROW('Temp Hisfa'!AB$3:AB$200))+1), ROW(71:270))),"")</f>
        <v>0</v>
      </c>
    </row>
    <row r="74" spans="1:28" x14ac:dyDescent="0.3">
      <c r="A74" s="4">
        <f t="array" ref="A74">IFERROR(INDEX('Temp Hisfa'!A$3:A$200, SMALL(IF(ISERROR('Temp Hisfa'!A$3:A$200), "", ROW('Temp Hisfa'!A$3:A$200)-MIN(ROW('Temp Hisfa'!A$3:A$200))+1), ROW(72:270))),"")</f>
        <v>0</v>
      </c>
      <c r="B74" s="4">
        <f t="array" ref="B74">IFERROR(INDEX('Temp Hisfa'!B$3:B$200, SMALL(IF(ISERROR('Temp Hisfa'!B$3:B$200), "", ROW('Temp Hisfa'!B$3:B$200)-MIN(ROW('Temp Hisfa'!B$3:B$200))+1), ROW(72:270))),"")</f>
        <v>0</v>
      </c>
      <c r="C74" s="3">
        <f t="array" ref="C74">IFERROR(INDEX('Temp Hisfa'!C$3:C$200, SMALL(IF(ISERROR('Temp Hisfa'!C$3:C$200), "", ROW('Temp Hisfa'!C$3:C$200)-MIN(ROW('Temp Hisfa'!C$3:C$200))+1), ROW(72:270))),"")</f>
        <v>0</v>
      </c>
      <c r="D74" s="3">
        <f t="array" ref="D74">IFERROR(INDEX('Temp Hisfa'!D$3:D$200, SMALL(IF(ISERROR('Temp Hisfa'!D$3:D$200), "", ROW('Temp Hisfa'!D$3:D$200)-MIN(ROW('Temp Hisfa'!D$3:D$200))+1), ROW(72:270))),"")</f>
        <v>0</v>
      </c>
      <c r="E74" s="29">
        <f t="array" ref="E74">IFERROR(INDEX('Temp Hisfa'!E$3:E$200, SMALL(IF(ISERROR('Temp Hisfa'!E$3:E$200), "", ROW('Temp Hisfa'!E$3:E$200)-MIN(ROW('Temp Hisfa'!E$3:E$200))+1), ROW(72:271))),"")</f>
        <v>0</v>
      </c>
      <c r="F74" s="22">
        <f t="array" ref="F74">IFERROR(INDEX('Temp Hisfa'!F$3:F$200, SMALL(IF(ISERROR('Temp Hisfa'!F$3:F$200), "", ROW('Temp Hisfa'!F$3:F$200)-MIN(ROW('Temp Hisfa'!F$3:F$200))+1), ROW(72:271))),"")</f>
        <v>0</v>
      </c>
      <c r="G74" s="30">
        <f t="array" ref="G74">IFERROR(INDEX('Temp Hisfa'!G$3:G$200, SMALL(IF(ISERROR('Temp Hisfa'!G$3:G$200), "", ROW('Temp Hisfa'!G$3:G$200)-MIN(ROW('Temp Hisfa'!G$3:G$200))+1), ROW(72:271))),"")</f>
        <v>0</v>
      </c>
      <c r="H74" s="22">
        <f t="array" ref="H74">IFERROR(INDEX('Temp Hisfa'!H$3:H$200, SMALL(IF(ISERROR('Temp Hisfa'!H$3:H$200), "", ROW('Temp Hisfa'!H$3:H$200)-MIN(ROW('Temp Hisfa'!H$3:H$200))+1), ROW(72:271))),"")</f>
        <v>0</v>
      </c>
      <c r="I74" s="22">
        <f t="array" ref="I74">IFERROR(INDEX('Temp Hisfa'!I$3:I$200, SMALL(IF(ISERROR('Temp Hisfa'!I$3:I$200), "", ROW('Temp Hisfa'!I$3:I$200)-MIN(ROW('Temp Hisfa'!I$3:I$200))+1), ROW(72:271))),"")</f>
        <v>0</v>
      </c>
      <c r="J74" s="22">
        <f t="array" ref="J74">IFERROR(INDEX('Temp Hisfa'!J$3:J$200, SMALL(IF(ISERROR('Temp Hisfa'!J$3:J$200), "", ROW('Temp Hisfa'!J$3:J$200)-MIN(ROW('Temp Hisfa'!J$3:J$200))+1), ROW(72:271))),"")</f>
        <v>0</v>
      </c>
      <c r="K74" s="30">
        <f t="array" ref="K74">IFERROR(INDEX('Temp Hisfa'!K$3:K$200, SMALL(IF(ISERROR('Temp Hisfa'!K$3:K$200), "", ROW('Temp Hisfa'!K$3:K$200)-MIN(ROW('Temp Hisfa'!K$3:K$200))+1), ROW(72:271))),"")</f>
        <v>0</v>
      </c>
      <c r="L74" s="22">
        <f t="array" ref="L74">IFERROR(INDEX('Temp Hisfa'!L$3:L$200, SMALL(IF(ISERROR('Temp Hisfa'!L$3:L$200), "", ROW('Temp Hisfa'!L$3:L$200)-MIN(ROW('Temp Hisfa'!L$3:L$200))+1), ROW(72:271))),"")</f>
        <v>0</v>
      </c>
      <c r="M74" s="22">
        <f t="array" ref="M74">IFERROR(INDEX('Temp Hisfa'!M$3:M$200, SMALL(IF(ISERROR('Temp Hisfa'!M$3:M$200), "", ROW('Temp Hisfa'!M$3:M$200)-MIN(ROW('Temp Hisfa'!M$3:M$200))+1), ROW(72:271))),"")</f>
        <v>0</v>
      </c>
      <c r="N74" s="22">
        <f t="array" ref="N74">IFERROR(INDEX('Temp Hisfa'!N$3:N$200, SMALL(IF(ISERROR('Temp Hisfa'!N$3:N$200), "", ROW('Temp Hisfa'!N$3:N$200)-MIN(ROW('Temp Hisfa'!N$3:N$200))+1), ROW(72:271))),"")</f>
        <v>1900</v>
      </c>
      <c r="O74" s="22" t="str">
        <f t="array" ref="O74">IFERROR(INDEX('Temp Hisfa'!O$3:O$200, SMALL(IF(ISERROR('Temp Hisfa'!O$3:O$200), "", ROW('Temp Hisfa'!O$3:O$200)-MIN(ROW('Temp Hisfa'!O$3:O$200))+1), ROW(72:271))),"")</f>
        <v>enero</v>
      </c>
      <c r="P74" s="22">
        <f t="array" ref="P74">IFERROR(INDEX('Temp Hisfa'!P$3:P$200, SMALL(IF(ISERROR('Temp Hisfa'!P$3:P$200), "", ROW('Temp Hisfa'!P$3:P$200)-MIN(ROW('Temp Hisfa'!P$3:P$200))+1), ROW(72:271))),"")</f>
        <v>0</v>
      </c>
      <c r="Q74" s="22">
        <f t="array" ref="Q74">IFERROR(INDEX('Temp Hisfa'!Q$3:Q$200, SMALL(IF(ISERROR('Temp Hisfa'!Q$3:Q$200), "", ROW('Temp Hisfa'!Q$3:Q$200)-MIN(ROW('Temp Hisfa'!Q$3:Q$200))+1), ROW(72:271))),"")</f>
        <v>0</v>
      </c>
      <c r="R74" s="22">
        <f t="array" ref="R74">IFERROR(INDEX('Temp Hisfa'!R$3:R$200, SMALL(IF(ISERROR('Temp Hisfa'!R$3:R$200), "", ROW('Temp Hisfa'!R$3:R$200)-MIN(ROW('Temp Hisfa'!R$3:R$200))+1), ROW(72:271))),"")</f>
        <v>0</v>
      </c>
      <c r="S74" s="22">
        <f t="array" ref="S74">IFERROR(INDEX('Temp Hisfa'!S$3:S$200, SMALL(IF(ISERROR('Temp Hisfa'!S$3:S$200), "", ROW('Temp Hisfa'!S$3:S$200)-MIN(ROW('Temp Hisfa'!S$3:S$200))+1), ROW(72:271))),"")</f>
        <v>0</v>
      </c>
      <c r="T74" s="22">
        <f t="array" ref="T74">IFERROR(INDEX('Temp Hisfa'!T$3:T$200, SMALL(IF(ISERROR('Temp Hisfa'!T$3:T$200), "", ROW('Temp Hisfa'!T$3:T$200)-MIN(ROW('Temp Hisfa'!T$3:T$200))+1), ROW(72:271))),"")</f>
        <v>0</v>
      </c>
      <c r="U74" s="22">
        <f t="array" ref="U74">IFERROR(INDEX('Temp Hisfa'!U$3:U$200, SMALL(IF(ISERROR('Temp Hisfa'!U$3:U$200), "", ROW('Temp Hisfa'!U$3:U$200)-MIN(ROW('Temp Hisfa'!U$3:U$200))+1), ROW(72:271))),"")</f>
        <v>0</v>
      </c>
      <c r="V74" s="22">
        <f t="array" ref="V74">IFERROR(INDEX('Temp Hisfa'!V$3:V$200, SMALL(IF(ISERROR('Temp Hisfa'!V$3:V$200), "", ROW('Temp Hisfa'!V$3:V$200)-MIN(ROW('Temp Hisfa'!V$3:V$200))+1), ROW(72:271))),"")</f>
        <v>0</v>
      </c>
      <c r="W74" s="22">
        <f t="array" ref="W74">IFERROR(INDEX('Temp Hisfa'!W$3:W$200, SMALL(IF(ISERROR('Temp Hisfa'!W$3:W$200), "", ROW('Temp Hisfa'!W$3:W$200)-MIN(ROW('Temp Hisfa'!W$3:W$200))+1), ROW(72:271))),"")</f>
        <v>0</v>
      </c>
      <c r="X74" s="22">
        <f t="array" ref="X74">IFERROR(INDEX('Temp Hisfa'!X$3:X$200, SMALL(IF(ISERROR('Temp Hisfa'!X$3:X$200), "", ROW('Temp Hisfa'!X$3:X$200)-MIN(ROW('Temp Hisfa'!X$3:X$200))+1), ROW(72:271))),"")</f>
        <v>0</v>
      </c>
      <c r="Y74" s="22">
        <f t="array" ref="Y74">IFERROR(INDEX('Temp Hisfa'!Y$3:Y$200, SMALL(IF(ISERROR('Temp Hisfa'!Y$3:Y$200), "", ROW('Temp Hisfa'!Y$3:Y$200)-MIN(ROW('Temp Hisfa'!Y$3:Y$200))+1), ROW(72:271))),"")</f>
        <v>0</v>
      </c>
      <c r="Z74" s="22">
        <f t="array" ref="Z74">IFERROR(INDEX('Temp Hisfa'!Z$3:Z$200, SMALL(IF(ISERROR('Temp Hisfa'!Z$3:Z$200), "", ROW('Temp Hisfa'!Z$3:Z$200)-MIN(ROW('Temp Hisfa'!Z$3:Z$200))+1), ROW(72:271))),"")</f>
        <v>0</v>
      </c>
      <c r="AA74" s="22">
        <f t="array" ref="AA74">IFERROR(INDEX('Temp Hisfa'!AA$3:AA$200, SMALL(IF(ISERROR('Temp Hisfa'!AA$3:AA$200), "", ROW('Temp Hisfa'!AA$3:AA$200)-MIN(ROW('Temp Hisfa'!AA$3:AA$200))+1), ROW(72:271))),"")</f>
        <v>0</v>
      </c>
      <c r="AB74" s="22">
        <f t="array" ref="AB74">IFERROR(INDEX('Temp Hisfa'!AB$3:AB$200, SMALL(IF(ISERROR('Temp Hisfa'!AB$3:AB$200), "", ROW('Temp Hisfa'!AB$3:AB$200)-MIN(ROW('Temp Hisfa'!AB$3:AB$200))+1), ROW(72:271))),"")</f>
        <v>0</v>
      </c>
    </row>
    <row r="75" spans="1:28" x14ac:dyDescent="0.3">
      <c r="A75" s="4">
        <f t="array" ref="A75">IFERROR(INDEX('Temp Hisfa'!A$3:A$200, SMALL(IF(ISERROR('Temp Hisfa'!A$3:A$200), "", ROW('Temp Hisfa'!A$3:A$200)-MIN(ROW('Temp Hisfa'!A$3:A$200))+1), ROW(73:271))),"")</f>
        <v>0</v>
      </c>
      <c r="B75" s="4">
        <f t="array" ref="B75">IFERROR(INDEX('Temp Hisfa'!B$3:B$200, SMALL(IF(ISERROR('Temp Hisfa'!B$3:B$200), "", ROW('Temp Hisfa'!B$3:B$200)-MIN(ROW('Temp Hisfa'!B$3:B$200))+1), ROW(73:271))),"")</f>
        <v>0</v>
      </c>
      <c r="C75" s="3">
        <f t="array" ref="C75">IFERROR(INDEX('Temp Hisfa'!C$3:C$200, SMALL(IF(ISERROR('Temp Hisfa'!C$3:C$200), "", ROW('Temp Hisfa'!C$3:C$200)-MIN(ROW('Temp Hisfa'!C$3:C$200))+1), ROW(73:271))),"")</f>
        <v>0</v>
      </c>
      <c r="D75" s="3">
        <f t="array" ref="D75">IFERROR(INDEX('Temp Hisfa'!D$3:D$200, SMALL(IF(ISERROR('Temp Hisfa'!D$3:D$200), "", ROW('Temp Hisfa'!D$3:D$200)-MIN(ROW('Temp Hisfa'!D$3:D$200))+1), ROW(73:271))),"")</f>
        <v>0</v>
      </c>
      <c r="E75" s="29">
        <f t="array" ref="E75">IFERROR(INDEX('Temp Hisfa'!E$3:E$200, SMALL(IF(ISERROR('Temp Hisfa'!E$3:E$200), "", ROW('Temp Hisfa'!E$3:E$200)-MIN(ROW('Temp Hisfa'!E$3:E$200))+1), ROW(73:272))),"")</f>
        <v>0</v>
      </c>
      <c r="F75" s="22">
        <f t="array" ref="F75">IFERROR(INDEX('Temp Hisfa'!F$3:F$200, SMALL(IF(ISERROR('Temp Hisfa'!F$3:F$200), "", ROW('Temp Hisfa'!F$3:F$200)-MIN(ROW('Temp Hisfa'!F$3:F$200))+1), ROW(73:272))),"")</f>
        <v>0</v>
      </c>
      <c r="G75" s="30">
        <f t="array" ref="G75">IFERROR(INDEX('Temp Hisfa'!G$3:G$200, SMALL(IF(ISERROR('Temp Hisfa'!G$3:G$200), "", ROW('Temp Hisfa'!G$3:G$200)-MIN(ROW('Temp Hisfa'!G$3:G$200))+1), ROW(73:272))),"")</f>
        <v>0</v>
      </c>
      <c r="H75" s="22">
        <f t="array" ref="H75">IFERROR(INDEX('Temp Hisfa'!H$3:H$200, SMALL(IF(ISERROR('Temp Hisfa'!H$3:H$200), "", ROW('Temp Hisfa'!H$3:H$200)-MIN(ROW('Temp Hisfa'!H$3:H$200))+1), ROW(73:272))),"")</f>
        <v>0</v>
      </c>
      <c r="I75" s="22">
        <f t="array" ref="I75">IFERROR(INDEX('Temp Hisfa'!I$3:I$200, SMALL(IF(ISERROR('Temp Hisfa'!I$3:I$200), "", ROW('Temp Hisfa'!I$3:I$200)-MIN(ROW('Temp Hisfa'!I$3:I$200))+1), ROW(73:272))),"")</f>
        <v>0</v>
      </c>
      <c r="J75" s="22">
        <f t="array" ref="J75">IFERROR(INDEX('Temp Hisfa'!J$3:J$200, SMALL(IF(ISERROR('Temp Hisfa'!J$3:J$200), "", ROW('Temp Hisfa'!J$3:J$200)-MIN(ROW('Temp Hisfa'!J$3:J$200))+1), ROW(73:272))),"")</f>
        <v>0</v>
      </c>
      <c r="K75" s="30">
        <f t="array" ref="K75">IFERROR(INDEX('Temp Hisfa'!K$3:K$200, SMALL(IF(ISERROR('Temp Hisfa'!K$3:K$200), "", ROW('Temp Hisfa'!K$3:K$200)-MIN(ROW('Temp Hisfa'!K$3:K$200))+1), ROW(73:272))),"")</f>
        <v>0</v>
      </c>
      <c r="L75" s="22">
        <f t="array" ref="L75">IFERROR(INDEX('Temp Hisfa'!L$3:L$200, SMALL(IF(ISERROR('Temp Hisfa'!L$3:L$200), "", ROW('Temp Hisfa'!L$3:L$200)-MIN(ROW('Temp Hisfa'!L$3:L$200))+1), ROW(73:272))),"")</f>
        <v>0</v>
      </c>
      <c r="M75" s="22">
        <f t="array" ref="M75">IFERROR(INDEX('Temp Hisfa'!M$3:M$200, SMALL(IF(ISERROR('Temp Hisfa'!M$3:M$200), "", ROW('Temp Hisfa'!M$3:M$200)-MIN(ROW('Temp Hisfa'!M$3:M$200))+1), ROW(73:272))),"")</f>
        <v>0</v>
      </c>
      <c r="N75" s="22">
        <f t="array" ref="N75">IFERROR(INDEX('Temp Hisfa'!N$3:N$200, SMALL(IF(ISERROR('Temp Hisfa'!N$3:N$200), "", ROW('Temp Hisfa'!N$3:N$200)-MIN(ROW('Temp Hisfa'!N$3:N$200))+1), ROW(73:272))),"")</f>
        <v>1900</v>
      </c>
      <c r="O75" s="22" t="str">
        <f t="array" ref="O75">IFERROR(INDEX('Temp Hisfa'!O$3:O$200, SMALL(IF(ISERROR('Temp Hisfa'!O$3:O$200), "", ROW('Temp Hisfa'!O$3:O$200)-MIN(ROW('Temp Hisfa'!O$3:O$200))+1), ROW(73:272))),"")</f>
        <v>enero</v>
      </c>
      <c r="P75" s="22">
        <f t="array" ref="P75">IFERROR(INDEX('Temp Hisfa'!P$3:P$200, SMALL(IF(ISERROR('Temp Hisfa'!P$3:P$200), "", ROW('Temp Hisfa'!P$3:P$200)-MIN(ROW('Temp Hisfa'!P$3:P$200))+1), ROW(73:272))),"")</f>
        <v>0</v>
      </c>
      <c r="Q75" s="22">
        <f t="array" ref="Q75">IFERROR(INDEX('Temp Hisfa'!Q$3:Q$200, SMALL(IF(ISERROR('Temp Hisfa'!Q$3:Q$200), "", ROW('Temp Hisfa'!Q$3:Q$200)-MIN(ROW('Temp Hisfa'!Q$3:Q$200))+1), ROW(73:272))),"")</f>
        <v>0</v>
      </c>
      <c r="R75" s="22">
        <f t="array" ref="R75">IFERROR(INDEX('Temp Hisfa'!R$3:R$200, SMALL(IF(ISERROR('Temp Hisfa'!R$3:R$200), "", ROW('Temp Hisfa'!R$3:R$200)-MIN(ROW('Temp Hisfa'!R$3:R$200))+1), ROW(73:272))),"")</f>
        <v>0</v>
      </c>
      <c r="S75" s="22">
        <f t="array" ref="S75">IFERROR(INDEX('Temp Hisfa'!S$3:S$200, SMALL(IF(ISERROR('Temp Hisfa'!S$3:S$200), "", ROW('Temp Hisfa'!S$3:S$200)-MIN(ROW('Temp Hisfa'!S$3:S$200))+1), ROW(73:272))),"")</f>
        <v>0</v>
      </c>
      <c r="T75" s="22">
        <f t="array" ref="T75">IFERROR(INDEX('Temp Hisfa'!T$3:T$200, SMALL(IF(ISERROR('Temp Hisfa'!T$3:T$200), "", ROW('Temp Hisfa'!T$3:T$200)-MIN(ROW('Temp Hisfa'!T$3:T$200))+1), ROW(73:272))),"")</f>
        <v>0</v>
      </c>
      <c r="U75" s="22">
        <f t="array" ref="U75">IFERROR(INDEX('Temp Hisfa'!U$3:U$200, SMALL(IF(ISERROR('Temp Hisfa'!U$3:U$200), "", ROW('Temp Hisfa'!U$3:U$200)-MIN(ROW('Temp Hisfa'!U$3:U$200))+1), ROW(73:272))),"")</f>
        <v>0</v>
      </c>
      <c r="V75" s="22">
        <f t="array" ref="V75">IFERROR(INDEX('Temp Hisfa'!V$3:V$200, SMALL(IF(ISERROR('Temp Hisfa'!V$3:V$200), "", ROW('Temp Hisfa'!V$3:V$200)-MIN(ROW('Temp Hisfa'!V$3:V$200))+1), ROW(73:272))),"")</f>
        <v>0</v>
      </c>
      <c r="W75" s="22">
        <f t="array" ref="W75">IFERROR(INDEX('Temp Hisfa'!W$3:W$200, SMALL(IF(ISERROR('Temp Hisfa'!W$3:W$200), "", ROW('Temp Hisfa'!W$3:W$200)-MIN(ROW('Temp Hisfa'!W$3:W$200))+1), ROW(73:272))),"")</f>
        <v>0</v>
      </c>
      <c r="X75" s="22">
        <f t="array" ref="X75">IFERROR(INDEX('Temp Hisfa'!X$3:X$200, SMALL(IF(ISERROR('Temp Hisfa'!X$3:X$200), "", ROW('Temp Hisfa'!X$3:X$200)-MIN(ROW('Temp Hisfa'!X$3:X$200))+1), ROW(73:272))),"")</f>
        <v>0</v>
      </c>
      <c r="Y75" s="22">
        <f t="array" ref="Y75">IFERROR(INDEX('Temp Hisfa'!Y$3:Y$200, SMALL(IF(ISERROR('Temp Hisfa'!Y$3:Y$200), "", ROW('Temp Hisfa'!Y$3:Y$200)-MIN(ROW('Temp Hisfa'!Y$3:Y$200))+1), ROW(73:272))),"")</f>
        <v>0</v>
      </c>
      <c r="Z75" s="22">
        <f t="array" ref="Z75">IFERROR(INDEX('Temp Hisfa'!Z$3:Z$200, SMALL(IF(ISERROR('Temp Hisfa'!Z$3:Z$200), "", ROW('Temp Hisfa'!Z$3:Z$200)-MIN(ROW('Temp Hisfa'!Z$3:Z$200))+1), ROW(73:272))),"")</f>
        <v>0</v>
      </c>
      <c r="AA75" s="22">
        <f t="array" ref="AA75">IFERROR(INDEX('Temp Hisfa'!AA$3:AA$200, SMALL(IF(ISERROR('Temp Hisfa'!AA$3:AA$200), "", ROW('Temp Hisfa'!AA$3:AA$200)-MIN(ROW('Temp Hisfa'!AA$3:AA$200))+1), ROW(73:272))),"")</f>
        <v>0</v>
      </c>
      <c r="AB75" s="22">
        <f t="array" ref="AB75">IFERROR(INDEX('Temp Hisfa'!AB$3:AB$200, SMALL(IF(ISERROR('Temp Hisfa'!AB$3:AB$200), "", ROW('Temp Hisfa'!AB$3:AB$200)-MIN(ROW('Temp Hisfa'!AB$3:AB$200))+1), ROW(73:272))),"")</f>
        <v>0</v>
      </c>
    </row>
    <row r="76" spans="1:28" x14ac:dyDescent="0.3">
      <c r="A76" s="4">
        <f t="array" ref="A76">IFERROR(INDEX('Temp Hisfa'!A$3:A$200, SMALL(IF(ISERROR('Temp Hisfa'!A$3:A$200), "", ROW('Temp Hisfa'!A$3:A$200)-MIN(ROW('Temp Hisfa'!A$3:A$200))+1), ROW(74:272))),"")</f>
        <v>0</v>
      </c>
      <c r="B76" s="4">
        <f t="array" ref="B76">IFERROR(INDEX('Temp Hisfa'!B$3:B$200, SMALL(IF(ISERROR('Temp Hisfa'!B$3:B$200), "", ROW('Temp Hisfa'!B$3:B$200)-MIN(ROW('Temp Hisfa'!B$3:B$200))+1), ROW(74:272))),"")</f>
        <v>0</v>
      </c>
      <c r="C76" s="3">
        <f t="array" ref="C76">IFERROR(INDEX('Temp Hisfa'!C$3:C$200, SMALL(IF(ISERROR('Temp Hisfa'!C$3:C$200), "", ROW('Temp Hisfa'!C$3:C$200)-MIN(ROW('Temp Hisfa'!C$3:C$200))+1), ROW(74:272))),"")</f>
        <v>0</v>
      </c>
      <c r="D76" s="3">
        <f t="array" ref="D76">IFERROR(INDEX('Temp Hisfa'!D$3:D$200, SMALL(IF(ISERROR('Temp Hisfa'!D$3:D$200), "", ROW('Temp Hisfa'!D$3:D$200)-MIN(ROW('Temp Hisfa'!D$3:D$200))+1), ROW(74:272))),"")</f>
        <v>0</v>
      </c>
      <c r="E76" s="29">
        <f t="array" ref="E76">IFERROR(INDEX('Temp Hisfa'!E$3:E$200, SMALL(IF(ISERROR('Temp Hisfa'!E$3:E$200), "", ROW('Temp Hisfa'!E$3:E$200)-MIN(ROW('Temp Hisfa'!E$3:E$200))+1), ROW(74:273))),"")</f>
        <v>0</v>
      </c>
      <c r="F76" s="22">
        <f t="array" ref="F76">IFERROR(INDEX('Temp Hisfa'!F$3:F$200, SMALL(IF(ISERROR('Temp Hisfa'!F$3:F$200), "", ROW('Temp Hisfa'!F$3:F$200)-MIN(ROW('Temp Hisfa'!F$3:F$200))+1), ROW(74:273))),"")</f>
        <v>0</v>
      </c>
      <c r="G76" s="30">
        <f t="array" ref="G76">IFERROR(INDEX('Temp Hisfa'!G$3:G$200, SMALL(IF(ISERROR('Temp Hisfa'!G$3:G$200), "", ROW('Temp Hisfa'!G$3:G$200)-MIN(ROW('Temp Hisfa'!G$3:G$200))+1), ROW(74:273))),"")</f>
        <v>0</v>
      </c>
      <c r="H76" s="22">
        <f t="array" ref="H76">IFERROR(INDEX('Temp Hisfa'!H$3:H$200, SMALL(IF(ISERROR('Temp Hisfa'!H$3:H$200), "", ROW('Temp Hisfa'!H$3:H$200)-MIN(ROW('Temp Hisfa'!H$3:H$200))+1), ROW(74:273))),"")</f>
        <v>0</v>
      </c>
      <c r="I76" s="22">
        <f t="array" ref="I76">IFERROR(INDEX('Temp Hisfa'!I$3:I$200, SMALL(IF(ISERROR('Temp Hisfa'!I$3:I$200), "", ROW('Temp Hisfa'!I$3:I$200)-MIN(ROW('Temp Hisfa'!I$3:I$200))+1), ROW(74:273))),"")</f>
        <v>0</v>
      </c>
      <c r="J76" s="22">
        <f t="array" ref="J76">IFERROR(INDEX('Temp Hisfa'!J$3:J$200, SMALL(IF(ISERROR('Temp Hisfa'!J$3:J$200), "", ROW('Temp Hisfa'!J$3:J$200)-MIN(ROW('Temp Hisfa'!J$3:J$200))+1), ROW(74:273))),"")</f>
        <v>0</v>
      </c>
      <c r="K76" s="30">
        <f t="array" ref="K76">IFERROR(INDEX('Temp Hisfa'!K$3:K$200, SMALL(IF(ISERROR('Temp Hisfa'!K$3:K$200), "", ROW('Temp Hisfa'!K$3:K$200)-MIN(ROW('Temp Hisfa'!K$3:K$200))+1), ROW(74:273))),"")</f>
        <v>0</v>
      </c>
      <c r="L76" s="22">
        <f t="array" ref="L76">IFERROR(INDEX('Temp Hisfa'!L$3:L$200, SMALL(IF(ISERROR('Temp Hisfa'!L$3:L$200), "", ROW('Temp Hisfa'!L$3:L$200)-MIN(ROW('Temp Hisfa'!L$3:L$200))+1), ROW(74:273))),"")</f>
        <v>0</v>
      </c>
      <c r="M76" s="22">
        <f t="array" ref="M76">IFERROR(INDEX('Temp Hisfa'!M$3:M$200, SMALL(IF(ISERROR('Temp Hisfa'!M$3:M$200), "", ROW('Temp Hisfa'!M$3:M$200)-MIN(ROW('Temp Hisfa'!M$3:M$200))+1), ROW(74:273))),"")</f>
        <v>0</v>
      </c>
      <c r="N76" s="22">
        <f t="array" ref="N76">IFERROR(INDEX('Temp Hisfa'!N$3:N$200, SMALL(IF(ISERROR('Temp Hisfa'!N$3:N$200), "", ROW('Temp Hisfa'!N$3:N$200)-MIN(ROW('Temp Hisfa'!N$3:N$200))+1), ROW(74:273))),"")</f>
        <v>1900</v>
      </c>
      <c r="O76" s="22" t="str">
        <f t="array" ref="O76">IFERROR(INDEX('Temp Hisfa'!O$3:O$200, SMALL(IF(ISERROR('Temp Hisfa'!O$3:O$200), "", ROW('Temp Hisfa'!O$3:O$200)-MIN(ROW('Temp Hisfa'!O$3:O$200))+1), ROW(74:273))),"")</f>
        <v>enero</v>
      </c>
      <c r="P76" s="22">
        <f t="array" ref="P76">IFERROR(INDEX('Temp Hisfa'!P$3:P$200, SMALL(IF(ISERROR('Temp Hisfa'!P$3:P$200), "", ROW('Temp Hisfa'!P$3:P$200)-MIN(ROW('Temp Hisfa'!P$3:P$200))+1), ROW(74:273))),"")</f>
        <v>0</v>
      </c>
      <c r="Q76" s="22">
        <f t="array" ref="Q76">IFERROR(INDEX('Temp Hisfa'!Q$3:Q$200, SMALL(IF(ISERROR('Temp Hisfa'!Q$3:Q$200), "", ROW('Temp Hisfa'!Q$3:Q$200)-MIN(ROW('Temp Hisfa'!Q$3:Q$200))+1), ROW(74:273))),"")</f>
        <v>0</v>
      </c>
      <c r="R76" s="22">
        <f t="array" ref="R76">IFERROR(INDEX('Temp Hisfa'!R$3:R$200, SMALL(IF(ISERROR('Temp Hisfa'!R$3:R$200), "", ROW('Temp Hisfa'!R$3:R$200)-MIN(ROW('Temp Hisfa'!R$3:R$200))+1), ROW(74:273))),"")</f>
        <v>0</v>
      </c>
      <c r="S76" s="22">
        <f t="array" ref="S76">IFERROR(INDEX('Temp Hisfa'!S$3:S$200, SMALL(IF(ISERROR('Temp Hisfa'!S$3:S$200), "", ROW('Temp Hisfa'!S$3:S$200)-MIN(ROW('Temp Hisfa'!S$3:S$200))+1), ROW(74:273))),"")</f>
        <v>0</v>
      </c>
      <c r="T76" s="22">
        <f t="array" ref="T76">IFERROR(INDEX('Temp Hisfa'!T$3:T$200, SMALL(IF(ISERROR('Temp Hisfa'!T$3:T$200), "", ROW('Temp Hisfa'!T$3:T$200)-MIN(ROW('Temp Hisfa'!T$3:T$200))+1), ROW(74:273))),"")</f>
        <v>0</v>
      </c>
      <c r="U76" s="22">
        <f t="array" ref="U76">IFERROR(INDEX('Temp Hisfa'!U$3:U$200, SMALL(IF(ISERROR('Temp Hisfa'!U$3:U$200), "", ROW('Temp Hisfa'!U$3:U$200)-MIN(ROW('Temp Hisfa'!U$3:U$200))+1), ROW(74:273))),"")</f>
        <v>0</v>
      </c>
      <c r="V76" s="22">
        <f t="array" ref="V76">IFERROR(INDEX('Temp Hisfa'!V$3:V$200, SMALL(IF(ISERROR('Temp Hisfa'!V$3:V$200), "", ROW('Temp Hisfa'!V$3:V$200)-MIN(ROW('Temp Hisfa'!V$3:V$200))+1), ROW(74:273))),"")</f>
        <v>0</v>
      </c>
      <c r="W76" s="22">
        <f t="array" ref="W76">IFERROR(INDEX('Temp Hisfa'!W$3:W$200, SMALL(IF(ISERROR('Temp Hisfa'!W$3:W$200), "", ROW('Temp Hisfa'!W$3:W$200)-MIN(ROW('Temp Hisfa'!W$3:W$200))+1), ROW(74:273))),"")</f>
        <v>0</v>
      </c>
      <c r="X76" s="22">
        <f t="array" ref="X76">IFERROR(INDEX('Temp Hisfa'!X$3:X$200, SMALL(IF(ISERROR('Temp Hisfa'!X$3:X$200), "", ROW('Temp Hisfa'!X$3:X$200)-MIN(ROW('Temp Hisfa'!X$3:X$200))+1), ROW(74:273))),"")</f>
        <v>0</v>
      </c>
      <c r="Y76" s="22">
        <f t="array" ref="Y76">IFERROR(INDEX('Temp Hisfa'!Y$3:Y$200, SMALL(IF(ISERROR('Temp Hisfa'!Y$3:Y$200), "", ROW('Temp Hisfa'!Y$3:Y$200)-MIN(ROW('Temp Hisfa'!Y$3:Y$200))+1), ROW(74:273))),"")</f>
        <v>0</v>
      </c>
      <c r="Z76" s="22">
        <f t="array" ref="Z76">IFERROR(INDEX('Temp Hisfa'!Z$3:Z$200, SMALL(IF(ISERROR('Temp Hisfa'!Z$3:Z$200), "", ROW('Temp Hisfa'!Z$3:Z$200)-MIN(ROW('Temp Hisfa'!Z$3:Z$200))+1), ROW(74:273))),"")</f>
        <v>0</v>
      </c>
      <c r="AA76" s="22">
        <f t="array" ref="AA76">IFERROR(INDEX('Temp Hisfa'!AA$3:AA$200, SMALL(IF(ISERROR('Temp Hisfa'!AA$3:AA$200), "", ROW('Temp Hisfa'!AA$3:AA$200)-MIN(ROW('Temp Hisfa'!AA$3:AA$200))+1), ROW(74:273))),"")</f>
        <v>0</v>
      </c>
      <c r="AB76" s="22">
        <f t="array" ref="AB76">IFERROR(INDEX('Temp Hisfa'!AB$3:AB$200, SMALL(IF(ISERROR('Temp Hisfa'!AB$3:AB$200), "", ROW('Temp Hisfa'!AB$3:AB$200)-MIN(ROW('Temp Hisfa'!AB$3:AB$200))+1), ROW(74:273))),"")</f>
        <v>0</v>
      </c>
    </row>
    <row r="77" spans="1:28" x14ac:dyDescent="0.3">
      <c r="A77" s="4">
        <f t="array" ref="A77">IFERROR(INDEX('Temp Hisfa'!A$3:A$200, SMALL(IF(ISERROR('Temp Hisfa'!A$3:A$200), "", ROW('Temp Hisfa'!A$3:A$200)-MIN(ROW('Temp Hisfa'!A$3:A$200))+1), ROW(75:273))),"")</f>
        <v>0</v>
      </c>
      <c r="B77" s="4">
        <f t="array" ref="B77">IFERROR(INDEX('Temp Hisfa'!B$3:B$200, SMALL(IF(ISERROR('Temp Hisfa'!B$3:B$200), "", ROW('Temp Hisfa'!B$3:B$200)-MIN(ROW('Temp Hisfa'!B$3:B$200))+1), ROW(75:273))),"")</f>
        <v>0</v>
      </c>
      <c r="C77" s="3">
        <f t="array" ref="C77">IFERROR(INDEX('Temp Hisfa'!C$3:C$200, SMALL(IF(ISERROR('Temp Hisfa'!C$3:C$200), "", ROW('Temp Hisfa'!C$3:C$200)-MIN(ROW('Temp Hisfa'!C$3:C$200))+1), ROW(75:273))),"")</f>
        <v>0</v>
      </c>
      <c r="D77" s="3">
        <f t="array" ref="D77">IFERROR(INDEX('Temp Hisfa'!D$3:D$200, SMALL(IF(ISERROR('Temp Hisfa'!D$3:D$200), "", ROW('Temp Hisfa'!D$3:D$200)-MIN(ROW('Temp Hisfa'!D$3:D$200))+1), ROW(75:273))),"")</f>
        <v>0</v>
      </c>
      <c r="E77" s="29">
        <f t="array" ref="E77">IFERROR(INDEX('Temp Hisfa'!E$3:E$200, SMALL(IF(ISERROR('Temp Hisfa'!E$3:E$200), "", ROW('Temp Hisfa'!E$3:E$200)-MIN(ROW('Temp Hisfa'!E$3:E$200))+1), ROW(75:274))),"")</f>
        <v>0</v>
      </c>
      <c r="F77" s="22">
        <f t="array" ref="F77">IFERROR(INDEX('Temp Hisfa'!F$3:F$200, SMALL(IF(ISERROR('Temp Hisfa'!F$3:F$200), "", ROW('Temp Hisfa'!F$3:F$200)-MIN(ROW('Temp Hisfa'!F$3:F$200))+1), ROW(75:274))),"")</f>
        <v>0</v>
      </c>
      <c r="G77" s="30">
        <f t="array" ref="G77">IFERROR(INDEX('Temp Hisfa'!G$3:G$200, SMALL(IF(ISERROR('Temp Hisfa'!G$3:G$200), "", ROW('Temp Hisfa'!G$3:G$200)-MIN(ROW('Temp Hisfa'!G$3:G$200))+1), ROW(75:274))),"")</f>
        <v>0</v>
      </c>
      <c r="H77" s="22">
        <f t="array" ref="H77">IFERROR(INDEX('Temp Hisfa'!H$3:H$200, SMALL(IF(ISERROR('Temp Hisfa'!H$3:H$200), "", ROW('Temp Hisfa'!H$3:H$200)-MIN(ROW('Temp Hisfa'!H$3:H$200))+1), ROW(75:274))),"")</f>
        <v>0</v>
      </c>
      <c r="I77" s="22">
        <f t="array" ref="I77">IFERROR(INDEX('Temp Hisfa'!I$3:I$200, SMALL(IF(ISERROR('Temp Hisfa'!I$3:I$200), "", ROW('Temp Hisfa'!I$3:I$200)-MIN(ROW('Temp Hisfa'!I$3:I$200))+1), ROW(75:274))),"")</f>
        <v>0</v>
      </c>
      <c r="J77" s="22">
        <f t="array" ref="J77">IFERROR(INDEX('Temp Hisfa'!J$3:J$200, SMALL(IF(ISERROR('Temp Hisfa'!J$3:J$200), "", ROW('Temp Hisfa'!J$3:J$200)-MIN(ROW('Temp Hisfa'!J$3:J$200))+1), ROW(75:274))),"")</f>
        <v>0</v>
      </c>
      <c r="K77" s="30">
        <f t="array" ref="K77">IFERROR(INDEX('Temp Hisfa'!K$3:K$200, SMALL(IF(ISERROR('Temp Hisfa'!K$3:K$200), "", ROW('Temp Hisfa'!K$3:K$200)-MIN(ROW('Temp Hisfa'!K$3:K$200))+1), ROW(75:274))),"")</f>
        <v>0</v>
      </c>
      <c r="L77" s="22">
        <f t="array" ref="L77">IFERROR(INDEX('Temp Hisfa'!L$3:L$200, SMALL(IF(ISERROR('Temp Hisfa'!L$3:L$200), "", ROW('Temp Hisfa'!L$3:L$200)-MIN(ROW('Temp Hisfa'!L$3:L$200))+1), ROW(75:274))),"")</f>
        <v>0</v>
      </c>
      <c r="M77" s="22">
        <f t="array" ref="M77">IFERROR(INDEX('Temp Hisfa'!M$3:M$200, SMALL(IF(ISERROR('Temp Hisfa'!M$3:M$200), "", ROW('Temp Hisfa'!M$3:M$200)-MIN(ROW('Temp Hisfa'!M$3:M$200))+1), ROW(75:274))),"")</f>
        <v>0</v>
      </c>
      <c r="N77" s="22">
        <f t="array" ref="N77">IFERROR(INDEX('Temp Hisfa'!N$3:N$200, SMALL(IF(ISERROR('Temp Hisfa'!N$3:N$200), "", ROW('Temp Hisfa'!N$3:N$200)-MIN(ROW('Temp Hisfa'!N$3:N$200))+1), ROW(75:274))),"")</f>
        <v>1900</v>
      </c>
      <c r="O77" s="22" t="str">
        <f t="array" ref="O77">IFERROR(INDEX('Temp Hisfa'!O$3:O$200, SMALL(IF(ISERROR('Temp Hisfa'!O$3:O$200), "", ROW('Temp Hisfa'!O$3:O$200)-MIN(ROW('Temp Hisfa'!O$3:O$200))+1), ROW(75:274))),"")</f>
        <v>enero</v>
      </c>
      <c r="P77" s="22">
        <f t="array" ref="P77">IFERROR(INDEX('Temp Hisfa'!P$3:P$200, SMALL(IF(ISERROR('Temp Hisfa'!P$3:P$200), "", ROW('Temp Hisfa'!P$3:P$200)-MIN(ROW('Temp Hisfa'!P$3:P$200))+1), ROW(75:274))),"")</f>
        <v>0</v>
      </c>
      <c r="Q77" s="22">
        <f t="array" ref="Q77">IFERROR(INDEX('Temp Hisfa'!Q$3:Q$200, SMALL(IF(ISERROR('Temp Hisfa'!Q$3:Q$200), "", ROW('Temp Hisfa'!Q$3:Q$200)-MIN(ROW('Temp Hisfa'!Q$3:Q$200))+1), ROW(75:274))),"")</f>
        <v>0</v>
      </c>
      <c r="R77" s="22">
        <f t="array" ref="R77">IFERROR(INDEX('Temp Hisfa'!R$3:R$200, SMALL(IF(ISERROR('Temp Hisfa'!R$3:R$200), "", ROW('Temp Hisfa'!R$3:R$200)-MIN(ROW('Temp Hisfa'!R$3:R$200))+1), ROW(75:274))),"")</f>
        <v>0</v>
      </c>
      <c r="S77" s="22">
        <f t="array" ref="S77">IFERROR(INDEX('Temp Hisfa'!S$3:S$200, SMALL(IF(ISERROR('Temp Hisfa'!S$3:S$200), "", ROW('Temp Hisfa'!S$3:S$200)-MIN(ROW('Temp Hisfa'!S$3:S$200))+1), ROW(75:274))),"")</f>
        <v>0</v>
      </c>
      <c r="T77" s="22">
        <f t="array" ref="T77">IFERROR(INDEX('Temp Hisfa'!T$3:T$200, SMALL(IF(ISERROR('Temp Hisfa'!T$3:T$200), "", ROW('Temp Hisfa'!T$3:T$200)-MIN(ROW('Temp Hisfa'!T$3:T$200))+1), ROW(75:274))),"")</f>
        <v>0</v>
      </c>
      <c r="U77" s="22">
        <f t="array" ref="U77">IFERROR(INDEX('Temp Hisfa'!U$3:U$200, SMALL(IF(ISERROR('Temp Hisfa'!U$3:U$200), "", ROW('Temp Hisfa'!U$3:U$200)-MIN(ROW('Temp Hisfa'!U$3:U$200))+1), ROW(75:274))),"")</f>
        <v>0</v>
      </c>
      <c r="V77" s="22">
        <f t="array" ref="V77">IFERROR(INDEX('Temp Hisfa'!V$3:V$200, SMALL(IF(ISERROR('Temp Hisfa'!V$3:V$200), "", ROW('Temp Hisfa'!V$3:V$200)-MIN(ROW('Temp Hisfa'!V$3:V$200))+1), ROW(75:274))),"")</f>
        <v>0</v>
      </c>
      <c r="W77" s="22">
        <f t="array" ref="W77">IFERROR(INDEX('Temp Hisfa'!W$3:W$200, SMALL(IF(ISERROR('Temp Hisfa'!W$3:W$200), "", ROW('Temp Hisfa'!W$3:W$200)-MIN(ROW('Temp Hisfa'!W$3:W$200))+1), ROW(75:274))),"")</f>
        <v>0</v>
      </c>
      <c r="X77" s="22">
        <f t="array" ref="X77">IFERROR(INDEX('Temp Hisfa'!X$3:X$200, SMALL(IF(ISERROR('Temp Hisfa'!X$3:X$200), "", ROW('Temp Hisfa'!X$3:X$200)-MIN(ROW('Temp Hisfa'!X$3:X$200))+1), ROW(75:274))),"")</f>
        <v>0</v>
      </c>
      <c r="Y77" s="22">
        <f t="array" ref="Y77">IFERROR(INDEX('Temp Hisfa'!Y$3:Y$200, SMALL(IF(ISERROR('Temp Hisfa'!Y$3:Y$200), "", ROW('Temp Hisfa'!Y$3:Y$200)-MIN(ROW('Temp Hisfa'!Y$3:Y$200))+1), ROW(75:274))),"")</f>
        <v>0</v>
      </c>
      <c r="Z77" s="22">
        <f t="array" ref="Z77">IFERROR(INDEX('Temp Hisfa'!Z$3:Z$200, SMALL(IF(ISERROR('Temp Hisfa'!Z$3:Z$200), "", ROW('Temp Hisfa'!Z$3:Z$200)-MIN(ROW('Temp Hisfa'!Z$3:Z$200))+1), ROW(75:274))),"")</f>
        <v>0</v>
      </c>
      <c r="AA77" s="22">
        <f t="array" ref="AA77">IFERROR(INDEX('Temp Hisfa'!AA$3:AA$200, SMALL(IF(ISERROR('Temp Hisfa'!AA$3:AA$200), "", ROW('Temp Hisfa'!AA$3:AA$200)-MIN(ROW('Temp Hisfa'!AA$3:AA$200))+1), ROW(75:274))),"")</f>
        <v>0</v>
      </c>
      <c r="AB77" s="22">
        <f t="array" ref="AB77">IFERROR(INDEX('Temp Hisfa'!AB$3:AB$200, SMALL(IF(ISERROR('Temp Hisfa'!AB$3:AB$200), "", ROW('Temp Hisfa'!AB$3:AB$200)-MIN(ROW('Temp Hisfa'!AB$3:AB$200))+1), ROW(75:274))),"")</f>
        <v>0</v>
      </c>
    </row>
    <row r="78" spans="1:28" x14ac:dyDescent="0.3">
      <c r="A78" s="4">
        <f t="array" ref="A78">IFERROR(INDEX('Temp Hisfa'!A$3:A$200, SMALL(IF(ISERROR('Temp Hisfa'!A$3:A$200), "", ROW('Temp Hisfa'!A$3:A$200)-MIN(ROW('Temp Hisfa'!A$3:A$200))+1), ROW(76:274))),"")</f>
        <v>0</v>
      </c>
      <c r="B78" s="4">
        <f t="array" ref="B78">IFERROR(INDEX('Temp Hisfa'!B$3:B$200, SMALL(IF(ISERROR('Temp Hisfa'!B$3:B$200), "", ROW('Temp Hisfa'!B$3:B$200)-MIN(ROW('Temp Hisfa'!B$3:B$200))+1), ROW(76:274))),"")</f>
        <v>0</v>
      </c>
      <c r="C78" s="3">
        <f t="array" ref="C78">IFERROR(INDEX('Temp Hisfa'!C$3:C$200, SMALL(IF(ISERROR('Temp Hisfa'!C$3:C$200), "", ROW('Temp Hisfa'!C$3:C$200)-MIN(ROW('Temp Hisfa'!C$3:C$200))+1), ROW(76:274))),"")</f>
        <v>0</v>
      </c>
      <c r="D78" s="3">
        <f t="array" ref="D78">IFERROR(INDEX('Temp Hisfa'!D$3:D$200, SMALL(IF(ISERROR('Temp Hisfa'!D$3:D$200), "", ROW('Temp Hisfa'!D$3:D$200)-MIN(ROW('Temp Hisfa'!D$3:D$200))+1), ROW(76:274))),"")</f>
        <v>0</v>
      </c>
      <c r="E78" s="29">
        <f t="array" ref="E78">IFERROR(INDEX('Temp Hisfa'!E$3:E$200, SMALL(IF(ISERROR('Temp Hisfa'!E$3:E$200), "", ROW('Temp Hisfa'!E$3:E$200)-MIN(ROW('Temp Hisfa'!E$3:E$200))+1), ROW(76:275))),"")</f>
        <v>0</v>
      </c>
      <c r="F78" s="22">
        <f t="array" ref="F78">IFERROR(INDEX('Temp Hisfa'!F$3:F$200, SMALL(IF(ISERROR('Temp Hisfa'!F$3:F$200), "", ROW('Temp Hisfa'!F$3:F$200)-MIN(ROW('Temp Hisfa'!F$3:F$200))+1), ROW(76:275))),"")</f>
        <v>0</v>
      </c>
      <c r="G78" s="30">
        <f t="array" ref="G78">IFERROR(INDEX('Temp Hisfa'!G$3:G$200, SMALL(IF(ISERROR('Temp Hisfa'!G$3:G$200), "", ROW('Temp Hisfa'!G$3:G$200)-MIN(ROW('Temp Hisfa'!G$3:G$200))+1), ROW(76:275))),"")</f>
        <v>0</v>
      </c>
      <c r="H78" s="22">
        <f t="array" ref="H78">IFERROR(INDEX('Temp Hisfa'!H$3:H$200, SMALL(IF(ISERROR('Temp Hisfa'!H$3:H$200), "", ROW('Temp Hisfa'!H$3:H$200)-MIN(ROW('Temp Hisfa'!H$3:H$200))+1), ROW(76:275))),"")</f>
        <v>0</v>
      </c>
      <c r="I78" s="22">
        <f t="array" ref="I78">IFERROR(INDEX('Temp Hisfa'!I$3:I$200, SMALL(IF(ISERROR('Temp Hisfa'!I$3:I$200), "", ROW('Temp Hisfa'!I$3:I$200)-MIN(ROW('Temp Hisfa'!I$3:I$200))+1), ROW(76:275))),"")</f>
        <v>0</v>
      </c>
      <c r="J78" s="22">
        <f t="array" ref="J78">IFERROR(INDEX('Temp Hisfa'!J$3:J$200, SMALL(IF(ISERROR('Temp Hisfa'!J$3:J$200), "", ROW('Temp Hisfa'!J$3:J$200)-MIN(ROW('Temp Hisfa'!J$3:J$200))+1), ROW(76:275))),"")</f>
        <v>0</v>
      </c>
      <c r="K78" s="30">
        <f t="array" ref="K78">IFERROR(INDEX('Temp Hisfa'!K$3:K$200, SMALL(IF(ISERROR('Temp Hisfa'!K$3:K$200), "", ROW('Temp Hisfa'!K$3:K$200)-MIN(ROW('Temp Hisfa'!K$3:K$200))+1), ROW(76:275))),"")</f>
        <v>0</v>
      </c>
      <c r="L78" s="22">
        <f t="array" ref="L78">IFERROR(INDEX('Temp Hisfa'!L$3:L$200, SMALL(IF(ISERROR('Temp Hisfa'!L$3:L$200), "", ROW('Temp Hisfa'!L$3:L$200)-MIN(ROW('Temp Hisfa'!L$3:L$200))+1), ROW(76:275))),"")</f>
        <v>0</v>
      </c>
      <c r="M78" s="22">
        <f t="array" ref="M78">IFERROR(INDEX('Temp Hisfa'!M$3:M$200, SMALL(IF(ISERROR('Temp Hisfa'!M$3:M$200), "", ROW('Temp Hisfa'!M$3:M$200)-MIN(ROW('Temp Hisfa'!M$3:M$200))+1), ROW(76:275))),"")</f>
        <v>0</v>
      </c>
      <c r="N78" s="22">
        <f t="array" ref="N78">IFERROR(INDEX('Temp Hisfa'!N$3:N$200, SMALL(IF(ISERROR('Temp Hisfa'!N$3:N$200), "", ROW('Temp Hisfa'!N$3:N$200)-MIN(ROW('Temp Hisfa'!N$3:N$200))+1), ROW(76:275))),"")</f>
        <v>1900</v>
      </c>
      <c r="O78" s="22" t="str">
        <f t="array" ref="O78">IFERROR(INDEX('Temp Hisfa'!O$3:O$200, SMALL(IF(ISERROR('Temp Hisfa'!O$3:O$200), "", ROW('Temp Hisfa'!O$3:O$200)-MIN(ROW('Temp Hisfa'!O$3:O$200))+1), ROW(76:275))),"")</f>
        <v>enero</v>
      </c>
      <c r="P78" s="22">
        <f t="array" ref="P78">IFERROR(INDEX('Temp Hisfa'!P$3:P$200, SMALL(IF(ISERROR('Temp Hisfa'!P$3:P$200), "", ROW('Temp Hisfa'!P$3:P$200)-MIN(ROW('Temp Hisfa'!P$3:P$200))+1), ROW(76:275))),"")</f>
        <v>0</v>
      </c>
      <c r="Q78" s="22">
        <f t="array" ref="Q78">IFERROR(INDEX('Temp Hisfa'!Q$3:Q$200, SMALL(IF(ISERROR('Temp Hisfa'!Q$3:Q$200), "", ROW('Temp Hisfa'!Q$3:Q$200)-MIN(ROW('Temp Hisfa'!Q$3:Q$200))+1), ROW(76:275))),"")</f>
        <v>0</v>
      </c>
      <c r="R78" s="22">
        <f t="array" ref="R78">IFERROR(INDEX('Temp Hisfa'!R$3:R$200, SMALL(IF(ISERROR('Temp Hisfa'!R$3:R$200), "", ROW('Temp Hisfa'!R$3:R$200)-MIN(ROW('Temp Hisfa'!R$3:R$200))+1), ROW(76:275))),"")</f>
        <v>0</v>
      </c>
      <c r="S78" s="22">
        <f t="array" ref="S78">IFERROR(INDEX('Temp Hisfa'!S$3:S$200, SMALL(IF(ISERROR('Temp Hisfa'!S$3:S$200), "", ROW('Temp Hisfa'!S$3:S$200)-MIN(ROW('Temp Hisfa'!S$3:S$200))+1), ROW(76:275))),"")</f>
        <v>0</v>
      </c>
      <c r="T78" s="22">
        <f t="array" ref="T78">IFERROR(INDEX('Temp Hisfa'!T$3:T$200, SMALL(IF(ISERROR('Temp Hisfa'!T$3:T$200), "", ROW('Temp Hisfa'!T$3:T$200)-MIN(ROW('Temp Hisfa'!T$3:T$200))+1), ROW(76:275))),"")</f>
        <v>0</v>
      </c>
      <c r="U78" s="22">
        <f t="array" ref="U78">IFERROR(INDEX('Temp Hisfa'!U$3:U$200, SMALL(IF(ISERROR('Temp Hisfa'!U$3:U$200), "", ROW('Temp Hisfa'!U$3:U$200)-MIN(ROW('Temp Hisfa'!U$3:U$200))+1), ROW(76:275))),"")</f>
        <v>0</v>
      </c>
      <c r="V78" s="22">
        <f t="array" ref="V78">IFERROR(INDEX('Temp Hisfa'!V$3:V$200, SMALL(IF(ISERROR('Temp Hisfa'!V$3:V$200), "", ROW('Temp Hisfa'!V$3:V$200)-MIN(ROW('Temp Hisfa'!V$3:V$200))+1), ROW(76:275))),"")</f>
        <v>0</v>
      </c>
      <c r="W78" s="22">
        <f t="array" ref="W78">IFERROR(INDEX('Temp Hisfa'!W$3:W$200, SMALL(IF(ISERROR('Temp Hisfa'!W$3:W$200), "", ROW('Temp Hisfa'!W$3:W$200)-MIN(ROW('Temp Hisfa'!W$3:W$200))+1), ROW(76:275))),"")</f>
        <v>0</v>
      </c>
      <c r="X78" s="22">
        <f t="array" ref="X78">IFERROR(INDEX('Temp Hisfa'!X$3:X$200, SMALL(IF(ISERROR('Temp Hisfa'!X$3:X$200), "", ROW('Temp Hisfa'!X$3:X$200)-MIN(ROW('Temp Hisfa'!X$3:X$200))+1), ROW(76:275))),"")</f>
        <v>0</v>
      </c>
      <c r="Y78" s="22">
        <f t="array" ref="Y78">IFERROR(INDEX('Temp Hisfa'!Y$3:Y$200, SMALL(IF(ISERROR('Temp Hisfa'!Y$3:Y$200), "", ROW('Temp Hisfa'!Y$3:Y$200)-MIN(ROW('Temp Hisfa'!Y$3:Y$200))+1), ROW(76:275))),"")</f>
        <v>0</v>
      </c>
      <c r="Z78" s="22">
        <f t="array" ref="Z78">IFERROR(INDEX('Temp Hisfa'!Z$3:Z$200, SMALL(IF(ISERROR('Temp Hisfa'!Z$3:Z$200), "", ROW('Temp Hisfa'!Z$3:Z$200)-MIN(ROW('Temp Hisfa'!Z$3:Z$200))+1), ROW(76:275))),"")</f>
        <v>0</v>
      </c>
      <c r="AA78" s="22">
        <f t="array" ref="AA78">IFERROR(INDEX('Temp Hisfa'!AA$3:AA$200, SMALL(IF(ISERROR('Temp Hisfa'!AA$3:AA$200), "", ROW('Temp Hisfa'!AA$3:AA$200)-MIN(ROW('Temp Hisfa'!AA$3:AA$200))+1), ROW(76:275))),"")</f>
        <v>0</v>
      </c>
      <c r="AB78" s="22">
        <f t="array" ref="AB78">IFERROR(INDEX('Temp Hisfa'!AB$3:AB$200, SMALL(IF(ISERROR('Temp Hisfa'!AB$3:AB$200), "", ROW('Temp Hisfa'!AB$3:AB$200)-MIN(ROW('Temp Hisfa'!AB$3:AB$200))+1), ROW(76:275))),"")</f>
        <v>0</v>
      </c>
    </row>
    <row r="79" spans="1:28" x14ac:dyDescent="0.3">
      <c r="A79" s="4">
        <f t="array" ref="A79">IFERROR(INDEX('Temp Hisfa'!A$3:A$200, SMALL(IF(ISERROR('Temp Hisfa'!A$3:A$200), "", ROW('Temp Hisfa'!A$3:A$200)-MIN(ROW('Temp Hisfa'!A$3:A$200))+1), ROW(77:275))),"")</f>
        <v>0</v>
      </c>
      <c r="B79" s="4">
        <f t="array" ref="B79">IFERROR(INDEX('Temp Hisfa'!B$3:B$200, SMALL(IF(ISERROR('Temp Hisfa'!B$3:B$200), "", ROW('Temp Hisfa'!B$3:B$200)-MIN(ROW('Temp Hisfa'!B$3:B$200))+1), ROW(77:275))),"")</f>
        <v>0</v>
      </c>
      <c r="C79" s="3">
        <f t="array" ref="C79">IFERROR(INDEX('Temp Hisfa'!C$3:C$200, SMALL(IF(ISERROR('Temp Hisfa'!C$3:C$200), "", ROW('Temp Hisfa'!C$3:C$200)-MIN(ROW('Temp Hisfa'!C$3:C$200))+1), ROW(77:275))),"")</f>
        <v>0</v>
      </c>
      <c r="D79" s="3">
        <f t="array" ref="D79">IFERROR(INDEX('Temp Hisfa'!D$3:D$200, SMALL(IF(ISERROR('Temp Hisfa'!D$3:D$200), "", ROW('Temp Hisfa'!D$3:D$200)-MIN(ROW('Temp Hisfa'!D$3:D$200))+1), ROW(77:275))),"")</f>
        <v>0</v>
      </c>
      <c r="E79" s="29">
        <f t="array" ref="E79">IFERROR(INDEX('Temp Hisfa'!E$3:E$200, SMALL(IF(ISERROR('Temp Hisfa'!E$3:E$200), "", ROW('Temp Hisfa'!E$3:E$200)-MIN(ROW('Temp Hisfa'!E$3:E$200))+1), ROW(77:276))),"")</f>
        <v>0</v>
      </c>
      <c r="F79" s="22">
        <f t="array" ref="F79">IFERROR(INDEX('Temp Hisfa'!F$3:F$200, SMALL(IF(ISERROR('Temp Hisfa'!F$3:F$200), "", ROW('Temp Hisfa'!F$3:F$200)-MIN(ROW('Temp Hisfa'!F$3:F$200))+1), ROW(77:276))),"")</f>
        <v>0</v>
      </c>
      <c r="G79" s="30">
        <f t="array" ref="G79">IFERROR(INDEX('Temp Hisfa'!G$3:G$200, SMALL(IF(ISERROR('Temp Hisfa'!G$3:G$200), "", ROW('Temp Hisfa'!G$3:G$200)-MIN(ROW('Temp Hisfa'!G$3:G$200))+1), ROW(77:276))),"")</f>
        <v>0</v>
      </c>
      <c r="H79" s="22">
        <f t="array" ref="H79">IFERROR(INDEX('Temp Hisfa'!H$3:H$200, SMALL(IF(ISERROR('Temp Hisfa'!H$3:H$200), "", ROW('Temp Hisfa'!H$3:H$200)-MIN(ROW('Temp Hisfa'!H$3:H$200))+1), ROW(77:276))),"")</f>
        <v>0</v>
      </c>
      <c r="I79" s="22">
        <f t="array" ref="I79">IFERROR(INDEX('Temp Hisfa'!I$3:I$200, SMALL(IF(ISERROR('Temp Hisfa'!I$3:I$200), "", ROW('Temp Hisfa'!I$3:I$200)-MIN(ROW('Temp Hisfa'!I$3:I$200))+1), ROW(77:276))),"")</f>
        <v>0</v>
      </c>
      <c r="J79" s="22">
        <f t="array" ref="J79">IFERROR(INDEX('Temp Hisfa'!J$3:J$200, SMALL(IF(ISERROR('Temp Hisfa'!J$3:J$200), "", ROW('Temp Hisfa'!J$3:J$200)-MIN(ROW('Temp Hisfa'!J$3:J$200))+1), ROW(77:276))),"")</f>
        <v>0</v>
      </c>
      <c r="K79" s="30">
        <f t="array" ref="K79">IFERROR(INDEX('Temp Hisfa'!K$3:K$200, SMALL(IF(ISERROR('Temp Hisfa'!K$3:K$200), "", ROW('Temp Hisfa'!K$3:K$200)-MIN(ROW('Temp Hisfa'!K$3:K$200))+1), ROW(77:276))),"")</f>
        <v>0</v>
      </c>
      <c r="L79" s="22">
        <f t="array" ref="L79">IFERROR(INDEX('Temp Hisfa'!L$3:L$200, SMALL(IF(ISERROR('Temp Hisfa'!L$3:L$200), "", ROW('Temp Hisfa'!L$3:L$200)-MIN(ROW('Temp Hisfa'!L$3:L$200))+1), ROW(77:276))),"")</f>
        <v>0</v>
      </c>
      <c r="M79" s="22">
        <f t="array" ref="M79">IFERROR(INDEX('Temp Hisfa'!M$3:M$200, SMALL(IF(ISERROR('Temp Hisfa'!M$3:M$200), "", ROW('Temp Hisfa'!M$3:M$200)-MIN(ROW('Temp Hisfa'!M$3:M$200))+1), ROW(77:276))),"")</f>
        <v>0</v>
      </c>
      <c r="N79" s="22">
        <f t="array" ref="N79">IFERROR(INDEX('Temp Hisfa'!N$3:N$200, SMALL(IF(ISERROR('Temp Hisfa'!N$3:N$200), "", ROW('Temp Hisfa'!N$3:N$200)-MIN(ROW('Temp Hisfa'!N$3:N$200))+1), ROW(77:276))),"")</f>
        <v>1900</v>
      </c>
      <c r="O79" s="22" t="str">
        <f t="array" ref="O79">IFERROR(INDEX('Temp Hisfa'!O$3:O$200, SMALL(IF(ISERROR('Temp Hisfa'!O$3:O$200), "", ROW('Temp Hisfa'!O$3:O$200)-MIN(ROW('Temp Hisfa'!O$3:O$200))+1), ROW(77:276))),"")</f>
        <v>enero</v>
      </c>
      <c r="P79" s="22">
        <f t="array" ref="P79">IFERROR(INDEX('Temp Hisfa'!P$3:P$200, SMALL(IF(ISERROR('Temp Hisfa'!P$3:P$200), "", ROW('Temp Hisfa'!P$3:P$200)-MIN(ROW('Temp Hisfa'!P$3:P$200))+1), ROW(77:276))),"")</f>
        <v>0</v>
      </c>
      <c r="Q79" s="22">
        <f t="array" ref="Q79">IFERROR(INDEX('Temp Hisfa'!Q$3:Q$200, SMALL(IF(ISERROR('Temp Hisfa'!Q$3:Q$200), "", ROW('Temp Hisfa'!Q$3:Q$200)-MIN(ROW('Temp Hisfa'!Q$3:Q$200))+1), ROW(77:276))),"")</f>
        <v>0</v>
      </c>
      <c r="R79" s="22">
        <f t="array" ref="R79">IFERROR(INDEX('Temp Hisfa'!R$3:R$200, SMALL(IF(ISERROR('Temp Hisfa'!R$3:R$200), "", ROW('Temp Hisfa'!R$3:R$200)-MIN(ROW('Temp Hisfa'!R$3:R$200))+1), ROW(77:276))),"")</f>
        <v>0</v>
      </c>
      <c r="S79" s="22">
        <f t="array" ref="S79">IFERROR(INDEX('Temp Hisfa'!S$3:S$200, SMALL(IF(ISERROR('Temp Hisfa'!S$3:S$200), "", ROW('Temp Hisfa'!S$3:S$200)-MIN(ROW('Temp Hisfa'!S$3:S$200))+1), ROW(77:276))),"")</f>
        <v>0</v>
      </c>
      <c r="T79" s="22">
        <f t="array" ref="T79">IFERROR(INDEX('Temp Hisfa'!T$3:T$200, SMALL(IF(ISERROR('Temp Hisfa'!T$3:T$200), "", ROW('Temp Hisfa'!T$3:T$200)-MIN(ROW('Temp Hisfa'!T$3:T$200))+1), ROW(77:276))),"")</f>
        <v>0</v>
      </c>
      <c r="U79" s="22">
        <f t="array" ref="U79">IFERROR(INDEX('Temp Hisfa'!U$3:U$200, SMALL(IF(ISERROR('Temp Hisfa'!U$3:U$200), "", ROW('Temp Hisfa'!U$3:U$200)-MIN(ROW('Temp Hisfa'!U$3:U$200))+1), ROW(77:276))),"")</f>
        <v>0</v>
      </c>
      <c r="V79" s="22">
        <f t="array" ref="V79">IFERROR(INDEX('Temp Hisfa'!V$3:V$200, SMALL(IF(ISERROR('Temp Hisfa'!V$3:V$200), "", ROW('Temp Hisfa'!V$3:V$200)-MIN(ROW('Temp Hisfa'!V$3:V$200))+1), ROW(77:276))),"")</f>
        <v>0</v>
      </c>
      <c r="W79" s="22">
        <f t="array" ref="W79">IFERROR(INDEX('Temp Hisfa'!W$3:W$200, SMALL(IF(ISERROR('Temp Hisfa'!W$3:W$200), "", ROW('Temp Hisfa'!W$3:W$200)-MIN(ROW('Temp Hisfa'!W$3:W$200))+1), ROW(77:276))),"")</f>
        <v>0</v>
      </c>
      <c r="X79" s="22">
        <f t="array" ref="X79">IFERROR(INDEX('Temp Hisfa'!X$3:X$200, SMALL(IF(ISERROR('Temp Hisfa'!X$3:X$200), "", ROW('Temp Hisfa'!X$3:X$200)-MIN(ROW('Temp Hisfa'!X$3:X$200))+1), ROW(77:276))),"")</f>
        <v>0</v>
      </c>
      <c r="Y79" s="22">
        <f t="array" ref="Y79">IFERROR(INDEX('Temp Hisfa'!Y$3:Y$200, SMALL(IF(ISERROR('Temp Hisfa'!Y$3:Y$200), "", ROW('Temp Hisfa'!Y$3:Y$200)-MIN(ROW('Temp Hisfa'!Y$3:Y$200))+1), ROW(77:276))),"")</f>
        <v>0</v>
      </c>
      <c r="Z79" s="22">
        <f t="array" ref="Z79">IFERROR(INDEX('Temp Hisfa'!Z$3:Z$200, SMALL(IF(ISERROR('Temp Hisfa'!Z$3:Z$200), "", ROW('Temp Hisfa'!Z$3:Z$200)-MIN(ROW('Temp Hisfa'!Z$3:Z$200))+1), ROW(77:276))),"")</f>
        <v>0</v>
      </c>
      <c r="AA79" s="22">
        <f t="array" ref="AA79">IFERROR(INDEX('Temp Hisfa'!AA$3:AA$200, SMALL(IF(ISERROR('Temp Hisfa'!AA$3:AA$200), "", ROW('Temp Hisfa'!AA$3:AA$200)-MIN(ROW('Temp Hisfa'!AA$3:AA$200))+1), ROW(77:276))),"")</f>
        <v>0</v>
      </c>
      <c r="AB79" s="22">
        <f t="array" ref="AB79">IFERROR(INDEX('Temp Hisfa'!AB$3:AB$200, SMALL(IF(ISERROR('Temp Hisfa'!AB$3:AB$200), "", ROW('Temp Hisfa'!AB$3:AB$200)-MIN(ROW('Temp Hisfa'!AB$3:AB$200))+1), ROW(77:276))),"")</f>
        <v>0</v>
      </c>
    </row>
    <row r="80" spans="1:28" x14ac:dyDescent="0.3">
      <c r="A80" s="4">
        <f t="array" ref="A80">IFERROR(INDEX('Temp Hisfa'!A$3:A$200, SMALL(IF(ISERROR('Temp Hisfa'!A$3:A$200), "", ROW('Temp Hisfa'!A$3:A$200)-MIN(ROW('Temp Hisfa'!A$3:A$200))+1), ROW(78:276))),"")</f>
        <v>0</v>
      </c>
      <c r="B80" s="4">
        <f t="array" ref="B80">IFERROR(INDEX('Temp Hisfa'!B$3:B$200, SMALL(IF(ISERROR('Temp Hisfa'!B$3:B$200), "", ROW('Temp Hisfa'!B$3:B$200)-MIN(ROW('Temp Hisfa'!B$3:B$200))+1), ROW(78:276))),"")</f>
        <v>0</v>
      </c>
      <c r="C80" s="3">
        <f t="array" ref="C80">IFERROR(INDEX('Temp Hisfa'!C$3:C$200, SMALL(IF(ISERROR('Temp Hisfa'!C$3:C$200), "", ROW('Temp Hisfa'!C$3:C$200)-MIN(ROW('Temp Hisfa'!C$3:C$200))+1), ROW(78:276))),"")</f>
        <v>0</v>
      </c>
      <c r="D80" s="3">
        <f t="array" ref="D80">IFERROR(INDEX('Temp Hisfa'!D$3:D$200, SMALL(IF(ISERROR('Temp Hisfa'!D$3:D$200), "", ROW('Temp Hisfa'!D$3:D$200)-MIN(ROW('Temp Hisfa'!D$3:D$200))+1), ROW(78:276))),"")</f>
        <v>0</v>
      </c>
      <c r="E80" s="29">
        <f t="array" ref="E80">IFERROR(INDEX('Temp Hisfa'!E$3:E$200, SMALL(IF(ISERROR('Temp Hisfa'!E$3:E$200), "", ROW('Temp Hisfa'!E$3:E$200)-MIN(ROW('Temp Hisfa'!E$3:E$200))+1), ROW(78:277))),"")</f>
        <v>0</v>
      </c>
      <c r="F80" s="22">
        <f t="array" ref="F80">IFERROR(INDEX('Temp Hisfa'!F$3:F$200, SMALL(IF(ISERROR('Temp Hisfa'!F$3:F$200), "", ROW('Temp Hisfa'!F$3:F$200)-MIN(ROW('Temp Hisfa'!F$3:F$200))+1), ROW(78:277))),"")</f>
        <v>0</v>
      </c>
      <c r="G80" s="30">
        <f t="array" ref="G80">IFERROR(INDEX('Temp Hisfa'!G$3:G$200, SMALL(IF(ISERROR('Temp Hisfa'!G$3:G$200), "", ROW('Temp Hisfa'!G$3:G$200)-MIN(ROW('Temp Hisfa'!G$3:G$200))+1), ROW(78:277))),"")</f>
        <v>0</v>
      </c>
      <c r="H80" s="22">
        <f t="array" ref="H80">IFERROR(INDEX('Temp Hisfa'!H$3:H$200, SMALL(IF(ISERROR('Temp Hisfa'!H$3:H$200), "", ROW('Temp Hisfa'!H$3:H$200)-MIN(ROW('Temp Hisfa'!H$3:H$200))+1), ROW(78:277))),"")</f>
        <v>0</v>
      </c>
      <c r="I80" s="22">
        <f t="array" ref="I80">IFERROR(INDEX('Temp Hisfa'!I$3:I$200, SMALL(IF(ISERROR('Temp Hisfa'!I$3:I$200), "", ROW('Temp Hisfa'!I$3:I$200)-MIN(ROW('Temp Hisfa'!I$3:I$200))+1), ROW(78:277))),"")</f>
        <v>0</v>
      </c>
      <c r="J80" s="22">
        <f t="array" ref="J80">IFERROR(INDEX('Temp Hisfa'!J$3:J$200, SMALL(IF(ISERROR('Temp Hisfa'!J$3:J$200), "", ROW('Temp Hisfa'!J$3:J$200)-MIN(ROW('Temp Hisfa'!J$3:J$200))+1), ROW(78:277))),"")</f>
        <v>0</v>
      </c>
      <c r="K80" s="30">
        <f t="array" ref="K80">IFERROR(INDEX('Temp Hisfa'!K$3:K$200, SMALL(IF(ISERROR('Temp Hisfa'!K$3:K$200), "", ROW('Temp Hisfa'!K$3:K$200)-MIN(ROW('Temp Hisfa'!K$3:K$200))+1), ROW(78:277))),"")</f>
        <v>0</v>
      </c>
      <c r="L80" s="22">
        <f t="array" ref="L80">IFERROR(INDEX('Temp Hisfa'!L$3:L$200, SMALL(IF(ISERROR('Temp Hisfa'!L$3:L$200), "", ROW('Temp Hisfa'!L$3:L$200)-MIN(ROW('Temp Hisfa'!L$3:L$200))+1), ROW(78:277))),"")</f>
        <v>0</v>
      </c>
      <c r="M80" s="22">
        <f t="array" ref="M80">IFERROR(INDEX('Temp Hisfa'!M$3:M$200, SMALL(IF(ISERROR('Temp Hisfa'!M$3:M$200), "", ROW('Temp Hisfa'!M$3:M$200)-MIN(ROW('Temp Hisfa'!M$3:M$200))+1), ROW(78:277))),"")</f>
        <v>0</v>
      </c>
      <c r="N80" s="22">
        <f t="array" ref="N80">IFERROR(INDEX('Temp Hisfa'!N$3:N$200, SMALL(IF(ISERROR('Temp Hisfa'!N$3:N$200), "", ROW('Temp Hisfa'!N$3:N$200)-MIN(ROW('Temp Hisfa'!N$3:N$200))+1), ROW(78:277))),"")</f>
        <v>1900</v>
      </c>
      <c r="O80" s="22" t="str">
        <f t="array" ref="O80">IFERROR(INDEX('Temp Hisfa'!O$3:O$200, SMALL(IF(ISERROR('Temp Hisfa'!O$3:O$200), "", ROW('Temp Hisfa'!O$3:O$200)-MIN(ROW('Temp Hisfa'!O$3:O$200))+1), ROW(78:277))),"")</f>
        <v>enero</v>
      </c>
      <c r="P80" s="22">
        <f t="array" ref="P80">IFERROR(INDEX('Temp Hisfa'!P$3:P$200, SMALL(IF(ISERROR('Temp Hisfa'!P$3:P$200), "", ROW('Temp Hisfa'!P$3:P$200)-MIN(ROW('Temp Hisfa'!P$3:P$200))+1), ROW(78:277))),"")</f>
        <v>0</v>
      </c>
      <c r="Q80" s="22">
        <f t="array" ref="Q80">IFERROR(INDEX('Temp Hisfa'!Q$3:Q$200, SMALL(IF(ISERROR('Temp Hisfa'!Q$3:Q$200), "", ROW('Temp Hisfa'!Q$3:Q$200)-MIN(ROW('Temp Hisfa'!Q$3:Q$200))+1), ROW(78:277))),"")</f>
        <v>0</v>
      </c>
      <c r="R80" s="22">
        <f t="array" ref="R80">IFERROR(INDEX('Temp Hisfa'!R$3:R$200, SMALL(IF(ISERROR('Temp Hisfa'!R$3:R$200), "", ROW('Temp Hisfa'!R$3:R$200)-MIN(ROW('Temp Hisfa'!R$3:R$200))+1), ROW(78:277))),"")</f>
        <v>0</v>
      </c>
      <c r="S80" s="22">
        <f t="array" ref="S80">IFERROR(INDEX('Temp Hisfa'!S$3:S$200, SMALL(IF(ISERROR('Temp Hisfa'!S$3:S$200), "", ROW('Temp Hisfa'!S$3:S$200)-MIN(ROW('Temp Hisfa'!S$3:S$200))+1), ROW(78:277))),"")</f>
        <v>0</v>
      </c>
      <c r="T80" s="22">
        <f t="array" ref="T80">IFERROR(INDEX('Temp Hisfa'!T$3:T$200, SMALL(IF(ISERROR('Temp Hisfa'!T$3:T$200), "", ROW('Temp Hisfa'!T$3:T$200)-MIN(ROW('Temp Hisfa'!T$3:T$200))+1), ROW(78:277))),"")</f>
        <v>0</v>
      </c>
      <c r="U80" s="22">
        <f t="array" ref="U80">IFERROR(INDEX('Temp Hisfa'!U$3:U$200, SMALL(IF(ISERROR('Temp Hisfa'!U$3:U$200), "", ROW('Temp Hisfa'!U$3:U$200)-MIN(ROW('Temp Hisfa'!U$3:U$200))+1), ROW(78:277))),"")</f>
        <v>0</v>
      </c>
      <c r="V80" s="22">
        <f t="array" ref="V80">IFERROR(INDEX('Temp Hisfa'!V$3:V$200, SMALL(IF(ISERROR('Temp Hisfa'!V$3:V$200), "", ROW('Temp Hisfa'!V$3:V$200)-MIN(ROW('Temp Hisfa'!V$3:V$200))+1), ROW(78:277))),"")</f>
        <v>0</v>
      </c>
      <c r="W80" s="22">
        <f t="array" ref="W80">IFERROR(INDEX('Temp Hisfa'!W$3:W$200, SMALL(IF(ISERROR('Temp Hisfa'!W$3:W$200), "", ROW('Temp Hisfa'!W$3:W$200)-MIN(ROW('Temp Hisfa'!W$3:W$200))+1), ROW(78:277))),"")</f>
        <v>0</v>
      </c>
      <c r="X80" s="22">
        <f t="array" ref="X80">IFERROR(INDEX('Temp Hisfa'!X$3:X$200, SMALL(IF(ISERROR('Temp Hisfa'!X$3:X$200), "", ROW('Temp Hisfa'!X$3:X$200)-MIN(ROW('Temp Hisfa'!X$3:X$200))+1), ROW(78:277))),"")</f>
        <v>0</v>
      </c>
      <c r="Y80" s="22">
        <f t="array" ref="Y80">IFERROR(INDEX('Temp Hisfa'!Y$3:Y$200, SMALL(IF(ISERROR('Temp Hisfa'!Y$3:Y$200), "", ROW('Temp Hisfa'!Y$3:Y$200)-MIN(ROW('Temp Hisfa'!Y$3:Y$200))+1), ROW(78:277))),"")</f>
        <v>0</v>
      </c>
      <c r="Z80" s="22">
        <f t="array" ref="Z80">IFERROR(INDEX('Temp Hisfa'!Z$3:Z$200, SMALL(IF(ISERROR('Temp Hisfa'!Z$3:Z$200), "", ROW('Temp Hisfa'!Z$3:Z$200)-MIN(ROW('Temp Hisfa'!Z$3:Z$200))+1), ROW(78:277))),"")</f>
        <v>0</v>
      </c>
      <c r="AA80" s="22">
        <f t="array" ref="AA80">IFERROR(INDEX('Temp Hisfa'!AA$3:AA$200, SMALL(IF(ISERROR('Temp Hisfa'!AA$3:AA$200), "", ROW('Temp Hisfa'!AA$3:AA$200)-MIN(ROW('Temp Hisfa'!AA$3:AA$200))+1), ROW(78:277))),"")</f>
        <v>0</v>
      </c>
      <c r="AB80" s="22">
        <f t="array" ref="AB80">IFERROR(INDEX('Temp Hisfa'!AB$3:AB$200, SMALL(IF(ISERROR('Temp Hisfa'!AB$3:AB$200), "", ROW('Temp Hisfa'!AB$3:AB$200)-MIN(ROW('Temp Hisfa'!AB$3:AB$200))+1), ROW(78:277))),"")</f>
        <v>0</v>
      </c>
    </row>
    <row r="81" spans="1:28" x14ac:dyDescent="0.3">
      <c r="A81" s="4">
        <f t="array" ref="A81">IFERROR(INDEX('Temp Hisfa'!A$3:A$200, SMALL(IF(ISERROR('Temp Hisfa'!A$3:A$200), "", ROW('Temp Hisfa'!A$3:A$200)-MIN(ROW('Temp Hisfa'!A$3:A$200))+1), ROW(79:277))),"")</f>
        <v>0</v>
      </c>
      <c r="B81" s="4">
        <f t="array" ref="B81">IFERROR(INDEX('Temp Hisfa'!B$3:B$200, SMALL(IF(ISERROR('Temp Hisfa'!B$3:B$200), "", ROW('Temp Hisfa'!B$3:B$200)-MIN(ROW('Temp Hisfa'!B$3:B$200))+1), ROW(79:277))),"")</f>
        <v>0</v>
      </c>
      <c r="C81" s="3">
        <f t="array" ref="C81">IFERROR(INDEX('Temp Hisfa'!C$3:C$200, SMALL(IF(ISERROR('Temp Hisfa'!C$3:C$200), "", ROW('Temp Hisfa'!C$3:C$200)-MIN(ROW('Temp Hisfa'!C$3:C$200))+1), ROW(79:277))),"")</f>
        <v>0</v>
      </c>
      <c r="D81" s="3">
        <f t="array" ref="D81">IFERROR(INDEX('Temp Hisfa'!D$3:D$200, SMALL(IF(ISERROR('Temp Hisfa'!D$3:D$200), "", ROW('Temp Hisfa'!D$3:D$200)-MIN(ROW('Temp Hisfa'!D$3:D$200))+1), ROW(79:277))),"")</f>
        <v>0</v>
      </c>
      <c r="E81" s="29">
        <f t="array" ref="E81">IFERROR(INDEX('Temp Hisfa'!E$3:E$200, SMALL(IF(ISERROR('Temp Hisfa'!E$3:E$200), "", ROW('Temp Hisfa'!E$3:E$200)-MIN(ROW('Temp Hisfa'!E$3:E$200))+1), ROW(79:278))),"")</f>
        <v>0</v>
      </c>
      <c r="F81" s="22">
        <f t="array" ref="F81">IFERROR(INDEX('Temp Hisfa'!F$3:F$200, SMALL(IF(ISERROR('Temp Hisfa'!F$3:F$200), "", ROW('Temp Hisfa'!F$3:F$200)-MIN(ROW('Temp Hisfa'!F$3:F$200))+1), ROW(79:278))),"")</f>
        <v>0</v>
      </c>
      <c r="G81" s="30">
        <f t="array" ref="G81">IFERROR(INDEX('Temp Hisfa'!G$3:G$200, SMALL(IF(ISERROR('Temp Hisfa'!G$3:G$200), "", ROW('Temp Hisfa'!G$3:G$200)-MIN(ROW('Temp Hisfa'!G$3:G$200))+1), ROW(79:278))),"")</f>
        <v>0</v>
      </c>
      <c r="H81" s="22">
        <f t="array" ref="H81">IFERROR(INDEX('Temp Hisfa'!H$3:H$200, SMALL(IF(ISERROR('Temp Hisfa'!H$3:H$200), "", ROW('Temp Hisfa'!H$3:H$200)-MIN(ROW('Temp Hisfa'!H$3:H$200))+1), ROW(79:278))),"")</f>
        <v>0</v>
      </c>
      <c r="I81" s="22">
        <f t="array" ref="I81">IFERROR(INDEX('Temp Hisfa'!I$3:I$200, SMALL(IF(ISERROR('Temp Hisfa'!I$3:I$200), "", ROW('Temp Hisfa'!I$3:I$200)-MIN(ROW('Temp Hisfa'!I$3:I$200))+1), ROW(79:278))),"")</f>
        <v>0</v>
      </c>
      <c r="J81" s="22">
        <f t="array" ref="J81">IFERROR(INDEX('Temp Hisfa'!J$3:J$200, SMALL(IF(ISERROR('Temp Hisfa'!J$3:J$200), "", ROW('Temp Hisfa'!J$3:J$200)-MIN(ROW('Temp Hisfa'!J$3:J$200))+1), ROW(79:278))),"")</f>
        <v>0</v>
      </c>
      <c r="K81" s="30">
        <f t="array" ref="K81">IFERROR(INDEX('Temp Hisfa'!K$3:K$200, SMALL(IF(ISERROR('Temp Hisfa'!K$3:K$200), "", ROW('Temp Hisfa'!K$3:K$200)-MIN(ROW('Temp Hisfa'!K$3:K$200))+1), ROW(79:278))),"")</f>
        <v>0</v>
      </c>
      <c r="L81" s="22">
        <f t="array" ref="L81">IFERROR(INDEX('Temp Hisfa'!L$3:L$200, SMALL(IF(ISERROR('Temp Hisfa'!L$3:L$200), "", ROW('Temp Hisfa'!L$3:L$200)-MIN(ROW('Temp Hisfa'!L$3:L$200))+1), ROW(79:278))),"")</f>
        <v>0</v>
      </c>
      <c r="M81" s="22">
        <f t="array" ref="M81">IFERROR(INDEX('Temp Hisfa'!M$3:M$200, SMALL(IF(ISERROR('Temp Hisfa'!M$3:M$200), "", ROW('Temp Hisfa'!M$3:M$200)-MIN(ROW('Temp Hisfa'!M$3:M$200))+1), ROW(79:278))),"")</f>
        <v>0</v>
      </c>
      <c r="N81" s="22">
        <f t="array" ref="N81">IFERROR(INDEX('Temp Hisfa'!N$3:N$200, SMALL(IF(ISERROR('Temp Hisfa'!N$3:N$200), "", ROW('Temp Hisfa'!N$3:N$200)-MIN(ROW('Temp Hisfa'!N$3:N$200))+1), ROW(79:278))),"")</f>
        <v>1900</v>
      </c>
      <c r="O81" s="22" t="str">
        <f t="array" ref="O81">IFERROR(INDEX('Temp Hisfa'!O$3:O$200, SMALL(IF(ISERROR('Temp Hisfa'!O$3:O$200), "", ROW('Temp Hisfa'!O$3:O$200)-MIN(ROW('Temp Hisfa'!O$3:O$200))+1), ROW(79:278))),"")</f>
        <v>enero</v>
      </c>
      <c r="P81" s="22">
        <f t="array" ref="P81">IFERROR(INDEX('Temp Hisfa'!P$3:P$200, SMALL(IF(ISERROR('Temp Hisfa'!P$3:P$200), "", ROW('Temp Hisfa'!P$3:P$200)-MIN(ROW('Temp Hisfa'!P$3:P$200))+1), ROW(79:278))),"")</f>
        <v>0</v>
      </c>
      <c r="Q81" s="22">
        <f t="array" ref="Q81">IFERROR(INDEX('Temp Hisfa'!Q$3:Q$200, SMALL(IF(ISERROR('Temp Hisfa'!Q$3:Q$200), "", ROW('Temp Hisfa'!Q$3:Q$200)-MIN(ROW('Temp Hisfa'!Q$3:Q$200))+1), ROW(79:278))),"")</f>
        <v>0</v>
      </c>
      <c r="R81" s="22">
        <f t="array" ref="R81">IFERROR(INDEX('Temp Hisfa'!R$3:R$200, SMALL(IF(ISERROR('Temp Hisfa'!R$3:R$200), "", ROW('Temp Hisfa'!R$3:R$200)-MIN(ROW('Temp Hisfa'!R$3:R$200))+1), ROW(79:278))),"")</f>
        <v>0</v>
      </c>
      <c r="S81" s="22">
        <f t="array" ref="S81">IFERROR(INDEX('Temp Hisfa'!S$3:S$200, SMALL(IF(ISERROR('Temp Hisfa'!S$3:S$200), "", ROW('Temp Hisfa'!S$3:S$200)-MIN(ROW('Temp Hisfa'!S$3:S$200))+1), ROW(79:278))),"")</f>
        <v>0</v>
      </c>
      <c r="T81" s="22">
        <f t="array" ref="T81">IFERROR(INDEX('Temp Hisfa'!T$3:T$200, SMALL(IF(ISERROR('Temp Hisfa'!T$3:T$200), "", ROW('Temp Hisfa'!T$3:T$200)-MIN(ROW('Temp Hisfa'!T$3:T$200))+1), ROW(79:278))),"")</f>
        <v>0</v>
      </c>
      <c r="U81" s="22">
        <f t="array" ref="U81">IFERROR(INDEX('Temp Hisfa'!U$3:U$200, SMALL(IF(ISERROR('Temp Hisfa'!U$3:U$200), "", ROW('Temp Hisfa'!U$3:U$200)-MIN(ROW('Temp Hisfa'!U$3:U$200))+1), ROW(79:278))),"")</f>
        <v>0</v>
      </c>
      <c r="V81" s="22">
        <f t="array" ref="V81">IFERROR(INDEX('Temp Hisfa'!V$3:V$200, SMALL(IF(ISERROR('Temp Hisfa'!V$3:V$200), "", ROW('Temp Hisfa'!V$3:V$200)-MIN(ROW('Temp Hisfa'!V$3:V$200))+1), ROW(79:278))),"")</f>
        <v>0</v>
      </c>
      <c r="W81" s="22">
        <f t="array" ref="W81">IFERROR(INDEX('Temp Hisfa'!W$3:W$200, SMALL(IF(ISERROR('Temp Hisfa'!W$3:W$200), "", ROW('Temp Hisfa'!W$3:W$200)-MIN(ROW('Temp Hisfa'!W$3:W$200))+1), ROW(79:278))),"")</f>
        <v>0</v>
      </c>
      <c r="X81" s="22">
        <f t="array" ref="X81">IFERROR(INDEX('Temp Hisfa'!X$3:X$200, SMALL(IF(ISERROR('Temp Hisfa'!X$3:X$200), "", ROW('Temp Hisfa'!X$3:X$200)-MIN(ROW('Temp Hisfa'!X$3:X$200))+1), ROW(79:278))),"")</f>
        <v>0</v>
      </c>
      <c r="Y81" s="22">
        <f t="array" ref="Y81">IFERROR(INDEX('Temp Hisfa'!Y$3:Y$200, SMALL(IF(ISERROR('Temp Hisfa'!Y$3:Y$200), "", ROW('Temp Hisfa'!Y$3:Y$200)-MIN(ROW('Temp Hisfa'!Y$3:Y$200))+1), ROW(79:278))),"")</f>
        <v>0</v>
      </c>
      <c r="Z81" s="22">
        <f t="array" ref="Z81">IFERROR(INDEX('Temp Hisfa'!Z$3:Z$200, SMALL(IF(ISERROR('Temp Hisfa'!Z$3:Z$200), "", ROW('Temp Hisfa'!Z$3:Z$200)-MIN(ROW('Temp Hisfa'!Z$3:Z$200))+1), ROW(79:278))),"")</f>
        <v>0</v>
      </c>
      <c r="AA81" s="22">
        <f t="array" ref="AA81">IFERROR(INDEX('Temp Hisfa'!AA$3:AA$200, SMALL(IF(ISERROR('Temp Hisfa'!AA$3:AA$200), "", ROW('Temp Hisfa'!AA$3:AA$200)-MIN(ROW('Temp Hisfa'!AA$3:AA$200))+1), ROW(79:278))),"")</f>
        <v>0</v>
      </c>
      <c r="AB81" s="22">
        <f t="array" ref="AB81">IFERROR(INDEX('Temp Hisfa'!AB$3:AB$200, SMALL(IF(ISERROR('Temp Hisfa'!AB$3:AB$200), "", ROW('Temp Hisfa'!AB$3:AB$200)-MIN(ROW('Temp Hisfa'!AB$3:AB$200))+1), ROW(79:278))),"")</f>
        <v>0</v>
      </c>
    </row>
    <row r="82" spans="1:28" x14ac:dyDescent="0.3">
      <c r="A82" s="4">
        <f t="array" ref="A82">IFERROR(INDEX('Temp Hisfa'!A$3:A$200, SMALL(IF(ISERROR('Temp Hisfa'!A$3:A$200), "", ROW('Temp Hisfa'!A$3:A$200)-MIN(ROW('Temp Hisfa'!A$3:A$200))+1), ROW(80:278))),"")</f>
        <v>0</v>
      </c>
      <c r="B82" s="4">
        <f t="array" ref="B82">IFERROR(INDEX('Temp Hisfa'!B$3:B$200, SMALL(IF(ISERROR('Temp Hisfa'!B$3:B$200), "", ROW('Temp Hisfa'!B$3:B$200)-MIN(ROW('Temp Hisfa'!B$3:B$200))+1), ROW(80:278))),"")</f>
        <v>0</v>
      </c>
      <c r="C82" s="3">
        <f t="array" ref="C82">IFERROR(INDEX('Temp Hisfa'!C$3:C$200, SMALL(IF(ISERROR('Temp Hisfa'!C$3:C$200), "", ROW('Temp Hisfa'!C$3:C$200)-MIN(ROW('Temp Hisfa'!C$3:C$200))+1), ROW(80:278))),"")</f>
        <v>0</v>
      </c>
      <c r="D82" s="3">
        <f t="array" ref="D82">IFERROR(INDEX('Temp Hisfa'!D$3:D$200, SMALL(IF(ISERROR('Temp Hisfa'!D$3:D$200), "", ROW('Temp Hisfa'!D$3:D$200)-MIN(ROW('Temp Hisfa'!D$3:D$200))+1), ROW(80:278))),"")</f>
        <v>0</v>
      </c>
      <c r="E82" s="29">
        <f t="array" ref="E82">IFERROR(INDEX('Temp Hisfa'!E$3:E$200, SMALL(IF(ISERROR('Temp Hisfa'!E$3:E$200), "", ROW('Temp Hisfa'!E$3:E$200)-MIN(ROW('Temp Hisfa'!E$3:E$200))+1), ROW(80:279))),"")</f>
        <v>0</v>
      </c>
      <c r="F82" s="22">
        <f t="array" ref="F82">IFERROR(INDEX('Temp Hisfa'!F$3:F$200, SMALL(IF(ISERROR('Temp Hisfa'!F$3:F$200), "", ROW('Temp Hisfa'!F$3:F$200)-MIN(ROW('Temp Hisfa'!F$3:F$200))+1), ROW(80:279))),"")</f>
        <v>0</v>
      </c>
      <c r="G82" s="30">
        <f t="array" ref="G82">IFERROR(INDEX('Temp Hisfa'!G$3:G$200, SMALL(IF(ISERROR('Temp Hisfa'!G$3:G$200), "", ROW('Temp Hisfa'!G$3:G$200)-MIN(ROW('Temp Hisfa'!G$3:G$200))+1), ROW(80:279))),"")</f>
        <v>0</v>
      </c>
      <c r="H82" s="22">
        <f t="array" ref="H82">IFERROR(INDEX('Temp Hisfa'!H$3:H$200, SMALL(IF(ISERROR('Temp Hisfa'!H$3:H$200), "", ROW('Temp Hisfa'!H$3:H$200)-MIN(ROW('Temp Hisfa'!H$3:H$200))+1), ROW(80:279))),"")</f>
        <v>0</v>
      </c>
      <c r="I82" s="22">
        <f t="array" ref="I82">IFERROR(INDEX('Temp Hisfa'!I$3:I$200, SMALL(IF(ISERROR('Temp Hisfa'!I$3:I$200), "", ROW('Temp Hisfa'!I$3:I$200)-MIN(ROW('Temp Hisfa'!I$3:I$200))+1), ROW(80:279))),"")</f>
        <v>0</v>
      </c>
      <c r="J82" s="22">
        <f t="array" ref="J82">IFERROR(INDEX('Temp Hisfa'!J$3:J$200, SMALL(IF(ISERROR('Temp Hisfa'!J$3:J$200), "", ROW('Temp Hisfa'!J$3:J$200)-MIN(ROW('Temp Hisfa'!J$3:J$200))+1), ROW(80:279))),"")</f>
        <v>0</v>
      </c>
      <c r="K82" s="30">
        <f t="array" ref="K82">IFERROR(INDEX('Temp Hisfa'!K$3:K$200, SMALL(IF(ISERROR('Temp Hisfa'!K$3:K$200), "", ROW('Temp Hisfa'!K$3:K$200)-MIN(ROW('Temp Hisfa'!K$3:K$200))+1), ROW(80:279))),"")</f>
        <v>0</v>
      </c>
      <c r="L82" s="22">
        <f t="array" ref="L82">IFERROR(INDEX('Temp Hisfa'!L$3:L$200, SMALL(IF(ISERROR('Temp Hisfa'!L$3:L$200), "", ROW('Temp Hisfa'!L$3:L$200)-MIN(ROW('Temp Hisfa'!L$3:L$200))+1), ROW(80:279))),"")</f>
        <v>0</v>
      </c>
      <c r="M82" s="22">
        <f t="array" ref="M82">IFERROR(INDEX('Temp Hisfa'!M$3:M$200, SMALL(IF(ISERROR('Temp Hisfa'!M$3:M$200), "", ROW('Temp Hisfa'!M$3:M$200)-MIN(ROW('Temp Hisfa'!M$3:M$200))+1), ROW(80:279))),"")</f>
        <v>0</v>
      </c>
      <c r="N82" s="22">
        <f t="array" ref="N82">IFERROR(INDEX('Temp Hisfa'!N$3:N$200, SMALL(IF(ISERROR('Temp Hisfa'!N$3:N$200), "", ROW('Temp Hisfa'!N$3:N$200)-MIN(ROW('Temp Hisfa'!N$3:N$200))+1), ROW(80:279))),"")</f>
        <v>1900</v>
      </c>
      <c r="O82" s="22" t="str">
        <f t="array" ref="O82">IFERROR(INDEX('Temp Hisfa'!O$3:O$200, SMALL(IF(ISERROR('Temp Hisfa'!O$3:O$200), "", ROW('Temp Hisfa'!O$3:O$200)-MIN(ROW('Temp Hisfa'!O$3:O$200))+1), ROW(80:279))),"")</f>
        <v>enero</v>
      </c>
      <c r="P82" s="22">
        <f t="array" ref="P82">IFERROR(INDEX('Temp Hisfa'!P$3:P$200, SMALL(IF(ISERROR('Temp Hisfa'!P$3:P$200), "", ROW('Temp Hisfa'!P$3:P$200)-MIN(ROW('Temp Hisfa'!P$3:P$200))+1), ROW(80:279))),"")</f>
        <v>0</v>
      </c>
      <c r="Q82" s="22">
        <f t="array" ref="Q82">IFERROR(INDEX('Temp Hisfa'!Q$3:Q$200, SMALL(IF(ISERROR('Temp Hisfa'!Q$3:Q$200), "", ROW('Temp Hisfa'!Q$3:Q$200)-MIN(ROW('Temp Hisfa'!Q$3:Q$200))+1), ROW(80:279))),"")</f>
        <v>0</v>
      </c>
      <c r="R82" s="22">
        <f t="array" ref="R82">IFERROR(INDEX('Temp Hisfa'!R$3:R$200, SMALL(IF(ISERROR('Temp Hisfa'!R$3:R$200), "", ROW('Temp Hisfa'!R$3:R$200)-MIN(ROW('Temp Hisfa'!R$3:R$200))+1), ROW(80:279))),"")</f>
        <v>0</v>
      </c>
      <c r="S82" s="22">
        <f t="array" ref="S82">IFERROR(INDEX('Temp Hisfa'!S$3:S$200, SMALL(IF(ISERROR('Temp Hisfa'!S$3:S$200), "", ROW('Temp Hisfa'!S$3:S$200)-MIN(ROW('Temp Hisfa'!S$3:S$200))+1), ROW(80:279))),"")</f>
        <v>0</v>
      </c>
      <c r="T82" s="22">
        <f t="array" ref="T82">IFERROR(INDEX('Temp Hisfa'!T$3:T$200, SMALL(IF(ISERROR('Temp Hisfa'!T$3:T$200), "", ROW('Temp Hisfa'!T$3:T$200)-MIN(ROW('Temp Hisfa'!T$3:T$200))+1), ROW(80:279))),"")</f>
        <v>0</v>
      </c>
      <c r="U82" s="22">
        <f t="array" ref="U82">IFERROR(INDEX('Temp Hisfa'!U$3:U$200, SMALL(IF(ISERROR('Temp Hisfa'!U$3:U$200), "", ROW('Temp Hisfa'!U$3:U$200)-MIN(ROW('Temp Hisfa'!U$3:U$200))+1), ROW(80:279))),"")</f>
        <v>0</v>
      </c>
      <c r="V82" s="22">
        <f t="array" ref="V82">IFERROR(INDEX('Temp Hisfa'!V$3:V$200, SMALL(IF(ISERROR('Temp Hisfa'!V$3:V$200), "", ROW('Temp Hisfa'!V$3:V$200)-MIN(ROW('Temp Hisfa'!V$3:V$200))+1), ROW(80:279))),"")</f>
        <v>0</v>
      </c>
      <c r="W82" s="22">
        <f t="array" ref="W82">IFERROR(INDEX('Temp Hisfa'!W$3:W$200, SMALL(IF(ISERROR('Temp Hisfa'!W$3:W$200), "", ROW('Temp Hisfa'!W$3:W$200)-MIN(ROW('Temp Hisfa'!W$3:W$200))+1), ROW(80:279))),"")</f>
        <v>0</v>
      </c>
      <c r="X82" s="22">
        <f t="array" ref="X82">IFERROR(INDEX('Temp Hisfa'!X$3:X$200, SMALL(IF(ISERROR('Temp Hisfa'!X$3:X$200), "", ROW('Temp Hisfa'!X$3:X$200)-MIN(ROW('Temp Hisfa'!X$3:X$200))+1), ROW(80:279))),"")</f>
        <v>0</v>
      </c>
      <c r="Y82" s="22">
        <f t="array" ref="Y82">IFERROR(INDEX('Temp Hisfa'!Y$3:Y$200, SMALL(IF(ISERROR('Temp Hisfa'!Y$3:Y$200), "", ROW('Temp Hisfa'!Y$3:Y$200)-MIN(ROW('Temp Hisfa'!Y$3:Y$200))+1), ROW(80:279))),"")</f>
        <v>0</v>
      </c>
      <c r="Z82" s="22">
        <f t="array" ref="Z82">IFERROR(INDEX('Temp Hisfa'!Z$3:Z$200, SMALL(IF(ISERROR('Temp Hisfa'!Z$3:Z$200), "", ROW('Temp Hisfa'!Z$3:Z$200)-MIN(ROW('Temp Hisfa'!Z$3:Z$200))+1), ROW(80:279))),"")</f>
        <v>0</v>
      </c>
      <c r="AA82" s="22">
        <f t="array" ref="AA82">IFERROR(INDEX('Temp Hisfa'!AA$3:AA$200, SMALL(IF(ISERROR('Temp Hisfa'!AA$3:AA$200), "", ROW('Temp Hisfa'!AA$3:AA$200)-MIN(ROW('Temp Hisfa'!AA$3:AA$200))+1), ROW(80:279))),"")</f>
        <v>0</v>
      </c>
      <c r="AB82" s="22">
        <f t="array" ref="AB82">IFERROR(INDEX('Temp Hisfa'!AB$3:AB$200, SMALL(IF(ISERROR('Temp Hisfa'!AB$3:AB$200), "", ROW('Temp Hisfa'!AB$3:AB$200)-MIN(ROW('Temp Hisfa'!AB$3:AB$200))+1), ROW(80:279))),"")</f>
        <v>0</v>
      </c>
    </row>
    <row r="83" spans="1:28" x14ac:dyDescent="0.3">
      <c r="A83" s="4">
        <f t="array" ref="A83">IFERROR(INDEX('Temp Hisfa'!A$3:A$200, SMALL(IF(ISERROR('Temp Hisfa'!A$3:A$200), "", ROW('Temp Hisfa'!A$3:A$200)-MIN(ROW('Temp Hisfa'!A$3:A$200))+1), ROW(81:279))),"")</f>
        <v>0</v>
      </c>
      <c r="B83" s="4">
        <f t="array" ref="B83">IFERROR(INDEX('Temp Hisfa'!B$3:B$200, SMALL(IF(ISERROR('Temp Hisfa'!B$3:B$200), "", ROW('Temp Hisfa'!B$3:B$200)-MIN(ROW('Temp Hisfa'!B$3:B$200))+1), ROW(81:279))),"")</f>
        <v>0</v>
      </c>
      <c r="C83" s="3">
        <f t="array" ref="C83">IFERROR(INDEX('Temp Hisfa'!C$3:C$200, SMALL(IF(ISERROR('Temp Hisfa'!C$3:C$200), "", ROW('Temp Hisfa'!C$3:C$200)-MIN(ROW('Temp Hisfa'!C$3:C$200))+1), ROW(81:279))),"")</f>
        <v>0</v>
      </c>
      <c r="D83" s="3">
        <f t="array" ref="D83">IFERROR(INDEX('Temp Hisfa'!D$3:D$200, SMALL(IF(ISERROR('Temp Hisfa'!D$3:D$200), "", ROW('Temp Hisfa'!D$3:D$200)-MIN(ROW('Temp Hisfa'!D$3:D$200))+1), ROW(81:279))),"")</f>
        <v>0</v>
      </c>
      <c r="E83" s="29">
        <f t="array" ref="E83">IFERROR(INDEX('Temp Hisfa'!E$3:E$200, SMALL(IF(ISERROR('Temp Hisfa'!E$3:E$200), "", ROW('Temp Hisfa'!E$3:E$200)-MIN(ROW('Temp Hisfa'!E$3:E$200))+1), ROW(81:280))),"")</f>
        <v>0</v>
      </c>
      <c r="F83" s="22">
        <f t="array" ref="F83">IFERROR(INDEX('Temp Hisfa'!F$3:F$200, SMALL(IF(ISERROR('Temp Hisfa'!F$3:F$200), "", ROW('Temp Hisfa'!F$3:F$200)-MIN(ROW('Temp Hisfa'!F$3:F$200))+1), ROW(81:280))),"")</f>
        <v>0</v>
      </c>
      <c r="G83" s="30">
        <f t="array" ref="G83">IFERROR(INDEX('Temp Hisfa'!G$3:G$200, SMALL(IF(ISERROR('Temp Hisfa'!G$3:G$200), "", ROW('Temp Hisfa'!G$3:G$200)-MIN(ROW('Temp Hisfa'!G$3:G$200))+1), ROW(81:280))),"")</f>
        <v>0</v>
      </c>
      <c r="H83" s="22">
        <f t="array" ref="H83">IFERROR(INDEX('Temp Hisfa'!H$3:H$200, SMALL(IF(ISERROR('Temp Hisfa'!H$3:H$200), "", ROW('Temp Hisfa'!H$3:H$200)-MIN(ROW('Temp Hisfa'!H$3:H$200))+1), ROW(81:280))),"")</f>
        <v>0</v>
      </c>
      <c r="I83" s="22">
        <f t="array" ref="I83">IFERROR(INDEX('Temp Hisfa'!I$3:I$200, SMALL(IF(ISERROR('Temp Hisfa'!I$3:I$200), "", ROW('Temp Hisfa'!I$3:I$200)-MIN(ROW('Temp Hisfa'!I$3:I$200))+1), ROW(81:280))),"")</f>
        <v>0</v>
      </c>
      <c r="J83" s="22">
        <f t="array" ref="J83">IFERROR(INDEX('Temp Hisfa'!J$3:J$200, SMALL(IF(ISERROR('Temp Hisfa'!J$3:J$200), "", ROW('Temp Hisfa'!J$3:J$200)-MIN(ROW('Temp Hisfa'!J$3:J$200))+1), ROW(81:280))),"")</f>
        <v>0</v>
      </c>
      <c r="K83" s="30">
        <f t="array" ref="K83">IFERROR(INDEX('Temp Hisfa'!K$3:K$200, SMALL(IF(ISERROR('Temp Hisfa'!K$3:K$200), "", ROW('Temp Hisfa'!K$3:K$200)-MIN(ROW('Temp Hisfa'!K$3:K$200))+1), ROW(81:280))),"")</f>
        <v>0</v>
      </c>
      <c r="L83" s="22">
        <f t="array" ref="L83">IFERROR(INDEX('Temp Hisfa'!L$3:L$200, SMALL(IF(ISERROR('Temp Hisfa'!L$3:L$200), "", ROW('Temp Hisfa'!L$3:L$200)-MIN(ROW('Temp Hisfa'!L$3:L$200))+1), ROW(81:280))),"")</f>
        <v>0</v>
      </c>
      <c r="M83" s="22">
        <f t="array" ref="M83">IFERROR(INDEX('Temp Hisfa'!M$3:M$200, SMALL(IF(ISERROR('Temp Hisfa'!M$3:M$200), "", ROW('Temp Hisfa'!M$3:M$200)-MIN(ROW('Temp Hisfa'!M$3:M$200))+1), ROW(81:280))),"")</f>
        <v>0</v>
      </c>
      <c r="N83" s="22">
        <f t="array" ref="N83">IFERROR(INDEX('Temp Hisfa'!N$3:N$200, SMALL(IF(ISERROR('Temp Hisfa'!N$3:N$200), "", ROW('Temp Hisfa'!N$3:N$200)-MIN(ROW('Temp Hisfa'!N$3:N$200))+1), ROW(81:280))),"")</f>
        <v>1900</v>
      </c>
      <c r="O83" s="22" t="str">
        <f t="array" ref="O83">IFERROR(INDEX('Temp Hisfa'!O$3:O$200, SMALL(IF(ISERROR('Temp Hisfa'!O$3:O$200), "", ROW('Temp Hisfa'!O$3:O$200)-MIN(ROW('Temp Hisfa'!O$3:O$200))+1), ROW(81:280))),"")</f>
        <v>enero</v>
      </c>
      <c r="P83" s="22">
        <f t="array" ref="P83">IFERROR(INDEX('Temp Hisfa'!P$3:P$200, SMALL(IF(ISERROR('Temp Hisfa'!P$3:P$200), "", ROW('Temp Hisfa'!P$3:P$200)-MIN(ROW('Temp Hisfa'!P$3:P$200))+1), ROW(81:280))),"")</f>
        <v>0</v>
      </c>
      <c r="Q83" s="22">
        <f t="array" ref="Q83">IFERROR(INDEX('Temp Hisfa'!Q$3:Q$200, SMALL(IF(ISERROR('Temp Hisfa'!Q$3:Q$200), "", ROW('Temp Hisfa'!Q$3:Q$200)-MIN(ROW('Temp Hisfa'!Q$3:Q$200))+1), ROW(81:280))),"")</f>
        <v>0</v>
      </c>
      <c r="R83" s="22">
        <f t="array" ref="R83">IFERROR(INDEX('Temp Hisfa'!R$3:R$200, SMALL(IF(ISERROR('Temp Hisfa'!R$3:R$200), "", ROW('Temp Hisfa'!R$3:R$200)-MIN(ROW('Temp Hisfa'!R$3:R$200))+1), ROW(81:280))),"")</f>
        <v>0</v>
      </c>
      <c r="S83" s="22">
        <f t="array" ref="S83">IFERROR(INDEX('Temp Hisfa'!S$3:S$200, SMALL(IF(ISERROR('Temp Hisfa'!S$3:S$200), "", ROW('Temp Hisfa'!S$3:S$200)-MIN(ROW('Temp Hisfa'!S$3:S$200))+1), ROW(81:280))),"")</f>
        <v>0</v>
      </c>
      <c r="T83" s="22">
        <f t="array" ref="T83">IFERROR(INDEX('Temp Hisfa'!T$3:T$200, SMALL(IF(ISERROR('Temp Hisfa'!T$3:T$200), "", ROW('Temp Hisfa'!T$3:T$200)-MIN(ROW('Temp Hisfa'!T$3:T$200))+1), ROW(81:280))),"")</f>
        <v>0</v>
      </c>
      <c r="U83" s="22">
        <f t="array" ref="U83">IFERROR(INDEX('Temp Hisfa'!U$3:U$200, SMALL(IF(ISERROR('Temp Hisfa'!U$3:U$200), "", ROW('Temp Hisfa'!U$3:U$200)-MIN(ROW('Temp Hisfa'!U$3:U$200))+1), ROW(81:280))),"")</f>
        <v>0</v>
      </c>
      <c r="V83" s="22">
        <f t="array" ref="V83">IFERROR(INDEX('Temp Hisfa'!V$3:V$200, SMALL(IF(ISERROR('Temp Hisfa'!V$3:V$200), "", ROW('Temp Hisfa'!V$3:V$200)-MIN(ROW('Temp Hisfa'!V$3:V$200))+1), ROW(81:280))),"")</f>
        <v>0</v>
      </c>
      <c r="W83" s="22">
        <f t="array" ref="W83">IFERROR(INDEX('Temp Hisfa'!W$3:W$200, SMALL(IF(ISERROR('Temp Hisfa'!W$3:W$200), "", ROW('Temp Hisfa'!W$3:W$200)-MIN(ROW('Temp Hisfa'!W$3:W$200))+1), ROW(81:280))),"")</f>
        <v>0</v>
      </c>
      <c r="X83" s="22">
        <f t="array" ref="X83">IFERROR(INDEX('Temp Hisfa'!X$3:X$200, SMALL(IF(ISERROR('Temp Hisfa'!X$3:X$200), "", ROW('Temp Hisfa'!X$3:X$200)-MIN(ROW('Temp Hisfa'!X$3:X$200))+1), ROW(81:280))),"")</f>
        <v>0</v>
      </c>
      <c r="Y83" s="22">
        <f t="array" ref="Y83">IFERROR(INDEX('Temp Hisfa'!Y$3:Y$200, SMALL(IF(ISERROR('Temp Hisfa'!Y$3:Y$200), "", ROW('Temp Hisfa'!Y$3:Y$200)-MIN(ROW('Temp Hisfa'!Y$3:Y$200))+1), ROW(81:280))),"")</f>
        <v>0</v>
      </c>
      <c r="Z83" s="22">
        <f t="array" ref="Z83">IFERROR(INDEX('Temp Hisfa'!Z$3:Z$200, SMALL(IF(ISERROR('Temp Hisfa'!Z$3:Z$200), "", ROW('Temp Hisfa'!Z$3:Z$200)-MIN(ROW('Temp Hisfa'!Z$3:Z$200))+1), ROW(81:280))),"")</f>
        <v>0</v>
      </c>
      <c r="AA83" s="22">
        <f t="array" ref="AA83">IFERROR(INDEX('Temp Hisfa'!AA$3:AA$200, SMALL(IF(ISERROR('Temp Hisfa'!AA$3:AA$200), "", ROW('Temp Hisfa'!AA$3:AA$200)-MIN(ROW('Temp Hisfa'!AA$3:AA$200))+1), ROW(81:280))),"")</f>
        <v>0</v>
      </c>
      <c r="AB83" s="22">
        <f t="array" ref="AB83">IFERROR(INDEX('Temp Hisfa'!AB$3:AB$200, SMALL(IF(ISERROR('Temp Hisfa'!AB$3:AB$200), "", ROW('Temp Hisfa'!AB$3:AB$200)-MIN(ROW('Temp Hisfa'!AB$3:AB$200))+1), ROW(81:280))),"")</f>
        <v>0</v>
      </c>
    </row>
    <row r="84" spans="1:28" x14ac:dyDescent="0.3">
      <c r="A84" s="4">
        <f t="array" ref="A84">IFERROR(INDEX('Temp Hisfa'!A$3:A$200, SMALL(IF(ISERROR('Temp Hisfa'!A$3:A$200), "", ROW('Temp Hisfa'!A$3:A$200)-MIN(ROW('Temp Hisfa'!A$3:A$200))+1), ROW(82:280))),"")</f>
        <v>0</v>
      </c>
      <c r="B84" s="4">
        <f t="array" ref="B84">IFERROR(INDEX('Temp Hisfa'!B$3:B$200, SMALL(IF(ISERROR('Temp Hisfa'!B$3:B$200), "", ROW('Temp Hisfa'!B$3:B$200)-MIN(ROW('Temp Hisfa'!B$3:B$200))+1), ROW(82:280))),"")</f>
        <v>0</v>
      </c>
      <c r="C84" s="3">
        <f t="array" ref="C84">IFERROR(INDEX('Temp Hisfa'!C$3:C$200, SMALL(IF(ISERROR('Temp Hisfa'!C$3:C$200), "", ROW('Temp Hisfa'!C$3:C$200)-MIN(ROW('Temp Hisfa'!C$3:C$200))+1), ROW(82:280))),"")</f>
        <v>0</v>
      </c>
      <c r="D84" s="3">
        <f t="array" ref="D84">IFERROR(INDEX('Temp Hisfa'!D$3:D$200, SMALL(IF(ISERROR('Temp Hisfa'!D$3:D$200), "", ROW('Temp Hisfa'!D$3:D$200)-MIN(ROW('Temp Hisfa'!D$3:D$200))+1), ROW(82:280))),"")</f>
        <v>0</v>
      </c>
      <c r="E84" s="29">
        <f t="array" ref="E84">IFERROR(INDEX('Temp Hisfa'!E$3:E$200, SMALL(IF(ISERROR('Temp Hisfa'!E$3:E$200), "", ROW('Temp Hisfa'!E$3:E$200)-MIN(ROW('Temp Hisfa'!E$3:E$200))+1), ROW(82:281))),"")</f>
        <v>0</v>
      </c>
      <c r="F84" s="22">
        <f t="array" ref="F84">IFERROR(INDEX('Temp Hisfa'!F$3:F$200, SMALL(IF(ISERROR('Temp Hisfa'!F$3:F$200), "", ROW('Temp Hisfa'!F$3:F$200)-MIN(ROW('Temp Hisfa'!F$3:F$200))+1), ROW(82:281))),"")</f>
        <v>0</v>
      </c>
      <c r="G84" s="30">
        <f t="array" ref="G84">IFERROR(INDEX('Temp Hisfa'!G$3:G$200, SMALL(IF(ISERROR('Temp Hisfa'!G$3:G$200), "", ROW('Temp Hisfa'!G$3:G$200)-MIN(ROW('Temp Hisfa'!G$3:G$200))+1), ROW(82:281))),"")</f>
        <v>0</v>
      </c>
      <c r="H84" s="22">
        <f t="array" ref="H84">IFERROR(INDEX('Temp Hisfa'!H$3:H$200, SMALL(IF(ISERROR('Temp Hisfa'!H$3:H$200), "", ROW('Temp Hisfa'!H$3:H$200)-MIN(ROW('Temp Hisfa'!H$3:H$200))+1), ROW(82:281))),"")</f>
        <v>0</v>
      </c>
      <c r="I84" s="22">
        <f t="array" ref="I84">IFERROR(INDEX('Temp Hisfa'!I$3:I$200, SMALL(IF(ISERROR('Temp Hisfa'!I$3:I$200), "", ROW('Temp Hisfa'!I$3:I$200)-MIN(ROW('Temp Hisfa'!I$3:I$200))+1), ROW(82:281))),"")</f>
        <v>0</v>
      </c>
      <c r="J84" s="22">
        <f t="array" ref="J84">IFERROR(INDEX('Temp Hisfa'!J$3:J$200, SMALL(IF(ISERROR('Temp Hisfa'!J$3:J$200), "", ROW('Temp Hisfa'!J$3:J$200)-MIN(ROW('Temp Hisfa'!J$3:J$200))+1), ROW(82:281))),"")</f>
        <v>0</v>
      </c>
      <c r="K84" s="30">
        <f t="array" ref="K84">IFERROR(INDEX('Temp Hisfa'!K$3:K$200, SMALL(IF(ISERROR('Temp Hisfa'!K$3:K$200), "", ROW('Temp Hisfa'!K$3:K$200)-MIN(ROW('Temp Hisfa'!K$3:K$200))+1), ROW(82:281))),"")</f>
        <v>0</v>
      </c>
      <c r="L84" s="22">
        <f t="array" ref="L84">IFERROR(INDEX('Temp Hisfa'!L$3:L$200, SMALL(IF(ISERROR('Temp Hisfa'!L$3:L$200), "", ROW('Temp Hisfa'!L$3:L$200)-MIN(ROW('Temp Hisfa'!L$3:L$200))+1), ROW(82:281))),"")</f>
        <v>0</v>
      </c>
      <c r="M84" s="22">
        <f t="array" ref="M84">IFERROR(INDEX('Temp Hisfa'!M$3:M$200, SMALL(IF(ISERROR('Temp Hisfa'!M$3:M$200), "", ROW('Temp Hisfa'!M$3:M$200)-MIN(ROW('Temp Hisfa'!M$3:M$200))+1), ROW(82:281))),"")</f>
        <v>0</v>
      </c>
      <c r="N84" s="22">
        <f t="array" ref="N84">IFERROR(INDEX('Temp Hisfa'!N$3:N$200, SMALL(IF(ISERROR('Temp Hisfa'!N$3:N$200), "", ROW('Temp Hisfa'!N$3:N$200)-MIN(ROW('Temp Hisfa'!N$3:N$200))+1), ROW(82:281))),"")</f>
        <v>1900</v>
      </c>
      <c r="O84" s="22" t="str">
        <f t="array" ref="O84">IFERROR(INDEX('Temp Hisfa'!O$3:O$200, SMALL(IF(ISERROR('Temp Hisfa'!O$3:O$200), "", ROW('Temp Hisfa'!O$3:O$200)-MIN(ROW('Temp Hisfa'!O$3:O$200))+1), ROW(82:281))),"")</f>
        <v>enero</v>
      </c>
      <c r="P84" s="22">
        <f t="array" ref="P84">IFERROR(INDEX('Temp Hisfa'!P$3:P$200, SMALL(IF(ISERROR('Temp Hisfa'!P$3:P$200), "", ROW('Temp Hisfa'!P$3:P$200)-MIN(ROW('Temp Hisfa'!P$3:P$200))+1), ROW(82:281))),"")</f>
        <v>0</v>
      </c>
      <c r="Q84" s="22">
        <f t="array" ref="Q84">IFERROR(INDEX('Temp Hisfa'!Q$3:Q$200, SMALL(IF(ISERROR('Temp Hisfa'!Q$3:Q$200), "", ROW('Temp Hisfa'!Q$3:Q$200)-MIN(ROW('Temp Hisfa'!Q$3:Q$200))+1), ROW(82:281))),"")</f>
        <v>0</v>
      </c>
      <c r="R84" s="22">
        <f t="array" ref="R84">IFERROR(INDEX('Temp Hisfa'!R$3:R$200, SMALL(IF(ISERROR('Temp Hisfa'!R$3:R$200), "", ROW('Temp Hisfa'!R$3:R$200)-MIN(ROW('Temp Hisfa'!R$3:R$200))+1), ROW(82:281))),"")</f>
        <v>0</v>
      </c>
      <c r="S84" s="22">
        <f t="array" ref="S84">IFERROR(INDEX('Temp Hisfa'!S$3:S$200, SMALL(IF(ISERROR('Temp Hisfa'!S$3:S$200), "", ROW('Temp Hisfa'!S$3:S$200)-MIN(ROW('Temp Hisfa'!S$3:S$200))+1), ROW(82:281))),"")</f>
        <v>0</v>
      </c>
      <c r="T84" s="22">
        <f t="array" ref="T84">IFERROR(INDEX('Temp Hisfa'!T$3:T$200, SMALL(IF(ISERROR('Temp Hisfa'!T$3:T$200), "", ROW('Temp Hisfa'!T$3:T$200)-MIN(ROW('Temp Hisfa'!T$3:T$200))+1), ROW(82:281))),"")</f>
        <v>0</v>
      </c>
      <c r="U84" s="22">
        <f t="array" ref="U84">IFERROR(INDEX('Temp Hisfa'!U$3:U$200, SMALL(IF(ISERROR('Temp Hisfa'!U$3:U$200), "", ROW('Temp Hisfa'!U$3:U$200)-MIN(ROW('Temp Hisfa'!U$3:U$200))+1), ROW(82:281))),"")</f>
        <v>0</v>
      </c>
      <c r="V84" s="22">
        <f t="array" ref="V84">IFERROR(INDEX('Temp Hisfa'!V$3:V$200, SMALL(IF(ISERROR('Temp Hisfa'!V$3:V$200), "", ROW('Temp Hisfa'!V$3:V$200)-MIN(ROW('Temp Hisfa'!V$3:V$200))+1), ROW(82:281))),"")</f>
        <v>0</v>
      </c>
      <c r="W84" s="22">
        <f t="array" ref="W84">IFERROR(INDEX('Temp Hisfa'!W$3:W$200, SMALL(IF(ISERROR('Temp Hisfa'!W$3:W$200), "", ROW('Temp Hisfa'!W$3:W$200)-MIN(ROW('Temp Hisfa'!W$3:W$200))+1), ROW(82:281))),"")</f>
        <v>0</v>
      </c>
      <c r="X84" s="22">
        <f t="array" ref="X84">IFERROR(INDEX('Temp Hisfa'!X$3:X$200, SMALL(IF(ISERROR('Temp Hisfa'!X$3:X$200), "", ROW('Temp Hisfa'!X$3:X$200)-MIN(ROW('Temp Hisfa'!X$3:X$200))+1), ROW(82:281))),"")</f>
        <v>0</v>
      </c>
      <c r="Y84" s="22">
        <f t="array" ref="Y84">IFERROR(INDEX('Temp Hisfa'!Y$3:Y$200, SMALL(IF(ISERROR('Temp Hisfa'!Y$3:Y$200), "", ROW('Temp Hisfa'!Y$3:Y$200)-MIN(ROW('Temp Hisfa'!Y$3:Y$200))+1), ROW(82:281))),"")</f>
        <v>0</v>
      </c>
      <c r="Z84" s="22">
        <f t="array" ref="Z84">IFERROR(INDEX('Temp Hisfa'!Z$3:Z$200, SMALL(IF(ISERROR('Temp Hisfa'!Z$3:Z$200), "", ROW('Temp Hisfa'!Z$3:Z$200)-MIN(ROW('Temp Hisfa'!Z$3:Z$200))+1), ROW(82:281))),"")</f>
        <v>0</v>
      </c>
      <c r="AA84" s="22">
        <f t="array" ref="AA84">IFERROR(INDEX('Temp Hisfa'!AA$3:AA$200, SMALL(IF(ISERROR('Temp Hisfa'!AA$3:AA$200), "", ROW('Temp Hisfa'!AA$3:AA$200)-MIN(ROW('Temp Hisfa'!AA$3:AA$200))+1), ROW(82:281))),"")</f>
        <v>0</v>
      </c>
      <c r="AB84" s="22">
        <f t="array" ref="AB84">IFERROR(INDEX('Temp Hisfa'!AB$3:AB$200, SMALL(IF(ISERROR('Temp Hisfa'!AB$3:AB$200), "", ROW('Temp Hisfa'!AB$3:AB$200)-MIN(ROW('Temp Hisfa'!AB$3:AB$200))+1), ROW(82:281))),"")</f>
        <v>0</v>
      </c>
    </row>
    <row r="85" spans="1:28" x14ac:dyDescent="0.3">
      <c r="A85" s="4">
        <f t="array" ref="A85">IFERROR(INDEX('Temp Hisfa'!A$3:A$200, SMALL(IF(ISERROR('Temp Hisfa'!A$3:A$200), "", ROW('Temp Hisfa'!A$3:A$200)-MIN(ROW('Temp Hisfa'!A$3:A$200))+1), ROW(83:281))),"")</f>
        <v>0</v>
      </c>
      <c r="B85" s="4">
        <f t="array" ref="B85">IFERROR(INDEX('Temp Hisfa'!B$3:B$200, SMALL(IF(ISERROR('Temp Hisfa'!B$3:B$200), "", ROW('Temp Hisfa'!B$3:B$200)-MIN(ROW('Temp Hisfa'!B$3:B$200))+1), ROW(83:281))),"")</f>
        <v>0</v>
      </c>
      <c r="C85" s="3">
        <f t="array" ref="C85">IFERROR(INDEX('Temp Hisfa'!C$3:C$200, SMALL(IF(ISERROR('Temp Hisfa'!C$3:C$200), "", ROW('Temp Hisfa'!C$3:C$200)-MIN(ROW('Temp Hisfa'!C$3:C$200))+1), ROW(83:281))),"")</f>
        <v>0</v>
      </c>
      <c r="D85" s="3">
        <f t="array" ref="D85">IFERROR(INDEX('Temp Hisfa'!D$3:D$200, SMALL(IF(ISERROR('Temp Hisfa'!D$3:D$200), "", ROW('Temp Hisfa'!D$3:D$200)-MIN(ROW('Temp Hisfa'!D$3:D$200))+1), ROW(83:281))),"")</f>
        <v>0</v>
      </c>
      <c r="E85" s="29">
        <f t="array" ref="E85">IFERROR(INDEX('Temp Hisfa'!E$3:E$200, SMALL(IF(ISERROR('Temp Hisfa'!E$3:E$200), "", ROW('Temp Hisfa'!E$3:E$200)-MIN(ROW('Temp Hisfa'!E$3:E$200))+1), ROW(83:282))),"")</f>
        <v>0</v>
      </c>
      <c r="F85" s="22">
        <f t="array" ref="F85">IFERROR(INDEX('Temp Hisfa'!F$3:F$200, SMALL(IF(ISERROR('Temp Hisfa'!F$3:F$200), "", ROW('Temp Hisfa'!F$3:F$200)-MIN(ROW('Temp Hisfa'!F$3:F$200))+1), ROW(83:282))),"")</f>
        <v>0</v>
      </c>
      <c r="G85" s="30">
        <f t="array" ref="G85">IFERROR(INDEX('Temp Hisfa'!G$3:G$200, SMALL(IF(ISERROR('Temp Hisfa'!G$3:G$200), "", ROW('Temp Hisfa'!G$3:G$200)-MIN(ROW('Temp Hisfa'!G$3:G$200))+1), ROW(83:282))),"")</f>
        <v>0</v>
      </c>
      <c r="H85" s="22">
        <f t="array" ref="H85">IFERROR(INDEX('Temp Hisfa'!H$3:H$200, SMALL(IF(ISERROR('Temp Hisfa'!H$3:H$200), "", ROW('Temp Hisfa'!H$3:H$200)-MIN(ROW('Temp Hisfa'!H$3:H$200))+1), ROW(83:282))),"")</f>
        <v>0</v>
      </c>
      <c r="I85" s="22">
        <f t="array" ref="I85">IFERROR(INDEX('Temp Hisfa'!I$3:I$200, SMALL(IF(ISERROR('Temp Hisfa'!I$3:I$200), "", ROW('Temp Hisfa'!I$3:I$200)-MIN(ROW('Temp Hisfa'!I$3:I$200))+1), ROW(83:282))),"")</f>
        <v>0</v>
      </c>
      <c r="J85" s="22">
        <f t="array" ref="J85">IFERROR(INDEX('Temp Hisfa'!J$3:J$200, SMALL(IF(ISERROR('Temp Hisfa'!J$3:J$200), "", ROW('Temp Hisfa'!J$3:J$200)-MIN(ROW('Temp Hisfa'!J$3:J$200))+1), ROW(83:282))),"")</f>
        <v>0</v>
      </c>
      <c r="K85" s="30">
        <f t="array" ref="K85">IFERROR(INDEX('Temp Hisfa'!K$3:K$200, SMALL(IF(ISERROR('Temp Hisfa'!K$3:K$200), "", ROW('Temp Hisfa'!K$3:K$200)-MIN(ROW('Temp Hisfa'!K$3:K$200))+1), ROW(83:282))),"")</f>
        <v>0</v>
      </c>
      <c r="L85" s="22">
        <f t="array" ref="L85">IFERROR(INDEX('Temp Hisfa'!L$3:L$200, SMALL(IF(ISERROR('Temp Hisfa'!L$3:L$200), "", ROW('Temp Hisfa'!L$3:L$200)-MIN(ROW('Temp Hisfa'!L$3:L$200))+1), ROW(83:282))),"")</f>
        <v>0</v>
      </c>
      <c r="M85" s="22">
        <f t="array" ref="M85">IFERROR(INDEX('Temp Hisfa'!M$3:M$200, SMALL(IF(ISERROR('Temp Hisfa'!M$3:M$200), "", ROW('Temp Hisfa'!M$3:M$200)-MIN(ROW('Temp Hisfa'!M$3:M$200))+1), ROW(83:282))),"")</f>
        <v>0</v>
      </c>
      <c r="N85" s="22">
        <f t="array" ref="N85">IFERROR(INDEX('Temp Hisfa'!N$3:N$200, SMALL(IF(ISERROR('Temp Hisfa'!N$3:N$200), "", ROW('Temp Hisfa'!N$3:N$200)-MIN(ROW('Temp Hisfa'!N$3:N$200))+1), ROW(83:282))),"")</f>
        <v>1900</v>
      </c>
      <c r="O85" s="22" t="str">
        <f t="array" ref="O85">IFERROR(INDEX('Temp Hisfa'!O$3:O$200, SMALL(IF(ISERROR('Temp Hisfa'!O$3:O$200), "", ROW('Temp Hisfa'!O$3:O$200)-MIN(ROW('Temp Hisfa'!O$3:O$200))+1), ROW(83:282))),"")</f>
        <v>enero</v>
      </c>
      <c r="P85" s="22">
        <f t="array" ref="P85">IFERROR(INDEX('Temp Hisfa'!P$3:P$200, SMALL(IF(ISERROR('Temp Hisfa'!P$3:P$200), "", ROW('Temp Hisfa'!P$3:P$200)-MIN(ROW('Temp Hisfa'!P$3:P$200))+1), ROW(83:282))),"")</f>
        <v>0</v>
      </c>
      <c r="Q85" s="22">
        <f t="array" ref="Q85">IFERROR(INDEX('Temp Hisfa'!Q$3:Q$200, SMALL(IF(ISERROR('Temp Hisfa'!Q$3:Q$200), "", ROW('Temp Hisfa'!Q$3:Q$200)-MIN(ROW('Temp Hisfa'!Q$3:Q$200))+1), ROW(83:282))),"")</f>
        <v>0</v>
      </c>
      <c r="R85" s="22">
        <f t="array" ref="R85">IFERROR(INDEX('Temp Hisfa'!R$3:R$200, SMALL(IF(ISERROR('Temp Hisfa'!R$3:R$200), "", ROW('Temp Hisfa'!R$3:R$200)-MIN(ROW('Temp Hisfa'!R$3:R$200))+1), ROW(83:282))),"")</f>
        <v>0</v>
      </c>
      <c r="S85" s="22">
        <f t="array" ref="S85">IFERROR(INDEX('Temp Hisfa'!S$3:S$200, SMALL(IF(ISERROR('Temp Hisfa'!S$3:S$200), "", ROW('Temp Hisfa'!S$3:S$200)-MIN(ROW('Temp Hisfa'!S$3:S$200))+1), ROW(83:282))),"")</f>
        <v>0</v>
      </c>
      <c r="T85" s="22">
        <f t="array" ref="T85">IFERROR(INDEX('Temp Hisfa'!T$3:T$200, SMALL(IF(ISERROR('Temp Hisfa'!T$3:T$200), "", ROW('Temp Hisfa'!T$3:T$200)-MIN(ROW('Temp Hisfa'!T$3:T$200))+1), ROW(83:282))),"")</f>
        <v>0</v>
      </c>
      <c r="U85" s="22">
        <f t="array" ref="U85">IFERROR(INDEX('Temp Hisfa'!U$3:U$200, SMALL(IF(ISERROR('Temp Hisfa'!U$3:U$200), "", ROW('Temp Hisfa'!U$3:U$200)-MIN(ROW('Temp Hisfa'!U$3:U$200))+1), ROW(83:282))),"")</f>
        <v>0</v>
      </c>
      <c r="V85" s="22">
        <f t="array" ref="V85">IFERROR(INDEX('Temp Hisfa'!V$3:V$200, SMALL(IF(ISERROR('Temp Hisfa'!V$3:V$200), "", ROW('Temp Hisfa'!V$3:V$200)-MIN(ROW('Temp Hisfa'!V$3:V$200))+1), ROW(83:282))),"")</f>
        <v>0</v>
      </c>
      <c r="W85" s="22">
        <f t="array" ref="W85">IFERROR(INDEX('Temp Hisfa'!W$3:W$200, SMALL(IF(ISERROR('Temp Hisfa'!W$3:W$200), "", ROW('Temp Hisfa'!W$3:W$200)-MIN(ROW('Temp Hisfa'!W$3:W$200))+1), ROW(83:282))),"")</f>
        <v>0</v>
      </c>
      <c r="X85" s="22">
        <f t="array" ref="X85">IFERROR(INDEX('Temp Hisfa'!X$3:X$200, SMALL(IF(ISERROR('Temp Hisfa'!X$3:X$200), "", ROW('Temp Hisfa'!X$3:X$200)-MIN(ROW('Temp Hisfa'!X$3:X$200))+1), ROW(83:282))),"")</f>
        <v>0</v>
      </c>
      <c r="Y85" s="22">
        <f t="array" ref="Y85">IFERROR(INDEX('Temp Hisfa'!Y$3:Y$200, SMALL(IF(ISERROR('Temp Hisfa'!Y$3:Y$200), "", ROW('Temp Hisfa'!Y$3:Y$200)-MIN(ROW('Temp Hisfa'!Y$3:Y$200))+1), ROW(83:282))),"")</f>
        <v>0</v>
      </c>
      <c r="Z85" s="22">
        <f t="array" ref="Z85">IFERROR(INDEX('Temp Hisfa'!Z$3:Z$200, SMALL(IF(ISERROR('Temp Hisfa'!Z$3:Z$200), "", ROW('Temp Hisfa'!Z$3:Z$200)-MIN(ROW('Temp Hisfa'!Z$3:Z$200))+1), ROW(83:282))),"")</f>
        <v>0</v>
      </c>
      <c r="AA85" s="22">
        <f t="array" ref="AA85">IFERROR(INDEX('Temp Hisfa'!AA$3:AA$200, SMALL(IF(ISERROR('Temp Hisfa'!AA$3:AA$200), "", ROW('Temp Hisfa'!AA$3:AA$200)-MIN(ROW('Temp Hisfa'!AA$3:AA$200))+1), ROW(83:282))),"")</f>
        <v>0</v>
      </c>
      <c r="AB85" s="22">
        <f t="array" ref="AB85">IFERROR(INDEX('Temp Hisfa'!AB$3:AB$200, SMALL(IF(ISERROR('Temp Hisfa'!AB$3:AB$200), "", ROW('Temp Hisfa'!AB$3:AB$200)-MIN(ROW('Temp Hisfa'!AB$3:AB$200))+1), ROW(83:282))),"")</f>
        <v>0</v>
      </c>
    </row>
    <row r="86" spans="1:28" x14ac:dyDescent="0.3">
      <c r="A86" s="4">
        <f t="array" ref="A86">IFERROR(INDEX('Temp Hisfa'!A$3:A$200, SMALL(IF(ISERROR('Temp Hisfa'!A$3:A$200), "", ROW('Temp Hisfa'!A$3:A$200)-MIN(ROW('Temp Hisfa'!A$3:A$200))+1), ROW(84:282))),"")</f>
        <v>0</v>
      </c>
      <c r="B86" s="4">
        <f t="array" ref="B86">IFERROR(INDEX('Temp Hisfa'!B$3:B$200, SMALL(IF(ISERROR('Temp Hisfa'!B$3:B$200), "", ROW('Temp Hisfa'!B$3:B$200)-MIN(ROW('Temp Hisfa'!B$3:B$200))+1), ROW(84:282))),"")</f>
        <v>0</v>
      </c>
      <c r="C86" s="3">
        <f t="array" ref="C86">IFERROR(INDEX('Temp Hisfa'!C$3:C$200, SMALL(IF(ISERROR('Temp Hisfa'!C$3:C$200), "", ROW('Temp Hisfa'!C$3:C$200)-MIN(ROW('Temp Hisfa'!C$3:C$200))+1), ROW(84:282))),"")</f>
        <v>0</v>
      </c>
      <c r="D86" s="3">
        <f t="array" ref="D86">IFERROR(INDEX('Temp Hisfa'!D$3:D$200, SMALL(IF(ISERROR('Temp Hisfa'!D$3:D$200), "", ROW('Temp Hisfa'!D$3:D$200)-MIN(ROW('Temp Hisfa'!D$3:D$200))+1), ROW(84:282))),"")</f>
        <v>0</v>
      </c>
      <c r="E86" s="29">
        <f t="array" ref="E86">IFERROR(INDEX('Temp Hisfa'!E$3:E$200, SMALL(IF(ISERROR('Temp Hisfa'!E$3:E$200), "", ROW('Temp Hisfa'!E$3:E$200)-MIN(ROW('Temp Hisfa'!E$3:E$200))+1), ROW(84:283))),"")</f>
        <v>0</v>
      </c>
      <c r="F86" s="22">
        <f t="array" ref="F86">IFERROR(INDEX('Temp Hisfa'!F$3:F$200, SMALL(IF(ISERROR('Temp Hisfa'!F$3:F$200), "", ROW('Temp Hisfa'!F$3:F$200)-MIN(ROW('Temp Hisfa'!F$3:F$200))+1), ROW(84:283))),"")</f>
        <v>0</v>
      </c>
      <c r="G86" s="30">
        <f t="array" ref="G86">IFERROR(INDEX('Temp Hisfa'!G$3:G$200, SMALL(IF(ISERROR('Temp Hisfa'!G$3:G$200), "", ROW('Temp Hisfa'!G$3:G$200)-MIN(ROW('Temp Hisfa'!G$3:G$200))+1), ROW(84:283))),"")</f>
        <v>0</v>
      </c>
      <c r="H86" s="22">
        <f t="array" ref="H86">IFERROR(INDEX('Temp Hisfa'!H$3:H$200, SMALL(IF(ISERROR('Temp Hisfa'!H$3:H$200), "", ROW('Temp Hisfa'!H$3:H$200)-MIN(ROW('Temp Hisfa'!H$3:H$200))+1), ROW(84:283))),"")</f>
        <v>0</v>
      </c>
      <c r="I86" s="22">
        <f t="array" ref="I86">IFERROR(INDEX('Temp Hisfa'!I$3:I$200, SMALL(IF(ISERROR('Temp Hisfa'!I$3:I$200), "", ROW('Temp Hisfa'!I$3:I$200)-MIN(ROW('Temp Hisfa'!I$3:I$200))+1), ROW(84:283))),"")</f>
        <v>0</v>
      </c>
      <c r="J86" s="22">
        <f t="array" ref="J86">IFERROR(INDEX('Temp Hisfa'!J$3:J$200, SMALL(IF(ISERROR('Temp Hisfa'!J$3:J$200), "", ROW('Temp Hisfa'!J$3:J$200)-MIN(ROW('Temp Hisfa'!J$3:J$200))+1), ROW(84:283))),"")</f>
        <v>0</v>
      </c>
      <c r="K86" s="30">
        <f t="array" ref="K86">IFERROR(INDEX('Temp Hisfa'!K$3:K$200, SMALL(IF(ISERROR('Temp Hisfa'!K$3:K$200), "", ROW('Temp Hisfa'!K$3:K$200)-MIN(ROW('Temp Hisfa'!K$3:K$200))+1), ROW(84:283))),"")</f>
        <v>0</v>
      </c>
      <c r="L86" s="22">
        <f t="array" ref="L86">IFERROR(INDEX('Temp Hisfa'!L$3:L$200, SMALL(IF(ISERROR('Temp Hisfa'!L$3:L$200), "", ROW('Temp Hisfa'!L$3:L$200)-MIN(ROW('Temp Hisfa'!L$3:L$200))+1), ROW(84:283))),"")</f>
        <v>0</v>
      </c>
      <c r="M86" s="22">
        <f t="array" ref="M86">IFERROR(INDEX('Temp Hisfa'!M$3:M$200, SMALL(IF(ISERROR('Temp Hisfa'!M$3:M$200), "", ROW('Temp Hisfa'!M$3:M$200)-MIN(ROW('Temp Hisfa'!M$3:M$200))+1), ROW(84:283))),"")</f>
        <v>0</v>
      </c>
      <c r="N86" s="22">
        <f t="array" ref="N86">IFERROR(INDEX('Temp Hisfa'!N$3:N$200, SMALL(IF(ISERROR('Temp Hisfa'!N$3:N$200), "", ROW('Temp Hisfa'!N$3:N$200)-MIN(ROW('Temp Hisfa'!N$3:N$200))+1), ROW(84:283))),"")</f>
        <v>1900</v>
      </c>
      <c r="O86" s="22" t="str">
        <f t="array" ref="O86">IFERROR(INDEX('Temp Hisfa'!O$3:O$200, SMALL(IF(ISERROR('Temp Hisfa'!O$3:O$200), "", ROW('Temp Hisfa'!O$3:O$200)-MIN(ROW('Temp Hisfa'!O$3:O$200))+1), ROW(84:283))),"")</f>
        <v>enero</v>
      </c>
      <c r="P86" s="22">
        <f t="array" ref="P86">IFERROR(INDEX('Temp Hisfa'!P$3:P$200, SMALL(IF(ISERROR('Temp Hisfa'!P$3:P$200), "", ROW('Temp Hisfa'!P$3:P$200)-MIN(ROW('Temp Hisfa'!P$3:P$200))+1), ROW(84:283))),"")</f>
        <v>0</v>
      </c>
      <c r="Q86" s="22">
        <f t="array" ref="Q86">IFERROR(INDEX('Temp Hisfa'!Q$3:Q$200, SMALL(IF(ISERROR('Temp Hisfa'!Q$3:Q$200), "", ROW('Temp Hisfa'!Q$3:Q$200)-MIN(ROW('Temp Hisfa'!Q$3:Q$200))+1), ROW(84:283))),"")</f>
        <v>0</v>
      </c>
      <c r="R86" s="22">
        <f t="array" ref="R86">IFERROR(INDEX('Temp Hisfa'!R$3:R$200, SMALL(IF(ISERROR('Temp Hisfa'!R$3:R$200), "", ROW('Temp Hisfa'!R$3:R$200)-MIN(ROW('Temp Hisfa'!R$3:R$200))+1), ROW(84:283))),"")</f>
        <v>0</v>
      </c>
      <c r="S86" s="22">
        <f t="array" ref="S86">IFERROR(INDEX('Temp Hisfa'!S$3:S$200, SMALL(IF(ISERROR('Temp Hisfa'!S$3:S$200), "", ROW('Temp Hisfa'!S$3:S$200)-MIN(ROW('Temp Hisfa'!S$3:S$200))+1), ROW(84:283))),"")</f>
        <v>0</v>
      </c>
      <c r="T86" s="22">
        <f t="array" ref="T86">IFERROR(INDEX('Temp Hisfa'!T$3:T$200, SMALL(IF(ISERROR('Temp Hisfa'!T$3:T$200), "", ROW('Temp Hisfa'!T$3:T$200)-MIN(ROW('Temp Hisfa'!T$3:T$200))+1), ROW(84:283))),"")</f>
        <v>0</v>
      </c>
      <c r="U86" s="22">
        <f t="array" ref="U86">IFERROR(INDEX('Temp Hisfa'!U$3:U$200, SMALL(IF(ISERROR('Temp Hisfa'!U$3:U$200), "", ROW('Temp Hisfa'!U$3:U$200)-MIN(ROW('Temp Hisfa'!U$3:U$200))+1), ROW(84:283))),"")</f>
        <v>0</v>
      </c>
      <c r="V86" s="22">
        <f t="array" ref="V86">IFERROR(INDEX('Temp Hisfa'!V$3:V$200, SMALL(IF(ISERROR('Temp Hisfa'!V$3:V$200), "", ROW('Temp Hisfa'!V$3:V$200)-MIN(ROW('Temp Hisfa'!V$3:V$200))+1), ROW(84:283))),"")</f>
        <v>0</v>
      </c>
      <c r="W86" s="22">
        <f t="array" ref="W86">IFERROR(INDEX('Temp Hisfa'!W$3:W$200, SMALL(IF(ISERROR('Temp Hisfa'!W$3:W$200), "", ROW('Temp Hisfa'!W$3:W$200)-MIN(ROW('Temp Hisfa'!W$3:W$200))+1), ROW(84:283))),"")</f>
        <v>0</v>
      </c>
      <c r="X86" s="22">
        <f t="array" ref="X86">IFERROR(INDEX('Temp Hisfa'!X$3:X$200, SMALL(IF(ISERROR('Temp Hisfa'!X$3:X$200), "", ROW('Temp Hisfa'!X$3:X$200)-MIN(ROW('Temp Hisfa'!X$3:X$200))+1), ROW(84:283))),"")</f>
        <v>0</v>
      </c>
      <c r="Y86" s="22">
        <f t="array" ref="Y86">IFERROR(INDEX('Temp Hisfa'!Y$3:Y$200, SMALL(IF(ISERROR('Temp Hisfa'!Y$3:Y$200), "", ROW('Temp Hisfa'!Y$3:Y$200)-MIN(ROW('Temp Hisfa'!Y$3:Y$200))+1), ROW(84:283))),"")</f>
        <v>0</v>
      </c>
      <c r="Z86" s="22">
        <f t="array" ref="Z86">IFERROR(INDEX('Temp Hisfa'!Z$3:Z$200, SMALL(IF(ISERROR('Temp Hisfa'!Z$3:Z$200), "", ROW('Temp Hisfa'!Z$3:Z$200)-MIN(ROW('Temp Hisfa'!Z$3:Z$200))+1), ROW(84:283))),"")</f>
        <v>0</v>
      </c>
      <c r="AA86" s="22">
        <f t="array" ref="AA86">IFERROR(INDEX('Temp Hisfa'!AA$3:AA$200, SMALL(IF(ISERROR('Temp Hisfa'!AA$3:AA$200), "", ROW('Temp Hisfa'!AA$3:AA$200)-MIN(ROW('Temp Hisfa'!AA$3:AA$200))+1), ROW(84:283))),"")</f>
        <v>0</v>
      </c>
      <c r="AB86" s="22">
        <f t="array" ref="AB86">IFERROR(INDEX('Temp Hisfa'!AB$3:AB$200, SMALL(IF(ISERROR('Temp Hisfa'!AB$3:AB$200), "", ROW('Temp Hisfa'!AB$3:AB$200)-MIN(ROW('Temp Hisfa'!AB$3:AB$200))+1), ROW(84:283))),"")</f>
        <v>0</v>
      </c>
    </row>
    <row r="87" spans="1:28" x14ac:dyDescent="0.3">
      <c r="A87" s="4">
        <f t="array" ref="A87">IFERROR(INDEX('Temp Hisfa'!A$3:A$200, SMALL(IF(ISERROR('Temp Hisfa'!A$3:A$200), "", ROW('Temp Hisfa'!A$3:A$200)-MIN(ROW('Temp Hisfa'!A$3:A$200))+1), ROW(85:283))),"")</f>
        <v>0</v>
      </c>
      <c r="B87" s="4">
        <f t="array" ref="B87">IFERROR(INDEX('Temp Hisfa'!B$3:B$200, SMALL(IF(ISERROR('Temp Hisfa'!B$3:B$200), "", ROW('Temp Hisfa'!B$3:B$200)-MIN(ROW('Temp Hisfa'!B$3:B$200))+1), ROW(85:283))),"")</f>
        <v>0</v>
      </c>
      <c r="C87" s="3">
        <f t="array" ref="C87">IFERROR(INDEX('Temp Hisfa'!C$3:C$200, SMALL(IF(ISERROR('Temp Hisfa'!C$3:C$200), "", ROW('Temp Hisfa'!C$3:C$200)-MIN(ROW('Temp Hisfa'!C$3:C$200))+1), ROW(85:283))),"")</f>
        <v>0</v>
      </c>
      <c r="D87" s="3">
        <f t="array" ref="D87">IFERROR(INDEX('Temp Hisfa'!D$3:D$200, SMALL(IF(ISERROR('Temp Hisfa'!D$3:D$200), "", ROW('Temp Hisfa'!D$3:D$200)-MIN(ROW('Temp Hisfa'!D$3:D$200))+1), ROW(85:283))),"")</f>
        <v>0</v>
      </c>
      <c r="E87" s="29">
        <f t="array" ref="E87">IFERROR(INDEX('Temp Hisfa'!E$3:E$200, SMALL(IF(ISERROR('Temp Hisfa'!E$3:E$200), "", ROW('Temp Hisfa'!E$3:E$200)-MIN(ROW('Temp Hisfa'!E$3:E$200))+1), ROW(85:284))),"")</f>
        <v>0</v>
      </c>
      <c r="F87" s="22">
        <f t="array" ref="F87">IFERROR(INDEX('Temp Hisfa'!F$3:F$200, SMALL(IF(ISERROR('Temp Hisfa'!F$3:F$200), "", ROW('Temp Hisfa'!F$3:F$200)-MIN(ROW('Temp Hisfa'!F$3:F$200))+1), ROW(85:284))),"")</f>
        <v>0</v>
      </c>
      <c r="G87" s="30">
        <f t="array" ref="G87">IFERROR(INDEX('Temp Hisfa'!G$3:G$200, SMALL(IF(ISERROR('Temp Hisfa'!G$3:G$200), "", ROW('Temp Hisfa'!G$3:G$200)-MIN(ROW('Temp Hisfa'!G$3:G$200))+1), ROW(85:284))),"")</f>
        <v>0</v>
      </c>
      <c r="H87" s="22">
        <f t="array" ref="H87">IFERROR(INDEX('Temp Hisfa'!H$3:H$200, SMALL(IF(ISERROR('Temp Hisfa'!H$3:H$200), "", ROW('Temp Hisfa'!H$3:H$200)-MIN(ROW('Temp Hisfa'!H$3:H$200))+1), ROW(85:284))),"")</f>
        <v>0</v>
      </c>
      <c r="I87" s="22">
        <f t="array" ref="I87">IFERROR(INDEX('Temp Hisfa'!I$3:I$200, SMALL(IF(ISERROR('Temp Hisfa'!I$3:I$200), "", ROW('Temp Hisfa'!I$3:I$200)-MIN(ROW('Temp Hisfa'!I$3:I$200))+1), ROW(85:284))),"")</f>
        <v>0</v>
      </c>
      <c r="J87" s="22">
        <f t="array" ref="J87">IFERROR(INDEX('Temp Hisfa'!J$3:J$200, SMALL(IF(ISERROR('Temp Hisfa'!J$3:J$200), "", ROW('Temp Hisfa'!J$3:J$200)-MIN(ROW('Temp Hisfa'!J$3:J$200))+1), ROW(85:284))),"")</f>
        <v>0</v>
      </c>
      <c r="K87" s="30">
        <f t="array" ref="K87">IFERROR(INDEX('Temp Hisfa'!K$3:K$200, SMALL(IF(ISERROR('Temp Hisfa'!K$3:K$200), "", ROW('Temp Hisfa'!K$3:K$200)-MIN(ROW('Temp Hisfa'!K$3:K$200))+1), ROW(85:284))),"")</f>
        <v>0</v>
      </c>
      <c r="L87" s="22">
        <f t="array" ref="L87">IFERROR(INDEX('Temp Hisfa'!L$3:L$200, SMALL(IF(ISERROR('Temp Hisfa'!L$3:L$200), "", ROW('Temp Hisfa'!L$3:L$200)-MIN(ROW('Temp Hisfa'!L$3:L$200))+1), ROW(85:284))),"")</f>
        <v>0</v>
      </c>
      <c r="M87" s="22">
        <f t="array" ref="M87">IFERROR(INDEX('Temp Hisfa'!M$3:M$200, SMALL(IF(ISERROR('Temp Hisfa'!M$3:M$200), "", ROW('Temp Hisfa'!M$3:M$200)-MIN(ROW('Temp Hisfa'!M$3:M$200))+1), ROW(85:284))),"")</f>
        <v>0</v>
      </c>
      <c r="N87" s="22">
        <f t="array" ref="N87">IFERROR(INDEX('Temp Hisfa'!N$3:N$200, SMALL(IF(ISERROR('Temp Hisfa'!N$3:N$200), "", ROW('Temp Hisfa'!N$3:N$200)-MIN(ROW('Temp Hisfa'!N$3:N$200))+1), ROW(85:284))),"")</f>
        <v>1900</v>
      </c>
      <c r="O87" s="22" t="str">
        <f t="array" ref="O87">IFERROR(INDEX('Temp Hisfa'!O$3:O$200, SMALL(IF(ISERROR('Temp Hisfa'!O$3:O$200), "", ROW('Temp Hisfa'!O$3:O$200)-MIN(ROW('Temp Hisfa'!O$3:O$200))+1), ROW(85:284))),"")</f>
        <v>enero</v>
      </c>
      <c r="P87" s="22">
        <f t="array" ref="P87">IFERROR(INDEX('Temp Hisfa'!P$3:P$200, SMALL(IF(ISERROR('Temp Hisfa'!P$3:P$200), "", ROW('Temp Hisfa'!P$3:P$200)-MIN(ROW('Temp Hisfa'!P$3:P$200))+1), ROW(85:284))),"")</f>
        <v>0</v>
      </c>
      <c r="Q87" s="22">
        <f t="array" ref="Q87">IFERROR(INDEX('Temp Hisfa'!Q$3:Q$200, SMALL(IF(ISERROR('Temp Hisfa'!Q$3:Q$200), "", ROW('Temp Hisfa'!Q$3:Q$200)-MIN(ROW('Temp Hisfa'!Q$3:Q$200))+1), ROW(85:284))),"")</f>
        <v>0</v>
      </c>
      <c r="R87" s="22">
        <f t="array" ref="R87">IFERROR(INDEX('Temp Hisfa'!R$3:R$200, SMALL(IF(ISERROR('Temp Hisfa'!R$3:R$200), "", ROW('Temp Hisfa'!R$3:R$200)-MIN(ROW('Temp Hisfa'!R$3:R$200))+1), ROW(85:284))),"")</f>
        <v>0</v>
      </c>
      <c r="S87" s="22">
        <f t="array" ref="S87">IFERROR(INDEX('Temp Hisfa'!S$3:S$200, SMALL(IF(ISERROR('Temp Hisfa'!S$3:S$200), "", ROW('Temp Hisfa'!S$3:S$200)-MIN(ROW('Temp Hisfa'!S$3:S$200))+1), ROW(85:284))),"")</f>
        <v>0</v>
      </c>
      <c r="T87" s="22">
        <f t="array" ref="T87">IFERROR(INDEX('Temp Hisfa'!T$3:T$200, SMALL(IF(ISERROR('Temp Hisfa'!T$3:T$200), "", ROW('Temp Hisfa'!T$3:T$200)-MIN(ROW('Temp Hisfa'!T$3:T$200))+1), ROW(85:284))),"")</f>
        <v>0</v>
      </c>
      <c r="U87" s="22">
        <f t="array" ref="U87">IFERROR(INDEX('Temp Hisfa'!U$3:U$200, SMALL(IF(ISERROR('Temp Hisfa'!U$3:U$200), "", ROW('Temp Hisfa'!U$3:U$200)-MIN(ROW('Temp Hisfa'!U$3:U$200))+1), ROW(85:284))),"")</f>
        <v>0</v>
      </c>
      <c r="V87" s="22">
        <f t="array" ref="V87">IFERROR(INDEX('Temp Hisfa'!V$3:V$200, SMALL(IF(ISERROR('Temp Hisfa'!V$3:V$200), "", ROW('Temp Hisfa'!V$3:V$200)-MIN(ROW('Temp Hisfa'!V$3:V$200))+1), ROW(85:284))),"")</f>
        <v>0</v>
      </c>
      <c r="W87" s="22">
        <f t="array" ref="W87">IFERROR(INDEX('Temp Hisfa'!W$3:W$200, SMALL(IF(ISERROR('Temp Hisfa'!W$3:W$200), "", ROW('Temp Hisfa'!W$3:W$200)-MIN(ROW('Temp Hisfa'!W$3:W$200))+1), ROW(85:284))),"")</f>
        <v>0</v>
      </c>
      <c r="X87" s="22">
        <f t="array" ref="X87">IFERROR(INDEX('Temp Hisfa'!X$3:X$200, SMALL(IF(ISERROR('Temp Hisfa'!X$3:X$200), "", ROW('Temp Hisfa'!X$3:X$200)-MIN(ROW('Temp Hisfa'!X$3:X$200))+1), ROW(85:284))),"")</f>
        <v>0</v>
      </c>
      <c r="Y87" s="22">
        <f t="array" ref="Y87">IFERROR(INDEX('Temp Hisfa'!Y$3:Y$200, SMALL(IF(ISERROR('Temp Hisfa'!Y$3:Y$200), "", ROW('Temp Hisfa'!Y$3:Y$200)-MIN(ROW('Temp Hisfa'!Y$3:Y$200))+1), ROW(85:284))),"")</f>
        <v>0</v>
      </c>
      <c r="Z87" s="22">
        <f t="array" ref="Z87">IFERROR(INDEX('Temp Hisfa'!Z$3:Z$200, SMALL(IF(ISERROR('Temp Hisfa'!Z$3:Z$200), "", ROW('Temp Hisfa'!Z$3:Z$200)-MIN(ROW('Temp Hisfa'!Z$3:Z$200))+1), ROW(85:284))),"")</f>
        <v>0</v>
      </c>
      <c r="AA87" s="22">
        <f t="array" ref="AA87">IFERROR(INDEX('Temp Hisfa'!AA$3:AA$200, SMALL(IF(ISERROR('Temp Hisfa'!AA$3:AA$200), "", ROW('Temp Hisfa'!AA$3:AA$200)-MIN(ROW('Temp Hisfa'!AA$3:AA$200))+1), ROW(85:284))),"")</f>
        <v>0</v>
      </c>
      <c r="AB87" s="22">
        <f t="array" ref="AB87">IFERROR(INDEX('Temp Hisfa'!AB$3:AB$200, SMALL(IF(ISERROR('Temp Hisfa'!AB$3:AB$200), "", ROW('Temp Hisfa'!AB$3:AB$200)-MIN(ROW('Temp Hisfa'!AB$3:AB$200))+1), ROW(85:284))),"")</f>
        <v>0</v>
      </c>
    </row>
    <row r="88" spans="1:28" x14ac:dyDescent="0.3">
      <c r="A88" s="4">
        <f t="array" ref="A88">IFERROR(INDEX('Temp Hisfa'!A$3:A$200, SMALL(IF(ISERROR('Temp Hisfa'!A$3:A$200), "", ROW('Temp Hisfa'!A$3:A$200)-MIN(ROW('Temp Hisfa'!A$3:A$200))+1), ROW(86:284))),"")</f>
        <v>0</v>
      </c>
      <c r="B88" s="4">
        <f t="array" ref="B88">IFERROR(INDEX('Temp Hisfa'!B$3:B$200, SMALL(IF(ISERROR('Temp Hisfa'!B$3:B$200), "", ROW('Temp Hisfa'!B$3:B$200)-MIN(ROW('Temp Hisfa'!B$3:B$200))+1), ROW(86:284))),"")</f>
        <v>0</v>
      </c>
      <c r="C88" s="3">
        <f t="array" ref="C88">IFERROR(INDEX('Temp Hisfa'!C$3:C$200, SMALL(IF(ISERROR('Temp Hisfa'!C$3:C$200), "", ROW('Temp Hisfa'!C$3:C$200)-MIN(ROW('Temp Hisfa'!C$3:C$200))+1), ROW(86:284))),"")</f>
        <v>0</v>
      </c>
      <c r="D88" s="3">
        <f t="array" ref="D88">IFERROR(INDEX('Temp Hisfa'!D$3:D$200, SMALL(IF(ISERROR('Temp Hisfa'!D$3:D$200), "", ROW('Temp Hisfa'!D$3:D$200)-MIN(ROW('Temp Hisfa'!D$3:D$200))+1), ROW(86:284))),"")</f>
        <v>0</v>
      </c>
      <c r="E88" s="29">
        <f t="array" ref="E88">IFERROR(INDEX('Temp Hisfa'!E$3:E$200, SMALL(IF(ISERROR('Temp Hisfa'!E$3:E$200), "", ROW('Temp Hisfa'!E$3:E$200)-MIN(ROW('Temp Hisfa'!E$3:E$200))+1), ROW(86:285))),"")</f>
        <v>0</v>
      </c>
      <c r="F88" s="22">
        <f t="array" ref="F88">IFERROR(INDEX('Temp Hisfa'!F$3:F$200, SMALL(IF(ISERROR('Temp Hisfa'!F$3:F$200), "", ROW('Temp Hisfa'!F$3:F$200)-MIN(ROW('Temp Hisfa'!F$3:F$200))+1), ROW(86:285))),"")</f>
        <v>0</v>
      </c>
      <c r="G88" s="30">
        <f t="array" ref="G88">IFERROR(INDEX('Temp Hisfa'!G$3:G$200, SMALL(IF(ISERROR('Temp Hisfa'!G$3:G$200), "", ROW('Temp Hisfa'!G$3:G$200)-MIN(ROW('Temp Hisfa'!G$3:G$200))+1), ROW(86:285))),"")</f>
        <v>0</v>
      </c>
      <c r="H88" s="22">
        <f t="array" ref="H88">IFERROR(INDEX('Temp Hisfa'!H$3:H$200, SMALL(IF(ISERROR('Temp Hisfa'!H$3:H$200), "", ROW('Temp Hisfa'!H$3:H$200)-MIN(ROW('Temp Hisfa'!H$3:H$200))+1), ROW(86:285))),"")</f>
        <v>0</v>
      </c>
      <c r="I88" s="22">
        <f t="array" ref="I88">IFERROR(INDEX('Temp Hisfa'!I$3:I$200, SMALL(IF(ISERROR('Temp Hisfa'!I$3:I$200), "", ROW('Temp Hisfa'!I$3:I$200)-MIN(ROW('Temp Hisfa'!I$3:I$200))+1), ROW(86:285))),"")</f>
        <v>0</v>
      </c>
      <c r="J88" s="22">
        <f t="array" ref="J88">IFERROR(INDEX('Temp Hisfa'!J$3:J$200, SMALL(IF(ISERROR('Temp Hisfa'!J$3:J$200), "", ROW('Temp Hisfa'!J$3:J$200)-MIN(ROW('Temp Hisfa'!J$3:J$200))+1), ROW(86:285))),"")</f>
        <v>0</v>
      </c>
      <c r="K88" s="30">
        <f t="array" ref="K88">IFERROR(INDEX('Temp Hisfa'!K$3:K$200, SMALL(IF(ISERROR('Temp Hisfa'!K$3:K$200), "", ROW('Temp Hisfa'!K$3:K$200)-MIN(ROW('Temp Hisfa'!K$3:K$200))+1), ROW(86:285))),"")</f>
        <v>0</v>
      </c>
      <c r="L88" s="22">
        <f t="array" ref="L88">IFERROR(INDEX('Temp Hisfa'!L$3:L$200, SMALL(IF(ISERROR('Temp Hisfa'!L$3:L$200), "", ROW('Temp Hisfa'!L$3:L$200)-MIN(ROW('Temp Hisfa'!L$3:L$200))+1), ROW(86:285))),"")</f>
        <v>0</v>
      </c>
      <c r="M88" s="22">
        <f t="array" ref="M88">IFERROR(INDEX('Temp Hisfa'!M$3:M$200, SMALL(IF(ISERROR('Temp Hisfa'!M$3:M$200), "", ROW('Temp Hisfa'!M$3:M$200)-MIN(ROW('Temp Hisfa'!M$3:M$200))+1), ROW(86:285))),"")</f>
        <v>0</v>
      </c>
      <c r="N88" s="22">
        <f t="array" ref="N88">IFERROR(INDEX('Temp Hisfa'!N$3:N$200, SMALL(IF(ISERROR('Temp Hisfa'!N$3:N$200), "", ROW('Temp Hisfa'!N$3:N$200)-MIN(ROW('Temp Hisfa'!N$3:N$200))+1), ROW(86:285))),"")</f>
        <v>1900</v>
      </c>
      <c r="O88" s="22" t="str">
        <f t="array" ref="O88">IFERROR(INDEX('Temp Hisfa'!O$3:O$200, SMALL(IF(ISERROR('Temp Hisfa'!O$3:O$200), "", ROW('Temp Hisfa'!O$3:O$200)-MIN(ROW('Temp Hisfa'!O$3:O$200))+1), ROW(86:285))),"")</f>
        <v>enero</v>
      </c>
      <c r="P88" s="22">
        <f t="array" ref="P88">IFERROR(INDEX('Temp Hisfa'!P$3:P$200, SMALL(IF(ISERROR('Temp Hisfa'!P$3:P$200), "", ROW('Temp Hisfa'!P$3:P$200)-MIN(ROW('Temp Hisfa'!P$3:P$200))+1), ROW(86:285))),"")</f>
        <v>0</v>
      </c>
      <c r="Q88" s="22">
        <f t="array" ref="Q88">IFERROR(INDEX('Temp Hisfa'!Q$3:Q$200, SMALL(IF(ISERROR('Temp Hisfa'!Q$3:Q$200), "", ROW('Temp Hisfa'!Q$3:Q$200)-MIN(ROW('Temp Hisfa'!Q$3:Q$200))+1), ROW(86:285))),"")</f>
        <v>0</v>
      </c>
      <c r="R88" s="22">
        <f t="array" ref="R88">IFERROR(INDEX('Temp Hisfa'!R$3:R$200, SMALL(IF(ISERROR('Temp Hisfa'!R$3:R$200), "", ROW('Temp Hisfa'!R$3:R$200)-MIN(ROW('Temp Hisfa'!R$3:R$200))+1), ROW(86:285))),"")</f>
        <v>0</v>
      </c>
      <c r="S88" s="22">
        <f t="array" ref="S88">IFERROR(INDEX('Temp Hisfa'!S$3:S$200, SMALL(IF(ISERROR('Temp Hisfa'!S$3:S$200), "", ROW('Temp Hisfa'!S$3:S$200)-MIN(ROW('Temp Hisfa'!S$3:S$200))+1), ROW(86:285))),"")</f>
        <v>0</v>
      </c>
      <c r="T88" s="22">
        <f t="array" ref="T88">IFERROR(INDEX('Temp Hisfa'!T$3:T$200, SMALL(IF(ISERROR('Temp Hisfa'!T$3:T$200), "", ROW('Temp Hisfa'!T$3:T$200)-MIN(ROW('Temp Hisfa'!T$3:T$200))+1), ROW(86:285))),"")</f>
        <v>0</v>
      </c>
      <c r="U88" s="22">
        <f t="array" ref="U88">IFERROR(INDEX('Temp Hisfa'!U$3:U$200, SMALL(IF(ISERROR('Temp Hisfa'!U$3:U$200), "", ROW('Temp Hisfa'!U$3:U$200)-MIN(ROW('Temp Hisfa'!U$3:U$200))+1), ROW(86:285))),"")</f>
        <v>0</v>
      </c>
      <c r="V88" s="22">
        <f t="array" ref="V88">IFERROR(INDEX('Temp Hisfa'!V$3:V$200, SMALL(IF(ISERROR('Temp Hisfa'!V$3:V$200), "", ROW('Temp Hisfa'!V$3:V$200)-MIN(ROW('Temp Hisfa'!V$3:V$200))+1), ROW(86:285))),"")</f>
        <v>0</v>
      </c>
      <c r="W88" s="22">
        <f t="array" ref="W88">IFERROR(INDEX('Temp Hisfa'!W$3:W$200, SMALL(IF(ISERROR('Temp Hisfa'!W$3:W$200), "", ROW('Temp Hisfa'!W$3:W$200)-MIN(ROW('Temp Hisfa'!W$3:W$200))+1), ROW(86:285))),"")</f>
        <v>0</v>
      </c>
      <c r="X88" s="22">
        <f t="array" ref="X88">IFERROR(INDEX('Temp Hisfa'!X$3:X$200, SMALL(IF(ISERROR('Temp Hisfa'!X$3:X$200), "", ROW('Temp Hisfa'!X$3:X$200)-MIN(ROW('Temp Hisfa'!X$3:X$200))+1), ROW(86:285))),"")</f>
        <v>0</v>
      </c>
      <c r="Y88" s="22">
        <f t="array" ref="Y88">IFERROR(INDEX('Temp Hisfa'!Y$3:Y$200, SMALL(IF(ISERROR('Temp Hisfa'!Y$3:Y$200), "", ROW('Temp Hisfa'!Y$3:Y$200)-MIN(ROW('Temp Hisfa'!Y$3:Y$200))+1), ROW(86:285))),"")</f>
        <v>0</v>
      </c>
      <c r="Z88" s="22">
        <f t="array" ref="Z88">IFERROR(INDEX('Temp Hisfa'!Z$3:Z$200, SMALL(IF(ISERROR('Temp Hisfa'!Z$3:Z$200), "", ROW('Temp Hisfa'!Z$3:Z$200)-MIN(ROW('Temp Hisfa'!Z$3:Z$200))+1), ROW(86:285))),"")</f>
        <v>0</v>
      </c>
      <c r="AA88" s="22">
        <f t="array" ref="AA88">IFERROR(INDEX('Temp Hisfa'!AA$3:AA$200, SMALL(IF(ISERROR('Temp Hisfa'!AA$3:AA$200), "", ROW('Temp Hisfa'!AA$3:AA$200)-MIN(ROW('Temp Hisfa'!AA$3:AA$200))+1), ROW(86:285))),"")</f>
        <v>0</v>
      </c>
      <c r="AB88" s="22">
        <f t="array" ref="AB88">IFERROR(INDEX('Temp Hisfa'!AB$3:AB$200, SMALL(IF(ISERROR('Temp Hisfa'!AB$3:AB$200), "", ROW('Temp Hisfa'!AB$3:AB$200)-MIN(ROW('Temp Hisfa'!AB$3:AB$200))+1), ROW(86:285))),"")</f>
        <v>0</v>
      </c>
    </row>
    <row r="89" spans="1:28" x14ac:dyDescent="0.3">
      <c r="A89" s="4">
        <f t="array" ref="A89">IFERROR(INDEX('Temp Hisfa'!A$3:A$200, SMALL(IF(ISERROR('Temp Hisfa'!A$3:A$200), "", ROW('Temp Hisfa'!A$3:A$200)-MIN(ROW('Temp Hisfa'!A$3:A$200))+1), ROW(87:285))),"")</f>
        <v>0</v>
      </c>
      <c r="B89" s="4">
        <f t="array" ref="B89">IFERROR(INDEX('Temp Hisfa'!B$3:B$200, SMALL(IF(ISERROR('Temp Hisfa'!B$3:B$200), "", ROW('Temp Hisfa'!B$3:B$200)-MIN(ROW('Temp Hisfa'!B$3:B$200))+1), ROW(87:285))),"")</f>
        <v>0</v>
      </c>
      <c r="C89" s="3">
        <f t="array" ref="C89">IFERROR(INDEX('Temp Hisfa'!C$3:C$200, SMALL(IF(ISERROR('Temp Hisfa'!C$3:C$200), "", ROW('Temp Hisfa'!C$3:C$200)-MIN(ROW('Temp Hisfa'!C$3:C$200))+1), ROW(87:285))),"")</f>
        <v>0</v>
      </c>
      <c r="D89" s="3">
        <f t="array" ref="D89">IFERROR(INDEX('Temp Hisfa'!D$3:D$200, SMALL(IF(ISERROR('Temp Hisfa'!D$3:D$200), "", ROW('Temp Hisfa'!D$3:D$200)-MIN(ROW('Temp Hisfa'!D$3:D$200))+1), ROW(87:285))),"")</f>
        <v>0</v>
      </c>
      <c r="E89" s="29">
        <f t="array" ref="E89">IFERROR(INDEX('Temp Hisfa'!E$3:E$200, SMALL(IF(ISERROR('Temp Hisfa'!E$3:E$200), "", ROW('Temp Hisfa'!E$3:E$200)-MIN(ROW('Temp Hisfa'!E$3:E$200))+1), ROW(87:286))),"")</f>
        <v>0</v>
      </c>
      <c r="F89" s="22">
        <f t="array" ref="F89">IFERROR(INDEX('Temp Hisfa'!F$3:F$200, SMALL(IF(ISERROR('Temp Hisfa'!F$3:F$200), "", ROW('Temp Hisfa'!F$3:F$200)-MIN(ROW('Temp Hisfa'!F$3:F$200))+1), ROW(87:286))),"")</f>
        <v>0</v>
      </c>
      <c r="G89" s="30">
        <f t="array" ref="G89">IFERROR(INDEX('Temp Hisfa'!G$3:G$200, SMALL(IF(ISERROR('Temp Hisfa'!G$3:G$200), "", ROW('Temp Hisfa'!G$3:G$200)-MIN(ROW('Temp Hisfa'!G$3:G$200))+1), ROW(87:286))),"")</f>
        <v>0</v>
      </c>
      <c r="H89" s="22">
        <f t="array" ref="H89">IFERROR(INDEX('Temp Hisfa'!H$3:H$200, SMALL(IF(ISERROR('Temp Hisfa'!H$3:H$200), "", ROW('Temp Hisfa'!H$3:H$200)-MIN(ROW('Temp Hisfa'!H$3:H$200))+1), ROW(87:286))),"")</f>
        <v>0</v>
      </c>
      <c r="I89" s="22">
        <f t="array" ref="I89">IFERROR(INDEX('Temp Hisfa'!I$3:I$200, SMALL(IF(ISERROR('Temp Hisfa'!I$3:I$200), "", ROW('Temp Hisfa'!I$3:I$200)-MIN(ROW('Temp Hisfa'!I$3:I$200))+1), ROW(87:286))),"")</f>
        <v>0</v>
      </c>
      <c r="J89" s="22">
        <f t="array" ref="J89">IFERROR(INDEX('Temp Hisfa'!J$3:J$200, SMALL(IF(ISERROR('Temp Hisfa'!J$3:J$200), "", ROW('Temp Hisfa'!J$3:J$200)-MIN(ROW('Temp Hisfa'!J$3:J$200))+1), ROW(87:286))),"")</f>
        <v>0</v>
      </c>
      <c r="K89" s="30">
        <f t="array" ref="K89">IFERROR(INDEX('Temp Hisfa'!K$3:K$200, SMALL(IF(ISERROR('Temp Hisfa'!K$3:K$200), "", ROW('Temp Hisfa'!K$3:K$200)-MIN(ROW('Temp Hisfa'!K$3:K$200))+1), ROW(87:286))),"")</f>
        <v>0</v>
      </c>
      <c r="L89" s="22">
        <f t="array" ref="L89">IFERROR(INDEX('Temp Hisfa'!L$3:L$200, SMALL(IF(ISERROR('Temp Hisfa'!L$3:L$200), "", ROW('Temp Hisfa'!L$3:L$200)-MIN(ROW('Temp Hisfa'!L$3:L$200))+1), ROW(87:286))),"")</f>
        <v>0</v>
      </c>
      <c r="M89" s="22">
        <f t="array" ref="M89">IFERROR(INDEX('Temp Hisfa'!M$3:M$200, SMALL(IF(ISERROR('Temp Hisfa'!M$3:M$200), "", ROW('Temp Hisfa'!M$3:M$200)-MIN(ROW('Temp Hisfa'!M$3:M$200))+1), ROW(87:286))),"")</f>
        <v>0</v>
      </c>
      <c r="N89" s="22">
        <f t="array" ref="N89">IFERROR(INDEX('Temp Hisfa'!N$3:N$200, SMALL(IF(ISERROR('Temp Hisfa'!N$3:N$200), "", ROW('Temp Hisfa'!N$3:N$200)-MIN(ROW('Temp Hisfa'!N$3:N$200))+1), ROW(87:286))),"")</f>
        <v>1900</v>
      </c>
      <c r="O89" s="22" t="str">
        <f t="array" ref="O89">IFERROR(INDEX('Temp Hisfa'!O$3:O$200, SMALL(IF(ISERROR('Temp Hisfa'!O$3:O$200), "", ROW('Temp Hisfa'!O$3:O$200)-MIN(ROW('Temp Hisfa'!O$3:O$200))+1), ROW(87:286))),"")</f>
        <v>enero</v>
      </c>
      <c r="P89" s="22">
        <f t="array" ref="P89">IFERROR(INDEX('Temp Hisfa'!P$3:P$200, SMALL(IF(ISERROR('Temp Hisfa'!P$3:P$200), "", ROW('Temp Hisfa'!P$3:P$200)-MIN(ROW('Temp Hisfa'!P$3:P$200))+1), ROW(87:286))),"")</f>
        <v>0</v>
      </c>
      <c r="Q89" s="22">
        <f t="array" ref="Q89">IFERROR(INDEX('Temp Hisfa'!Q$3:Q$200, SMALL(IF(ISERROR('Temp Hisfa'!Q$3:Q$200), "", ROW('Temp Hisfa'!Q$3:Q$200)-MIN(ROW('Temp Hisfa'!Q$3:Q$200))+1), ROW(87:286))),"")</f>
        <v>0</v>
      </c>
      <c r="R89" s="22">
        <f t="array" ref="R89">IFERROR(INDEX('Temp Hisfa'!R$3:R$200, SMALL(IF(ISERROR('Temp Hisfa'!R$3:R$200), "", ROW('Temp Hisfa'!R$3:R$200)-MIN(ROW('Temp Hisfa'!R$3:R$200))+1), ROW(87:286))),"")</f>
        <v>0</v>
      </c>
      <c r="S89" s="22">
        <f t="array" ref="S89">IFERROR(INDEX('Temp Hisfa'!S$3:S$200, SMALL(IF(ISERROR('Temp Hisfa'!S$3:S$200), "", ROW('Temp Hisfa'!S$3:S$200)-MIN(ROW('Temp Hisfa'!S$3:S$200))+1), ROW(87:286))),"")</f>
        <v>0</v>
      </c>
      <c r="T89" s="22">
        <f t="array" ref="T89">IFERROR(INDEX('Temp Hisfa'!T$3:T$200, SMALL(IF(ISERROR('Temp Hisfa'!T$3:T$200), "", ROW('Temp Hisfa'!T$3:T$200)-MIN(ROW('Temp Hisfa'!T$3:T$200))+1), ROW(87:286))),"")</f>
        <v>0</v>
      </c>
      <c r="U89" s="22">
        <f t="array" ref="U89">IFERROR(INDEX('Temp Hisfa'!U$3:U$200, SMALL(IF(ISERROR('Temp Hisfa'!U$3:U$200), "", ROW('Temp Hisfa'!U$3:U$200)-MIN(ROW('Temp Hisfa'!U$3:U$200))+1), ROW(87:286))),"")</f>
        <v>0</v>
      </c>
      <c r="V89" s="22">
        <f t="array" ref="V89">IFERROR(INDEX('Temp Hisfa'!V$3:V$200, SMALL(IF(ISERROR('Temp Hisfa'!V$3:V$200), "", ROW('Temp Hisfa'!V$3:V$200)-MIN(ROW('Temp Hisfa'!V$3:V$200))+1), ROW(87:286))),"")</f>
        <v>0</v>
      </c>
      <c r="W89" s="22">
        <f t="array" ref="W89">IFERROR(INDEX('Temp Hisfa'!W$3:W$200, SMALL(IF(ISERROR('Temp Hisfa'!W$3:W$200), "", ROW('Temp Hisfa'!W$3:W$200)-MIN(ROW('Temp Hisfa'!W$3:W$200))+1), ROW(87:286))),"")</f>
        <v>0</v>
      </c>
      <c r="X89" s="22">
        <f t="array" ref="X89">IFERROR(INDEX('Temp Hisfa'!X$3:X$200, SMALL(IF(ISERROR('Temp Hisfa'!X$3:X$200), "", ROW('Temp Hisfa'!X$3:X$200)-MIN(ROW('Temp Hisfa'!X$3:X$200))+1), ROW(87:286))),"")</f>
        <v>0</v>
      </c>
      <c r="Y89" s="22">
        <f t="array" ref="Y89">IFERROR(INDEX('Temp Hisfa'!Y$3:Y$200, SMALL(IF(ISERROR('Temp Hisfa'!Y$3:Y$200), "", ROW('Temp Hisfa'!Y$3:Y$200)-MIN(ROW('Temp Hisfa'!Y$3:Y$200))+1), ROW(87:286))),"")</f>
        <v>0</v>
      </c>
      <c r="Z89" s="22">
        <f t="array" ref="Z89">IFERROR(INDEX('Temp Hisfa'!Z$3:Z$200, SMALL(IF(ISERROR('Temp Hisfa'!Z$3:Z$200), "", ROW('Temp Hisfa'!Z$3:Z$200)-MIN(ROW('Temp Hisfa'!Z$3:Z$200))+1), ROW(87:286))),"")</f>
        <v>0</v>
      </c>
      <c r="AA89" s="22">
        <f t="array" ref="AA89">IFERROR(INDEX('Temp Hisfa'!AA$3:AA$200, SMALL(IF(ISERROR('Temp Hisfa'!AA$3:AA$200), "", ROW('Temp Hisfa'!AA$3:AA$200)-MIN(ROW('Temp Hisfa'!AA$3:AA$200))+1), ROW(87:286))),"")</f>
        <v>0</v>
      </c>
      <c r="AB89" s="22">
        <f t="array" ref="AB89">IFERROR(INDEX('Temp Hisfa'!AB$3:AB$200, SMALL(IF(ISERROR('Temp Hisfa'!AB$3:AB$200), "", ROW('Temp Hisfa'!AB$3:AB$200)-MIN(ROW('Temp Hisfa'!AB$3:AB$200))+1), ROW(87:286))),"")</f>
        <v>0</v>
      </c>
    </row>
    <row r="90" spans="1:28" x14ac:dyDescent="0.3">
      <c r="A90" s="4">
        <f t="array" ref="A90">IFERROR(INDEX('Temp Hisfa'!A$3:A$200, SMALL(IF(ISERROR('Temp Hisfa'!A$3:A$200), "", ROW('Temp Hisfa'!A$3:A$200)-MIN(ROW('Temp Hisfa'!A$3:A$200))+1), ROW(88:286))),"")</f>
        <v>0</v>
      </c>
      <c r="B90" s="4">
        <f t="array" ref="B90">IFERROR(INDEX('Temp Hisfa'!B$3:B$200, SMALL(IF(ISERROR('Temp Hisfa'!B$3:B$200), "", ROW('Temp Hisfa'!B$3:B$200)-MIN(ROW('Temp Hisfa'!B$3:B$200))+1), ROW(88:286))),"")</f>
        <v>0</v>
      </c>
      <c r="C90" s="3">
        <f t="array" ref="C90">IFERROR(INDEX('Temp Hisfa'!C$3:C$200, SMALL(IF(ISERROR('Temp Hisfa'!C$3:C$200), "", ROW('Temp Hisfa'!C$3:C$200)-MIN(ROW('Temp Hisfa'!C$3:C$200))+1), ROW(88:286))),"")</f>
        <v>0</v>
      </c>
      <c r="D90" s="3">
        <f t="array" ref="D90">IFERROR(INDEX('Temp Hisfa'!D$3:D$200, SMALL(IF(ISERROR('Temp Hisfa'!D$3:D$200), "", ROW('Temp Hisfa'!D$3:D$200)-MIN(ROW('Temp Hisfa'!D$3:D$200))+1), ROW(88:286))),"")</f>
        <v>0</v>
      </c>
      <c r="E90" s="29">
        <f t="array" ref="E90">IFERROR(INDEX('Temp Hisfa'!E$3:E$200, SMALL(IF(ISERROR('Temp Hisfa'!E$3:E$200), "", ROW('Temp Hisfa'!E$3:E$200)-MIN(ROW('Temp Hisfa'!E$3:E$200))+1), ROW(88:287))),"")</f>
        <v>0</v>
      </c>
      <c r="F90" s="22">
        <f t="array" ref="F90">IFERROR(INDEX('Temp Hisfa'!F$3:F$200, SMALL(IF(ISERROR('Temp Hisfa'!F$3:F$200), "", ROW('Temp Hisfa'!F$3:F$200)-MIN(ROW('Temp Hisfa'!F$3:F$200))+1), ROW(88:287))),"")</f>
        <v>0</v>
      </c>
      <c r="G90" s="30">
        <f t="array" ref="G90">IFERROR(INDEX('Temp Hisfa'!G$3:G$200, SMALL(IF(ISERROR('Temp Hisfa'!G$3:G$200), "", ROW('Temp Hisfa'!G$3:G$200)-MIN(ROW('Temp Hisfa'!G$3:G$200))+1), ROW(88:287))),"")</f>
        <v>0</v>
      </c>
      <c r="H90" s="22">
        <f t="array" ref="H90">IFERROR(INDEX('Temp Hisfa'!H$3:H$200, SMALL(IF(ISERROR('Temp Hisfa'!H$3:H$200), "", ROW('Temp Hisfa'!H$3:H$200)-MIN(ROW('Temp Hisfa'!H$3:H$200))+1), ROW(88:287))),"")</f>
        <v>0</v>
      </c>
      <c r="I90" s="22">
        <f t="array" ref="I90">IFERROR(INDEX('Temp Hisfa'!I$3:I$200, SMALL(IF(ISERROR('Temp Hisfa'!I$3:I$200), "", ROW('Temp Hisfa'!I$3:I$200)-MIN(ROW('Temp Hisfa'!I$3:I$200))+1), ROW(88:287))),"")</f>
        <v>0</v>
      </c>
      <c r="J90" s="22">
        <f t="array" ref="J90">IFERROR(INDEX('Temp Hisfa'!J$3:J$200, SMALL(IF(ISERROR('Temp Hisfa'!J$3:J$200), "", ROW('Temp Hisfa'!J$3:J$200)-MIN(ROW('Temp Hisfa'!J$3:J$200))+1), ROW(88:287))),"")</f>
        <v>0</v>
      </c>
      <c r="K90" s="30">
        <f t="array" ref="K90">IFERROR(INDEX('Temp Hisfa'!K$3:K$200, SMALL(IF(ISERROR('Temp Hisfa'!K$3:K$200), "", ROW('Temp Hisfa'!K$3:K$200)-MIN(ROW('Temp Hisfa'!K$3:K$200))+1), ROW(88:287))),"")</f>
        <v>0</v>
      </c>
      <c r="L90" s="22">
        <f t="array" ref="L90">IFERROR(INDEX('Temp Hisfa'!L$3:L$200, SMALL(IF(ISERROR('Temp Hisfa'!L$3:L$200), "", ROW('Temp Hisfa'!L$3:L$200)-MIN(ROW('Temp Hisfa'!L$3:L$200))+1), ROW(88:287))),"")</f>
        <v>0</v>
      </c>
      <c r="M90" s="22">
        <f t="array" ref="M90">IFERROR(INDEX('Temp Hisfa'!M$3:M$200, SMALL(IF(ISERROR('Temp Hisfa'!M$3:M$200), "", ROW('Temp Hisfa'!M$3:M$200)-MIN(ROW('Temp Hisfa'!M$3:M$200))+1), ROW(88:287))),"")</f>
        <v>0</v>
      </c>
      <c r="N90" s="22">
        <f t="array" ref="N90">IFERROR(INDEX('Temp Hisfa'!N$3:N$200, SMALL(IF(ISERROR('Temp Hisfa'!N$3:N$200), "", ROW('Temp Hisfa'!N$3:N$200)-MIN(ROW('Temp Hisfa'!N$3:N$200))+1), ROW(88:287))),"")</f>
        <v>1900</v>
      </c>
      <c r="O90" s="22" t="str">
        <f t="array" ref="O90">IFERROR(INDEX('Temp Hisfa'!O$3:O$200, SMALL(IF(ISERROR('Temp Hisfa'!O$3:O$200), "", ROW('Temp Hisfa'!O$3:O$200)-MIN(ROW('Temp Hisfa'!O$3:O$200))+1), ROW(88:287))),"")</f>
        <v>enero</v>
      </c>
      <c r="P90" s="22">
        <f t="array" ref="P90">IFERROR(INDEX('Temp Hisfa'!P$3:P$200, SMALL(IF(ISERROR('Temp Hisfa'!P$3:P$200), "", ROW('Temp Hisfa'!P$3:P$200)-MIN(ROW('Temp Hisfa'!P$3:P$200))+1), ROW(88:287))),"")</f>
        <v>0</v>
      </c>
      <c r="Q90" s="22">
        <f t="array" ref="Q90">IFERROR(INDEX('Temp Hisfa'!Q$3:Q$200, SMALL(IF(ISERROR('Temp Hisfa'!Q$3:Q$200), "", ROW('Temp Hisfa'!Q$3:Q$200)-MIN(ROW('Temp Hisfa'!Q$3:Q$200))+1), ROW(88:287))),"")</f>
        <v>0</v>
      </c>
      <c r="R90" s="22">
        <f t="array" ref="R90">IFERROR(INDEX('Temp Hisfa'!R$3:R$200, SMALL(IF(ISERROR('Temp Hisfa'!R$3:R$200), "", ROW('Temp Hisfa'!R$3:R$200)-MIN(ROW('Temp Hisfa'!R$3:R$200))+1), ROW(88:287))),"")</f>
        <v>0</v>
      </c>
      <c r="S90" s="22">
        <f t="array" ref="S90">IFERROR(INDEX('Temp Hisfa'!S$3:S$200, SMALL(IF(ISERROR('Temp Hisfa'!S$3:S$200), "", ROW('Temp Hisfa'!S$3:S$200)-MIN(ROW('Temp Hisfa'!S$3:S$200))+1), ROW(88:287))),"")</f>
        <v>0</v>
      </c>
      <c r="T90" s="22">
        <f t="array" ref="T90">IFERROR(INDEX('Temp Hisfa'!T$3:T$200, SMALL(IF(ISERROR('Temp Hisfa'!T$3:T$200), "", ROW('Temp Hisfa'!T$3:T$200)-MIN(ROW('Temp Hisfa'!T$3:T$200))+1), ROW(88:287))),"")</f>
        <v>0</v>
      </c>
      <c r="U90" s="22">
        <f t="array" ref="U90">IFERROR(INDEX('Temp Hisfa'!U$3:U$200, SMALL(IF(ISERROR('Temp Hisfa'!U$3:U$200), "", ROW('Temp Hisfa'!U$3:U$200)-MIN(ROW('Temp Hisfa'!U$3:U$200))+1), ROW(88:287))),"")</f>
        <v>0</v>
      </c>
      <c r="V90" s="22">
        <f t="array" ref="V90">IFERROR(INDEX('Temp Hisfa'!V$3:V$200, SMALL(IF(ISERROR('Temp Hisfa'!V$3:V$200), "", ROW('Temp Hisfa'!V$3:V$200)-MIN(ROW('Temp Hisfa'!V$3:V$200))+1), ROW(88:287))),"")</f>
        <v>0</v>
      </c>
      <c r="W90" s="22">
        <f t="array" ref="W90">IFERROR(INDEX('Temp Hisfa'!W$3:W$200, SMALL(IF(ISERROR('Temp Hisfa'!W$3:W$200), "", ROW('Temp Hisfa'!W$3:W$200)-MIN(ROW('Temp Hisfa'!W$3:W$200))+1), ROW(88:287))),"")</f>
        <v>0</v>
      </c>
      <c r="X90" s="22">
        <f t="array" ref="X90">IFERROR(INDEX('Temp Hisfa'!X$3:X$200, SMALL(IF(ISERROR('Temp Hisfa'!X$3:X$200), "", ROW('Temp Hisfa'!X$3:X$200)-MIN(ROW('Temp Hisfa'!X$3:X$200))+1), ROW(88:287))),"")</f>
        <v>0</v>
      </c>
      <c r="Y90" s="22">
        <f t="array" ref="Y90">IFERROR(INDEX('Temp Hisfa'!Y$3:Y$200, SMALL(IF(ISERROR('Temp Hisfa'!Y$3:Y$200), "", ROW('Temp Hisfa'!Y$3:Y$200)-MIN(ROW('Temp Hisfa'!Y$3:Y$200))+1), ROW(88:287))),"")</f>
        <v>0</v>
      </c>
      <c r="Z90" s="22">
        <f t="array" ref="Z90">IFERROR(INDEX('Temp Hisfa'!Z$3:Z$200, SMALL(IF(ISERROR('Temp Hisfa'!Z$3:Z$200), "", ROW('Temp Hisfa'!Z$3:Z$200)-MIN(ROW('Temp Hisfa'!Z$3:Z$200))+1), ROW(88:287))),"")</f>
        <v>0</v>
      </c>
      <c r="AA90" s="22">
        <f t="array" ref="AA90">IFERROR(INDEX('Temp Hisfa'!AA$3:AA$200, SMALL(IF(ISERROR('Temp Hisfa'!AA$3:AA$200), "", ROW('Temp Hisfa'!AA$3:AA$200)-MIN(ROW('Temp Hisfa'!AA$3:AA$200))+1), ROW(88:287))),"")</f>
        <v>0</v>
      </c>
      <c r="AB90" s="22">
        <f t="array" ref="AB90">IFERROR(INDEX('Temp Hisfa'!AB$3:AB$200, SMALL(IF(ISERROR('Temp Hisfa'!AB$3:AB$200), "", ROW('Temp Hisfa'!AB$3:AB$200)-MIN(ROW('Temp Hisfa'!AB$3:AB$200))+1), ROW(88:287))),"")</f>
        <v>0</v>
      </c>
    </row>
    <row r="91" spans="1:28" x14ac:dyDescent="0.3">
      <c r="A91" s="4">
        <f t="array" ref="A91">IFERROR(INDEX('Temp Hisfa'!A$3:A$200, SMALL(IF(ISERROR('Temp Hisfa'!A$3:A$200), "", ROW('Temp Hisfa'!A$3:A$200)-MIN(ROW('Temp Hisfa'!A$3:A$200))+1), ROW(89:287))),"")</f>
        <v>0</v>
      </c>
      <c r="B91" s="4">
        <f t="array" ref="B91">IFERROR(INDEX('Temp Hisfa'!B$3:B$200, SMALL(IF(ISERROR('Temp Hisfa'!B$3:B$200), "", ROW('Temp Hisfa'!B$3:B$200)-MIN(ROW('Temp Hisfa'!B$3:B$200))+1), ROW(89:287))),"")</f>
        <v>0</v>
      </c>
      <c r="C91" s="3">
        <f t="array" ref="C91">IFERROR(INDEX('Temp Hisfa'!C$3:C$200, SMALL(IF(ISERROR('Temp Hisfa'!C$3:C$200), "", ROW('Temp Hisfa'!C$3:C$200)-MIN(ROW('Temp Hisfa'!C$3:C$200))+1), ROW(89:287))),"")</f>
        <v>0</v>
      </c>
      <c r="D91" s="3">
        <f t="array" ref="D91">IFERROR(INDEX('Temp Hisfa'!D$3:D$200, SMALL(IF(ISERROR('Temp Hisfa'!D$3:D$200), "", ROW('Temp Hisfa'!D$3:D$200)-MIN(ROW('Temp Hisfa'!D$3:D$200))+1), ROW(89:287))),"")</f>
        <v>0</v>
      </c>
      <c r="E91" s="29">
        <f t="array" ref="E91">IFERROR(INDEX('Temp Hisfa'!E$3:E$200, SMALL(IF(ISERROR('Temp Hisfa'!E$3:E$200), "", ROW('Temp Hisfa'!E$3:E$200)-MIN(ROW('Temp Hisfa'!E$3:E$200))+1), ROW(89:288))),"")</f>
        <v>0</v>
      </c>
      <c r="F91" s="22">
        <f t="array" ref="F91">IFERROR(INDEX('Temp Hisfa'!F$3:F$200, SMALL(IF(ISERROR('Temp Hisfa'!F$3:F$200), "", ROW('Temp Hisfa'!F$3:F$200)-MIN(ROW('Temp Hisfa'!F$3:F$200))+1), ROW(89:288))),"")</f>
        <v>0</v>
      </c>
      <c r="G91" s="30">
        <f t="array" ref="G91">IFERROR(INDEX('Temp Hisfa'!G$3:G$200, SMALL(IF(ISERROR('Temp Hisfa'!G$3:G$200), "", ROW('Temp Hisfa'!G$3:G$200)-MIN(ROW('Temp Hisfa'!G$3:G$200))+1), ROW(89:288))),"")</f>
        <v>0</v>
      </c>
      <c r="H91" s="22">
        <f t="array" ref="H91">IFERROR(INDEX('Temp Hisfa'!H$3:H$200, SMALL(IF(ISERROR('Temp Hisfa'!H$3:H$200), "", ROW('Temp Hisfa'!H$3:H$200)-MIN(ROW('Temp Hisfa'!H$3:H$200))+1), ROW(89:288))),"")</f>
        <v>0</v>
      </c>
      <c r="I91" s="22">
        <f t="array" ref="I91">IFERROR(INDEX('Temp Hisfa'!I$3:I$200, SMALL(IF(ISERROR('Temp Hisfa'!I$3:I$200), "", ROW('Temp Hisfa'!I$3:I$200)-MIN(ROW('Temp Hisfa'!I$3:I$200))+1), ROW(89:288))),"")</f>
        <v>0</v>
      </c>
      <c r="J91" s="22">
        <f t="array" ref="J91">IFERROR(INDEX('Temp Hisfa'!J$3:J$200, SMALL(IF(ISERROR('Temp Hisfa'!J$3:J$200), "", ROW('Temp Hisfa'!J$3:J$200)-MIN(ROW('Temp Hisfa'!J$3:J$200))+1), ROW(89:288))),"")</f>
        <v>0</v>
      </c>
      <c r="K91" s="30">
        <f t="array" ref="K91">IFERROR(INDEX('Temp Hisfa'!K$3:K$200, SMALL(IF(ISERROR('Temp Hisfa'!K$3:K$200), "", ROW('Temp Hisfa'!K$3:K$200)-MIN(ROW('Temp Hisfa'!K$3:K$200))+1), ROW(89:288))),"")</f>
        <v>0</v>
      </c>
      <c r="L91" s="22">
        <f t="array" ref="L91">IFERROR(INDEX('Temp Hisfa'!L$3:L$200, SMALL(IF(ISERROR('Temp Hisfa'!L$3:L$200), "", ROW('Temp Hisfa'!L$3:L$200)-MIN(ROW('Temp Hisfa'!L$3:L$200))+1), ROW(89:288))),"")</f>
        <v>0</v>
      </c>
      <c r="M91" s="22">
        <f t="array" ref="M91">IFERROR(INDEX('Temp Hisfa'!M$3:M$200, SMALL(IF(ISERROR('Temp Hisfa'!M$3:M$200), "", ROW('Temp Hisfa'!M$3:M$200)-MIN(ROW('Temp Hisfa'!M$3:M$200))+1), ROW(89:288))),"")</f>
        <v>0</v>
      </c>
      <c r="N91" s="22">
        <f t="array" ref="N91">IFERROR(INDEX('Temp Hisfa'!N$3:N$200, SMALL(IF(ISERROR('Temp Hisfa'!N$3:N$200), "", ROW('Temp Hisfa'!N$3:N$200)-MIN(ROW('Temp Hisfa'!N$3:N$200))+1), ROW(89:288))),"")</f>
        <v>1900</v>
      </c>
      <c r="O91" s="22" t="str">
        <f t="array" ref="O91">IFERROR(INDEX('Temp Hisfa'!O$3:O$200, SMALL(IF(ISERROR('Temp Hisfa'!O$3:O$200), "", ROW('Temp Hisfa'!O$3:O$200)-MIN(ROW('Temp Hisfa'!O$3:O$200))+1), ROW(89:288))),"")</f>
        <v>enero</v>
      </c>
      <c r="P91" s="22">
        <f t="array" ref="P91">IFERROR(INDEX('Temp Hisfa'!P$3:P$200, SMALL(IF(ISERROR('Temp Hisfa'!P$3:P$200), "", ROW('Temp Hisfa'!P$3:P$200)-MIN(ROW('Temp Hisfa'!P$3:P$200))+1), ROW(89:288))),"")</f>
        <v>0</v>
      </c>
      <c r="Q91" s="22">
        <f t="array" ref="Q91">IFERROR(INDEX('Temp Hisfa'!Q$3:Q$200, SMALL(IF(ISERROR('Temp Hisfa'!Q$3:Q$200), "", ROW('Temp Hisfa'!Q$3:Q$200)-MIN(ROW('Temp Hisfa'!Q$3:Q$200))+1), ROW(89:288))),"")</f>
        <v>0</v>
      </c>
      <c r="R91" s="22">
        <f t="array" ref="R91">IFERROR(INDEX('Temp Hisfa'!R$3:R$200, SMALL(IF(ISERROR('Temp Hisfa'!R$3:R$200), "", ROW('Temp Hisfa'!R$3:R$200)-MIN(ROW('Temp Hisfa'!R$3:R$200))+1), ROW(89:288))),"")</f>
        <v>0</v>
      </c>
      <c r="S91" s="22">
        <f t="array" ref="S91">IFERROR(INDEX('Temp Hisfa'!S$3:S$200, SMALL(IF(ISERROR('Temp Hisfa'!S$3:S$200), "", ROW('Temp Hisfa'!S$3:S$200)-MIN(ROW('Temp Hisfa'!S$3:S$200))+1), ROW(89:288))),"")</f>
        <v>0</v>
      </c>
      <c r="T91" s="22">
        <f t="array" ref="T91">IFERROR(INDEX('Temp Hisfa'!T$3:T$200, SMALL(IF(ISERROR('Temp Hisfa'!T$3:T$200), "", ROW('Temp Hisfa'!T$3:T$200)-MIN(ROW('Temp Hisfa'!T$3:T$200))+1), ROW(89:288))),"")</f>
        <v>0</v>
      </c>
      <c r="U91" s="22">
        <f t="array" ref="U91">IFERROR(INDEX('Temp Hisfa'!U$3:U$200, SMALL(IF(ISERROR('Temp Hisfa'!U$3:U$200), "", ROW('Temp Hisfa'!U$3:U$200)-MIN(ROW('Temp Hisfa'!U$3:U$200))+1), ROW(89:288))),"")</f>
        <v>0</v>
      </c>
      <c r="V91" s="22">
        <f t="array" ref="V91">IFERROR(INDEX('Temp Hisfa'!V$3:V$200, SMALL(IF(ISERROR('Temp Hisfa'!V$3:V$200), "", ROW('Temp Hisfa'!V$3:V$200)-MIN(ROW('Temp Hisfa'!V$3:V$200))+1), ROW(89:288))),"")</f>
        <v>0</v>
      </c>
      <c r="W91" s="22">
        <f t="array" ref="W91">IFERROR(INDEX('Temp Hisfa'!W$3:W$200, SMALL(IF(ISERROR('Temp Hisfa'!W$3:W$200), "", ROW('Temp Hisfa'!W$3:W$200)-MIN(ROW('Temp Hisfa'!W$3:W$200))+1), ROW(89:288))),"")</f>
        <v>0</v>
      </c>
      <c r="X91" s="22">
        <f t="array" ref="X91">IFERROR(INDEX('Temp Hisfa'!X$3:X$200, SMALL(IF(ISERROR('Temp Hisfa'!X$3:X$200), "", ROW('Temp Hisfa'!X$3:X$200)-MIN(ROW('Temp Hisfa'!X$3:X$200))+1), ROW(89:288))),"")</f>
        <v>0</v>
      </c>
      <c r="Y91" s="22">
        <f t="array" ref="Y91">IFERROR(INDEX('Temp Hisfa'!Y$3:Y$200, SMALL(IF(ISERROR('Temp Hisfa'!Y$3:Y$200), "", ROW('Temp Hisfa'!Y$3:Y$200)-MIN(ROW('Temp Hisfa'!Y$3:Y$200))+1), ROW(89:288))),"")</f>
        <v>0</v>
      </c>
      <c r="Z91" s="22">
        <f t="array" ref="Z91">IFERROR(INDEX('Temp Hisfa'!Z$3:Z$200, SMALL(IF(ISERROR('Temp Hisfa'!Z$3:Z$200), "", ROW('Temp Hisfa'!Z$3:Z$200)-MIN(ROW('Temp Hisfa'!Z$3:Z$200))+1), ROW(89:288))),"")</f>
        <v>0</v>
      </c>
      <c r="AA91" s="22">
        <f t="array" ref="AA91">IFERROR(INDEX('Temp Hisfa'!AA$3:AA$200, SMALL(IF(ISERROR('Temp Hisfa'!AA$3:AA$200), "", ROW('Temp Hisfa'!AA$3:AA$200)-MIN(ROW('Temp Hisfa'!AA$3:AA$200))+1), ROW(89:288))),"")</f>
        <v>0</v>
      </c>
      <c r="AB91" s="22">
        <f t="array" ref="AB91">IFERROR(INDEX('Temp Hisfa'!AB$3:AB$200, SMALL(IF(ISERROR('Temp Hisfa'!AB$3:AB$200), "", ROW('Temp Hisfa'!AB$3:AB$200)-MIN(ROW('Temp Hisfa'!AB$3:AB$200))+1), ROW(89:288))),"")</f>
        <v>0</v>
      </c>
    </row>
    <row r="92" spans="1:28" x14ac:dyDescent="0.3">
      <c r="A92" s="4">
        <f t="array" ref="A92">IFERROR(INDEX('Temp Hisfa'!A$3:A$200, SMALL(IF(ISERROR('Temp Hisfa'!A$3:A$200), "", ROW('Temp Hisfa'!A$3:A$200)-MIN(ROW('Temp Hisfa'!A$3:A$200))+1), ROW(90:288))),"")</f>
        <v>0</v>
      </c>
      <c r="B92" s="4">
        <f t="array" ref="B92">IFERROR(INDEX('Temp Hisfa'!B$3:B$200, SMALL(IF(ISERROR('Temp Hisfa'!B$3:B$200), "", ROW('Temp Hisfa'!B$3:B$200)-MIN(ROW('Temp Hisfa'!B$3:B$200))+1), ROW(90:288))),"")</f>
        <v>0</v>
      </c>
      <c r="C92" s="3">
        <f t="array" ref="C92">IFERROR(INDEX('Temp Hisfa'!C$3:C$200, SMALL(IF(ISERROR('Temp Hisfa'!C$3:C$200), "", ROW('Temp Hisfa'!C$3:C$200)-MIN(ROW('Temp Hisfa'!C$3:C$200))+1), ROW(90:288))),"")</f>
        <v>0</v>
      </c>
      <c r="D92" s="3">
        <f t="array" ref="D92">IFERROR(INDEX('Temp Hisfa'!D$3:D$200, SMALL(IF(ISERROR('Temp Hisfa'!D$3:D$200), "", ROW('Temp Hisfa'!D$3:D$200)-MIN(ROW('Temp Hisfa'!D$3:D$200))+1), ROW(90:288))),"")</f>
        <v>0</v>
      </c>
      <c r="E92" s="29">
        <f t="array" ref="E92">IFERROR(INDEX('Temp Hisfa'!E$3:E$200, SMALL(IF(ISERROR('Temp Hisfa'!E$3:E$200), "", ROW('Temp Hisfa'!E$3:E$200)-MIN(ROW('Temp Hisfa'!E$3:E$200))+1), ROW(90:289))),"")</f>
        <v>0</v>
      </c>
      <c r="F92" s="22">
        <f t="array" ref="F92">IFERROR(INDEX('Temp Hisfa'!F$3:F$200, SMALL(IF(ISERROR('Temp Hisfa'!F$3:F$200), "", ROW('Temp Hisfa'!F$3:F$200)-MIN(ROW('Temp Hisfa'!F$3:F$200))+1), ROW(90:289))),"")</f>
        <v>0</v>
      </c>
      <c r="G92" s="30">
        <f t="array" ref="G92">IFERROR(INDEX('Temp Hisfa'!G$3:G$200, SMALL(IF(ISERROR('Temp Hisfa'!G$3:G$200), "", ROW('Temp Hisfa'!G$3:G$200)-MIN(ROW('Temp Hisfa'!G$3:G$200))+1), ROW(90:289))),"")</f>
        <v>0</v>
      </c>
      <c r="H92" s="22">
        <f t="array" ref="H92">IFERROR(INDEX('Temp Hisfa'!H$3:H$200, SMALL(IF(ISERROR('Temp Hisfa'!H$3:H$200), "", ROW('Temp Hisfa'!H$3:H$200)-MIN(ROW('Temp Hisfa'!H$3:H$200))+1), ROW(90:289))),"")</f>
        <v>0</v>
      </c>
      <c r="I92" s="22">
        <f t="array" ref="I92">IFERROR(INDEX('Temp Hisfa'!I$3:I$200, SMALL(IF(ISERROR('Temp Hisfa'!I$3:I$200), "", ROW('Temp Hisfa'!I$3:I$200)-MIN(ROW('Temp Hisfa'!I$3:I$200))+1), ROW(90:289))),"")</f>
        <v>0</v>
      </c>
      <c r="J92" s="22">
        <f t="array" ref="J92">IFERROR(INDEX('Temp Hisfa'!J$3:J$200, SMALL(IF(ISERROR('Temp Hisfa'!J$3:J$200), "", ROW('Temp Hisfa'!J$3:J$200)-MIN(ROW('Temp Hisfa'!J$3:J$200))+1), ROW(90:289))),"")</f>
        <v>0</v>
      </c>
      <c r="K92" s="30">
        <f t="array" ref="K92">IFERROR(INDEX('Temp Hisfa'!K$3:K$200, SMALL(IF(ISERROR('Temp Hisfa'!K$3:K$200), "", ROW('Temp Hisfa'!K$3:K$200)-MIN(ROW('Temp Hisfa'!K$3:K$200))+1), ROW(90:289))),"")</f>
        <v>0</v>
      </c>
      <c r="L92" s="22">
        <f t="array" ref="L92">IFERROR(INDEX('Temp Hisfa'!L$3:L$200, SMALL(IF(ISERROR('Temp Hisfa'!L$3:L$200), "", ROW('Temp Hisfa'!L$3:L$200)-MIN(ROW('Temp Hisfa'!L$3:L$200))+1), ROW(90:289))),"")</f>
        <v>0</v>
      </c>
      <c r="M92" s="22">
        <f t="array" ref="M92">IFERROR(INDEX('Temp Hisfa'!M$3:M$200, SMALL(IF(ISERROR('Temp Hisfa'!M$3:M$200), "", ROW('Temp Hisfa'!M$3:M$200)-MIN(ROW('Temp Hisfa'!M$3:M$200))+1), ROW(90:289))),"")</f>
        <v>0</v>
      </c>
      <c r="N92" s="22">
        <f t="array" ref="N92">IFERROR(INDEX('Temp Hisfa'!N$3:N$200, SMALL(IF(ISERROR('Temp Hisfa'!N$3:N$200), "", ROW('Temp Hisfa'!N$3:N$200)-MIN(ROW('Temp Hisfa'!N$3:N$200))+1), ROW(90:289))),"")</f>
        <v>1900</v>
      </c>
      <c r="O92" s="22" t="str">
        <f t="array" ref="O92">IFERROR(INDEX('Temp Hisfa'!O$3:O$200, SMALL(IF(ISERROR('Temp Hisfa'!O$3:O$200), "", ROW('Temp Hisfa'!O$3:O$200)-MIN(ROW('Temp Hisfa'!O$3:O$200))+1), ROW(90:289))),"")</f>
        <v>enero</v>
      </c>
      <c r="P92" s="22">
        <f t="array" ref="P92">IFERROR(INDEX('Temp Hisfa'!P$3:P$200, SMALL(IF(ISERROR('Temp Hisfa'!P$3:P$200), "", ROW('Temp Hisfa'!P$3:P$200)-MIN(ROW('Temp Hisfa'!P$3:P$200))+1), ROW(90:289))),"")</f>
        <v>0</v>
      </c>
      <c r="Q92" s="22">
        <f t="array" ref="Q92">IFERROR(INDEX('Temp Hisfa'!Q$3:Q$200, SMALL(IF(ISERROR('Temp Hisfa'!Q$3:Q$200), "", ROW('Temp Hisfa'!Q$3:Q$200)-MIN(ROW('Temp Hisfa'!Q$3:Q$200))+1), ROW(90:289))),"")</f>
        <v>0</v>
      </c>
      <c r="R92" s="22">
        <f t="array" ref="R92">IFERROR(INDEX('Temp Hisfa'!R$3:R$200, SMALL(IF(ISERROR('Temp Hisfa'!R$3:R$200), "", ROW('Temp Hisfa'!R$3:R$200)-MIN(ROW('Temp Hisfa'!R$3:R$200))+1), ROW(90:289))),"")</f>
        <v>0</v>
      </c>
      <c r="S92" s="22">
        <f t="array" ref="S92">IFERROR(INDEX('Temp Hisfa'!S$3:S$200, SMALL(IF(ISERROR('Temp Hisfa'!S$3:S$200), "", ROW('Temp Hisfa'!S$3:S$200)-MIN(ROW('Temp Hisfa'!S$3:S$200))+1), ROW(90:289))),"")</f>
        <v>0</v>
      </c>
      <c r="T92" s="22">
        <f t="array" ref="T92">IFERROR(INDEX('Temp Hisfa'!T$3:T$200, SMALL(IF(ISERROR('Temp Hisfa'!T$3:T$200), "", ROW('Temp Hisfa'!T$3:T$200)-MIN(ROW('Temp Hisfa'!T$3:T$200))+1), ROW(90:289))),"")</f>
        <v>0</v>
      </c>
      <c r="U92" s="22">
        <f t="array" ref="U92">IFERROR(INDEX('Temp Hisfa'!U$3:U$200, SMALL(IF(ISERROR('Temp Hisfa'!U$3:U$200), "", ROW('Temp Hisfa'!U$3:U$200)-MIN(ROW('Temp Hisfa'!U$3:U$200))+1), ROW(90:289))),"")</f>
        <v>0</v>
      </c>
      <c r="V92" s="22">
        <f t="array" ref="V92">IFERROR(INDEX('Temp Hisfa'!V$3:V$200, SMALL(IF(ISERROR('Temp Hisfa'!V$3:V$200), "", ROW('Temp Hisfa'!V$3:V$200)-MIN(ROW('Temp Hisfa'!V$3:V$200))+1), ROW(90:289))),"")</f>
        <v>0</v>
      </c>
      <c r="W92" s="22">
        <f t="array" ref="W92">IFERROR(INDEX('Temp Hisfa'!W$3:W$200, SMALL(IF(ISERROR('Temp Hisfa'!W$3:W$200), "", ROW('Temp Hisfa'!W$3:W$200)-MIN(ROW('Temp Hisfa'!W$3:W$200))+1), ROW(90:289))),"")</f>
        <v>0</v>
      </c>
      <c r="X92" s="22">
        <f t="array" ref="X92">IFERROR(INDEX('Temp Hisfa'!X$3:X$200, SMALL(IF(ISERROR('Temp Hisfa'!X$3:X$200), "", ROW('Temp Hisfa'!X$3:X$200)-MIN(ROW('Temp Hisfa'!X$3:X$200))+1), ROW(90:289))),"")</f>
        <v>0</v>
      </c>
      <c r="Y92" s="22">
        <f t="array" ref="Y92">IFERROR(INDEX('Temp Hisfa'!Y$3:Y$200, SMALL(IF(ISERROR('Temp Hisfa'!Y$3:Y$200), "", ROW('Temp Hisfa'!Y$3:Y$200)-MIN(ROW('Temp Hisfa'!Y$3:Y$200))+1), ROW(90:289))),"")</f>
        <v>0</v>
      </c>
      <c r="Z92" s="22">
        <f t="array" ref="Z92">IFERROR(INDEX('Temp Hisfa'!Z$3:Z$200, SMALL(IF(ISERROR('Temp Hisfa'!Z$3:Z$200), "", ROW('Temp Hisfa'!Z$3:Z$200)-MIN(ROW('Temp Hisfa'!Z$3:Z$200))+1), ROW(90:289))),"")</f>
        <v>0</v>
      </c>
      <c r="AA92" s="22">
        <f t="array" ref="AA92">IFERROR(INDEX('Temp Hisfa'!AA$3:AA$200, SMALL(IF(ISERROR('Temp Hisfa'!AA$3:AA$200), "", ROW('Temp Hisfa'!AA$3:AA$200)-MIN(ROW('Temp Hisfa'!AA$3:AA$200))+1), ROW(90:289))),"")</f>
        <v>0</v>
      </c>
      <c r="AB92" s="22">
        <f t="array" ref="AB92">IFERROR(INDEX('Temp Hisfa'!AB$3:AB$200, SMALL(IF(ISERROR('Temp Hisfa'!AB$3:AB$200), "", ROW('Temp Hisfa'!AB$3:AB$200)-MIN(ROW('Temp Hisfa'!AB$3:AB$200))+1), ROW(90:289))),"")</f>
        <v>0</v>
      </c>
    </row>
    <row r="93" spans="1:28" x14ac:dyDescent="0.3">
      <c r="A93" s="4">
        <f t="array" ref="A93">IFERROR(INDEX('Temp Hisfa'!A$3:A$200, SMALL(IF(ISERROR('Temp Hisfa'!A$3:A$200), "", ROW('Temp Hisfa'!A$3:A$200)-MIN(ROW('Temp Hisfa'!A$3:A$200))+1), ROW(91:289))),"")</f>
        <v>0</v>
      </c>
      <c r="B93" s="4">
        <f t="array" ref="B93">IFERROR(INDEX('Temp Hisfa'!B$3:B$200, SMALL(IF(ISERROR('Temp Hisfa'!B$3:B$200), "", ROW('Temp Hisfa'!B$3:B$200)-MIN(ROW('Temp Hisfa'!B$3:B$200))+1), ROW(91:289))),"")</f>
        <v>0</v>
      </c>
      <c r="C93" s="3">
        <f t="array" ref="C93">IFERROR(INDEX('Temp Hisfa'!C$3:C$200, SMALL(IF(ISERROR('Temp Hisfa'!C$3:C$200), "", ROW('Temp Hisfa'!C$3:C$200)-MIN(ROW('Temp Hisfa'!C$3:C$200))+1), ROW(91:289))),"")</f>
        <v>0</v>
      </c>
      <c r="D93" s="3">
        <f t="array" ref="D93">IFERROR(INDEX('Temp Hisfa'!D$3:D$200, SMALL(IF(ISERROR('Temp Hisfa'!D$3:D$200), "", ROW('Temp Hisfa'!D$3:D$200)-MIN(ROW('Temp Hisfa'!D$3:D$200))+1), ROW(91:289))),"")</f>
        <v>0</v>
      </c>
      <c r="E93" s="29">
        <f t="array" ref="E93">IFERROR(INDEX('Temp Hisfa'!E$3:E$200, SMALL(IF(ISERROR('Temp Hisfa'!E$3:E$200), "", ROW('Temp Hisfa'!E$3:E$200)-MIN(ROW('Temp Hisfa'!E$3:E$200))+1), ROW(91:290))),"")</f>
        <v>0</v>
      </c>
      <c r="F93" s="22">
        <f t="array" ref="F93">IFERROR(INDEX('Temp Hisfa'!F$3:F$200, SMALL(IF(ISERROR('Temp Hisfa'!F$3:F$200), "", ROW('Temp Hisfa'!F$3:F$200)-MIN(ROW('Temp Hisfa'!F$3:F$200))+1), ROW(91:290))),"")</f>
        <v>0</v>
      </c>
      <c r="G93" s="30">
        <f t="array" ref="G93">IFERROR(INDEX('Temp Hisfa'!G$3:G$200, SMALL(IF(ISERROR('Temp Hisfa'!G$3:G$200), "", ROW('Temp Hisfa'!G$3:G$200)-MIN(ROW('Temp Hisfa'!G$3:G$200))+1), ROW(91:290))),"")</f>
        <v>0</v>
      </c>
      <c r="H93" s="22">
        <f t="array" ref="H93">IFERROR(INDEX('Temp Hisfa'!H$3:H$200, SMALL(IF(ISERROR('Temp Hisfa'!H$3:H$200), "", ROW('Temp Hisfa'!H$3:H$200)-MIN(ROW('Temp Hisfa'!H$3:H$200))+1), ROW(91:290))),"")</f>
        <v>0</v>
      </c>
      <c r="I93" s="22">
        <f t="array" ref="I93">IFERROR(INDEX('Temp Hisfa'!I$3:I$200, SMALL(IF(ISERROR('Temp Hisfa'!I$3:I$200), "", ROW('Temp Hisfa'!I$3:I$200)-MIN(ROW('Temp Hisfa'!I$3:I$200))+1), ROW(91:290))),"")</f>
        <v>0</v>
      </c>
      <c r="J93" s="22">
        <f t="array" ref="J93">IFERROR(INDEX('Temp Hisfa'!J$3:J$200, SMALL(IF(ISERROR('Temp Hisfa'!J$3:J$200), "", ROW('Temp Hisfa'!J$3:J$200)-MIN(ROW('Temp Hisfa'!J$3:J$200))+1), ROW(91:290))),"")</f>
        <v>0</v>
      </c>
      <c r="K93" s="30">
        <f t="array" ref="K93">IFERROR(INDEX('Temp Hisfa'!K$3:K$200, SMALL(IF(ISERROR('Temp Hisfa'!K$3:K$200), "", ROW('Temp Hisfa'!K$3:K$200)-MIN(ROW('Temp Hisfa'!K$3:K$200))+1), ROW(91:290))),"")</f>
        <v>0</v>
      </c>
      <c r="L93" s="22">
        <f t="array" ref="L93">IFERROR(INDEX('Temp Hisfa'!L$3:L$200, SMALL(IF(ISERROR('Temp Hisfa'!L$3:L$200), "", ROW('Temp Hisfa'!L$3:L$200)-MIN(ROW('Temp Hisfa'!L$3:L$200))+1), ROW(91:290))),"")</f>
        <v>0</v>
      </c>
      <c r="M93" s="22">
        <f t="array" ref="M93">IFERROR(INDEX('Temp Hisfa'!M$3:M$200, SMALL(IF(ISERROR('Temp Hisfa'!M$3:M$200), "", ROW('Temp Hisfa'!M$3:M$200)-MIN(ROW('Temp Hisfa'!M$3:M$200))+1), ROW(91:290))),"")</f>
        <v>0</v>
      </c>
      <c r="N93" s="22">
        <f t="array" ref="N93">IFERROR(INDEX('Temp Hisfa'!N$3:N$200, SMALL(IF(ISERROR('Temp Hisfa'!N$3:N$200), "", ROW('Temp Hisfa'!N$3:N$200)-MIN(ROW('Temp Hisfa'!N$3:N$200))+1), ROW(91:290))),"")</f>
        <v>1900</v>
      </c>
      <c r="O93" s="22" t="str">
        <f t="array" ref="O93">IFERROR(INDEX('Temp Hisfa'!O$3:O$200, SMALL(IF(ISERROR('Temp Hisfa'!O$3:O$200), "", ROW('Temp Hisfa'!O$3:O$200)-MIN(ROW('Temp Hisfa'!O$3:O$200))+1), ROW(91:290))),"")</f>
        <v>enero</v>
      </c>
      <c r="P93" s="22">
        <f t="array" ref="P93">IFERROR(INDEX('Temp Hisfa'!P$3:P$200, SMALL(IF(ISERROR('Temp Hisfa'!P$3:P$200), "", ROW('Temp Hisfa'!P$3:P$200)-MIN(ROW('Temp Hisfa'!P$3:P$200))+1), ROW(91:290))),"")</f>
        <v>0</v>
      </c>
      <c r="Q93" s="22">
        <f t="array" ref="Q93">IFERROR(INDEX('Temp Hisfa'!Q$3:Q$200, SMALL(IF(ISERROR('Temp Hisfa'!Q$3:Q$200), "", ROW('Temp Hisfa'!Q$3:Q$200)-MIN(ROW('Temp Hisfa'!Q$3:Q$200))+1), ROW(91:290))),"")</f>
        <v>0</v>
      </c>
      <c r="R93" s="22">
        <f t="array" ref="R93">IFERROR(INDEX('Temp Hisfa'!R$3:R$200, SMALL(IF(ISERROR('Temp Hisfa'!R$3:R$200), "", ROW('Temp Hisfa'!R$3:R$200)-MIN(ROW('Temp Hisfa'!R$3:R$200))+1), ROW(91:290))),"")</f>
        <v>0</v>
      </c>
      <c r="S93" s="22">
        <f t="array" ref="S93">IFERROR(INDEX('Temp Hisfa'!S$3:S$200, SMALL(IF(ISERROR('Temp Hisfa'!S$3:S$200), "", ROW('Temp Hisfa'!S$3:S$200)-MIN(ROW('Temp Hisfa'!S$3:S$200))+1), ROW(91:290))),"")</f>
        <v>0</v>
      </c>
      <c r="T93" s="22">
        <f t="array" ref="T93">IFERROR(INDEX('Temp Hisfa'!T$3:T$200, SMALL(IF(ISERROR('Temp Hisfa'!T$3:T$200), "", ROW('Temp Hisfa'!T$3:T$200)-MIN(ROW('Temp Hisfa'!T$3:T$200))+1), ROW(91:290))),"")</f>
        <v>0</v>
      </c>
      <c r="U93" s="22">
        <f t="array" ref="U93">IFERROR(INDEX('Temp Hisfa'!U$3:U$200, SMALL(IF(ISERROR('Temp Hisfa'!U$3:U$200), "", ROW('Temp Hisfa'!U$3:U$200)-MIN(ROW('Temp Hisfa'!U$3:U$200))+1), ROW(91:290))),"")</f>
        <v>0</v>
      </c>
      <c r="V93" s="22">
        <f t="array" ref="V93">IFERROR(INDEX('Temp Hisfa'!V$3:V$200, SMALL(IF(ISERROR('Temp Hisfa'!V$3:V$200), "", ROW('Temp Hisfa'!V$3:V$200)-MIN(ROW('Temp Hisfa'!V$3:V$200))+1), ROW(91:290))),"")</f>
        <v>0</v>
      </c>
      <c r="W93" s="22">
        <f t="array" ref="W93">IFERROR(INDEX('Temp Hisfa'!W$3:W$200, SMALL(IF(ISERROR('Temp Hisfa'!W$3:W$200), "", ROW('Temp Hisfa'!W$3:W$200)-MIN(ROW('Temp Hisfa'!W$3:W$200))+1), ROW(91:290))),"")</f>
        <v>0</v>
      </c>
      <c r="X93" s="22">
        <f t="array" ref="X93">IFERROR(INDEX('Temp Hisfa'!X$3:X$200, SMALL(IF(ISERROR('Temp Hisfa'!X$3:X$200), "", ROW('Temp Hisfa'!X$3:X$200)-MIN(ROW('Temp Hisfa'!X$3:X$200))+1), ROW(91:290))),"")</f>
        <v>0</v>
      </c>
      <c r="Y93" s="22">
        <f t="array" ref="Y93">IFERROR(INDEX('Temp Hisfa'!Y$3:Y$200, SMALL(IF(ISERROR('Temp Hisfa'!Y$3:Y$200), "", ROW('Temp Hisfa'!Y$3:Y$200)-MIN(ROW('Temp Hisfa'!Y$3:Y$200))+1), ROW(91:290))),"")</f>
        <v>0</v>
      </c>
      <c r="Z93" s="22">
        <f t="array" ref="Z93">IFERROR(INDEX('Temp Hisfa'!Z$3:Z$200, SMALL(IF(ISERROR('Temp Hisfa'!Z$3:Z$200), "", ROW('Temp Hisfa'!Z$3:Z$200)-MIN(ROW('Temp Hisfa'!Z$3:Z$200))+1), ROW(91:290))),"")</f>
        <v>0</v>
      </c>
      <c r="AA93" s="22">
        <f t="array" ref="AA93">IFERROR(INDEX('Temp Hisfa'!AA$3:AA$200, SMALL(IF(ISERROR('Temp Hisfa'!AA$3:AA$200), "", ROW('Temp Hisfa'!AA$3:AA$200)-MIN(ROW('Temp Hisfa'!AA$3:AA$200))+1), ROW(91:290))),"")</f>
        <v>0</v>
      </c>
      <c r="AB93" s="22">
        <f t="array" ref="AB93">IFERROR(INDEX('Temp Hisfa'!AB$3:AB$200, SMALL(IF(ISERROR('Temp Hisfa'!AB$3:AB$200), "", ROW('Temp Hisfa'!AB$3:AB$200)-MIN(ROW('Temp Hisfa'!AB$3:AB$200))+1), ROW(91:290))),"")</f>
        <v>0</v>
      </c>
    </row>
    <row r="94" spans="1:28" x14ac:dyDescent="0.3">
      <c r="A94" s="4">
        <f t="array" ref="A94">IFERROR(INDEX('Temp Hisfa'!A$3:A$200, SMALL(IF(ISERROR('Temp Hisfa'!A$3:A$200), "", ROW('Temp Hisfa'!A$3:A$200)-MIN(ROW('Temp Hisfa'!A$3:A$200))+1), ROW(92:290))),"")</f>
        <v>0</v>
      </c>
      <c r="B94" s="4">
        <f t="array" ref="B94">IFERROR(INDEX('Temp Hisfa'!B$3:B$200, SMALL(IF(ISERROR('Temp Hisfa'!B$3:B$200), "", ROW('Temp Hisfa'!B$3:B$200)-MIN(ROW('Temp Hisfa'!B$3:B$200))+1), ROW(92:290))),"")</f>
        <v>0</v>
      </c>
      <c r="C94" s="3">
        <f t="array" ref="C94">IFERROR(INDEX('Temp Hisfa'!C$3:C$200, SMALL(IF(ISERROR('Temp Hisfa'!C$3:C$200), "", ROW('Temp Hisfa'!C$3:C$200)-MIN(ROW('Temp Hisfa'!C$3:C$200))+1), ROW(92:290))),"")</f>
        <v>0</v>
      </c>
      <c r="D94" s="3">
        <f t="array" ref="D94">IFERROR(INDEX('Temp Hisfa'!D$3:D$200, SMALL(IF(ISERROR('Temp Hisfa'!D$3:D$200), "", ROW('Temp Hisfa'!D$3:D$200)-MIN(ROW('Temp Hisfa'!D$3:D$200))+1), ROW(92:290))),"")</f>
        <v>0</v>
      </c>
      <c r="E94" s="29">
        <f t="array" ref="E94">IFERROR(INDEX('Temp Hisfa'!E$3:E$200, SMALL(IF(ISERROR('Temp Hisfa'!E$3:E$200), "", ROW('Temp Hisfa'!E$3:E$200)-MIN(ROW('Temp Hisfa'!E$3:E$200))+1), ROW(92:291))),"")</f>
        <v>0</v>
      </c>
      <c r="F94" s="22">
        <f t="array" ref="F94">IFERROR(INDEX('Temp Hisfa'!F$3:F$200, SMALL(IF(ISERROR('Temp Hisfa'!F$3:F$200), "", ROW('Temp Hisfa'!F$3:F$200)-MIN(ROW('Temp Hisfa'!F$3:F$200))+1), ROW(92:291))),"")</f>
        <v>0</v>
      </c>
      <c r="G94" s="30">
        <f t="array" ref="G94">IFERROR(INDEX('Temp Hisfa'!G$3:G$200, SMALL(IF(ISERROR('Temp Hisfa'!G$3:G$200), "", ROW('Temp Hisfa'!G$3:G$200)-MIN(ROW('Temp Hisfa'!G$3:G$200))+1), ROW(92:291))),"")</f>
        <v>0</v>
      </c>
      <c r="H94" s="22">
        <f t="array" ref="H94">IFERROR(INDEX('Temp Hisfa'!H$3:H$200, SMALL(IF(ISERROR('Temp Hisfa'!H$3:H$200), "", ROW('Temp Hisfa'!H$3:H$200)-MIN(ROW('Temp Hisfa'!H$3:H$200))+1), ROW(92:291))),"")</f>
        <v>0</v>
      </c>
      <c r="I94" s="22">
        <f t="array" ref="I94">IFERROR(INDEX('Temp Hisfa'!I$3:I$200, SMALL(IF(ISERROR('Temp Hisfa'!I$3:I$200), "", ROW('Temp Hisfa'!I$3:I$200)-MIN(ROW('Temp Hisfa'!I$3:I$200))+1), ROW(92:291))),"")</f>
        <v>0</v>
      </c>
      <c r="J94" s="22">
        <f t="array" ref="J94">IFERROR(INDEX('Temp Hisfa'!J$3:J$200, SMALL(IF(ISERROR('Temp Hisfa'!J$3:J$200), "", ROW('Temp Hisfa'!J$3:J$200)-MIN(ROW('Temp Hisfa'!J$3:J$200))+1), ROW(92:291))),"")</f>
        <v>0</v>
      </c>
      <c r="K94" s="30">
        <f t="array" ref="K94">IFERROR(INDEX('Temp Hisfa'!K$3:K$200, SMALL(IF(ISERROR('Temp Hisfa'!K$3:K$200), "", ROW('Temp Hisfa'!K$3:K$200)-MIN(ROW('Temp Hisfa'!K$3:K$200))+1), ROW(92:291))),"")</f>
        <v>0</v>
      </c>
      <c r="L94" s="22">
        <f t="array" ref="L94">IFERROR(INDEX('Temp Hisfa'!L$3:L$200, SMALL(IF(ISERROR('Temp Hisfa'!L$3:L$200), "", ROW('Temp Hisfa'!L$3:L$200)-MIN(ROW('Temp Hisfa'!L$3:L$200))+1), ROW(92:291))),"")</f>
        <v>0</v>
      </c>
      <c r="M94" s="22">
        <f t="array" ref="M94">IFERROR(INDEX('Temp Hisfa'!M$3:M$200, SMALL(IF(ISERROR('Temp Hisfa'!M$3:M$200), "", ROW('Temp Hisfa'!M$3:M$200)-MIN(ROW('Temp Hisfa'!M$3:M$200))+1), ROW(92:291))),"")</f>
        <v>0</v>
      </c>
      <c r="N94" s="22">
        <f t="array" ref="N94">IFERROR(INDEX('Temp Hisfa'!N$3:N$200, SMALL(IF(ISERROR('Temp Hisfa'!N$3:N$200), "", ROW('Temp Hisfa'!N$3:N$200)-MIN(ROW('Temp Hisfa'!N$3:N$200))+1), ROW(92:291))),"")</f>
        <v>1900</v>
      </c>
      <c r="O94" s="22" t="str">
        <f t="array" ref="O94">IFERROR(INDEX('Temp Hisfa'!O$3:O$200, SMALL(IF(ISERROR('Temp Hisfa'!O$3:O$200), "", ROW('Temp Hisfa'!O$3:O$200)-MIN(ROW('Temp Hisfa'!O$3:O$200))+1), ROW(92:291))),"")</f>
        <v>enero</v>
      </c>
      <c r="P94" s="22">
        <f t="array" ref="P94">IFERROR(INDEX('Temp Hisfa'!P$3:P$200, SMALL(IF(ISERROR('Temp Hisfa'!P$3:P$200), "", ROW('Temp Hisfa'!P$3:P$200)-MIN(ROW('Temp Hisfa'!P$3:P$200))+1), ROW(92:291))),"")</f>
        <v>0</v>
      </c>
      <c r="Q94" s="22">
        <f t="array" ref="Q94">IFERROR(INDEX('Temp Hisfa'!Q$3:Q$200, SMALL(IF(ISERROR('Temp Hisfa'!Q$3:Q$200), "", ROW('Temp Hisfa'!Q$3:Q$200)-MIN(ROW('Temp Hisfa'!Q$3:Q$200))+1), ROW(92:291))),"")</f>
        <v>0</v>
      </c>
      <c r="R94" s="22">
        <f t="array" ref="R94">IFERROR(INDEX('Temp Hisfa'!R$3:R$200, SMALL(IF(ISERROR('Temp Hisfa'!R$3:R$200), "", ROW('Temp Hisfa'!R$3:R$200)-MIN(ROW('Temp Hisfa'!R$3:R$200))+1), ROW(92:291))),"")</f>
        <v>0</v>
      </c>
      <c r="S94" s="22">
        <f t="array" ref="S94">IFERROR(INDEX('Temp Hisfa'!S$3:S$200, SMALL(IF(ISERROR('Temp Hisfa'!S$3:S$200), "", ROW('Temp Hisfa'!S$3:S$200)-MIN(ROW('Temp Hisfa'!S$3:S$200))+1), ROW(92:291))),"")</f>
        <v>0</v>
      </c>
      <c r="T94" s="22">
        <f t="array" ref="T94">IFERROR(INDEX('Temp Hisfa'!T$3:T$200, SMALL(IF(ISERROR('Temp Hisfa'!T$3:T$200), "", ROW('Temp Hisfa'!T$3:T$200)-MIN(ROW('Temp Hisfa'!T$3:T$200))+1), ROW(92:291))),"")</f>
        <v>0</v>
      </c>
      <c r="U94" s="22">
        <f t="array" ref="U94">IFERROR(INDEX('Temp Hisfa'!U$3:U$200, SMALL(IF(ISERROR('Temp Hisfa'!U$3:U$200), "", ROW('Temp Hisfa'!U$3:U$200)-MIN(ROW('Temp Hisfa'!U$3:U$200))+1), ROW(92:291))),"")</f>
        <v>0</v>
      </c>
      <c r="V94" s="22">
        <f t="array" ref="V94">IFERROR(INDEX('Temp Hisfa'!V$3:V$200, SMALL(IF(ISERROR('Temp Hisfa'!V$3:V$200), "", ROW('Temp Hisfa'!V$3:V$200)-MIN(ROW('Temp Hisfa'!V$3:V$200))+1), ROW(92:291))),"")</f>
        <v>0</v>
      </c>
      <c r="W94" s="22">
        <f t="array" ref="W94">IFERROR(INDEX('Temp Hisfa'!W$3:W$200, SMALL(IF(ISERROR('Temp Hisfa'!W$3:W$200), "", ROW('Temp Hisfa'!W$3:W$200)-MIN(ROW('Temp Hisfa'!W$3:W$200))+1), ROW(92:291))),"")</f>
        <v>0</v>
      </c>
      <c r="X94" s="22">
        <f t="array" ref="X94">IFERROR(INDEX('Temp Hisfa'!X$3:X$200, SMALL(IF(ISERROR('Temp Hisfa'!X$3:X$200), "", ROW('Temp Hisfa'!X$3:X$200)-MIN(ROW('Temp Hisfa'!X$3:X$200))+1), ROW(92:291))),"")</f>
        <v>0</v>
      </c>
      <c r="Y94" s="22">
        <f t="array" ref="Y94">IFERROR(INDEX('Temp Hisfa'!Y$3:Y$200, SMALL(IF(ISERROR('Temp Hisfa'!Y$3:Y$200), "", ROW('Temp Hisfa'!Y$3:Y$200)-MIN(ROW('Temp Hisfa'!Y$3:Y$200))+1), ROW(92:291))),"")</f>
        <v>0</v>
      </c>
      <c r="Z94" s="22">
        <f t="array" ref="Z94">IFERROR(INDEX('Temp Hisfa'!Z$3:Z$200, SMALL(IF(ISERROR('Temp Hisfa'!Z$3:Z$200), "", ROW('Temp Hisfa'!Z$3:Z$200)-MIN(ROW('Temp Hisfa'!Z$3:Z$200))+1), ROW(92:291))),"")</f>
        <v>0</v>
      </c>
      <c r="AA94" s="22">
        <f t="array" ref="AA94">IFERROR(INDEX('Temp Hisfa'!AA$3:AA$200, SMALL(IF(ISERROR('Temp Hisfa'!AA$3:AA$200), "", ROW('Temp Hisfa'!AA$3:AA$200)-MIN(ROW('Temp Hisfa'!AA$3:AA$200))+1), ROW(92:291))),"")</f>
        <v>0</v>
      </c>
      <c r="AB94" s="22">
        <f t="array" ref="AB94">IFERROR(INDEX('Temp Hisfa'!AB$3:AB$200, SMALL(IF(ISERROR('Temp Hisfa'!AB$3:AB$200), "", ROW('Temp Hisfa'!AB$3:AB$200)-MIN(ROW('Temp Hisfa'!AB$3:AB$200))+1), ROW(92:291))),"")</f>
        <v>0</v>
      </c>
    </row>
    <row r="95" spans="1:28" x14ac:dyDescent="0.3">
      <c r="A95" s="4">
        <f t="array" ref="A95">IFERROR(INDEX('Temp Hisfa'!A$3:A$200, SMALL(IF(ISERROR('Temp Hisfa'!A$3:A$200), "", ROW('Temp Hisfa'!A$3:A$200)-MIN(ROW('Temp Hisfa'!A$3:A$200))+1), ROW(93:291))),"")</f>
        <v>0</v>
      </c>
      <c r="B95" s="4">
        <f t="array" ref="B95">IFERROR(INDEX('Temp Hisfa'!B$3:B$200, SMALL(IF(ISERROR('Temp Hisfa'!B$3:B$200), "", ROW('Temp Hisfa'!B$3:B$200)-MIN(ROW('Temp Hisfa'!B$3:B$200))+1), ROW(93:291))),"")</f>
        <v>0</v>
      </c>
      <c r="C95" s="3">
        <f t="array" ref="C95">IFERROR(INDEX('Temp Hisfa'!C$3:C$200, SMALL(IF(ISERROR('Temp Hisfa'!C$3:C$200), "", ROW('Temp Hisfa'!C$3:C$200)-MIN(ROW('Temp Hisfa'!C$3:C$200))+1), ROW(93:291))),"")</f>
        <v>0</v>
      </c>
      <c r="D95" s="3">
        <f t="array" ref="D95">IFERROR(INDEX('Temp Hisfa'!D$3:D$200, SMALL(IF(ISERROR('Temp Hisfa'!D$3:D$200), "", ROW('Temp Hisfa'!D$3:D$200)-MIN(ROW('Temp Hisfa'!D$3:D$200))+1), ROW(93:291))),"")</f>
        <v>0</v>
      </c>
      <c r="E95" s="29">
        <f t="array" ref="E95">IFERROR(INDEX('Temp Hisfa'!E$3:E$200, SMALL(IF(ISERROR('Temp Hisfa'!E$3:E$200), "", ROW('Temp Hisfa'!E$3:E$200)-MIN(ROW('Temp Hisfa'!E$3:E$200))+1), ROW(93:292))),"")</f>
        <v>0</v>
      </c>
      <c r="F95" s="22">
        <f t="array" ref="F95">IFERROR(INDEX('Temp Hisfa'!F$3:F$200, SMALL(IF(ISERROR('Temp Hisfa'!F$3:F$200), "", ROW('Temp Hisfa'!F$3:F$200)-MIN(ROW('Temp Hisfa'!F$3:F$200))+1), ROW(93:292))),"")</f>
        <v>0</v>
      </c>
      <c r="G95" s="30">
        <f t="array" ref="G95">IFERROR(INDEX('Temp Hisfa'!G$3:G$200, SMALL(IF(ISERROR('Temp Hisfa'!G$3:G$200), "", ROW('Temp Hisfa'!G$3:G$200)-MIN(ROW('Temp Hisfa'!G$3:G$200))+1), ROW(93:292))),"")</f>
        <v>0</v>
      </c>
      <c r="H95" s="22">
        <f t="array" ref="H95">IFERROR(INDEX('Temp Hisfa'!H$3:H$200, SMALL(IF(ISERROR('Temp Hisfa'!H$3:H$200), "", ROW('Temp Hisfa'!H$3:H$200)-MIN(ROW('Temp Hisfa'!H$3:H$200))+1), ROW(93:292))),"")</f>
        <v>0</v>
      </c>
      <c r="I95" s="22">
        <f t="array" ref="I95">IFERROR(INDEX('Temp Hisfa'!I$3:I$200, SMALL(IF(ISERROR('Temp Hisfa'!I$3:I$200), "", ROW('Temp Hisfa'!I$3:I$200)-MIN(ROW('Temp Hisfa'!I$3:I$200))+1), ROW(93:292))),"")</f>
        <v>0</v>
      </c>
      <c r="J95" s="22">
        <f t="array" ref="J95">IFERROR(INDEX('Temp Hisfa'!J$3:J$200, SMALL(IF(ISERROR('Temp Hisfa'!J$3:J$200), "", ROW('Temp Hisfa'!J$3:J$200)-MIN(ROW('Temp Hisfa'!J$3:J$200))+1), ROW(93:292))),"")</f>
        <v>0</v>
      </c>
      <c r="K95" s="30">
        <f t="array" ref="K95">IFERROR(INDEX('Temp Hisfa'!K$3:K$200, SMALL(IF(ISERROR('Temp Hisfa'!K$3:K$200), "", ROW('Temp Hisfa'!K$3:K$200)-MIN(ROW('Temp Hisfa'!K$3:K$200))+1), ROW(93:292))),"")</f>
        <v>0</v>
      </c>
      <c r="L95" s="22">
        <f t="array" ref="L95">IFERROR(INDEX('Temp Hisfa'!L$3:L$200, SMALL(IF(ISERROR('Temp Hisfa'!L$3:L$200), "", ROW('Temp Hisfa'!L$3:L$200)-MIN(ROW('Temp Hisfa'!L$3:L$200))+1), ROW(93:292))),"")</f>
        <v>0</v>
      </c>
      <c r="M95" s="22">
        <f t="array" ref="M95">IFERROR(INDEX('Temp Hisfa'!M$3:M$200, SMALL(IF(ISERROR('Temp Hisfa'!M$3:M$200), "", ROW('Temp Hisfa'!M$3:M$200)-MIN(ROW('Temp Hisfa'!M$3:M$200))+1), ROW(93:292))),"")</f>
        <v>0</v>
      </c>
      <c r="N95" s="22">
        <f t="array" ref="N95">IFERROR(INDEX('Temp Hisfa'!N$3:N$200, SMALL(IF(ISERROR('Temp Hisfa'!N$3:N$200), "", ROW('Temp Hisfa'!N$3:N$200)-MIN(ROW('Temp Hisfa'!N$3:N$200))+1), ROW(93:292))),"")</f>
        <v>1900</v>
      </c>
      <c r="O95" s="22" t="str">
        <f t="array" ref="O95">IFERROR(INDEX('Temp Hisfa'!O$3:O$200, SMALL(IF(ISERROR('Temp Hisfa'!O$3:O$200), "", ROW('Temp Hisfa'!O$3:O$200)-MIN(ROW('Temp Hisfa'!O$3:O$200))+1), ROW(93:292))),"")</f>
        <v>enero</v>
      </c>
      <c r="P95" s="22">
        <f t="array" ref="P95">IFERROR(INDEX('Temp Hisfa'!P$3:P$200, SMALL(IF(ISERROR('Temp Hisfa'!P$3:P$200), "", ROW('Temp Hisfa'!P$3:P$200)-MIN(ROW('Temp Hisfa'!P$3:P$200))+1), ROW(93:292))),"")</f>
        <v>0</v>
      </c>
      <c r="Q95" s="22">
        <f t="array" ref="Q95">IFERROR(INDEX('Temp Hisfa'!Q$3:Q$200, SMALL(IF(ISERROR('Temp Hisfa'!Q$3:Q$200), "", ROW('Temp Hisfa'!Q$3:Q$200)-MIN(ROW('Temp Hisfa'!Q$3:Q$200))+1), ROW(93:292))),"")</f>
        <v>0</v>
      </c>
      <c r="R95" s="22">
        <f t="array" ref="R95">IFERROR(INDEX('Temp Hisfa'!R$3:R$200, SMALL(IF(ISERROR('Temp Hisfa'!R$3:R$200), "", ROW('Temp Hisfa'!R$3:R$200)-MIN(ROW('Temp Hisfa'!R$3:R$200))+1), ROW(93:292))),"")</f>
        <v>0</v>
      </c>
      <c r="S95" s="22">
        <f t="array" ref="S95">IFERROR(INDEX('Temp Hisfa'!S$3:S$200, SMALL(IF(ISERROR('Temp Hisfa'!S$3:S$200), "", ROW('Temp Hisfa'!S$3:S$200)-MIN(ROW('Temp Hisfa'!S$3:S$200))+1), ROW(93:292))),"")</f>
        <v>0</v>
      </c>
      <c r="T95" s="22">
        <f t="array" ref="T95">IFERROR(INDEX('Temp Hisfa'!T$3:T$200, SMALL(IF(ISERROR('Temp Hisfa'!T$3:T$200), "", ROW('Temp Hisfa'!T$3:T$200)-MIN(ROW('Temp Hisfa'!T$3:T$200))+1), ROW(93:292))),"")</f>
        <v>0</v>
      </c>
      <c r="U95" s="22">
        <f t="array" ref="U95">IFERROR(INDEX('Temp Hisfa'!U$3:U$200, SMALL(IF(ISERROR('Temp Hisfa'!U$3:U$200), "", ROW('Temp Hisfa'!U$3:U$200)-MIN(ROW('Temp Hisfa'!U$3:U$200))+1), ROW(93:292))),"")</f>
        <v>0</v>
      </c>
      <c r="V95" s="22">
        <f t="array" ref="V95">IFERROR(INDEX('Temp Hisfa'!V$3:V$200, SMALL(IF(ISERROR('Temp Hisfa'!V$3:V$200), "", ROW('Temp Hisfa'!V$3:V$200)-MIN(ROW('Temp Hisfa'!V$3:V$200))+1), ROW(93:292))),"")</f>
        <v>0</v>
      </c>
      <c r="W95" s="22">
        <f t="array" ref="W95">IFERROR(INDEX('Temp Hisfa'!W$3:W$200, SMALL(IF(ISERROR('Temp Hisfa'!W$3:W$200), "", ROW('Temp Hisfa'!W$3:W$200)-MIN(ROW('Temp Hisfa'!W$3:W$200))+1), ROW(93:292))),"")</f>
        <v>0</v>
      </c>
      <c r="X95" s="22">
        <f t="array" ref="X95">IFERROR(INDEX('Temp Hisfa'!X$3:X$200, SMALL(IF(ISERROR('Temp Hisfa'!X$3:X$200), "", ROW('Temp Hisfa'!X$3:X$200)-MIN(ROW('Temp Hisfa'!X$3:X$200))+1), ROW(93:292))),"")</f>
        <v>0</v>
      </c>
      <c r="Y95" s="22">
        <f t="array" ref="Y95">IFERROR(INDEX('Temp Hisfa'!Y$3:Y$200, SMALL(IF(ISERROR('Temp Hisfa'!Y$3:Y$200), "", ROW('Temp Hisfa'!Y$3:Y$200)-MIN(ROW('Temp Hisfa'!Y$3:Y$200))+1), ROW(93:292))),"")</f>
        <v>0</v>
      </c>
      <c r="Z95" s="22">
        <f t="array" ref="Z95">IFERROR(INDEX('Temp Hisfa'!Z$3:Z$200, SMALL(IF(ISERROR('Temp Hisfa'!Z$3:Z$200), "", ROW('Temp Hisfa'!Z$3:Z$200)-MIN(ROW('Temp Hisfa'!Z$3:Z$200))+1), ROW(93:292))),"")</f>
        <v>0</v>
      </c>
      <c r="AA95" s="22">
        <f t="array" ref="AA95">IFERROR(INDEX('Temp Hisfa'!AA$3:AA$200, SMALL(IF(ISERROR('Temp Hisfa'!AA$3:AA$200), "", ROW('Temp Hisfa'!AA$3:AA$200)-MIN(ROW('Temp Hisfa'!AA$3:AA$200))+1), ROW(93:292))),"")</f>
        <v>0</v>
      </c>
      <c r="AB95" s="22">
        <f t="array" ref="AB95">IFERROR(INDEX('Temp Hisfa'!AB$3:AB$200, SMALL(IF(ISERROR('Temp Hisfa'!AB$3:AB$200), "", ROW('Temp Hisfa'!AB$3:AB$200)-MIN(ROW('Temp Hisfa'!AB$3:AB$200))+1), ROW(93:292))),"")</f>
        <v>0</v>
      </c>
    </row>
    <row r="96" spans="1:28" x14ac:dyDescent="0.3">
      <c r="A96" s="4">
        <f t="array" ref="A96">IFERROR(INDEX('Temp Hisfa'!A$3:A$200, SMALL(IF(ISERROR('Temp Hisfa'!A$3:A$200), "", ROW('Temp Hisfa'!A$3:A$200)-MIN(ROW('Temp Hisfa'!A$3:A$200))+1), ROW(94:292))),"")</f>
        <v>0</v>
      </c>
      <c r="B96" s="4">
        <f t="array" ref="B96">IFERROR(INDEX('Temp Hisfa'!B$3:B$200, SMALL(IF(ISERROR('Temp Hisfa'!B$3:B$200), "", ROW('Temp Hisfa'!B$3:B$200)-MIN(ROW('Temp Hisfa'!B$3:B$200))+1), ROW(94:292))),"")</f>
        <v>0</v>
      </c>
      <c r="C96" s="3">
        <f t="array" ref="C96">IFERROR(INDEX('Temp Hisfa'!C$3:C$200, SMALL(IF(ISERROR('Temp Hisfa'!C$3:C$200), "", ROW('Temp Hisfa'!C$3:C$200)-MIN(ROW('Temp Hisfa'!C$3:C$200))+1), ROW(94:292))),"")</f>
        <v>0</v>
      </c>
      <c r="D96" s="3">
        <f t="array" ref="D96">IFERROR(INDEX('Temp Hisfa'!D$3:D$200, SMALL(IF(ISERROR('Temp Hisfa'!D$3:D$200), "", ROW('Temp Hisfa'!D$3:D$200)-MIN(ROW('Temp Hisfa'!D$3:D$200))+1), ROW(94:292))),"")</f>
        <v>0</v>
      </c>
      <c r="E96" s="29">
        <f t="array" ref="E96">IFERROR(INDEX('Temp Hisfa'!E$3:E$200, SMALL(IF(ISERROR('Temp Hisfa'!E$3:E$200), "", ROW('Temp Hisfa'!E$3:E$200)-MIN(ROW('Temp Hisfa'!E$3:E$200))+1), ROW(94:293))),"")</f>
        <v>0</v>
      </c>
      <c r="F96" s="22">
        <f t="array" ref="F96">IFERROR(INDEX('Temp Hisfa'!F$3:F$200, SMALL(IF(ISERROR('Temp Hisfa'!F$3:F$200), "", ROW('Temp Hisfa'!F$3:F$200)-MIN(ROW('Temp Hisfa'!F$3:F$200))+1), ROW(94:293))),"")</f>
        <v>0</v>
      </c>
      <c r="G96" s="30">
        <f t="array" ref="G96">IFERROR(INDEX('Temp Hisfa'!G$3:G$200, SMALL(IF(ISERROR('Temp Hisfa'!G$3:G$200), "", ROW('Temp Hisfa'!G$3:G$200)-MIN(ROW('Temp Hisfa'!G$3:G$200))+1), ROW(94:293))),"")</f>
        <v>0</v>
      </c>
      <c r="H96" s="22">
        <f t="array" ref="H96">IFERROR(INDEX('Temp Hisfa'!H$3:H$200, SMALL(IF(ISERROR('Temp Hisfa'!H$3:H$200), "", ROW('Temp Hisfa'!H$3:H$200)-MIN(ROW('Temp Hisfa'!H$3:H$200))+1), ROW(94:293))),"")</f>
        <v>0</v>
      </c>
      <c r="I96" s="22">
        <f t="array" ref="I96">IFERROR(INDEX('Temp Hisfa'!I$3:I$200, SMALL(IF(ISERROR('Temp Hisfa'!I$3:I$200), "", ROW('Temp Hisfa'!I$3:I$200)-MIN(ROW('Temp Hisfa'!I$3:I$200))+1), ROW(94:293))),"")</f>
        <v>0</v>
      </c>
      <c r="J96" s="22">
        <f t="array" ref="J96">IFERROR(INDEX('Temp Hisfa'!J$3:J$200, SMALL(IF(ISERROR('Temp Hisfa'!J$3:J$200), "", ROW('Temp Hisfa'!J$3:J$200)-MIN(ROW('Temp Hisfa'!J$3:J$200))+1), ROW(94:293))),"")</f>
        <v>0</v>
      </c>
      <c r="K96" s="30">
        <f t="array" ref="K96">IFERROR(INDEX('Temp Hisfa'!K$3:K$200, SMALL(IF(ISERROR('Temp Hisfa'!K$3:K$200), "", ROW('Temp Hisfa'!K$3:K$200)-MIN(ROW('Temp Hisfa'!K$3:K$200))+1), ROW(94:293))),"")</f>
        <v>0</v>
      </c>
      <c r="L96" s="22">
        <f t="array" ref="L96">IFERROR(INDEX('Temp Hisfa'!L$3:L$200, SMALL(IF(ISERROR('Temp Hisfa'!L$3:L$200), "", ROW('Temp Hisfa'!L$3:L$200)-MIN(ROW('Temp Hisfa'!L$3:L$200))+1), ROW(94:293))),"")</f>
        <v>0</v>
      </c>
      <c r="M96" s="22">
        <f t="array" ref="M96">IFERROR(INDEX('Temp Hisfa'!M$3:M$200, SMALL(IF(ISERROR('Temp Hisfa'!M$3:M$200), "", ROW('Temp Hisfa'!M$3:M$200)-MIN(ROW('Temp Hisfa'!M$3:M$200))+1), ROW(94:293))),"")</f>
        <v>0</v>
      </c>
      <c r="N96" s="22">
        <f t="array" ref="N96">IFERROR(INDEX('Temp Hisfa'!N$3:N$200, SMALL(IF(ISERROR('Temp Hisfa'!N$3:N$200), "", ROW('Temp Hisfa'!N$3:N$200)-MIN(ROW('Temp Hisfa'!N$3:N$200))+1), ROW(94:293))),"")</f>
        <v>1900</v>
      </c>
      <c r="O96" s="22" t="str">
        <f t="array" ref="O96">IFERROR(INDEX('Temp Hisfa'!O$3:O$200, SMALL(IF(ISERROR('Temp Hisfa'!O$3:O$200), "", ROW('Temp Hisfa'!O$3:O$200)-MIN(ROW('Temp Hisfa'!O$3:O$200))+1), ROW(94:293))),"")</f>
        <v>enero</v>
      </c>
      <c r="P96" s="22">
        <f t="array" ref="P96">IFERROR(INDEX('Temp Hisfa'!P$3:P$200, SMALL(IF(ISERROR('Temp Hisfa'!P$3:P$200), "", ROW('Temp Hisfa'!P$3:P$200)-MIN(ROW('Temp Hisfa'!P$3:P$200))+1), ROW(94:293))),"")</f>
        <v>0</v>
      </c>
      <c r="Q96" s="22">
        <f t="array" ref="Q96">IFERROR(INDEX('Temp Hisfa'!Q$3:Q$200, SMALL(IF(ISERROR('Temp Hisfa'!Q$3:Q$200), "", ROW('Temp Hisfa'!Q$3:Q$200)-MIN(ROW('Temp Hisfa'!Q$3:Q$200))+1), ROW(94:293))),"")</f>
        <v>0</v>
      </c>
      <c r="R96" s="22">
        <f t="array" ref="R96">IFERROR(INDEX('Temp Hisfa'!R$3:R$200, SMALL(IF(ISERROR('Temp Hisfa'!R$3:R$200), "", ROW('Temp Hisfa'!R$3:R$200)-MIN(ROW('Temp Hisfa'!R$3:R$200))+1), ROW(94:293))),"")</f>
        <v>0</v>
      </c>
      <c r="S96" s="22">
        <f t="array" ref="S96">IFERROR(INDEX('Temp Hisfa'!S$3:S$200, SMALL(IF(ISERROR('Temp Hisfa'!S$3:S$200), "", ROW('Temp Hisfa'!S$3:S$200)-MIN(ROW('Temp Hisfa'!S$3:S$200))+1), ROW(94:293))),"")</f>
        <v>0</v>
      </c>
      <c r="T96" s="22">
        <f t="array" ref="T96">IFERROR(INDEX('Temp Hisfa'!T$3:T$200, SMALL(IF(ISERROR('Temp Hisfa'!T$3:T$200), "", ROW('Temp Hisfa'!T$3:T$200)-MIN(ROW('Temp Hisfa'!T$3:T$200))+1), ROW(94:293))),"")</f>
        <v>0</v>
      </c>
      <c r="U96" s="22">
        <f t="array" ref="U96">IFERROR(INDEX('Temp Hisfa'!U$3:U$200, SMALL(IF(ISERROR('Temp Hisfa'!U$3:U$200), "", ROW('Temp Hisfa'!U$3:U$200)-MIN(ROW('Temp Hisfa'!U$3:U$200))+1), ROW(94:293))),"")</f>
        <v>0</v>
      </c>
      <c r="V96" s="22">
        <f t="array" ref="V96">IFERROR(INDEX('Temp Hisfa'!V$3:V$200, SMALL(IF(ISERROR('Temp Hisfa'!V$3:V$200), "", ROW('Temp Hisfa'!V$3:V$200)-MIN(ROW('Temp Hisfa'!V$3:V$200))+1), ROW(94:293))),"")</f>
        <v>0</v>
      </c>
      <c r="W96" s="22">
        <f t="array" ref="W96">IFERROR(INDEX('Temp Hisfa'!W$3:W$200, SMALL(IF(ISERROR('Temp Hisfa'!W$3:W$200), "", ROW('Temp Hisfa'!W$3:W$200)-MIN(ROW('Temp Hisfa'!W$3:W$200))+1), ROW(94:293))),"")</f>
        <v>0</v>
      </c>
      <c r="X96" s="22">
        <f t="array" ref="X96">IFERROR(INDEX('Temp Hisfa'!X$3:X$200, SMALL(IF(ISERROR('Temp Hisfa'!X$3:X$200), "", ROW('Temp Hisfa'!X$3:X$200)-MIN(ROW('Temp Hisfa'!X$3:X$200))+1), ROW(94:293))),"")</f>
        <v>0</v>
      </c>
      <c r="Y96" s="22">
        <f t="array" ref="Y96">IFERROR(INDEX('Temp Hisfa'!Y$3:Y$200, SMALL(IF(ISERROR('Temp Hisfa'!Y$3:Y$200), "", ROW('Temp Hisfa'!Y$3:Y$200)-MIN(ROW('Temp Hisfa'!Y$3:Y$200))+1), ROW(94:293))),"")</f>
        <v>0</v>
      </c>
      <c r="Z96" s="22">
        <f t="array" ref="Z96">IFERROR(INDEX('Temp Hisfa'!Z$3:Z$200, SMALL(IF(ISERROR('Temp Hisfa'!Z$3:Z$200), "", ROW('Temp Hisfa'!Z$3:Z$200)-MIN(ROW('Temp Hisfa'!Z$3:Z$200))+1), ROW(94:293))),"")</f>
        <v>0</v>
      </c>
      <c r="AA96" s="22">
        <f t="array" ref="AA96">IFERROR(INDEX('Temp Hisfa'!AA$3:AA$200, SMALL(IF(ISERROR('Temp Hisfa'!AA$3:AA$200), "", ROW('Temp Hisfa'!AA$3:AA$200)-MIN(ROW('Temp Hisfa'!AA$3:AA$200))+1), ROW(94:293))),"")</f>
        <v>0</v>
      </c>
      <c r="AB96" s="22">
        <f t="array" ref="AB96">IFERROR(INDEX('Temp Hisfa'!AB$3:AB$200, SMALL(IF(ISERROR('Temp Hisfa'!AB$3:AB$200), "", ROW('Temp Hisfa'!AB$3:AB$200)-MIN(ROW('Temp Hisfa'!AB$3:AB$200))+1), ROW(94:293))),"")</f>
        <v>0</v>
      </c>
    </row>
    <row r="97" spans="1:28" x14ac:dyDescent="0.3">
      <c r="A97" s="4">
        <f t="array" ref="A97">IFERROR(INDEX('Temp Hisfa'!A$3:A$200, SMALL(IF(ISERROR('Temp Hisfa'!A$3:A$200), "", ROW('Temp Hisfa'!A$3:A$200)-MIN(ROW('Temp Hisfa'!A$3:A$200))+1), ROW(95:293))),"")</f>
        <v>0</v>
      </c>
      <c r="B97" s="4">
        <f t="array" ref="B97">IFERROR(INDEX('Temp Hisfa'!B$3:B$200, SMALL(IF(ISERROR('Temp Hisfa'!B$3:B$200), "", ROW('Temp Hisfa'!B$3:B$200)-MIN(ROW('Temp Hisfa'!B$3:B$200))+1), ROW(95:293))),"")</f>
        <v>0</v>
      </c>
      <c r="C97" s="3">
        <f t="array" ref="C97">IFERROR(INDEX('Temp Hisfa'!C$3:C$200, SMALL(IF(ISERROR('Temp Hisfa'!C$3:C$200), "", ROW('Temp Hisfa'!C$3:C$200)-MIN(ROW('Temp Hisfa'!C$3:C$200))+1), ROW(95:293))),"")</f>
        <v>0</v>
      </c>
      <c r="D97" s="3">
        <f t="array" ref="D97">IFERROR(INDEX('Temp Hisfa'!D$3:D$200, SMALL(IF(ISERROR('Temp Hisfa'!D$3:D$200), "", ROW('Temp Hisfa'!D$3:D$200)-MIN(ROW('Temp Hisfa'!D$3:D$200))+1), ROW(95:293))),"")</f>
        <v>0</v>
      </c>
      <c r="E97" s="29">
        <f t="array" ref="E97">IFERROR(INDEX('Temp Hisfa'!E$3:E$200, SMALL(IF(ISERROR('Temp Hisfa'!E$3:E$200), "", ROW('Temp Hisfa'!E$3:E$200)-MIN(ROW('Temp Hisfa'!E$3:E$200))+1), ROW(95:294))),"")</f>
        <v>0</v>
      </c>
      <c r="F97" s="22">
        <f t="array" ref="F97">IFERROR(INDEX('Temp Hisfa'!F$3:F$200, SMALL(IF(ISERROR('Temp Hisfa'!F$3:F$200), "", ROW('Temp Hisfa'!F$3:F$200)-MIN(ROW('Temp Hisfa'!F$3:F$200))+1), ROW(95:294))),"")</f>
        <v>0</v>
      </c>
      <c r="G97" s="30">
        <f t="array" ref="G97">IFERROR(INDEX('Temp Hisfa'!G$3:G$200, SMALL(IF(ISERROR('Temp Hisfa'!G$3:G$200), "", ROW('Temp Hisfa'!G$3:G$200)-MIN(ROW('Temp Hisfa'!G$3:G$200))+1), ROW(95:294))),"")</f>
        <v>0</v>
      </c>
      <c r="H97" s="22">
        <f t="array" ref="H97">IFERROR(INDEX('Temp Hisfa'!H$3:H$200, SMALL(IF(ISERROR('Temp Hisfa'!H$3:H$200), "", ROW('Temp Hisfa'!H$3:H$200)-MIN(ROW('Temp Hisfa'!H$3:H$200))+1), ROW(95:294))),"")</f>
        <v>0</v>
      </c>
      <c r="I97" s="22">
        <f t="array" ref="I97">IFERROR(INDEX('Temp Hisfa'!I$3:I$200, SMALL(IF(ISERROR('Temp Hisfa'!I$3:I$200), "", ROW('Temp Hisfa'!I$3:I$200)-MIN(ROW('Temp Hisfa'!I$3:I$200))+1), ROW(95:294))),"")</f>
        <v>0</v>
      </c>
      <c r="J97" s="22">
        <f t="array" ref="J97">IFERROR(INDEX('Temp Hisfa'!J$3:J$200, SMALL(IF(ISERROR('Temp Hisfa'!J$3:J$200), "", ROW('Temp Hisfa'!J$3:J$200)-MIN(ROW('Temp Hisfa'!J$3:J$200))+1), ROW(95:294))),"")</f>
        <v>0</v>
      </c>
      <c r="K97" s="30">
        <f t="array" ref="K97">IFERROR(INDEX('Temp Hisfa'!K$3:K$200, SMALL(IF(ISERROR('Temp Hisfa'!K$3:K$200), "", ROW('Temp Hisfa'!K$3:K$200)-MIN(ROW('Temp Hisfa'!K$3:K$200))+1), ROW(95:294))),"")</f>
        <v>0</v>
      </c>
      <c r="L97" s="22">
        <f t="array" ref="L97">IFERROR(INDEX('Temp Hisfa'!L$3:L$200, SMALL(IF(ISERROR('Temp Hisfa'!L$3:L$200), "", ROW('Temp Hisfa'!L$3:L$200)-MIN(ROW('Temp Hisfa'!L$3:L$200))+1), ROW(95:294))),"")</f>
        <v>0</v>
      </c>
      <c r="M97" s="22">
        <f t="array" ref="M97">IFERROR(INDEX('Temp Hisfa'!M$3:M$200, SMALL(IF(ISERROR('Temp Hisfa'!M$3:M$200), "", ROW('Temp Hisfa'!M$3:M$200)-MIN(ROW('Temp Hisfa'!M$3:M$200))+1), ROW(95:294))),"")</f>
        <v>0</v>
      </c>
      <c r="N97" s="22">
        <f t="array" ref="N97">IFERROR(INDEX('Temp Hisfa'!N$3:N$200, SMALL(IF(ISERROR('Temp Hisfa'!N$3:N$200), "", ROW('Temp Hisfa'!N$3:N$200)-MIN(ROW('Temp Hisfa'!N$3:N$200))+1), ROW(95:294))),"")</f>
        <v>1900</v>
      </c>
      <c r="O97" s="22" t="str">
        <f t="array" ref="O97">IFERROR(INDEX('Temp Hisfa'!O$3:O$200, SMALL(IF(ISERROR('Temp Hisfa'!O$3:O$200), "", ROW('Temp Hisfa'!O$3:O$200)-MIN(ROW('Temp Hisfa'!O$3:O$200))+1), ROW(95:294))),"")</f>
        <v>enero</v>
      </c>
      <c r="P97" s="22">
        <f t="array" ref="P97">IFERROR(INDEX('Temp Hisfa'!P$3:P$200, SMALL(IF(ISERROR('Temp Hisfa'!P$3:P$200), "", ROW('Temp Hisfa'!P$3:P$200)-MIN(ROW('Temp Hisfa'!P$3:P$200))+1), ROW(95:294))),"")</f>
        <v>0</v>
      </c>
      <c r="Q97" s="22">
        <f t="array" ref="Q97">IFERROR(INDEX('Temp Hisfa'!Q$3:Q$200, SMALL(IF(ISERROR('Temp Hisfa'!Q$3:Q$200), "", ROW('Temp Hisfa'!Q$3:Q$200)-MIN(ROW('Temp Hisfa'!Q$3:Q$200))+1), ROW(95:294))),"")</f>
        <v>0</v>
      </c>
      <c r="R97" s="22">
        <f t="array" ref="R97">IFERROR(INDEX('Temp Hisfa'!R$3:R$200, SMALL(IF(ISERROR('Temp Hisfa'!R$3:R$200), "", ROW('Temp Hisfa'!R$3:R$200)-MIN(ROW('Temp Hisfa'!R$3:R$200))+1), ROW(95:294))),"")</f>
        <v>0</v>
      </c>
      <c r="S97" s="22">
        <f t="array" ref="S97">IFERROR(INDEX('Temp Hisfa'!S$3:S$200, SMALL(IF(ISERROR('Temp Hisfa'!S$3:S$200), "", ROW('Temp Hisfa'!S$3:S$200)-MIN(ROW('Temp Hisfa'!S$3:S$200))+1), ROW(95:294))),"")</f>
        <v>0</v>
      </c>
      <c r="T97" s="22">
        <f t="array" ref="T97">IFERROR(INDEX('Temp Hisfa'!T$3:T$200, SMALL(IF(ISERROR('Temp Hisfa'!T$3:T$200), "", ROW('Temp Hisfa'!T$3:T$200)-MIN(ROW('Temp Hisfa'!T$3:T$200))+1), ROW(95:294))),"")</f>
        <v>0</v>
      </c>
      <c r="U97" s="22">
        <f t="array" ref="U97">IFERROR(INDEX('Temp Hisfa'!U$3:U$200, SMALL(IF(ISERROR('Temp Hisfa'!U$3:U$200), "", ROW('Temp Hisfa'!U$3:U$200)-MIN(ROW('Temp Hisfa'!U$3:U$200))+1), ROW(95:294))),"")</f>
        <v>0</v>
      </c>
      <c r="V97" s="22">
        <f t="array" ref="V97">IFERROR(INDEX('Temp Hisfa'!V$3:V$200, SMALL(IF(ISERROR('Temp Hisfa'!V$3:V$200), "", ROW('Temp Hisfa'!V$3:V$200)-MIN(ROW('Temp Hisfa'!V$3:V$200))+1), ROW(95:294))),"")</f>
        <v>0</v>
      </c>
      <c r="W97" s="22">
        <f t="array" ref="W97">IFERROR(INDEX('Temp Hisfa'!W$3:W$200, SMALL(IF(ISERROR('Temp Hisfa'!W$3:W$200), "", ROW('Temp Hisfa'!W$3:W$200)-MIN(ROW('Temp Hisfa'!W$3:W$200))+1), ROW(95:294))),"")</f>
        <v>0</v>
      </c>
      <c r="X97" s="22">
        <f t="array" ref="X97">IFERROR(INDEX('Temp Hisfa'!X$3:X$200, SMALL(IF(ISERROR('Temp Hisfa'!X$3:X$200), "", ROW('Temp Hisfa'!X$3:X$200)-MIN(ROW('Temp Hisfa'!X$3:X$200))+1), ROW(95:294))),"")</f>
        <v>0</v>
      </c>
      <c r="Y97" s="22">
        <f t="array" ref="Y97">IFERROR(INDEX('Temp Hisfa'!Y$3:Y$200, SMALL(IF(ISERROR('Temp Hisfa'!Y$3:Y$200), "", ROW('Temp Hisfa'!Y$3:Y$200)-MIN(ROW('Temp Hisfa'!Y$3:Y$200))+1), ROW(95:294))),"")</f>
        <v>0</v>
      </c>
      <c r="Z97" s="22">
        <f t="array" ref="Z97">IFERROR(INDEX('Temp Hisfa'!Z$3:Z$200, SMALL(IF(ISERROR('Temp Hisfa'!Z$3:Z$200), "", ROW('Temp Hisfa'!Z$3:Z$200)-MIN(ROW('Temp Hisfa'!Z$3:Z$200))+1), ROW(95:294))),"")</f>
        <v>0</v>
      </c>
      <c r="AA97" s="22">
        <f t="array" ref="AA97">IFERROR(INDEX('Temp Hisfa'!AA$3:AA$200, SMALL(IF(ISERROR('Temp Hisfa'!AA$3:AA$200), "", ROW('Temp Hisfa'!AA$3:AA$200)-MIN(ROW('Temp Hisfa'!AA$3:AA$200))+1), ROW(95:294))),"")</f>
        <v>0</v>
      </c>
      <c r="AB97" s="22">
        <f t="array" ref="AB97">IFERROR(INDEX('Temp Hisfa'!AB$3:AB$200, SMALL(IF(ISERROR('Temp Hisfa'!AB$3:AB$200), "", ROW('Temp Hisfa'!AB$3:AB$200)-MIN(ROW('Temp Hisfa'!AB$3:AB$200))+1), ROW(95:294))),"")</f>
        <v>0</v>
      </c>
    </row>
    <row r="98" spans="1:28" x14ac:dyDescent="0.3">
      <c r="A98" s="4">
        <f t="array" ref="A98">IFERROR(INDEX('Temp Hisfa'!A$3:A$200, SMALL(IF(ISERROR('Temp Hisfa'!A$3:A$200), "", ROW('Temp Hisfa'!A$3:A$200)-MIN(ROW('Temp Hisfa'!A$3:A$200))+1), ROW(96:294))),"")</f>
        <v>0</v>
      </c>
      <c r="B98" s="4">
        <f t="array" ref="B98">IFERROR(INDEX('Temp Hisfa'!B$3:B$200, SMALL(IF(ISERROR('Temp Hisfa'!B$3:B$200), "", ROW('Temp Hisfa'!B$3:B$200)-MIN(ROW('Temp Hisfa'!B$3:B$200))+1), ROW(96:294))),"")</f>
        <v>0</v>
      </c>
      <c r="C98" s="3">
        <f t="array" ref="C98">IFERROR(INDEX('Temp Hisfa'!C$3:C$200, SMALL(IF(ISERROR('Temp Hisfa'!C$3:C$200), "", ROW('Temp Hisfa'!C$3:C$200)-MIN(ROW('Temp Hisfa'!C$3:C$200))+1), ROW(96:294))),"")</f>
        <v>0</v>
      </c>
      <c r="D98" s="3">
        <f t="array" ref="D98">IFERROR(INDEX('Temp Hisfa'!D$3:D$200, SMALL(IF(ISERROR('Temp Hisfa'!D$3:D$200), "", ROW('Temp Hisfa'!D$3:D$200)-MIN(ROW('Temp Hisfa'!D$3:D$200))+1), ROW(96:294))),"")</f>
        <v>0</v>
      </c>
      <c r="E98" s="29">
        <f t="array" ref="E98">IFERROR(INDEX('Temp Hisfa'!E$3:E$200, SMALL(IF(ISERROR('Temp Hisfa'!E$3:E$200), "", ROW('Temp Hisfa'!E$3:E$200)-MIN(ROW('Temp Hisfa'!E$3:E$200))+1), ROW(96:295))),"")</f>
        <v>0</v>
      </c>
      <c r="F98" s="22">
        <f t="array" ref="F98">IFERROR(INDEX('Temp Hisfa'!F$3:F$200, SMALL(IF(ISERROR('Temp Hisfa'!F$3:F$200), "", ROW('Temp Hisfa'!F$3:F$200)-MIN(ROW('Temp Hisfa'!F$3:F$200))+1), ROW(96:295))),"")</f>
        <v>0</v>
      </c>
      <c r="G98" s="30">
        <f t="array" ref="G98">IFERROR(INDEX('Temp Hisfa'!G$3:G$200, SMALL(IF(ISERROR('Temp Hisfa'!G$3:G$200), "", ROW('Temp Hisfa'!G$3:G$200)-MIN(ROW('Temp Hisfa'!G$3:G$200))+1), ROW(96:295))),"")</f>
        <v>0</v>
      </c>
      <c r="H98" s="22">
        <f t="array" ref="H98">IFERROR(INDEX('Temp Hisfa'!H$3:H$200, SMALL(IF(ISERROR('Temp Hisfa'!H$3:H$200), "", ROW('Temp Hisfa'!H$3:H$200)-MIN(ROW('Temp Hisfa'!H$3:H$200))+1), ROW(96:295))),"")</f>
        <v>0</v>
      </c>
      <c r="I98" s="22">
        <f t="array" ref="I98">IFERROR(INDEX('Temp Hisfa'!I$3:I$200, SMALL(IF(ISERROR('Temp Hisfa'!I$3:I$200), "", ROW('Temp Hisfa'!I$3:I$200)-MIN(ROW('Temp Hisfa'!I$3:I$200))+1), ROW(96:295))),"")</f>
        <v>0</v>
      </c>
      <c r="J98" s="22">
        <f t="array" ref="J98">IFERROR(INDEX('Temp Hisfa'!J$3:J$200, SMALL(IF(ISERROR('Temp Hisfa'!J$3:J$200), "", ROW('Temp Hisfa'!J$3:J$200)-MIN(ROW('Temp Hisfa'!J$3:J$200))+1), ROW(96:295))),"")</f>
        <v>0</v>
      </c>
      <c r="K98" s="30">
        <f t="array" ref="K98">IFERROR(INDEX('Temp Hisfa'!K$3:K$200, SMALL(IF(ISERROR('Temp Hisfa'!K$3:K$200), "", ROW('Temp Hisfa'!K$3:K$200)-MIN(ROW('Temp Hisfa'!K$3:K$200))+1), ROW(96:295))),"")</f>
        <v>0</v>
      </c>
      <c r="L98" s="22">
        <f t="array" ref="L98">IFERROR(INDEX('Temp Hisfa'!L$3:L$200, SMALL(IF(ISERROR('Temp Hisfa'!L$3:L$200), "", ROW('Temp Hisfa'!L$3:L$200)-MIN(ROW('Temp Hisfa'!L$3:L$200))+1), ROW(96:295))),"")</f>
        <v>0</v>
      </c>
      <c r="M98" s="22">
        <f t="array" ref="M98">IFERROR(INDEX('Temp Hisfa'!M$3:M$200, SMALL(IF(ISERROR('Temp Hisfa'!M$3:M$200), "", ROW('Temp Hisfa'!M$3:M$200)-MIN(ROW('Temp Hisfa'!M$3:M$200))+1), ROW(96:295))),"")</f>
        <v>0</v>
      </c>
      <c r="N98" s="22">
        <f t="array" ref="N98">IFERROR(INDEX('Temp Hisfa'!N$3:N$200, SMALL(IF(ISERROR('Temp Hisfa'!N$3:N$200), "", ROW('Temp Hisfa'!N$3:N$200)-MIN(ROW('Temp Hisfa'!N$3:N$200))+1), ROW(96:295))),"")</f>
        <v>1900</v>
      </c>
      <c r="O98" s="22" t="str">
        <f t="array" ref="O98">IFERROR(INDEX('Temp Hisfa'!O$3:O$200, SMALL(IF(ISERROR('Temp Hisfa'!O$3:O$200), "", ROW('Temp Hisfa'!O$3:O$200)-MIN(ROW('Temp Hisfa'!O$3:O$200))+1), ROW(96:295))),"")</f>
        <v>enero</v>
      </c>
      <c r="P98" s="22">
        <f t="array" ref="P98">IFERROR(INDEX('Temp Hisfa'!P$3:P$200, SMALL(IF(ISERROR('Temp Hisfa'!P$3:P$200), "", ROW('Temp Hisfa'!P$3:P$200)-MIN(ROW('Temp Hisfa'!P$3:P$200))+1), ROW(96:295))),"")</f>
        <v>0</v>
      </c>
      <c r="Q98" s="22">
        <f t="array" ref="Q98">IFERROR(INDEX('Temp Hisfa'!Q$3:Q$200, SMALL(IF(ISERROR('Temp Hisfa'!Q$3:Q$200), "", ROW('Temp Hisfa'!Q$3:Q$200)-MIN(ROW('Temp Hisfa'!Q$3:Q$200))+1), ROW(96:295))),"")</f>
        <v>0</v>
      </c>
      <c r="R98" s="22">
        <f t="array" ref="R98">IFERROR(INDEX('Temp Hisfa'!R$3:R$200, SMALL(IF(ISERROR('Temp Hisfa'!R$3:R$200), "", ROW('Temp Hisfa'!R$3:R$200)-MIN(ROW('Temp Hisfa'!R$3:R$200))+1), ROW(96:295))),"")</f>
        <v>0</v>
      </c>
      <c r="S98" s="22">
        <f t="array" ref="S98">IFERROR(INDEX('Temp Hisfa'!S$3:S$200, SMALL(IF(ISERROR('Temp Hisfa'!S$3:S$200), "", ROW('Temp Hisfa'!S$3:S$200)-MIN(ROW('Temp Hisfa'!S$3:S$200))+1), ROW(96:295))),"")</f>
        <v>0</v>
      </c>
      <c r="T98" s="22">
        <f t="array" ref="T98">IFERROR(INDEX('Temp Hisfa'!T$3:T$200, SMALL(IF(ISERROR('Temp Hisfa'!T$3:T$200), "", ROW('Temp Hisfa'!T$3:T$200)-MIN(ROW('Temp Hisfa'!T$3:T$200))+1), ROW(96:295))),"")</f>
        <v>0</v>
      </c>
      <c r="U98" s="22">
        <f t="array" ref="U98">IFERROR(INDEX('Temp Hisfa'!U$3:U$200, SMALL(IF(ISERROR('Temp Hisfa'!U$3:U$200), "", ROW('Temp Hisfa'!U$3:U$200)-MIN(ROW('Temp Hisfa'!U$3:U$200))+1), ROW(96:295))),"")</f>
        <v>0</v>
      </c>
      <c r="V98" s="22">
        <f t="array" ref="V98">IFERROR(INDEX('Temp Hisfa'!V$3:V$200, SMALL(IF(ISERROR('Temp Hisfa'!V$3:V$200), "", ROW('Temp Hisfa'!V$3:V$200)-MIN(ROW('Temp Hisfa'!V$3:V$200))+1), ROW(96:295))),"")</f>
        <v>0</v>
      </c>
      <c r="W98" s="22">
        <f t="array" ref="W98">IFERROR(INDEX('Temp Hisfa'!W$3:W$200, SMALL(IF(ISERROR('Temp Hisfa'!W$3:W$200), "", ROW('Temp Hisfa'!W$3:W$200)-MIN(ROW('Temp Hisfa'!W$3:W$200))+1), ROW(96:295))),"")</f>
        <v>0</v>
      </c>
      <c r="X98" s="22">
        <f t="array" ref="X98">IFERROR(INDEX('Temp Hisfa'!X$3:X$200, SMALL(IF(ISERROR('Temp Hisfa'!X$3:X$200), "", ROW('Temp Hisfa'!X$3:X$200)-MIN(ROW('Temp Hisfa'!X$3:X$200))+1), ROW(96:295))),"")</f>
        <v>0</v>
      </c>
      <c r="Y98" s="22">
        <f t="array" ref="Y98">IFERROR(INDEX('Temp Hisfa'!Y$3:Y$200, SMALL(IF(ISERROR('Temp Hisfa'!Y$3:Y$200), "", ROW('Temp Hisfa'!Y$3:Y$200)-MIN(ROW('Temp Hisfa'!Y$3:Y$200))+1), ROW(96:295))),"")</f>
        <v>0</v>
      </c>
      <c r="Z98" s="22">
        <f t="array" ref="Z98">IFERROR(INDEX('Temp Hisfa'!Z$3:Z$200, SMALL(IF(ISERROR('Temp Hisfa'!Z$3:Z$200), "", ROW('Temp Hisfa'!Z$3:Z$200)-MIN(ROW('Temp Hisfa'!Z$3:Z$200))+1), ROW(96:295))),"")</f>
        <v>0</v>
      </c>
      <c r="AA98" s="22">
        <f t="array" ref="AA98">IFERROR(INDEX('Temp Hisfa'!AA$3:AA$200, SMALL(IF(ISERROR('Temp Hisfa'!AA$3:AA$200), "", ROW('Temp Hisfa'!AA$3:AA$200)-MIN(ROW('Temp Hisfa'!AA$3:AA$200))+1), ROW(96:295))),"")</f>
        <v>0</v>
      </c>
      <c r="AB98" s="22">
        <f t="array" ref="AB98">IFERROR(INDEX('Temp Hisfa'!AB$3:AB$200, SMALL(IF(ISERROR('Temp Hisfa'!AB$3:AB$200), "", ROW('Temp Hisfa'!AB$3:AB$200)-MIN(ROW('Temp Hisfa'!AB$3:AB$200))+1), ROW(96:295))),"")</f>
        <v>0</v>
      </c>
    </row>
    <row r="99" spans="1:28" x14ac:dyDescent="0.3">
      <c r="A99" s="4">
        <f t="array" ref="A99">IFERROR(INDEX('Temp Hisfa'!A$3:A$200, SMALL(IF(ISERROR('Temp Hisfa'!A$3:A$200), "", ROW('Temp Hisfa'!A$3:A$200)-MIN(ROW('Temp Hisfa'!A$3:A$200))+1), ROW(97:295))),"")</f>
        <v>0</v>
      </c>
      <c r="B99" s="4">
        <f t="array" ref="B99">IFERROR(INDEX('Temp Hisfa'!B$3:B$200, SMALL(IF(ISERROR('Temp Hisfa'!B$3:B$200), "", ROW('Temp Hisfa'!B$3:B$200)-MIN(ROW('Temp Hisfa'!B$3:B$200))+1), ROW(97:295))),"")</f>
        <v>0</v>
      </c>
      <c r="C99" s="3">
        <f t="array" ref="C99">IFERROR(INDEX('Temp Hisfa'!C$3:C$200, SMALL(IF(ISERROR('Temp Hisfa'!C$3:C$200), "", ROW('Temp Hisfa'!C$3:C$200)-MIN(ROW('Temp Hisfa'!C$3:C$200))+1), ROW(97:295))),"")</f>
        <v>0</v>
      </c>
      <c r="D99" s="3">
        <f t="array" ref="D99">IFERROR(INDEX('Temp Hisfa'!D$3:D$200, SMALL(IF(ISERROR('Temp Hisfa'!D$3:D$200), "", ROW('Temp Hisfa'!D$3:D$200)-MIN(ROW('Temp Hisfa'!D$3:D$200))+1), ROW(97:295))),"")</f>
        <v>0</v>
      </c>
      <c r="E99" s="29">
        <f t="array" ref="E99">IFERROR(INDEX('Temp Hisfa'!E$3:E$200, SMALL(IF(ISERROR('Temp Hisfa'!E$3:E$200), "", ROW('Temp Hisfa'!E$3:E$200)-MIN(ROW('Temp Hisfa'!E$3:E$200))+1), ROW(97:296))),"")</f>
        <v>0</v>
      </c>
      <c r="F99" s="22">
        <f t="array" ref="F99">IFERROR(INDEX('Temp Hisfa'!F$3:F$200, SMALL(IF(ISERROR('Temp Hisfa'!F$3:F$200), "", ROW('Temp Hisfa'!F$3:F$200)-MIN(ROW('Temp Hisfa'!F$3:F$200))+1), ROW(97:296))),"")</f>
        <v>0</v>
      </c>
      <c r="G99" s="30">
        <f t="array" ref="G99">IFERROR(INDEX('Temp Hisfa'!G$3:G$200, SMALL(IF(ISERROR('Temp Hisfa'!G$3:G$200), "", ROW('Temp Hisfa'!G$3:G$200)-MIN(ROW('Temp Hisfa'!G$3:G$200))+1), ROW(97:296))),"")</f>
        <v>0</v>
      </c>
      <c r="H99" s="22">
        <f t="array" ref="H99">IFERROR(INDEX('Temp Hisfa'!H$3:H$200, SMALL(IF(ISERROR('Temp Hisfa'!H$3:H$200), "", ROW('Temp Hisfa'!H$3:H$200)-MIN(ROW('Temp Hisfa'!H$3:H$200))+1), ROW(97:296))),"")</f>
        <v>0</v>
      </c>
      <c r="I99" s="22">
        <f t="array" ref="I99">IFERROR(INDEX('Temp Hisfa'!I$3:I$200, SMALL(IF(ISERROR('Temp Hisfa'!I$3:I$200), "", ROW('Temp Hisfa'!I$3:I$200)-MIN(ROW('Temp Hisfa'!I$3:I$200))+1), ROW(97:296))),"")</f>
        <v>0</v>
      </c>
      <c r="J99" s="22">
        <f t="array" ref="J99">IFERROR(INDEX('Temp Hisfa'!J$3:J$200, SMALL(IF(ISERROR('Temp Hisfa'!J$3:J$200), "", ROW('Temp Hisfa'!J$3:J$200)-MIN(ROW('Temp Hisfa'!J$3:J$200))+1), ROW(97:296))),"")</f>
        <v>0</v>
      </c>
      <c r="K99" s="30">
        <f t="array" ref="K99">IFERROR(INDEX('Temp Hisfa'!K$3:K$200, SMALL(IF(ISERROR('Temp Hisfa'!K$3:K$200), "", ROW('Temp Hisfa'!K$3:K$200)-MIN(ROW('Temp Hisfa'!K$3:K$200))+1), ROW(97:296))),"")</f>
        <v>0</v>
      </c>
      <c r="L99" s="22">
        <f t="array" ref="L99">IFERROR(INDEX('Temp Hisfa'!L$3:L$200, SMALL(IF(ISERROR('Temp Hisfa'!L$3:L$200), "", ROW('Temp Hisfa'!L$3:L$200)-MIN(ROW('Temp Hisfa'!L$3:L$200))+1), ROW(97:296))),"")</f>
        <v>0</v>
      </c>
      <c r="M99" s="22">
        <f t="array" ref="M99">IFERROR(INDEX('Temp Hisfa'!M$3:M$200, SMALL(IF(ISERROR('Temp Hisfa'!M$3:M$200), "", ROW('Temp Hisfa'!M$3:M$200)-MIN(ROW('Temp Hisfa'!M$3:M$200))+1), ROW(97:296))),"")</f>
        <v>0</v>
      </c>
      <c r="N99" s="22">
        <f t="array" ref="N99">IFERROR(INDEX('Temp Hisfa'!N$3:N$200, SMALL(IF(ISERROR('Temp Hisfa'!N$3:N$200), "", ROW('Temp Hisfa'!N$3:N$200)-MIN(ROW('Temp Hisfa'!N$3:N$200))+1), ROW(97:296))),"")</f>
        <v>1900</v>
      </c>
      <c r="O99" s="22" t="str">
        <f t="array" ref="O99">IFERROR(INDEX('Temp Hisfa'!O$3:O$200, SMALL(IF(ISERROR('Temp Hisfa'!O$3:O$200), "", ROW('Temp Hisfa'!O$3:O$200)-MIN(ROW('Temp Hisfa'!O$3:O$200))+1), ROW(97:296))),"")</f>
        <v>enero</v>
      </c>
      <c r="P99" s="22">
        <f t="array" ref="P99">IFERROR(INDEX('Temp Hisfa'!P$3:P$200, SMALL(IF(ISERROR('Temp Hisfa'!P$3:P$200), "", ROW('Temp Hisfa'!P$3:P$200)-MIN(ROW('Temp Hisfa'!P$3:P$200))+1), ROW(97:296))),"")</f>
        <v>0</v>
      </c>
      <c r="Q99" s="22">
        <f t="array" ref="Q99">IFERROR(INDEX('Temp Hisfa'!Q$3:Q$200, SMALL(IF(ISERROR('Temp Hisfa'!Q$3:Q$200), "", ROW('Temp Hisfa'!Q$3:Q$200)-MIN(ROW('Temp Hisfa'!Q$3:Q$200))+1), ROW(97:296))),"")</f>
        <v>0</v>
      </c>
      <c r="R99" s="22">
        <f t="array" ref="R99">IFERROR(INDEX('Temp Hisfa'!R$3:R$200, SMALL(IF(ISERROR('Temp Hisfa'!R$3:R$200), "", ROW('Temp Hisfa'!R$3:R$200)-MIN(ROW('Temp Hisfa'!R$3:R$200))+1), ROW(97:296))),"")</f>
        <v>0</v>
      </c>
      <c r="S99" s="22">
        <f t="array" ref="S99">IFERROR(INDEX('Temp Hisfa'!S$3:S$200, SMALL(IF(ISERROR('Temp Hisfa'!S$3:S$200), "", ROW('Temp Hisfa'!S$3:S$200)-MIN(ROW('Temp Hisfa'!S$3:S$200))+1), ROW(97:296))),"")</f>
        <v>0</v>
      </c>
      <c r="T99" s="22">
        <f t="array" ref="T99">IFERROR(INDEX('Temp Hisfa'!T$3:T$200, SMALL(IF(ISERROR('Temp Hisfa'!T$3:T$200), "", ROW('Temp Hisfa'!T$3:T$200)-MIN(ROW('Temp Hisfa'!T$3:T$200))+1), ROW(97:296))),"")</f>
        <v>0</v>
      </c>
      <c r="U99" s="22">
        <f t="array" ref="U99">IFERROR(INDEX('Temp Hisfa'!U$3:U$200, SMALL(IF(ISERROR('Temp Hisfa'!U$3:U$200), "", ROW('Temp Hisfa'!U$3:U$200)-MIN(ROW('Temp Hisfa'!U$3:U$200))+1), ROW(97:296))),"")</f>
        <v>0</v>
      </c>
      <c r="V99" s="22">
        <f t="array" ref="V99">IFERROR(INDEX('Temp Hisfa'!V$3:V$200, SMALL(IF(ISERROR('Temp Hisfa'!V$3:V$200), "", ROW('Temp Hisfa'!V$3:V$200)-MIN(ROW('Temp Hisfa'!V$3:V$200))+1), ROW(97:296))),"")</f>
        <v>0</v>
      </c>
      <c r="W99" s="22">
        <f t="array" ref="W99">IFERROR(INDEX('Temp Hisfa'!W$3:W$200, SMALL(IF(ISERROR('Temp Hisfa'!W$3:W$200), "", ROW('Temp Hisfa'!W$3:W$200)-MIN(ROW('Temp Hisfa'!W$3:W$200))+1), ROW(97:296))),"")</f>
        <v>0</v>
      </c>
      <c r="X99" s="22">
        <f t="array" ref="X99">IFERROR(INDEX('Temp Hisfa'!X$3:X$200, SMALL(IF(ISERROR('Temp Hisfa'!X$3:X$200), "", ROW('Temp Hisfa'!X$3:X$200)-MIN(ROW('Temp Hisfa'!X$3:X$200))+1), ROW(97:296))),"")</f>
        <v>0</v>
      </c>
      <c r="Y99" s="22">
        <f t="array" ref="Y99">IFERROR(INDEX('Temp Hisfa'!Y$3:Y$200, SMALL(IF(ISERROR('Temp Hisfa'!Y$3:Y$200), "", ROW('Temp Hisfa'!Y$3:Y$200)-MIN(ROW('Temp Hisfa'!Y$3:Y$200))+1), ROW(97:296))),"")</f>
        <v>0</v>
      </c>
      <c r="Z99" s="22">
        <f t="array" ref="Z99">IFERROR(INDEX('Temp Hisfa'!Z$3:Z$200, SMALL(IF(ISERROR('Temp Hisfa'!Z$3:Z$200), "", ROW('Temp Hisfa'!Z$3:Z$200)-MIN(ROW('Temp Hisfa'!Z$3:Z$200))+1), ROW(97:296))),"")</f>
        <v>0</v>
      </c>
      <c r="AA99" s="22">
        <f t="array" ref="AA99">IFERROR(INDEX('Temp Hisfa'!AA$3:AA$200, SMALL(IF(ISERROR('Temp Hisfa'!AA$3:AA$200), "", ROW('Temp Hisfa'!AA$3:AA$200)-MIN(ROW('Temp Hisfa'!AA$3:AA$200))+1), ROW(97:296))),"")</f>
        <v>0</v>
      </c>
      <c r="AB99" s="22">
        <f t="array" ref="AB99">IFERROR(INDEX('Temp Hisfa'!AB$3:AB$200, SMALL(IF(ISERROR('Temp Hisfa'!AB$3:AB$200), "", ROW('Temp Hisfa'!AB$3:AB$200)-MIN(ROW('Temp Hisfa'!AB$3:AB$200))+1), ROW(97:296))),"")</f>
        <v>0</v>
      </c>
    </row>
    <row r="100" spans="1:28" x14ac:dyDescent="0.3">
      <c r="A100" s="4">
        <f t="array" ref="A100">IFERROR(INDEX('Temp Hisfa'!A$3:A$200, SMALL(IF(ISERROR('Temp Hisfa'!A$3:A$200), "", ROW('Temp Hisfa'!A$3:A$200)-MIN(ROW('Temp Hisfa'!A$3:A$200))+1), ROW(98:296))),"")</f>
        <v>0</v>
      </c>
      <c r="B100" s="4">
        <f t="array" ref="B100">IFERROR(INDEX('Temp Hisfa'!B$3:B$200, SMALL(IF(ISERROR('Temp Hisfa'!B$3:B$200), "", ROW('Temp Hisfa'!B$3:B$200)-MIN(ROW('Temp Hisfa'!B$3:B$200))+1), ROW(98:296))),"")</f>
        <v>0</v>
      </c>
      <c r="C100" s="3">
        <f t="array" ref="C100">IFERROR(INDEX('Temp Hisfa'!C$3:C$200, SMALL(IF(ISERROR('Temp Hisfa'!C$3:C$200), "", ROW('Temp Hisfa'!C$3:C$200)-MIN(ROW('Temp Hisfa'!C$3:C$200))+1), ROW(98:296))),"")</f>
        <v>0</v>
      </c>
      <c r="D100" s="3">
        <f t="array" ref="D100">IFERROR(INDEX('Temp Hisfa'!D$3:D$200, SMALL(IF(ISERROR('Temp Hisfa'!D$3:D$200), "", ROW('Temp Hisfa'!D$3:D$200)-MIN(ROW('Temp Hisfa'!D$3:D$200))+1), ROW(98:296))),"")</f>
        <v>0</v>
      </c>
      <c r="E100" s="29">
        <f t="array" ref="E100">IFERROR(INDEX('Temp Hisfa'!E$3:E$200, SMALL(IF(ISERROR('Temp Hisfa'!E$3:E$200), "", ROW('Temp Hisfa'!E$3:E$200)-MIN(ROW('Temp Hisfa'!E$3:E$200))+1), ROW(98:297))),"")</f>
        <v>0</v>
      </c>
      <c r="F100" s="22">
        <f t="array" ref="F100">IFERROR(INDEX('Temp Hisfa'!F$3:F$200, SMALL(IF(ISERROR('Temp Hisfa'!F$3:F$200), "", ROW('Temp Hisfa'!F$3:F$200)-MIN(ROW('Temp Hisfa'!F$3:F$200))+1), ROW(98:297))),"")</f>
        <v>0</v>
      </c>
      <c r="G100" s="30">
        <f t="array" ref="G100">IFERROR(INDEX('Temp Hisfa'!G$3:G$200, SMALL(IF(ISERROR('Temp Hisfa'!G$3:G$200), "", ROW('Temp Hisfa'!G$3:G$200)-MIN(ROW('Temp Hisfa'!G$3:G$200))+1), ROW(98:297))),"")</f>
        <v>0</v>
      </c>
      <c r="H100" s="22">
        <f t="array" ref="H100">IFERROR(INDEX('Temp Hisfa'!H$3:H$200, SMALL(IF(ISERROR('Temp Hisfa'!H$3:H$200), "", ROW('Temp Hisfa'!H$3:H$200)-MIN(ROW('Temp Hisfa'!H$3:H$200))+1), ROW(98:297))),"")</f>
        <v>0</v>
      </c>
      <c r="I100" s="22">
        <f t="array" ref="I100">IFERROR(INDEX('Temp Hisfa'!I$3:I$200, SMALL(IF(ISERROR('Temp Hisfa'!I$3:I$200), "", ROW('Temp Hisfa'!I$3:I$200)-MIN(ROW('Temp Hisfa'!I$3:I$200))+1), ROW(98:297))),"")</f>
        <v>0</v>
      </c>
      <c r="J100" s="22">
        <f t="array" ref="J100">IFERROR(INDEX('Temp Hisfa'!J$3:J$200, SMALL(IF(ISERROR('Temp Hisfa'!J$3:J$200), "", ROW('Temp Hisfa'!J$3:J$200)-MIN(ROW('Temp Hisfa'!J$3:J$200))+1), ROW(98:297))),"")</f>
        <v>0</v>
      </c>
      <c r="K100" s="30">
        <f t="array" ref="K100">IFERROR(INDEX('Temp Hisfa'!K$3:K$200, SMALL(IF(ISERROR('Temp Hisfa'!K$3:K$200), "", ROW('Temp Hisfa'!K$3:K$200)-MIN(ROW('Temp Hisfa'!K$3:K$200))+1), ROW(98:297))),"")</f>
        <v>0</v>
      </c>
      <c r="L100" s="22">
        <f t="array" ref="L100">IFERROR(INDEX('Temp Hisfa'!L$3:L$200, SMALL(IF(ISERROR('Temp Hisfa'!L$3:L$200), "", ROW('Temp Hisfa'!L$3:L$200)-MIN(ROW('Temp Hisfa'!L$3:L$200))+1), ROW(98:297))),"")</f>
        <v>0</v>
      </c>
      <c r="M100" s="22">
        <f t="array" ref="M100">IFERROR(INDEX('Temp Hisfa'!M$3:M$200, SMALL(IF(ISERROR('Temp Hisfa'!M$3:M$200), "", ROW('Temp Hisfa'!M$3:M$200)-MIN(ROW('Temp Hisfa'!M$3:M$200))+1), ROW(98:297))),"")</f>
        <v>0</v>
      </c>
      <c r="N100" s="22">
        <f t="array" ref="N100">IFERROR(INDEX('Temp Hisfa'!N$3:N$200, SMALL(IF(ISERROR('Temp Hisfa'!N$3:N$200), "", ROW('Temp Hisfa'!N$3:N$200)-MIN(ROW('Temp Hisfa'!N$3:N$200))+1), ROW(98:297))),"")</f>
        <v>1900</v>
      </c>
      <c r="O100" s="22" t="str">
        <f t="array" ref="O100">IFERROR(INDEX('Temp Hisfa'!O$3:O$200, SMALL(IF(ISERROR('Temp Hisfa'!O$3:O$200), "", ROW('Temp Hisfa'!O$3:O$200)-MIN(ROW('Temp Hisfa'!O$3:O$200))+1), ROW(98:297))),"")</f>
        <v>enero</v>
      </c>
      <c r="P100" s="22">
        <f t="array" ref="P100">IFERROR(INDEX('Temp Hisfa'!P$3:P$200, SMALL(IF(ISERROR('Temp Hisfa'!P$3:P$200), "", ROW('Temp Hisfa'!P$3:P$200)-MIN(ROW('Temp Hisfa'!P$3:P$200))+1), ROW(98:297))),"")</f>
        <v>0</v>
      </c>
      <c r="Q100" s="22">
        <f t="array" ref="Q100">IFERROR(INDEX('Temp Hisfa'!Q$3:Q$200, SMALL(IF(ISERROR('Temp Hisfa'!Q$3:Q$200), "", ROW('Temp Hisfa'!Q$3:Q$200)-MIN(ROW('Temp Hisfa'!Q$3:Q$200))+1), ROW(98:297))),"")</f>
        <v>0</v>
      </c>
      <c r="R100" s="22">
        <f t="array" ref="R100">IFERROR(INDEX('Temp Hisfa'!R$3:R$200, SMALL(IF(ISERROR('Temp Hisfa'!R$3:R$200), "", ROW('Temp Hisfa'!R$3:R$200)-MIN(ROW('Temp Hisfa'!R$3:R$200))+1), ROW(98:297))),"")</f>
        <v>0</v>
      </c>
      <c r="S100" s="22">
        <f t="array" ref="S100">IFERROR(INDEX('Temp Hisfa'!S$3:S$200, SMALL(IF(ISERROR('Temp Hisfa'!S$3:S$200), "", ROW('Temp Hisfa'!S$3:S$200)-MIN(ROW('Temp Hisfa'!S$3:S$200))+1), ROW(98:297))),"")</f>
        <v>0</v>
      </c>
      <c r="T100" s="22">
        <f t="array" ref="T100">IFERROR(INDEX('Temp Hisfa'!T$3:T$200, SMALL(IF(ISERROR('Temp Hisfa'!T$3:T$200), "", ROW('Temp Hisfa'!T$3:T$200)-MIN(ROW('Temp Hisfa'!T$3:T$200))+1), ROW(98:297))),"")</f>
        <v>0</v>
      </c>
      <c r="U100" s="22">
        <f t="array" ref="U100">IFERROR(INDEX('Temp Hisfa'!U$3:U$200, SMALL(IF(ISERROR('Temp Hisfa'!U$3:U$200), "", ROW('Temp Hisfa'!U$3:U$200)-MIN(ROW('Temp Hisfa'!U$3:U$200))+1), ROW(98:297))),"")</f>
        <v>0</v>
      </c>
      <c r="V100" s="22">
        <f t="array" ref="V100">IFERROR(INDEX('Temp Hisfa'!V$3:V$200, SMALL(IF(ISERROR('Temp Hisfa'!V$3:V$200), "", ROW('Temp Hisfa'!V$3:V$200)-MIN(ROW('Temp Hisfa'!V$3:V$200))+1), ROW(98:297))),"")</f>
        <v>0</v>
      </c>
      <c r="W100" s="22">
        <f t="array" ref="W100">IFERROR(INDEX('Temp Hisfa'!W$3:W$200, SMALL(IF(ISERROR('Temp Hisfa'!W$3:W$200), "", ROW('Temp Hisfa'!W$3:W$200)-MIN(ROW('Temp Hisfa'!W$3:W$200))+1), ROW(98:297))),"")</f>
        <v>0</v>
      </c>
      <c r="X100" s="22">
        <f t="array" ref="X100">IFERROR(INDEX('Temp Hisfa'!X$3:X$200, SMALL(IF(ISERROR('Temp Hisfa'!X$3:X$200), "", ROW('Temp Hisfa'!X$3:X$200)-MIN(ROW('Temp Hisfa'!X$3:X$200))+1), ROW(98:297))),"")</f>
        <v>0</v>
      </c>
      <c r="Y100" s="22">
        <f t="array" ref="Y100">IFERROR(INDEX('Temp Hisfa'!Y$3:Y$200, SMALL(IF(ISERROR('Temp Hisfa'!Y$3:Y$200), "", ROW('Temp Hisfa'!Y$3:Y$200)-MIN(ROW('Temp Hisfa'!Y$3:Y$200))+1), ROW(98:297))),"")</f>
        <v>0</v>
      </c>
      <c r="Z100" s="22">
        <f t="array" ref="Z100">IFERROR(INDEX('Temp Hisfa'!Z$3:Z$200, SMALL(IF(ISERROR('Temp Hisfa'!Z$3:Z$200), "", ROW('Temp Hisfa'!Z$3:Z$200)-MIN(ROW('Temp Hisfa'!Z$3:Z$200))+1), ROW(98:297))),"")</f>
        <v>0</v>
      </c>
      <c r="AA100" s="22">
        <f t="array" ref="AA100">IFERROR(INDEX('Temp Hisfa'!AA$3:AA$200, SMALL(IF(ISERROR('Temp Hisfa'!AA$3:AA$200), "", ROW('Temp Hisfa'!AA$3:AA$200)-MIN(ROW('Temp Hisfa'!AA$3:AA$200))+1), ROW(98:297))),"")</f>
        <v>0</v>
      </c>
      <c r="AB100" s="22">
        <f t="array" ref="AB100">IFERROR(INDEX('Temp Hisfa'!AB$3:AB$200, SMALL(IF(ISERROR('Temp Hisfa'!AB$3:AB$200), "", ROW('Temp Hisfa'!AB$3:AB$200)-MIN(ROW('Temp Hisfa'!AB$3:AB$200))+1), ROW(98:297))),"")</f>
        <v>0</v>
      </c>
    </row>
    <row r="101" spans="1:28" x14ac:dyDescent="0.3">
      <c r="A101" s="4">
        <f t="array" ref="A101">IFERROR(INDEX('Temp Hisfa'!A$3:A$200, SMALL(IF(ISERROR('Temp Hisfa'!A$3:A$200), "", ROW('Temp Hisfa'!A$3:A$200)-MIN(ROW('Temp Hisfa'!A$3:A$200))+1), ROW(99:297))),"")</f>
        <v>0</v>
      </c>
      <c r="B101" s="4">
        <f t="array" ref="B101">IFERROR(INDEX('Temp Hisfa'!B$3:B$200, SMALL(IF(ISERROR('Temp Hisfa'!B$3:B$200), "", ROW('Temp Hisfa'!B$3:B$200)-MIN(ROW('Temp Hisfa'!B$3:B$200))+1), ROW(99:297))),"")</f>
        <v>0</v>
      </c>
      <c r="C101" s="3">
        <f t="array" ref="C101">IFERROR(INDEX('Temp Hisfa'!C$3:C$200, SMALL(IF(ISERROR('Temp Hisfa'!C$3:C$200), "", ROW('Temp Hisfa'!C$3:C$200)-MIN(ROW('Temp Hisfa'!C$3:C$200))+1), ROW(99:297))),"")</f>
        <v>0</v>
      </c>
      <c r="D101" s="3">
        <f t="array" ref="D101">IFERROR(INDEX('Temp Hisfa'!D$3:D$200, SMALL(IF(ISERROR('Temp Hisfa'!D$3:D$200), "", ROW('Temp Hisfa'!D$3:D$200)-MIN(ROW('Temp Hisfa'!D$3:D$200))+1), ROW(99:297))),"")</f>
        <v>0</v>
      </c>
      <c r="E101" s="29">
        <f t="array" ref="E101">IFERROR(INDEX('Temp Hisfa'!E$3:E$200, SMALL(IF(ISERROR('Temp Hisfa'!E$3:E$200), "", ROW('Temp Hisfa'!E$3:E$200)-MIN(ROW('Temp Hisfa'!E$3:E$200))+1), ROW(99:298))),"")</f>
        <v>0</v>
      </c>
      <c r="F101" s="22">
        <f t="array" ref="F101">IFERROR(INDEX('Temp Hisfa'!F$3:F$200, SMALL(IF(ISERROR('Temp Hisfa'!F$3:F$200), "", ROW('Temp Hisfa'!F$3:F$200)-MIN(ROW('Temp Hisfa'!F$3:F$200))+1), ROW(99:298))),"")</f>
        <v>0</v>
      </c>
      <c r="G101" s="30">
        <f t="array" ref="G101">IFERROR(INDEX('Temp Hisfa'!G$3:G$200, SMALL(IF(ISERROR('Temp Hisfa'!G$3:G$200), "", ROW('Temp Hisfa'!G$3:G$200)-MIN(ROW('Temp Hisfa'!G$3:G$200))+1), ROW(99:298))),"")</f>
        <v>0</v>
      </c>
      <c r="H101" s="22">
        <f t="array" ref="H101">IFERROR(INDEX('Temp Hisfa'!H$3:H$200, SMALL(IF(ISERROR('Temp Hisfa'!H$3:H$200), "", ROW('Temp Hisfa'!H$3:H$200)-MIN(ROW('Temp Hisfa'!H$3:H$200))+1), ROW(99:298))),"")</f>
        <v>0</v>
      </c>
      <c r="I101" s="22">
        <f t="array" ref="I101">IFERROR(INDEX('Temp Hisfa'!I$3:I$200, SMALL(IF(ISERROR('Temp Hisfa'!I$3:I$200), "", ROW('Temp Hisfa'!I$3:I$200)-MIN(ROW('Temp Hisfa'!I$3:I$200))+1), ROW(99:298))),"")</f>
        <v>0</v>
      </c>
      <c r="J101" s="22">
        <f t="array" ref="J101">IFERROR(INDEX('Temp Hisfa'!J$3:J$200, SMALL(IF(ISERROR('Temp Hisfa'!J$3:J$200), "", ROW('Temp Hisfa'!J$3:J$200)-MIN(ROW('Temp Hisfa'!J$3:J$200))+1), ROW(99:298))),"")</f>
        <v>0</v>
      </c>
      <c r="K101" s="30">
        <f t="array" ref="K101">IFERROR(INDEX('Temp Hisfa'!K$3:K$200, SMALL(IF(ISERROR('Temp Hisfa'!K$3:K$200), "", ROW('Temp Hisfa'!K$3:K$200)-MIN(ROW('Temp Hisfa'!K$3:K$200))+1), ROW(99:298))),"")</f>
        <v>0</v>
      </c>
      <c r="L101" s="22">
        <f t="array" ref="L101">IFERROR(INDEX('Temp Hisfa'!L$3:L$200, SMALL(IF(ISERROR('Temp Hisfa'!L$3:L$200), "", ROW('Temp Hisfa'!L$3:L$200)-MIN(ROW('Temp Hisfa'!L$3:L$200))+1), ROW(99:298))),"")</f>
        <v>0</v>
      </c>
      <c r="M101" s="22">
        <f t="array" ref="M101">IFERROR(INDEX('Temp Hisfa'!M$3:M$200, SMALL(IF(ISERROR('Temp Hisfa'!M$3:M$200), "", ROW('Temp Hisfa'!M$3:M$200)-MIN(ROW('Temp Hisfa'!M$3:M$200))+1), ROW(99:298))),"")</f>
        <v>0</v>
      </c>
      <c r="N101" s="22">
        <f t="array" ref="N101">IFERROR(INDEX('Temp Hisfa'!N$3:N$200, SMALL(IF(ISERROR('Temp Hisfa'!N$3:N$200), "", ROW('Temp Hisfa'!N$3:N$200)-MIN(ROW('Temp Hisfa'!N$3:N$200))+1), ROW(99:298))),"")</f>
        <v>1900</v>
      </c>
      <c r="O101" s="22" t="str">
        <f t="array" ref="O101">IFERROR(INDEX('Temp Hisfa'!O$3:O$200, SMALL(IF(ISERROR('Temp Hisfa'!O$3:O$200), "", ROW('Temp Hisfa'!O$3:O$200)-MIN(ROW('Temp Hisfa'!O$3:O$200))+1), ROW(99:298))),"")</f>
        <v>enero</v>
      </c>
      <c r="P101" s="22">
        <f t="array" ref="P101">IFERROR(INDEX('Temp Hisfa'!P$3:P$200, SMALL(IF(ISERROR('Temp Hisfa'!P$3:P$200), "", ROW('Temp Hisfa'!P$3:P$200)-MIN(ROW('Temp Hisfa'!P$3:P$200))+1), ROW(99:298))),"")</f>
        <v>0</v>
      </c>
      <c r="Q101" s="22">
        <f t="array" ref="Q101">IFERROR(INDEX('Temp Hisfa'!Q$3:Q$200, SMALL(IF(ISERROR('Temp Hisfa'!Q$3:Q$200), "", ROW('Temp Hisfa'!Q$3:Q$200)-MIN(ROW('Temp Hisfa'!Q$3:Q$200))+1), ROW(99:298))),"")</f>
        <v>0</v>
      </c>
      <c r="R101" s="22">
        <f t="array" ref="R101">IFERROR(INDEX('Temp Hisfa'!R$3:R$200, SMALL(IF(ISERROR('Temp Hisfa'!R$3:R$200), "", ROW('Temp Hisfa'!R$3:R$200)-MIN(ROW('Temp Hisfa'!R$3:R$200))+1), ROW(99:298))),"")</f>
        <v>0</v>
      </c>
      <c r="S101" s="22">
        <f t="array" ref="S101">IFERROR(INDEX('Temp Hisfa'!S$3:S$200, SMALL(IF(ISERROR('Temp Hisfa'!S$3:S$200), "", ROW('Temp Hisfa'!S$3:S$200)-MIN(ROW('Temp Hisfa'!S$3:S$200))+1), ROW(99:298))),"")</f>
        <v>0</v>
      </c>
      <c r="T101" s="22">
        <f t="array" ref="T101">IFERROR(INDEX('Temp Hisfa'!T$3:T$200, SMALL(IF(ISERROR('Temp Hisfa'!T$3:T$200), "", ROW('Temp Hisfa'!T$3:T$200)-MIN(ROW('Temp Hisfa'!T$3:T$200))+1), ROW(99:298))),"")</f>
        <v>0</v>
      </c>
      <c r="U101" s="22">
        <f t="array" ref="U101">IFERROR(INDEX('Temp Hisfa'!U$3:U$200, SMALL(IF(ISERROR('Temp Hisfa'!U$3:U$200), "", ROW('Temp Hisfa'!U$3:U$200)-MIN(ROW('Temp Hisfa'!U$3:U$200))+1), ROW(99:298))),"")</f>
        <v>0</v>
      </c>
      <c r="V101" s="22">
        <f t="array" ref="V101">IFERROR(INDEX('Temp Hisfa'!V$3:V$200, SMALL(IF(ISERROR('Temp Hisfa'!V$3:V$200), "", ROW('Temp Hisfa'!V$3:V$200)-MIN(ROW('Temp Hisfa'!V$3:V$200))+1), ROW(99:298))),"")</f>
        <v>0</v>
      </c>
      <c r="W101" s="22">
        <f t="array" ref="W101">IFERROR(INDEX('Temp Hisfa'!W$3:W$200, SMALL(IF(ISERROR('Temp Hisfa'!W$3:W$200), "", ROW('Temp Hisfa'!W$3:W$200)-MIN(ROW('Temp Hisfa'!W$3:W$200))+1), ROW(99:298))),"")</f>
        <v>0</v>
      </c>
      <c r="X101" s="22">
        <f t="array" ref="X101">IFERROR(INDEX('Temp Hisfa'!X$3:X$200, SMALL(IF(ISERROR('Temp Hisfa'!X$3:X$200), "", ROW('Temp Hisfa'!X$3:X$200)-MIN(ROW('Temp Hisfa'!X$3:X$200))+1), ROW(99:298))),"")</f>
        <v>0</v>
      </c>
      <c r="Y101" s="22">
        <f t="array" ref="Y101">IFERROR(INDEX('Temp Hisfa'!Y$3:Y$200, SMALL(IF(ISERROR('Temp Hisfa'!Y$3:Y$200), "", ROW('Temp Hisfa'!Y$3:Y$200)-MIN(ROW('Temp Hisfa'!Y$3:Y$200))+1), ROW(99:298))),"")</f>
        <v>0</v>
      </c>
      <c r="Z101" s="22">
        <f t="array" ref="Z101">IFERROR(INDEX('Temp Hisfa'!Z$3:Z$200, SMALL(IF(ISERROR('Temp Hisfa'!Z$3:Z$200), "", ROW('Temp Hisfa'!Z$3:Z$200)-MIN(ROW('Temp Hisfa'!Z$3:Z$200))+1), ROW(99:298))),"")</f>
        <v>0</v>
      </c>
      <c r="AA101" s="22">
        <f t="array" ref="AA101">IFERROR(INDEX('Temp Hisfa'!AA$3:AA$200, SMALL(IF(ISERROR('Temp Hisfa'!AA$3:AA$200), "", ROW('Temp Hisfa'!AA$3:AA$200)-MIN(ROW('Temp Hisfa'!AA$3:AA$200))+1), ROW(99:298))),"")</f>
        <v>0</v>
      </c>
      <c r="AB101" s="22">
        <f t="array" ref="AB101">IFERROR(INDEX('Temp Hisfa'!AB$3:AB$200, SMALL(IF(ISERROR('Temp Hisfa'!AB$3:AB$200), "", ROW('Temp Hisfa'!AB$3:AB$200)-MIN(ROW('Temp Hisfa'!AB$3:AB$200))+1), ROW(99:298))),"")</f>
        <v>0</v>
      </c>
    </row>
    <row r="102" spans="1:28" x14ac:dyDescent="0.3">
      <c r="A102" s="4">
        <f t="array" ref="A102">IFERROR(INDEX('Temp Hisfa'!A$3:A$200, SMALL(IF(ISERROR('Temp Hisfa'!A$3:A$200), "", ROW('Temp Hisfa'!A$3:A$200)-MIN(ROW('Temp Hisfa'!A$3:A$200))+1), ROW(100:298))),"")</f>
        <v>0</v>
      </c>
      <c r="B102" s="4">
        <f t="array" ref="B102">IFERROR(INDEX('Temp Hisfa'!B$3:B$200, SMALL(IF(ISERROR('Temp Hisfa'!B$3:B$200), "", ROW('Temp Hisfa'!B$3:B$200)-MIN(ROW('Temp Hisfa'!B$3:B$200))+1), ROW(100:298))),"")</f>
        <v>0</v>
      </c>
      <c r="C102" s="3">
        <f t="array" ref="C102">IFERROR(INDEX('Temp Hisfa'!C$3:C$200, SMALL(IF(ISERROR('Temp Hisfa'!C$3:C$200), "", ROW('Temp Hisfa'!C$3:C$200)-MIN(ROW('Temp Hisfa'!C$3:C$200))+1), ROW(100:298))),"")</f>
        <v>0</v>
      </c>
      <c r="D102" s="3">
        <f t="array" ref="D102">IFERROR(INDEX('Temp Hisfa'!D$3:D$200, SMALL(IF(ISERROR('Temp Hisfa'!D$3:D$200), "", ROW('Temp Hisfa'!D$3:D$200)-MIN(ROW('Temp Hisfa'!D$3:D$200))+1), ROW(100:298))),"")</f>
        <v>0</v>
      </c>
      <c r="E102" s="29">
        <f t="array" ref="E102">IFERROR(INDEX('Temp Hisfa'!E$3:E$200, SMALL(IF(ISERROR('Temp Hisfa'!E$3:E$200), "", ROW('Temp Hisfa'!E$3:E$200)-MIN(ROW('Temp Hisfa'!E$3:E$200))+1), ROW(100:299))),"")</f>
        <v>0</v>
      </c>
      <c r="F102" s="22">
        <f t="array" ref="F102">IFERROR(INDEX('Temp Hisfa'!F$3:F$200, SMALL(IF(ISERROR('Temp Hisfa'!F$3:F$200), "", ROW('Temp Hisfa'!F$3:F$200)-MIN(ROW('Temp Hisfa'!F$3:F$200))+1), ROW(100:299))),"")</f>
        <v>0</v>
      </c>
      <c r="G102" s="30">
        <f t="array" ref="G102">IFERROR(INDEX('Temp Hisfa'!G$3:G$200, SMALL(IF(ISERROR('Temp Hisfa'!G$3:G$200), "", ROW('Temp Hisfa'!G$3:G$200)-MIN(ROW('Temp Hisfa'!G$3:G$200))+1), ROW(100:299))),"")</f>
        <v>0</v>
      </c>
      <c r="H102" s="22">
        <f t="array" ref="H102">IFERROR(INDEX('Temp Hisfa'!H$3:H$200, SMALL(IF(ISERROR('Temp Hisfa'!H$3:H$200), "", ROW('Temp Hisfa'!H$3:H$200)-MIN(ROW('Temp Hisfa'!H$3:H$200))+1), ROW(100:299))),"")</f>
        <v>0</v>
      </c>
      <c r="I102" s="22">
        <f t="array" ref="I102">IFERROR(INDEX('Temp Hisfa'!I$3:I$200, SMALL(IF(ISERROR('Temp Hisfa'!I$3:I$200), "", ROW('Temp Hisfa'!I$3:I$200)-MIN(ROW('Temp Hisfa'!I$3:I$200))+1), ROW(100:299))),"")</f>
        <v>0</v>
      </c>
      <c r="J102" s="22">
        <f t="array" ref="J102">IFERROR(INDEX('Temp Hisfa'!J$3:J$200, SMALL(IF(ISERROR('Temp Hisfa'!J$3:J$200), "", ROW('Temp Hisfa'!J$3:J$200)-MIN(ROW('Temp Hisfa'!J$3:J$200))+1), ROW(100:299))),"")</f>
        <v>0</v>
      </c>
      <c r="K102" s="30">
        <f t="array" ref="K102">IFERROR(INDEX('Temp Hisfa'!K$3:K$200, SMALL(IF(ISERROR('Temp Hisfa'!K$3:K$200), "", ROW('Temp Hisfa'!K$3:K$200)-MIN(ROW('Temp Hisfa'!K$3:K$200))+1), ROW(100:299))),"")</f>
        <v>0</v>
      </c>
      <c r="L102" s="22">
        <f t="array" ref="L102">IFERROR(INDEX('Temp Hisfa'!L$3:L$200, SMALL(IF(ISERROR('Temp Hisfa'!L$3:L$200), "", ROW('Temp Hisfa'!L$3:L$200)-MIN(ROW('Temp Hisfa'!L$3:L$200))+1), ROW(100:299))),"")</f>
        <v>0</v>
      </c>
      <c r="M102" s="22">
        <f t="array" ref="M102">IFERROR(INDEX('Temp Hisfa'!M$3:M$200, SMALL(IF(ISERROR('Temp Hisfa'!M$3:M$200), "", ROW('Temp Hisfa'!M$3:M$200)-MIN(ROW('Temp Hisfa'!M$3:M$200))+1), ROW(100:299))),"")</f>
        <v>0</v>
      </c>
      <c r="N102" s="22">
        <f t="array" ref="N102">IFERROR(INDEX('Temp Hisfa'!N$3:N$200, SMALL(IF(ISERROR('Temp Hisfa'!N$3:N$200), "", ROW('Temp Hisfa'!N$3:N$200)-MIN(ROW('Temp Hisfa'!N$3:N$200))+1), ROW(100:299))),"")</f>
        <v>1900</v>
      </c>
      <c r="O102" s="22" t="str">
        <f t="array" ref="O102">IFERROR(INDEX('Temp Hisfa'!O$3:O$200, SMALL(IF(ISERROR('Temp Hisfa'!O$3:O$200), "", ROW('Temp Hisfa'!O$3:O$200)-MIN(ROW('Temp Hisfa'!O$3:O$200))+1), ROW(100:299))),"")</f>
        <v>enero</v>
      </c>
      <c r="P102" s="22">
        <f t="array" ref="P102">IFERROR(INDEX('Temp Hisfa'!P$3:P$200, SMALL(IF(ISERROR('Temp Hisfa'!P$3:P$200), "", ROW('Temp Hisfa'!P$3:P$200)-MIN(ROW('Temp Hisfa'!P$3:P$200))+1), ROW(100:299))),"")</f>
        <v>0</v>
      </c>
      <c r="Q102" s="22">
        <f t="array" ref="Q102">IFERROR(INDEX('Temp Hisfa'!Q$3:Q$200, SMALL(IF(ISERROR('Temp Hisfa'!Q$3:Q$200), "", ROW('Temp Hisfa'!Q$3:Q$200)-MIN(ROW('Temp Hisfa'!Q$3:Q$200))+1), ROW(100:299))),"")</f>
        <v>0</v>
      </c>
      <c r="R102" s="22">
        <f t="array" ref="R102">IFERROR(INDEX('Temp Hisfa'!R$3:R$200, SMALL(IF(ISERROR('Temp Hisfa'!R$3:R$200), "", ROW('Temp Hisfa'!R$3:R$200)-MIN(ROW('Temp Hisfa'!R$3:R$200))+1), ROW(100:299))),"")</f>
        <v>0</v>
      </c>
      <c r="S102" s="22">
        <f t="array" ref="S102">IFERROR(INDEX('Temp Hisfa'!S$3:S$200, SMALL(IF(ISERROR('Temp Hisfa'!S$3:S$200), "", ROW('Temp Hisfa'!S$3:S$200)-MIN(ROW('Temp Hisfa'!S$3:S$200))+1), ROW(100:299))),"")</f>
        <v>0</v>
      </c>
      <c r="T102" s="22">
        <f t="array" ref="T102">IFERROR(INDEX('Temp Hisfa'!T$3:T$200, SMALL(IF(ISERROR('Temp Hisfa'!T$3:T$200), "", ROW('Temp Hisfa'!T$3:T$200)-MIN(ROW('Temp Hisfa'!T$3:T$200))+1), ROW(100:299))),"")</f>
        <v>0</v>
      </c>
      <c r="U102" s="22">
        <f t="array" ref="U102">IFERROR(INDEX('Temp Hisfa'!U$3:U$200, SMALL(IF(ISERROR('Temp Hisfa'!U$3:U$200), "", ROW('Temp Hisfa'!U$3:U$200)-MIN(ROW('Temp Hisfa'!U$3:U$200))+1), ROW(100:299))),"")</f>
        <v>0</v>
      </c>
      <c r="V102" s="22">
        <f t="array" ref="V102">IFERROR(INDEX('Temp Hisfa'!V$3:V$200, SMALL(IF(ISERROR('Temp Hisfa'!V$3:V$200), "", ROW('Temp Hisfa'!V$3:V$200)-MIN(ROW('Temp Hisfa'!V$3:V$200))+1), ROW(100:299))),"")</f>
        <v>0</v>
      </c>
      <c r="W102" s="22">
        <f t="array" ref="W102">IFERROR(INDEX('Temp Hisfa'!W$3:W$200, SMALL(IF(ISERROR('Temp Hisfa'!W$3:W$200), "", ROW('Temp Hisfa'!W$3:W$200)-MIN(ROW('Temp Hisfa'!W$3:W$200))+1), ROW(100:299))),"")</f>
        <v>0</v>
      </c>
      <c r="X102" s="22">
        <f t="array" ref="X102">IFERROR(INDEX('Temp Hisfa'!X$3:X$200, SMALL(IF(ISERROR('Temp Hisfa'!X$3:X$200), "", ROW('Temp Hisfa'!X$3:X$200)-MIN(ROW('Temp Hisfa'!X$3:X$200))+1), ROW(100:299))),"")</f>
        <v>0</v>
      </c>
      <c r="Y102" s="22">
        <f t="array" ref="Y102">IFERROR(INDEX('Temp Hisfa'!Y$3:Y$200, SMALL(IF(ISERROR('Temp Hisfa'!Y$3:Y$200), "", ROW('Temp Hisfa'!Y$3:Y$200)-MIN(ROW('Temp Hisfa'!Y$3:Y$200))+1), ROW(100:299))),"")</f>
        <v>0</v>
      </c>
      <c r="Z102" s="22">
        <f t="array" ref="Z102">IFERROR(INDEX('Temp Hisfa'!Z$3:Z$200, SMALL(IF(ISERROR('Temp Hisfa'!Z$3:Z$200), "", ROW('Temp Hisfa'!Z$3:Z$200)-MIN(ROW('Temp Hisfa'!Z$3:Z$200))+1), ROW(100:299))),"")</f>
        <v>0</v>
      </c>
      <c r="AA102" s="22">
        <f t="array" ref="AA102">IFERROR(INDEX('Temp Hisfa'!AA$3:AA$200, SMALL(IF(ISERROR('Temp Hisfa'!AA$3:AA$200), "", ROW('Temp Hisfa'!AA$3:AA$200)-MIN(ROW('Temp Hisfa'!AA$3:AA$200))+1), ROW(100:299))),"")</f>
        <v>0</v>
      </c>
      <c r="AB102" s="22">
        <f t="array" ref="AB102">IFERROR(INDEX('Temp Hisfa'!AB$3:AB$200, SMALL(IF(ISERROR('Temp Hisfa'!AB$3:AB$200), "", ROW('Temp Hisfa'!AB$3:AB$200)-MIN(ROW('Temp Hisfa'!AB$3:AB$200))+1), ROW(100:299))),"")</f>
        <v>0</v>
      </c>
    </row>
    <row r="103" spans="1:28" x14ac:dyDescent="0.3">
      <c r="A103" s="4">
        <f t="array" ref="A103">IFERROR(INDEX('Temp Hisfa'!A$3:A$200, SMALL(IF(ISERROR('Temp Hisfa'!A$3:A$200), "", ROW('Temp Hisfa'!A$3:A$200)-MIN(ROW('Temp Hisfa'!A$3:A$200))+1), ROW(101:299))),"")</f>
        <v>0</v>
      </c>
      <c r="B103" s="4">
        <f t="array" ref="B103">IFERROR(INDEX('Temp Hisfa'!B$3:B$200, SMALL(IF(ISERROR('Temp Hisfa'!B$3:B$200), "", ROW('Temp Hisfa'!B$3:B$200)-MIN(ROW('Temp Hisfa'!B$3:B$200))+1), ROW(101:299))),"")</f>
        <v>0</v>
      </c>
      <c r="C103" s="3">
        <f t="array" ref="C103">IFERROR(INDEX('Temp Hisfa'!C$3:C$200, SMALL(IF(ISERROR('Temp Hisfa'!C$3:C$200), "", ROW('Temp Hisfa'!C$3:C$200)-MIN(ROW('Temp Hisfa'!C$3:C$200))+1), ROW(101:299))),"")</f>
        <v>0</v>
      </c>
      <c r="D103" s="3">
        <f t="array" ref="D103">IFERROR(INDEX('Temp Hisfa'!D$3:D$200, SMALL(IF(ISERROR('Temp Hisfa'!D$3:D$200), "", ROW('Temp Hisfa'!D$3:D$200)-MIN(ROW('Temp Hisfa'!D$3:D$200))+1), ROW(101:299))),"")</f>
        <v>0</v>
      </c>
      <c r="E103" s="29">
        <f t="array" ref="E103">IFERROR(INDEX('Temp Hisfa'!E$3:E$200, SMALL(IF(ISERROR('Temp Hisfa'!E$3:E$200), "", ROW('Temp Hisfa'!E$3:E$200)-MIN(ROW('Temp Hisfa'!E$3:E$200))+1), ROW(101:300))),"")</f>
        <v>0</v>
      </c>
      <c r="F103" s="22">
        <f t="array" ref="F103">IFERROR(INDEX('Temp Hisfa'!F$3:F$200, SMALL(IF(ISERROR('Temp Hisfa'!F$3:F$200), "", ROW('Temp Hisfa'!F$3:F$200)-MIN(ROW('Temp Hisfa'!F$3:F$200))+1), ROW(101:300))),"")</f>
        <v>0</v>
      </c>
      <c r="G103" s="30">
        <f t="array" ref="G103">IFERROR(INDEX('Temp Hisfa'!G$3:G$200, SMALL(IF(ISERROR('Temp Hisfa'!G$3:G$200), "", ROW('Temp Hisfa'!G$3:G$200)-MIN(ROW('Temp Hisfa'!G$3:G$200))+1), ROW(101:300))),"")</f>
        <v>0</v>
      </c>
      <c r="H103" s="22">
        <f t="array" ref="H103">IFERROR(INDEX('Temp Hisfa'!H$3:H$200, SMALL(IF(ISERROR('Temp Hisfa'!H$3:H$200), "", ROW('Temp Hisfa'!H$3:H$200)-MIN(ROW('Temp Hisfa'!H$3:H$200))+1), ROW(101:300))),"")</f>
        <v>0</v>
      </c>
      <c r="I103" s="22">
        <f t="array" ref="I103">IFERROR(INDEX('Temp Hisfa'!I$3:I$200, SMALL(IF(ISERROR('Temp Hisfa'!I$3:I$200), "", ROW('Temp Hisfa'!I$3:I$200)-MIN(ROW('Temp Hisfa'!I$3:I$200))+1), ROW(101:300))),"")</f>
        <v>0</v>
      </c>
      <c r="J103" s="22">
        <f t="array" ref="J103">IFERROR(INDEX('Temp Hisfa'!J$3:J$200, SMALL(IF(ISERROR('Temp Hisfa'!J$3:J$200), "", ROW('Temp Hisfa'!J$3:J$200)-MIN(ROW('Temp Hisfa'!J$3:J$200))+1), ROW(101:300))),"")</f>
        <v>0</v>
      </c>
      <c r="K103" s="30">
        <f t="array" ref="K103">IFERROR(INDEX('Temp Hisfa'!K$3:K$200, SMALL(IF(ISERROR('Temp Hisfa'!K$3:K$200), "", ROW('Temp Hisfa'!K$3:K$200)-MIN(ROW('Temp Hisfa'!K$3:K$200))+1), ROW(101:300))),"")</f>
        <v>0</v>
      </c>
      <c r="L103" s="22">
        <f t="array" ref="L103">IFERROR(INDEX('Temp Hisfa'!L$3:L$200, SMALL(IF(ISERROR('Temp Hisfa'!L$3:L$200), "", ROW('Temp Hisfa'!L$3:L$200)-MIN(ROW('Temp Hisfa'!L$3:L$200))+1), ROW(101:300))),"")</f>
        <v>0</v>
      </c>
      <c r="M103" s="22">
        <f t="array" ref="M103">IFERROR(INDEX('Temp Hisfa'!M$3:M$200, SMALL(IF(ISERROR('Temp Hisfa'!M$3:M$200), "", ROW('Temp Hisfa'!M$3:M$200)-MIN(ROW('Temp Hisfa'!M$3:M$200))+1), ROW(101:300))),"")</f>
        <v>0</v>
      </c>
      <c r="N103" s="22">
        <f t="array" ref="N103">IFERROR(INDEX('Temp Hisfa'!N$3:N$200, SMALL(IF(ISERROR('Temp Hisfa'!N$3:N$200), "", ROW('Temp Hisfa'!N$3:N$200)-MIN(ROW('Temp Hisfa'!N$3:N$200))+1), ROW(101:300))),"")</f>
        <v>1900</v>
      </c>
      <c r="O103" s="22" t="str">
        <f t="array" ref="O103">IFERROR(INDEX('Temp Hisfa'!O$3:O$200, SMALL(IF(ISERROR('Temp Hisfa'!O$3:O$200), "", ROW('Temp Hisfa'!O$3:O$200)-MIN(ROW('Temp Hisfa'!O$3:O$200))+1), ROW(101:300))),"")</f>
        <v>enero</v>
      </c>
      <c r="P103" s="22">
        <f t="array" ref="P103">IFERROR(INDEX('Temp Hisfa'!P$3:P$200, SMALL(IF(ISERROR('Temp Hisfa'!P$3:P$200), "", ROW('Temp Hisfa'!P$3:P$200)-MIN(ROW('Temp Hisfa'!P$3:P$200))+1), ROW(101:300))),"")</f>
        <v>0</v>
      </c>
      <c r="Q103" s="22">
        <f t="array" ref="Q103">IFERROR(INDEX('Temp Hisfa'!Q$3:Q$200, SMALL(IF(ISERROR('Temp Hisfa'!Q$3:Q$200), "", ROW('Temp Hisfa'!Q$3:Q$200)-MIN(ROW('Temp Hisfa'!Q$3:Q$200))+1), ROW(101:300))),"")</f>
        <v>0</v>
      </c>
      <c r="R103" s="22">
        <f t="array" ref="R103">IFERROR(INDEX('Temp Hisfa'!R$3:R$200, SMALL(IF(ISERROR('Temp Hisfa'!R$3:R$200), "", ROW('Temp Hisfa'!R$3:R$200)-MIN(ROW('Temp Hisfa'!R$3:R$200))+1), ROW(101:300))),"")</f>
        <v>0</v>
      </c>
      <c r="S103" s="22">
        <f t="array" ref="S103">IFERROR(INDEX('Temp Hisfa'!S$3:S$200, SMALL(IF(ISERROR('Temp Hisfa'!S$3:S$200), "", ROW('Temp Hisfa'!S$3:S$200)-MIN(ROW('Temp Hisfa'!S$3:S$200))+1), ROW(101:300))),"")</f>
        <v>0</v>
      </c>
      <c r="T103" s="22">
        <f t="array" ref="T103">IFERROR(INDEX('Temp Hisfa'!T$3:T$200, SMALL(IF(ISERROR('Temp Hisfa'!T$3:T$200), "", ROW('Temp Hisfa'!T$3:T$200)-MIN(ROW('Temp Hisfa'!T$3:T$200))+1), ROW(101:300))),"")</f>
        <v>0</v>
      </c>
      <c r="U103" s="22">
        <f t="array" ref="U103">IFERROR(INDEX('Temp Hisfa'!U$3:U$200, SMALL(IF(ISERROR('Temp Hisfa'!U$3:U$200), "", ROW('Temp Hisfa'!U$3:U$200)-MIN(ROW('Temp Hisfa'!U$3:U$200))+1), ROW(101:300))),"")</f>
        <v>0</v>
      </c>
      <c r="V103" s="22">
        <f t="array" ref="V103">IFERROR(INDEX('Temp Hisfa'!V$3:V$200, SMALL(IF(ISERROR('Temp Hisfa'!V$3:V$200), "", ROW('Temp Hisfa'!V$3:V$200)-MIN(ROW('Temp Hisfa'!V$3:V$200))+1), ROW(101:300))),"")</f>
        <v>0</v>
      </c>
      <c r="W103" s="22">
        <f t="array" ref="W103">IFERROR(INDEX('Temp Hisfa'!W$3:W$200, SMALL(IF(ISERROR('Temp Hisfa'!W$3:W$200), "", ROW('Temp Hisfa'!W$3:W$200)-MIN(ROW('Temp Hisfa'!W$3:W$200))+1), ROW(101:300))),"")</f>
        <v>0</v>
      </c>
      <c r="X103" s="22">
        <f t="array" ref="X103">IFERROR(INDEX('Temp Hisfa'!X$3:X$200, SMALL(IF(ISERROR('Temp Hisfa'!X$3:X$200), "", ROW('Temp Hisfa'!X$3:X$200)-MIN(ROW('Temp Hisfa'!X$3:X$200))+1), ROW(101:300))),"")</f>
        <v>0</v>
      </c>
      <c r="Y103" s="22">
        <f t="array" ref="Y103">IFERROR(INDEX('Temp Hisfa'!Y$3:Y$200, SMALL(IF(ISERROR('Temp Hisfa'!Y$3:Y$200), "", ROW('Temp Hisfa'!Y$3:Y$200)-MIN(ROW('Temp Hisfa'!Y$3:Y$200))+1), ROW(101:300))),"")</f>
        <v>0</v>
      </c>
      <c r="Z103" s="22">
        <f t="array" ref="Z103">IFERROR(INDEX('Temp Hisfa'!Z$3:Z$200, SMALL(IF(ISERROR('Temp Hisfa'!Z$3:Z$200), "", ROW('Temp Hisfa'!Z$3:Z$200)-MIN(ROW('Temp Hisfa'!Z$3:Z$200))+1), ROW(101:300))),"")</f>
        <v>0</v>
      </c>
      <c r="AA103" s="22">
        <f t="array" ref="AA103">IFERROR(INDEX('Temp Hisfa'!AA$3:AA$200, SMALL(IF(ISERROR('Temp Hisfa'!AA$3:AA$200), "", ROW('Temp Hisfa'!AA$3:AA$200)-MIN(ROW('Temp Hisfa'!AA$3:AA$200))+1), ROW(101:300))),"")</f>
        <v>0</v>
      </c>
      <c r="AB103" s="22">
        <f t="array" ref="AB103">IFERROR(INDEX('Temp Hisfa'!AB$3:AB$200, SMALL(IF(ISERROR('Temp Hisfa'!AB$3:AB$200), "", ROW('Temp Hisfa'!AB$3:AB$200)-MIN(ROW('Temp Hisfa'!AB$3:AB$200))+1), ROW(101:300))),"")</f>
        <v>0</v>
      </c>
    </row>
    <row r="104" spans="1:28" x14ac:dyDescent="0.3">
      <c r="A104" s="4">
        <f t="array" ref="A104">IFERROR(INDEX('Temp Hisfa'!A$3:A$200, SMALL(IF(ISERROR('Temp Hisfa'!A$3:A$200), "", ROW('Temp Hisfa'!A$3:A$200)-MIN(ROW('Temp Hisfa'!A$3:A$200))+1), ROW(102:300))),"")</f>
        <v>0</v>
      </c>
      <c r="B104" s="4">
        <f t="array" ref="B104">IFERROR(INDEX('Temp Hisfa'!B$3:B$200, SMALL(IF(ISERROR('Temp Hisfa'!B$3:B$200), "", ROW('Temp Hisfa'!B$3:B$200)-MIN(ROW('Temp Hisfa'!B$3:B$200))+1), ROW(102:300))),"")</f>
        <v>0</v>
      </c>
      <c r="C104" s="3">
        <f t="array" ref="C104">IFERROR(INDEX('Temp Hisfa'!C$3:C$200, SMALL(IF(ISERROR('Temp Hisfa'!C$3:C$200), "", ROW('Temp Hisfa'!C$3:C$200)-MIN(ROW('Temp Hisfa'!C$3:C$200))+1), ROW(102:300))),"")</f>
        <v>0</v>
      </c>
      <c r="D104" s="3">
        <f t="array" ref="D104">IFERROR(INDEX('Temp Hisfa'!D$3:D$200, SMALL(IF(ISERROR('Temp Hisfa'!D$3:D$200), "", ROW('Temp Hisfa'!D$3:D$200)-MIN(ROW('Temp Hisfa'!D$3:D$200))+1), ROW(102:300))),"")</f>
        <v>0</v>
      </c>
      <c r="E104" s="29">
        <f t="array" ref="E104">IFERROR(INDEX('Temp Hisfa'!E$3:E$200, SMALL(IF(ISERROR('Temp Hisfa'!E$3:E$200), "", ROW('Temp Hisfa'!E$3:E$200)-MIN(ROW('Temp Hisfa'!E$3:E$200))+1), ROW(102:301))),"")</f>
        <v>0</v>
      </c>
      <c r="F104" s="22">
        <f t="array" ref="F104">IFERROR(INDEX('Temp Hisfa'!F$3:F$200, SMALL(IF(ISERROR('Temp Hisfa'!F$3:F$200), "", ROW('Temp Hisfa'!F$3:F$200)-MIN(ROW('Temp Hisfa'!F$3:F$200))+1), ROW(102:301))),"")</f>
        <v>0</v>
      </c>
      <c r="G104" s="30">
        <f t="array" ref="G104">IFERROR(INDEX('Temp Hisfa'!G$3:G$200, SMALL(IF(ISERROR('Temp Hisfa'!G$3:G$200), "", ROW('Temp Hisfa'!G$3:G$200)-MIN(ROW('Temp Hisfa'!G$3:G$200))+1), ROW(102:301))),"")</f>
        <v>0</v>
      </c>
      <c r="H104" s="22">
        <f t="array" ref="H104">IFERROR(INDEX('Temp Hisfa'!H$3:H$200, SMALL(IF(ISERROR('Temp Hisfa'!H$3:H$200), "", ROW('Temp Hisfa'!H$3:H$200)-MIN(ROW('Temp Hisfa'!H$3:H$200))+1), ROW(102:301))),"")</f>
        <v>0</v>
      </c>
      <c r="I104" s="22">
        <f t="array" ref="I104">IFERROR(INDEX('Temp Hisfa'!I$3:I$200, SMALL(IF(ISERROR('Temp Hisfa'!I$3:I$200), "", ROW('Temp Hisfa'!I$3:I$200)-MIN(ROW('Temp Hisfa'!I$3:I$200))+1), ROW(102:301))),"")</f>
        <v>0</v>
      </c>
      <c r="J104" s="22">
        <f t="array" ref="J104">IFERROR(INDEX('Temp Hisfa'!J$3:J$200, SMALL(IF(ISERROR('Temp Hisfa'!J$3:J$200), "", ROW('Temp Hisfa'!J$3:J$200)-MIN(ROW('Temp Hisfa'!J$3:J$200))+1), ROW(102:301))),"")</f>
        <v>0</v>
      </c>
      <c r="K104" s="30">
        <f t="array" ref="K104">IFERROR(INDEX('Temp Hisfa'!K$3:K$200, SMALL(IF(ISERROR('Temp Hisfa'!K$3:K$200), "", ROW('Temp Hisfa'!K$3:K$200)-MIN(ROW('Temp Hisfa'!K$3:K$200))+1), ROW(102:301))),"")</f>
        <v>0</v>
      </c>
      <c r="L104" s="22">
        <f t="array" ref="L104">IFERROR(INDEX('Temp Hisfa'!L$3:L$200, SMALL(IF(ISERROR('Temp Hisfa'!L$3:L$200), "", ROW('Temp Hisfa'!L$3:L$200)-MIN(ROW('Temp Hisfa'!L$3:L$200))+1), ROW(102:301))),"")</f>
        <v>0</v>
      </c>
      <c r="M104" s="22">
        <f t="array" ref="M104">IFERROR(INDEX('Temp Hisfa'!M$3:M$200, SMALL(IF(ISERROR('Temp Hisfa'!M$3:M$200), "", ROW('Temp Hisfa'!M$3:M$200)-MIN(ROW('Temp Hisfa'!M$3:M$200))+1), ROW(102:301))),"")</f>
        <v>0</v>
      </c>
      <c r="N104" s="22">
        <f t="array" ref="N104">IFERROR(INDEX('Temp Hisfa'!N$3:N$200, SMALL(IF(ISERROR('Temp Hisfa'!N$3:N$200), "", ROW('Temp Hisfa'!N$3:N$200)-MIN(ROW('Temp Hisfa'!N$3:N$200))+1), ROW(102:301))),"")</f>
        <v>1900</v>
      </c>
      <c r="O104" s="22" t="str">
        <f t="array" ref="O104">IFERROR(INDEX('Temp Hisfa'!O$3:O$200, SMALL(IF(ISERROR('Temp Hisfa'!O$3:O$200), "", ROW('Temp Hisfa'!O$3:O$200)-MIN(ROW('Temp Hisfa'!O$3:O$200))+1), ROW(102:301))),"")</f>
        <v>enero</v>
      </c>
      <c r="P104" s="22">
        <f t="array" ref="P104">IFERROR(INDEX('Temp Hisfa'!P$3:P$200, SMALL(IF(ISERROR('Temp Hisfa'!P$3:P$200), "", ROW('Temp Hisfa'!P$3:P$200)-MIN(ROW('Temp Hisfa'!P$3:P$200))+1), ROW(102:301))),"")</f>
        <v>0</v>
      </c>
      <c r="Q104" s="22">
        <f t="array" ref="Q104">IFERROR(INDEX('Temp Hisfa'!Q$3:Q$200, SMALL(IF(ISERROR('Temp Hisfa'!Q$3:Q$200), "", ROW('Temp Hisfa'!Q$3:Q$200)-MIN(ROW('Temp Hisfa'!Q$3:Q$200))+1), ROW(102:301))),"")</f>
        <v>0</v>
      </c>
      <c r="R104" s="22">
        <f t="array" ref="R104">IFERROR(INDEX('Temp Hisfa'!R$3:R$200, SMALL(IF(ISERROR('Temp Hisfa'!R$3:R$200), "", ROW('Temp Hisfa'!R$3:R$200)-MIN(ROW('Temp Hisfa'!R$3:R$200))+1), ROW(102:301))),"")</f>
        <v>0</v>
      </c>
      <c r="S104" s="22">
        <f t="array" ref="S104">IFERROR(INDEX('Temp Hisfa'!S$3:S$200, SMALL(IF(ISERROR('Temp Hisfa'!S$3:S$200), "", ROW('Temp Hisfa'!S$3:S$200)-MIN(ROW('Temp Hisfa'!S$3:S$200))+1), ROW(102:301))),"")</f>
        <v>0</v>
      </c>
      <c r="T104" s="22">
        <f t="array" ref="T104">IFERROR(INDEX('Temp Hisfa'!T$3:T$200, SMALL(IF(ISERROR('Temp Hisfa'!T$3:T$200), "", ROW('Temp Hisfa'!T$3:T$200)-MIN(ROW('Temp Hisfa'!T$3:T$200))+1), ROW(102:301))),"")</f>
        <v>0</v>
      </c>
      <c r="U104" s="22">
        <f t="array" ref="U104">IFERROR(INDEX('Temp Hisfa'!U$3:U$200, SMALL(IF(ISERROR('Temp Hisfa'!U$3:U$200), "", ROW('Temp Hisfa'!U$3:U$200)-MIN(ROW('Temp Hisfa'!U$3:U$200))+1), ROW(102:301))),"")</f>
        <v>0</v>
      </c>
      <c r="V104" s="22">
        <f t="array" ref="V104">IFERROR(INDEX('Temp Hisfa'!V$3:V$200, SMALL(IF(ISERROR('Temp Hisfa'!V$3:V$200), "", ROW('Temp Hisfa'!V$3:V$200)-MIN(ROW('Temp Hisfa'!V$3:V$200))+1), ROW(102:301))),"")</f>
        <v>0</v>
      </c>
      <c r="W104" s="22">
        <f t="array" ref="W104">IFERROR(INDEX('Temp Hisfa'!W$3:W$200, SMALL(IF(ISERROR('Temp Hisfa'!W$3:W$200), "", ROW('Temp Hisfa'!W$3:W$200)-MIN(ROW('Temp Hisfa'!W$3:W$200))+1), ROW(102:301))),"")</f>
        <v>0</v>
      </c>
      <c r="X104" s="22">
        <f t="array" ref="X104">IFERROR(INDEX('Temp Hisfa'!X$3:X$200, SMALL(IF(ISERROR('Temp Hisfa'!X$3:X$200), "", ROW('Temp Hisfa'!X$3:X$200)-MIN(ROW('Temp Hisfa'!X$3:X$200))+1), ROW(102:301))),"")</f>
        <v>0</v>
      </c>
      <c r="Y104" s="22">
        <f t="array" ref="Y104">IFERROR(INDEX('Temp Hisfa'!Y$3:Y$200, SMALL(IF(ISERROR('Temp Hisfa'!Y$3:Y$200), "", ROW('Temp Hisfa'!Y$3:Y$200)-MIN(ROW('Temp Hisfa'!Y$3:Y$200))+1), ROW(102:301))),"")</f>
        <v>0</v>
      </c>
      <c r="Z104" s="22">
        <f t="array" ref="Z104">IFERROR(INDEX('Temp Hisfa'!Z$3:Z$200, SMALL(IF(ISERROR('Temp Hisfa'!Z$3:Z$200), "", ROW('Temp Hisfa'!Z$3:Z$200)-MIN(ROW('Temp Hisfa'!Z$3:Z$200))+1), ROW(102:301))),"")</f>
        <v>0</v>
      </c>
      <c r="AA104" s="22">
        <f t="array" ref="AA104">IFERROR(INDEX('Temp Hisfa'!AA$3:AA$200, SMALL(IF(ISERROR('Temp Hisfa'!AA$3:AA$200), "", ROW('Temp Hisfa'!AA$3:AA$200)-MIN(ROW('Temp Hisfa'!AA$3:AA$200))+1), ROW(102:301))),"")</f>
        <v>0</v>
      </c>
      <c r="AB104" s="22">
        <f t="array" ref="AB104">IFERROR(INDEX('Temp Hisfa'!AB$3:AB$200, SMALL(IF(ISERROR('Temp Hisfa'!AB$3:AB$200), "", ROW('Temp Hisfa'!AB$3:AB$200)-MIN(ROW('Temp Hisfa'!AB$3:AB$200))+1), ROW(102:301))),"")</f>
        <v>0</v>
      </c>
    </row>
    <row r="105" spans="1:28" x14ac:dyDescent="0.3">
      <c r="A105" s="4">
        <f t="array" ref="A105">IFERROR(INDEX('Temp Hisfa'!A$3:A$200, SMALL(IF(ISERROR('Temp Hisfa'!A$3:A$200), "", ROW('Temp Hisfa'!A$3:A$200)-MIN(ROW('Temp Hisfa'!A$3:A$200))+1), ROW(103:301))),"")</f>
        <v>0</v>
      </c>
      <c r="B105" s="4">
        <f t="array" ref="B105">IFERROR(INDEX('Temp Hisfa'!B$3:B$200, SMALL(IF(ISERROR('Temp Hisfa'!B$3:B$200), "", ROW('Temp Hisfa'!B$3:B$200)-MIN(ROW('Temp Hisfa'!B$3:B$200))+1), ROW(103:301))),"")</f>
        <v>0</v>
      </c>
      <c r="C105" s="3">
        <f t="array" ref="C105">IFERROR(INDEX('Temp Hisfa'!C$3:C$200, SMALL(IF(ISERROR('Temp Hisfa'!C$3:C$200), "", ROW('Temp Hisfa'!C$3:C$200)-MIN(ROW('Temp Hisfa'!C$3:C$200))+1), ROW(103:301))),"")</f>
        <v>0</v>
      </c>
      <c r="D105" s="3">
        <f t="array" ref="D105">IFERROR(INDEX('Temp Hisfa'!D$3:D$200, SMALL(IF(ISERROR('Temp Hisfa'!D$3:D$200), "", ROW('Temp Hisfa'!D$3:D$200)-MIN(ROW('Temp Hisfa'!D$3:D$200))+1), ROW(103:301))),"")</f>
        <v>0</v>
      </c>
      <c r="E105" s="29">
        <f t="array" ref="E105">IFERROR(INDEX('Temp Hisfa'!E$3:E$200, SMALL(IF(ISERROR('Temp Hisfa'!E$3:E$200), "", ROW('Temp Hisfa'!E$3:E$200)-MIN(ROW('Temp Hisfa'!E$3:E$200))+1), ROW(103:302))),"")</f>
        <v>0</v>
      </c>
      <c r="F105" s="22">
        <f t="array" ref="F105">IFERROR(INDEX('Temp Hisfa'!F$3:F$200, SMALL(IF(ISERROR('Temp Hisfa'!F$3:F$200), "", ROW('Temp Hisfa'!F$3:F$200)-MIN(ROW('Temp Hisfa'!F$3:F$200))+1), ROW(103:302))),"")</f>
        <v>0</v>
      </c>
      <c r="G105" s="30">
        <f t="array" ref="G105">IFERROR(INDEX('Temp Hisfa'!G$3:G$200, SMALL(IF(ISERROR('Temp Hisfa'!G$3:G$200), "", ROW('Temp Hisfa'!G$3:G$200)-MIN(ROW('Temp Hisfa'!G$3:G$200))+1), ROW(103:302))),"")</f>
        <v>0</v>
      </c>
      <c r="H105" s="22">
        <f t="array" ref="H105">IFERROR(INDEX('Temp Hisfa'!H$3:H$200, SMALL(IF(ISERROR('Temp Hisfa'!H$3:H$200), "", ROW('Temp Hisfa'!H$3:H$200)-MIN(ROW('Temp Hisfa'!H$3:H$200))+1), ROW(103:302))),"")</f>
        <v>0</v>
      </c>
      <c r="I105" s="22">
        <f t="array" ref="I105">IFERROR(INDEX('Temp Hisfa'!I$3:I$200, SMALL(IF(ISERROR('Temp Hisfa'!I$3:I$200), "", ROW('Temp Hisfa'!I$3:I$200)-MIN(ROW('Temp Hisfa'!I$3:I$200))+1), ROW(103:302))),"")</f>
        <v>0</v>
      </c>
      <c r="J105" s="22">
        <f t="array" ref="J105">IFERROR(INDEX('Temp Hisfa'!J$3:J$200, SMALL(IF(ISERROR('Temp Hisfa'!J$3:J$200), "", ROW('Temp Hisfa'!J$3:J$200)-MIN(ROW('Temp Hisfa'!J$3:J$200))+1), ROW(103:302))),"")</f>
        <v>0</v>
      </c>
      <c r="K105" s="30">
        <f t="array" ref="K105">IFERROR(INDEX('Temp Hisfa'!K$3:K$200, SMALL(IF(ISERROR('Temp Hisfa'!K$3:K$200), "", ROW('Temp Hisfa'!K$3:K$200)-MIN(ROW('Temp Hisfa'!K$3:K$200))+1), ROW(103:302))),"")</f>
        <v>0</v>
      </c>
      <c r="L105" s="22">
        <f t="array" ref="L105">IFERROR(INDEX('Temp Hisfa'!L$3:L$200, SMALL(IF(ISERROR('Temp Hisfa'!L$3:L$200), "", ROW('Temp Hisfa'!L$3:L$200)-MIN(ROW('Temp Hisfa'!L$3:L$200))+1), ROW(103:302))),"")</f>
        <v>0</v>
      </c>
      <c r="M105" s="22">
        <f t="array" ref="M105">IFERROR(INDEX('Temp Hisfa'!M$3:M$200, SMALL(IF(ISERROR('Temp Hisfa'!M$3:M$200), "", ROW('Temp Hisfa'!M$3:M$200)-MIN(ROW('Temp Hisfa'!M$3:M$200))+1), ROW(103:302))),"")</f>
        <v>0</v>
      </c>
      <c r="N105" s="22">
        <f t="array" ref="N105">IFERROR(INDEX('Temp Hisfa'!N$3:N$200, SMALL(IF(ISERROR('Temp Hisfa'!N$3:N$200), "", ROW('Temp Hisfa'!N$3:N$200)-MIN(ROW('Temp Hisfa'!N$3:N$200))+1), ROW(103:302))),"")</f>
        <v>1900</v>
      </c>
      <c r="O105" s="22" t="str">
        <f t="array" ref="O105">IFERROR(INDEX('Temp Hisfa'!O$3:O$200, SMALL(IF(ISERROR('Temp Hisfa'!O$3:O$200), "", ROW('Temp Hisfa'!O$3:O$200)-MIN(ROW('Temp Hisfa'!O$3:O$200))+1), ROW(103:302))),"")</f>
        <v>enero</v>
      </c>
      <c r="P105" s="22">
        <f t="array" ref="P105">IFERROR(INDEX('Temp Hisfa'!P$3:P$200, SMALL(IF(ISERROR('Temp Hisfa'!P$3:P$200), "", ROW('Temp Hisfa'!P$3:P$200)-MIN(ROW('Temp Hisfa'!P$3:P$200))+1), ROW(103:302))),"")</f>
        <v>0</v>
      </c>
      <c r="Q105" s="22">
        <f t="array" ref="Q105">IFERROR(INDEX('Temp Hisfa'!Q$3:Q$200, SMALL(IF(ISERROR('Temp Hisfa'!Q$3:Q$200), "", ROW('Temp Hisfa'!Q$3:Q$200)-MIN(ROW('Temp Hisfa'!Q$3:Q$200))+1), ROW(103:302))),"")</f>
        <v>0</v>
      </c>
      <c r="R105" s="22">
        <f t="array" ref="R105">IFERROR(INDEX('Temp Hisfa'!R$3:R$200, SMALL(IF(ISERROR('Temp Hisfa'!R$3:R$200), "", ROW('Temp Hisfa'!R$3:R$200)-MIN(ROW('Temp Hisfa'!R$3:R$200))+1), ROW(103:302))),"")</f>
        <v>0</v>
      </c>
      <c r="S105" s="22">
        <f t="array" ref="S105">IFERROR(INDEX('Temp Hisfa'!S$3:S$200, SMALL(IF(ISERROR('Temp Hisfa'!S$3:S$200), "", ROW('Temp Hisfa'!S$3:S$200)-MIN(ROW('Temp Hisfa'!S$3:S$200))+1), ROW(103:302))),"")</f>
        <v>0</v>
      </c>
      <c r="T105" s="22">
        <f t="array" ref="T105">IFERROR(INDEX('Temp Hisfa'!T$3:T$200, SMALL(IF(ISERROR('Temp Hisfa'!T$3:T$200), "", ROW('Temp Hisfa'!T$3:T$200)-MIN(ROW('Temp Hisfa'!T$3:T$200))+1), ROW(103:302))),"")</f>
        <v>0</v>
      </c>
      <c r="U105" s="22">
        <f t="array" ref="U105">IFERROR(INDEX('Temp Hisfa'!U$3:U$200, SMALL(IF(ISERROR('Temp Hisfa'!U$3:U$200), "", ROW('Temp Hisfa'!U$3:U$200)-MIN(ROW('Temp Hisfa'!U$3:U$200))+1), ROW(103:302))),"")</f>
        <v>0</v>
      </c>
      <c r="V105" s="22">
        <f t="array" ref="V105">IFERROR(INDEX('Temp Hisfa'!V$3:V$200, SMALL(IF(ISERROR('Temp Hisfa'!V$3:V$200), "", ROW('Temp Hisfa'!V$3:V$200)-MIN(ROW('Temp Hisfa'!V$3:V$200))+1), ROW(103:302))),"")</f>
        <v>0</v>
      </c>
      <c r="W105" s="22">
        <f t="array" ref="W105">IFERROR(INDEX('Temp Hisfa'!W$3:W$200, SMALL(IF(ISERROR('Temp Hisfa'!W$3:W$200), "", ROW('Temp Hisfa'!W$3:W$200)-MIN(ROW('Temp Hisfa'!W$3:W$200))+1), ROW(103:302))),"")</f>
        <v>0</v>
      </c>
      <c r="X105" s="22">
        <f t="array" ref="X105">IFERROR(INDEX('Temp Hisfa'!X$3:X$200, SMALL(IF(ISERROR('Temp Hisfa'!X$3:X$200), "", ROW('Temp Hisfa'!X$3:X$200)-MIN(ROW('Temp Hisfa'!X$3:X$200))+1), ROW(103:302))),"")</f>
        <v>0</v>
      </c>
      <c r="Y105" s="22">
        <f t="array" ref="Y105">IFERROR(INDEX('Temp Hisfa'!Y$3:Y$200, SMALL(IF(ISERROR('Temp Hisfa'!Y$3:Y$200), "", ROW('Temp Hisfa'!Y$3:Y$200)-MIN(ROW('Temp Hisfa'!Y$3:Y$200))+1), ROW(103:302))),"")</f>
        <v>0</v>
      </c>
      <c r="Z105" s="22">
        <f t="array" ref="Z105">IFERROR(INDEX('Temp Hisfa'!Z$3:Z$200, SMALL(IF(ISERROR('Temp Hisfa'!Z$3:Z$200), "", ROW('Temp Hisfa'!Z$3:Z$200)-MIN(ROW('Temp Hisfa'!Z$3:Z$200))+1), ROW(103:302))),"")</f>
        <v>0</v>
      </c>
      <c r="AA105" s="22">
        <f t="array" ref="AA105">IFERROR(INDEX('Temp Hisfa'!AA$3:AA$200, SMALL(IF(ISERROR('Temp Hisfa'!AA$3:AA$200), "", ROW('Temp Hisfa'!AA$3:AA$200)-MIN(ROW('Temp Hisfa'!AA$3:AA$200))+1), ROW(103:302))),"")</f>
        <v>0</v>
      </c>
      <c r="AB105" s="22">
        <f t="array" ref="AB105">IFERROR(INDEX('Temp Hisfa'!AB$3:AB$200, SMALL(IF(ISERROR('Temp Hisfa'!AB$3:AB$200), "", ROW('Temp Hisfa'!AB$3:AB$200)-MIN(ROW('Temp Hisfa'!AB$3:AB$200))+1), ROW(103:302))),"")</f>
        <v>0</v>
      </c>
    </row>
    <row r="106" spans="1:28" x14ac:dyDescent="0.3">
      <c r="A106" s="4">
        <f t="array" ref="A106">IFERROR(INDEX('Temp Hisfa'!A$3:A$200, SMALL(IF(ISERROR('Temp Hisfa'!A$3:A$200), "", ROW('Temp Hisfa'!A$3:A$200)-MIN(ROW('Temp Hisfa'!A$3:A$200))+1), ROW(104:302))),"")</f>
        <v>0</v>
      </c>
      <c r="B106" s="4">
        <f t="array" ref="B106">IFERROR(INDEX('Temp Hisfa'!B$3:B$200, SMALL(IF(ISERROR('Temp Hisfa'!B$3:B$200), "", ROW('Temp Hisfa'!B$3:B$200)-MIN(ROW('Temp Hisfa'!B$3:B$200))+1), ROW(104:302))),"")</f>
        <v>0</v>
      </c>
      <c r="C106" s="3">
        <f t="array" ref="C106">IFERROR(INDEX('Temp Hisfa'!C$3:C$200, SMALL(IF(ISERROR('Temp Hisfa'!C$3:C$200), "", ROW('Temp Hisfa'!C$3:C$200)-MIN(ROW('Temp Hisfa'!C$3:C$200))+1), ROW(104:302))),"")</f>
        <v>0</v>
      </c>
      <c r="D106" s="3">
        <f t="array" ref="D106">IFERROR(INDEX('Temp Hisfa'!D$3:D$200, SMALL(IF(ISERROR('Temp Hisfa'!D$3:D$200), "", ROW('Temp Hisfa'!D$3:D$200)-MIN(ROW('Temp Hisfa'!D$3:D$200))+1), ROW(104:302))),"")</f>
        <v>0</v>
      </c>
      <c r="E106" s="29">
        <f t="array" ref="E106">IFERROR(INDEX('Temp Hisfa'!E$3:E$200, SMALL(IF(ISERROR('Temp Hisfa'!E$3:E$200), "", ROW('Temp Hisfa'!E$3:E$200)-MIN(ROW('Temp Hisfa'!E$3:E$200))+1), ROW(104:303))),"")</f>
        <v>0</v>
      </c>
      <c r="F106" s="22">
        <f t="array" ref="F106">IFERROR(INDEX('Temp Hisfa'!F$3:F$200, SMALL(IF(ISERROR('Temp Hisfa'!F$3:F$200), "", ROW('Temp Hisfa'!F$3:F$200)-MIN(ROW('Temp Hisfa'!F$3:F$200))+1), ROW(104:303))),"")</f>
        <v>0</v>
      </c>
      <c r="G106" s="30">
        <f t="array" ref="G106">IFERROR(INDEX('Temp Hisfa'!G$3:G$200, SMALL(IF(ISERROR('Temp Hisfa'!G$3:G$200), "", ROW('Temp Hisfa'!G$3:G$200)-MIN(ROW('Temp Hisfa'!G$3:G$200))+1), ROW(104:303))),"")</f>
        <v>0</v>
      </c>
      <c r="H106" s="22">
        <f t="array" ref="H106">IFERROR(INDEX('Temp Hisfa'!H$3:H$200, SMALL(IF(ISERROR('Temp Hisfa'!H$3:H$200), "", ROW('Temp Hisfa'!H$3:H$200)-MIN(ROW('Temp Hisfa'!H$3:H$200))+1), ROW(104:303))),"")</f>
        <v>0</v>
      </c>
      <c r="I106" s="22">
        <f t="array" ref="I106">IFERROR(INDEX('Temp Hisfa'!I$3:I$200, SMALL(IF(ISERROR('Temp Hisfa'!I$3:I$200), "", ROW('Temp Hisfa'!I$3:I$200)-MIN(ROW('Temp Hisfa'!I$3:I$200))+1), ROW(104:303))),"")</f>
        <v>0</v>
      </c>
      <c r="J106" s="22">
        <f t="array" ref="J106">IFERROR(INDEX('Temp Hisfa'!J$3:J$200, SMALL(IF(ISERROR('Temp Hisfa'!J$3:J$200), "", ROW('Temp Hisfa'!J$3:J$200)-MIN(ROW('Temp Hisfa'!J$3:J$200))+1), ROW(104:303))),"")</f>
        <v>0</v>
      </c>
      <c r="K106" s="30">
        <f t="array" ref="K106">IFERROR(INDEX('Temp Hisfa'!K$3:K$200, SMALL(IF(ISERROR('Temp Hisfa'!K$3:K$200), "", ROW('Temp Hisfa'!K$3:K$200)-MIN(ROW('Temp Hisfa'!K$3:K$200))+1), ROW(104:303))),"")</f>
        <v>0</v>
      </c>
      <c r="L106" s="22">
        <f t="array" ref="L106">IFERROR(INDEX('Temp Hisfa'!L$3:L$200, SMALL(IF(ISERROR('Temp Hisfa'!L$3:L$200), "", ROW('Temp Hisfa'!L$3:L$200)-MIN(ROW('Temp Hisfa'!L$3:L$200))+1), ROW(104:303))),"")</f>
        <v>0</v>
      </c>
      <c r="M106" s="22">
        <f t="array" ref="M106">IFERROR(INDEX('Temp Hisfa'!M$3:M$200, SMALL(IF(ISERROR('Temp Hisfa'!M$3:M$200), "", ROW('Temp Hisfa'!M$3:M$200)-MIN(ROW('Temp Hisfa'!M$3:M$200))+1), ROW(104:303))),"")</f>
        <v>0</v>
      </c>
      <c r="N106" s="22">
        <f t="array" ref="N106">IFERROR(INDEX('Temp Hisfa'!N$3:N$200, SMALL(IF(ISERROR('Temp Hisfa'!N$3:N$200), "", ROW('Temp Hisfa'!N$3:N$200)-MIN(ROW('Temp Hisfa'!N$3:N$200))+1), ROW(104:303))),"")</f>
        <v>1900</v>
      </c>
      <c r="O106" s="22" t="str">
        <f t="array" ref="O106">IFERROR(INDEX('Temp Hisfa'!O$3:O$200, SMALL(IF(ISERROR('Temp Hisfa'!O$3:O$200), "", ROW('Temp Hisfa'!O$3:O$200)-MIN(ROW('Temp Hisfa'!O$3:O$200))+1), ROW(104:303))),"")</f>
        <v>enero</v>
      </c>
      <c r="P106" s="22">
        <f t="array" ref="P106">IFERROR(INDEX('Temp Hisfa'!P$3:P$200, SMALL(IF(ISERROR('Temp Hisfa'!P$3:P$200), "", ROW('Temp Hisfa'!P$3:P$200)-MIN(ROW('Temp Hisfa'!P$3:P$200))+1), ROW(104:303))),"")</f>
        <v>0</v>
      </c>
      <c r="Q106" s="22">
        <f t="array" ref="Q106">IFERROR(INDEX('Temp Hisfa'!Q$3:Q$200, SMALL(IF(ISERROR('Temp Hisfa'!Q$3:Q$200), "", ROW('Temp Hisfa'!Q$3:Q$200)-MIN(ROW('Temp Hisfa'!Q$3:Q$200))+1), ROW(104:303))),"")</f>
        <v>0</v>
      </c>
      <c r="R106" s="22">
        <f t="array" ref="R106">IFERROR(INDEX('Temp Hisfa'!R$3:R$200, SMALL(IF(ISERROR('Temp Hisfa'!R$3:R$200), "", ROW('Temp Hisfa'!R$3:R$200)-MIN(ROW('Temp Hisfa'!R$3:R$200))+1), ROW(104:303))),"")</f>
        <v>0</v>
      </c>
      <c r="S106" s="22">
        <f t="array" ref="S106">IFERROR(INDEX('Temp Hisfa'!S$3:S$200, SMALL(IF(ISERROR('Temp Hisfa'!S$3:S$200), "", ROW('Temp Hisfa'!S$3:S$200)-MIN(ROW('Temp Hisfa'!S$3:S$200))+1), ROW(104:303))),"")</f>
        <v>0</v>
      </c>
      <c r="T106" s="22">
        <f t="array" ref="T106">IFERROR(INDEX('Temp Hisfa'!T$3:T$200, SMALL(IF(ISERROR('Temp Hisfa'!T$3:T$200), "", ROW('Temp Hisfa'!T$3:T$200)-MIN(ROW('Temp Hisfa'!T$3:T$200))+1), ROW(104:303))),"")</f>
        <v>0</v>
      </c>
      <c r="U106" s="22">
        <f t="array" ref="U106">IFERROR(INDEX('Temp Hisfa'!U$3:U$200, SMALL(IF(ISERROR('Temp Hisfa'!U$3:U$200), "", ROW('Temp Hisfa'!U$3:U$200)-MIN(ROW('Temp Hisfa'!U$3:U$200))+1), ROW(104:303))),"")</f>
        <v>0</v>
      </c>
      <c r="V106" s="22">
        <f t="array" ref="V106">IFERROR(INDEX('Temp Hisfa'!V$3:V$200, SMALL(IF(ISERROR('Temp Hisfa'!V$3:V$200), "", ROW('Temp Hisfa'!V$3:V$200)-MIN(ROW('Temp Hisfa'!V$3:V$200))+1), ROW(104:303))),"")</f>
        <v>0</v>
      </c>
      <c r="W106" s="22">
        <f t="array" ref="W106">IFERROR(INDEX('Temp Hisfa'!W$3:W$200, SMALL(IF(ISERROR('Temp Hisfa'!W$3:W$200), "", ROW('Temp Hisfa'!W$3:W$200)-MIN(ROW('Temp Hisfa'!W$3:W$200))+1), ROW(104:303))),"")</f>
        <v>0</v>
      </c>
      <c r="X106" s="22">
        <f t="array" ref="X106">IFERROR(INDEX('Temp Hisfa'!X$3:X$200, SMALL(IF(ISERROR('Temp Hisfa'!X$3:X$200), "", ROW('Temp Hisfa'!X$3:X$200)-MIN(ROW('Temp Hisfa'!X$3:X$200))+1), ROW(104:303))),"")</f>
        <v>0</v>
      </c>
      <c r="Y106" s="22">
        <f t="array" ref="Y106">IFERROR(INDEX('Temp Hisfa'!Y$3:Y$200, SMALL(IF(ISERROR('Temp Hisfa'!Y$3:Y$200), "", ROW('Temp Hisfa'!Y$3:Y$200)-MIN(ROW('Temp Hisfa'!Y$3:Y$200))+1), ROW(104:303))),"")</f>
        <v>0</v>
      </c>
      <c r="Z106" s="22">
        <f t="array" ref="Z106">IFERROR(INDEX('Temp Hisfa'!Z$3:Z$200, SMALL(IF(ISERROR('Temp Hisfa'!Z$3:Z$200), "", ROW('Temp Hisfa'!Z$3:Z$200)-MIN(ROW('Temp Hisfa'!Z$3:Z$200))+1), ROW(104:303))),"")</f>
        <v>0</v>
      </c>
      <c r="AA106" s="22">
        <f t="array" ref="AA106">IFERROR(INDEX('Temp Hisfa'!AA$3:AA$200, SMALL(IF(ISERROR('Temp Hisfa'!AA$3:AA$200), "", ROW('Temp Hisfa'!AA$3:AA$200)-MIN(ROW('Temp Hisfa'!AA$3:AA$200))+1), ROW(104:303))),"")</f>
        <v>0</v>
      </c>
      <c r="AB106" s="22">
        <f t="array" ref="AB106">IFERROR(INDEX('Temp Hisfa'!AB$3:AB$200, SMALL(IF(ISERROR('Temp Hisfa'!AB$3:AB$200), "", ROW('Temp Hisfa'!AB$3:AB$200)-MIN(ROW('Temp Hisfa'!AB$3:AB$200))+1), ROW(104:303))),"")</f>
        <v>0</v>
      </c>
    </row>
    <row r="107" spans="1:28" x14ac:dyDescent="0.3">
      <c r="A107" s="4">
        <f t="array" ref="A107">IFERROR(INDEX('Temp Hisfa'!A$3:A$200, SMALL(IF(ISERROR('Temp Hisfa'!A$3:A$200), "", ROW('Temp Hisfa'!A$3:A$200)-MIN(ROW('Temp Hisfa'!A$3:A$200))+1), ROW(105:303))),"")</f>
        <v>0</v>
      </c>
      <c r="B107" s="4">
        <f t="array" ref="B107">IFERROR(INDEX('Temp Hisfa'!B$3:B$200, SMALL(IF(ISERROR('Temp Hisfa'!B$3:B$200), "", ROW('Temp Hisfa'!B$3:B$200)-MIN(ROW('Temp Hisfa'!B$3:B$200))+1), ROW(105:303))),"")</f>
        <v>0</v>
      </c>
      <c r="C107" s="3">
        <f t="array" ref="C107">IFERROR(INDEX('Temp Hisfa'!C$3:C$200, SMALL(IF(ISERROR('Temp Hisfa'!C$3:C$200), "", ROW('Temp Hisfa'!C$3:C$200)-MIN(ROW('Temp Hisfa'!C$3:C$200))+1), ROW(105:303))),"")</f>
        <v>0</v>
      </c>
      <c r="D107" s="3">
        <f t="array" ref="D107">IFERROR(INDEX('Temp Hisfa'!D$3:D$200, SMALL(IF(ISERROR('Temp Hisfa'!D$3:D$200), "", ROW('Temp Hisfa'!D$3:D$200)-MIN(ROW('Temp Hisfa'!D$3:D$200))+1), ROW(105:303))),"")</f>
        <v>0</v>
      </c>
      <c r="E107" s="29">
        <f t="array" ref="E107">IFERROR(INDEX('Temp Hisfa'!E$3:E$200, SMALL(IF(ISERROR('Temp Hisfa'!E$3:E$200), "", ROW('Temp Hisfa'!E$3:E$200)-MIN(ROW('Temp Hisfa'!E$3:E$200))+1), ROW(105:304))),"")</f>
        <v>0</v>
      </c>
      <c r="F107" s="22">
        <f t="array" ref="F107">IFERROR(INDEX('Temp Hisfa'!F$3:F$200, SMALL(IF(ISERROR('Temp Hisfa'!F$3:F$200), "", ROW('Temp Hisfa'!F$3:F$200)-MIN(ROW('Temp Hisfa'!F$3:F$200))+1), ROW(105:304))),"")</f>
        <v>0</v>
      </c>
      <c r="G107" s="30">
        <f t="array" ref="G107">IFERROR(INDEX('Temp Hisfa'!G$3:G$200, SMALL(IF(ISERROR('Temp Hisfa'!G$3:G$200), "", ROW('Temp Hisfa'!G$3:G$200)-MIN(ROW('Temp Hisfa'!G$3:G$200))+1), ROW(105:304))),"")</f>
        <v>0</v>
      </c>
      <c r="H107" s="22">
        <f t="array" ref="H107">IFERROR(INDEX('Temp Hisfa'!H$3:H$200, SMALL(IF(ISERROR('Temp Hisfa'!H$3:H$200), "", ROW('Temp Hisfa'!H$3:H$200)-MIN(ROW('Temp Hisfa'!H$3:H$200))+1), ROW(105:304))),"")</f>
        <v>0</v>
      </c>
      <c r="I107" s="22">
        <f t="array" ref="I107">IFERROR(INDEX('Temp Hisfa'!I$3:I$200, SMALL(IF(ISERROR('Temp Hisfa'!I$3:I$200), "", ROW('Temp Hisfa'!I$3:I$200)-MIN(ROW('Temp Hisfa'!I$3:I$200))+1), ROW(105:304))),"")</f>
        <v>0</v>
      </c>
      <c r="J107" s="22">
        <f t="array" ref="J107">IFERROR(INDEX('Temp Hisfa'!J$3:J$200, SMALL(IF(ISERROR('Temp Hisfa'!J$3:J$200), "", ROW('Temp Hisfa'!J$3:J$200)-MIN(ROW('Temp Hisfa'!J$3:J$200))+1), ROW(105:304))),"")</f>
        <v>0</v>
      </c>
      <c r="K107" s="30">
        <f t="array" ref="K107">IFERROR(INDEX('Temp Hisfa'!K$3:K$200, SMALL(IF(ISERROR('Temp Hisfa'!K$3:K$200), "", ROW('Temp Hisfa'!K$3:K$200)-MIN(ROW('Temp Hisfa'!K$3:K$200))+1), ROW(105:304))),"")</f>
        <v>0</v>
      </c>
      <c r="L107" s="22">
        <f t="array" ref="L107">IFERROR(INDEX('Temp Hisfa'!L$3:L$200, SMALL(IF(ISERROR('Temp Hisfa'!L$3:L$200), "", ROW('Temp Hisfa'!L$3:L$200)-MIN(ROW('Temp Hisfa'!L$3:L$200))+1), ROW(105:304))),"")</f>
        <v>0</v>
      </c>
      <c r="M107" s="22">
        <f t="array" ref="M107">IFERROR(INDEX('Temp Hisfa'!M$3:M$200, SMALL(IF(ISERROR('Temp Hisfa'!M$3:M$200), "", ROW('Temp Hisfa'!M$3:M$200)-MIN(ROW('Temp Hisfa'!M$3:M$200))+1), ROW(105:304))),"")</f>
        <v>0</v>
      </c>
      <c r="N107" s="22">
        <f t="array" ref="N107">IFERROR(INDEX('Temp Hisfa'!N$3:N$200, SMALL(IF(ISERROR('Temp Hisfa'!N$3:N$200), "", ROW('Temp Hisfa'!N$3:N$200)-MIN(ROW('Temp Hisfa'!N$3:N$200))+1), ROW(105:304))),"")</f>
        <v>1900</v>
      </c>
      <c r="O107" s="22" t="str">
        <f t="array" ref="O107">IFERROR(INDEX('Temp Hisfa'!O$3:O$200, SMALL(IF(ISERROR('Temp Hisfa'!O$3:O$200), "", ROW('Temp Hisfa'!O$3:O$200)-MIN(ROW('Temp Hisfa'!O$3:O$200))+1), ROW(105:304))),"")</f>
        <v>enero</v>
      </c>
      <c r="P107" s="22">
        <f t="array" ref="P107">IFERROR(INDEX('Temp Hisfa'!P$3:P$200, SMALL(IF(ISERROR('Temp Hisfa'!P$3:P$200), "", ROW('Temp Hisfa'!P$3:P$200)-MIN(ROW('Temp Hisfa'!P$3:P$200))+1), ROW(105:304))),"")</f>
        <v>0</v>
      </c>
      <c r="Q107" s="22">
        <f t="array" ref="Q107">IFERROR(INDEX('Temp Hisfa'!Q$3:Q$200, SMALL(IF(ISERROR('Temp Hisfa'!Q$3:Q$200), "", ROW('Temp Hisfa'!Q$3:Q$200)-MIN(ROW('Temp Hisfa'!Q$3:Q$200))+1), ROW(105:304))),"")</f>
        <v>0</v>
      </c>
      <c r="R107" s="22">
        <f t="array" ref="R107">IFERROR(INDEX('Temp Hisfa'!R$3:R$200, SMALL(IF(ISERROR('Temp Hisfa'!R$3:R$200), "", ROW('Temp Hisfa'!R$3:R$200)-MIN(ROW('Temp Hisfa'!R$3:R$200))+1), ROW(105:304))),"")</f>
        <v>0</v>
      </c>
      <c r="S107" s="22">
        <f t="array" ref="S107">IFERROR(INDEX('Temp Hisfa'!S$3:S$200, SMALL(IF(ISERROR('Temp Hisfa'!S$3:S$200), "", ROW('Temp Hisfa'!S$3:S$200)-MIN(ROW('Temp Hisfa'!S$3:S$200))+1), ROW(105:304))),"")</f>
        <v>0</v>
      </c>
      <c r="T107" s="22">
        <f t="array" ref="T107">IFERROR(INDEX('Temp Hisfa'!T$3:T$200, SMALL(IF(ISERROR('Temp Hisfa'!T$3:T$200), "", ROW('Temp Hisfa'!T$3:T$200)-MIN(ROW('Temp Hisfa'!T$3:T$200))+1), ROW(105:304))),"")</f>
        <v>0</v>
      </c>
      <c r="U107" s="22">
        <f t="array" ref="U107">IFERROR(INDEX('Temp Hisfa'!U$3:U$200, SMALL(IF(ISERROR('Temp Hisfa'!U$3:U$200), "", ROW('Temp Hisfa'!U$3:U$200)-MIN(ROW('Temp Hisfa'!U$3:U$200))+1), ROW(105:304))),"")</f>
        <v>0</v>
      </c>
      <c r="V107" s="22">
        <f t="array" ref="V107">IFERROR(INDEX('Temp Hisfa'!V$3:V$200, SMALL(IF(ISERROR('Temp Hisfa'!V$3:V$200), "", ROW('Temp Hisfa'!V$3:V$200)-MIN(ROW('Temp Hisfa'!V$3:V$200))+1), ROW(105:304))),"")</f>
        <v>0</v>
      </c>
      <c r="W107" s="22">
        <f t="array" ref="W107">IFERROR(INDEX('Temp Hisfa'!W$3:W$200, SMALL(IF(ISERROR('Temp Hisfa'!W$3:W$200), "", ROW('Temp Hisfa'!W$3:W$200)-MIN(ROW('Temp Hisfa'!W$3:W$200))+1), ROW(105:304))),"")</f>
        <v>0</v>
      </c>
      <c r="X107" s="22">
        <f t="array" ref="X107">IFERROR(INDEX('Temp Hisfa'!X$3:X$200, SMALL(IF(ISERROR('Temp Hisfa'!X$3:X$200), "", ROW('Temp Hisfa'!X$3:X$200)-MIN(ROW('Temp Hisfa'!X$3:X$200))+1), ROW(105:304))),"")</f>
        <v>0</v>
      </c>
      <c r="Y107" s="22">
        <f t="array" ref="Y107">IFERROR(INDEX('Temp Hisfa'!Y$3:Y$200, SMALL(IF(ISERROR('Temp Hisfa'!Y$3:Y$200), "", ROW('Temp Hisfa'!Y$3:Y$200)-MIN(ROW('Temp Hisfa'!Y$3:Y$200))+1), ROW(105:304))),"")</f>
        <v>0</v>
      </c>
      <c r="Z107" s="22">
        <f t="array" ref="Z107">IFERROR(INDEX('Temp Hisfa'!Z$3:Z$200, SMALL(IF(ISERROR('Temp Hisfa'!Z$3:Z$200), "", ROW('Temp Hisfa'!Z$3:Z$200)-MIN(ROW('Temp Hisfa'!Z$3:Z$200))+1), ROW(105:304))),"")</f>
        <v>0</v>
      </c>
      <c r="AA107" s="22">
        <f t="array" ref="AA107">IFERROR(INDEX('Temp Hisfa'!AA$3:AA$200, SMALL(IF(ISERROR('Temp Hisfa'!AA$3:AA$200), "", ROW('Temp Hisfa'!AA$3:AA$200)-MIN(ROW('Temp Hisfa'!AA$3:AA$200))+1), ROW(105:304))),"")</f>
        <v>0</v>
      </c>
      <c r="AB107" s="22">
        <f t="array" ref="AB107">IFERROR(INDEX('Temp Hisfa'!AB$3:AB$200, SMALL(IF(ISERROR('Temp Hisfa'!AB$3:AB$200), "", ROW('Temp Hisfa'!AB$3:AB$200)-MIN(ROW('Temp Hisfa'!AB$3:AB$200))+1), ROW(105:304))),"")</f>
        <v>0</v>
      </c>
    </row>
    <row r="108" spans="1:28" x14ac:dyDescent="0.3">
      <c r="A108" s="4">
        <f t="array" ref="A108">IFERROR(INDEX('Temp Hisfa'!A$3:A$200, SMALL(IF(ISERROR('Temp Hisfa'!A$3:A$200), "", ROW('Temp Hisfa'!A$3:A$200)-MIN(ROW('Temp Hisfa'!A$3:A$200))+1), ROW(106:304))),"")</f>
        <v>0</v>
      </c>
      <c r="B108" s="4">
        <f t="array" ref="B108">IFERROR(INDEX('Temp Hisfa'!B$3:B$200, SMALL(IF(ISERROR('Temp Hisfa'!B$3:B$200), "", ROW('Temp Hisfa'!B$3:B$200)-MIN(ROW('Temp Hisfa'!B$3:B$200))+1), ROW(106:304))),"")</f>
        <v>0</v>
      </c>
      <c r="C108" s="3">
        <f t="array" ref="C108">IFERROR(INDEX('Temp Hisfa'!C$3:C$200, SMALL(IF(ISERROR('Temp Hisfa'!C$3:C$200), "", ROW('Temp Hisfa'!C$3:C$200)-MIN(ROW('Temp Hisfa'!C$3:C$200))+1), ROW(106:304))),"")</f>
        <v>0</v>
      </c>
      <c r="D108" s="3">
        <f t="array" ref="D108">IFERROR(INDEX('Temp Hisfa'!D$3:D$200, SMALL(IF(ISERROR('Temp Hisfa'!D$3:D$200), "", ROW('Temp Hisfa'!D$3:D$200)-MIN(ROW('Temp Hisfa'!D$3:D$200))+1), ROW(106:304))),"")</f>
        <v>0</v>
      </c>
      <c r="E108" s="29">
        <f t="array" ref="E108">IFERROR(INDEX('Temp Hisfa'!E$3:E$200, SMALL(IF(ISERROR('Temp Hisfa'!E$3:E$200), "", ROW('Temp Hisfa'!E$3:E$200)-MIN(ROW('Temp Hisfa'!E$3:E$200))+1), ROW(106:305))),"")</f>
        <v>0</v>
      </c>
      <c r="F108" s="22">
        <f t="array" ref="F108">IFERROR(INDEX('Temp Hisfa'!F$3:F$200, SMALL(IF(ISERROR('Temp Hisfa'!F$3:F$200), "", ROW('Temp Hisfa'!F$3:F$200)-MIN(ROW('Temp Hisfa'!F$3:F$200))+1), ROW(106:305))),"")</f>
        <v>0</v>
      </c>
      <c r="G108" s="30">
        <f t="array" ref="G108">IFERROR(INDEX('Temp Hisfa'!G$3:G$200, SMALL(IF(ISERROR('Temp Hisfa'!G$3:G$200), "", ROW('Temp Hisfa'!G$3:G$200)-MIN(ROW('Temp Hisfa'!G$3:G$200))+1), ROW(106:305))),"")</f>
        <v>0</v>
      </c>
      <c r="H108" s="22">
        <f t="array" ref="H108">IFERROR(INDEX('Temp Hisfa'!H$3:H$200, SMALL(IF(ISERROR('Temp Hisfa'!H$3:H$200), "", ROW('Temp Hisfa'!H$3:H$200)-MIN(ROW('Temp Hisfa'!H$3:H$200))+1), ROW(106:305))),"")</f>
        <v>0</v>
      </c>
      <c r="I108" s="22">
        <f t="array" ref="I108">IFERROR(INDEX('Temp Hisfa'!I$3:I$200, SMALL(IF(ISERROR('Temp Hisfa'!I$3:I$200), "", ROW('Temp Hisfa'!I$3:I$200)-MIN(ROW('Temp Hisfa'!I$3:I$200))+1), ROW(106:305))),"")</f>
        <v>0</v>
      </c>
      <c r="J108" s="22">
        <f t="array" ref="J108">IFERROR(INDEX('Temp Hisfa'!J$3:J$200, SMALL(IF(ISERROR('Temp Hisfa'!J$3:J$200), "", ROW('Temp Hisfa'!J$3:J$200)-MIN(ROW('Temp Hisfa'!J$3:J$200))+1), ROW(106:305))),"")</f>
        <v>0</v>
      </c>
      <c r="K108" s="30">
        <f t="array" ref="K108">IFERROR(INDEX('Temp Hisfa'!K$3:K$200, SMALL(IF(ISERROR('Temp Hisfa'!K$3:K$200), "", ROW('Temp Hisfa'!K$3:K$200)-MIN(ROW('Temp Hisfa'!K$3:K$200))+1), ROW(106:305))),"")</f>
        <v>0</v>
      </c>
      <c r="L108" s="22">
        <f t="array" ref="L108">IFERROR(INDEX('Temp Hisfa'!L$3:L$200, SMALL(IF(ISERROR('Temp Hisfa'!L$3:L$200), "", ROW('Temp Hisfa'!L$3:L$200)-MIN(ROW('Temp Hisfa'!L$3:L$200))+1), ROW(106:305))),"")</f>
        <v>0</v>
      </c>
      <c r="M108" s="22">
        <f t="array" ref="M108">IFERROR(INDEX('Temp Hisfa'!M$3:M$200, SMALL(IF(ISERROR('Temp Hisfa'!M$3:M$200), "", ROW('Temp Hisfa'!M$3:M$200)-MIN(ROW('Temp Hisfa'!M$3:M$200))+1), ROW(106:305))),"")</f>
        <v>0</v>
      </c>
      <c r="N108" s="22">
        <f t="array" ref="N108">IFERROR(INDEX('Temp Hisfa'!N$3:N$200, SMALL(IF(ISERROR('Temp Hisfa'!N$3:N$200), "", ROW('Temp Hisfa'!N$3:N$200)-MIN(ROW('Temp Hisfa'!N$3:N$200))+1), ROW(106:305))),"")</f>
        <v>1900</v>
      </c>
      <c r="O108" s="22" t="str">
        <f t="array" ref="O108">IFERROR(INDEX('Temp Hisfa'!O$3:O$200, SMALL(IF(ISERROR('Temp Hisfa'!O$3:O$200), "", ROW('Temp Hisfa'!O$3:O$200)-MIN(ROW('Temp Hisfa'!O$3:O$200))+1), ROW(106:305))),"")</f>
        <v>enero</v>
      </c>
      <c r="P108" s="22">
        <f t="array" ref="P108">IFERROR(INDEX('Temp Hisfa'!P$3:P$200, SMALL(IF(ISERROR('Temp Hisfa'!P$3:P$200), "", ROW('Temp Hisfa'!P$3:P$200)-MIN(ROW('Temp Hisfa'!P$3:P$200))+1), ROW(106:305))),"")</f>
        <v>0</v>
      </c>
      <c r="Q108" s="22">
        <f t="array" ref="Q108">IFERROR(INDEX('Temp Hisfa'!Q$3:Q$200, SMALL(IF(ISERROR('Temp Hisfa'!Q$3:Q$200), "", ROW('Temp Hisfa'!Q$3:Q$200)-MIN(ROW('Temp Hisfa'!Q$3:Q$200))+1), ROW(106:305))),"")</f>
        <v>0</v>
      </c>
      <c r="R108" s="22">
        <f t="array" ref="R108">IFERROR(INDEX('Temp Hisfa'!R$3:R$200, SMALL(IF(ISERROR('Temp Hisfa'!R$3:R$200), "", ROW('Temp Hisfa'!R$3:R$200)-MIN(ROW('Temp Hisfa'!R$3:R$200))+1), ROW(106:305))),"")</f>
        <v>0</v>
      </c>
      <c r="S108" s="22">
        <f t="array" ref="S108">IFERROR(INDEX('Temp Hisfa'!S$3:S$200, SMALL(IF(ISERROR('Temp Hisfa'!S$3:S$200), "", ROW('Temp Hisfa'!S$3:S$200)-MIN(ROW('Temp Hisfa'!S$3:S$200))+1), ROW(106:305))),"")</f>
        <v>0</v>
      </c>
      <c r="T108" s="22">
        <f t="array" ref="T108">IFERROR(INDEX('Temp Hisfa'!T$3:T$200, SMALL(IF(ISERROR('Temp Hisfa'!T$3:T$200), "", ROW('Temp Hisfa'!T$3:T$200)-MIN(ROW('Temp Hisfa'!T$3:T$200))+1), ROW(106:305))),"")</f>
        <v>0</v>
      </c>
      <c r="U108" s="22">
        <f t="array" ref="U108">IFERROR(INDEX('Temp Hisfa'!U$3:U$200, SMALL(IF(ISERROR('Temp Hisfa'!U$3:U$200), "", ROW('Temp Hisfa'!U$3:U$200)-MIN(ROW('Temp Hisfa'!U$3:U$200))+1), ROW(106:305))),"")</f>
        <v>0</v>
      </c>
      <c r="V108" s="22">
        <f t="array" ref="V108">IFERROR(INDEX('Temp Hisfa'!V$3:V$200, SMALL(IF(ISERROR('Temp Hisfa'!V$3:V$200), "", ROW('Temp Hisfa'!V$3:V$200)-MIN(ROW('Temp Hisfa'!V$3:V$200))+1), ROW(106:305))),"")</f>
        <v>0</v>
      </c>
      <c r="W108" s="22">
        <f t="array" ref="W108">IFERROR(INDEX('Temp Hisfa'!W$3:W$200, SMALL(IF(ISERROR('Temp Hisfa'!W$3:W$200), "", ROW('Temp Hisfa'!W$3:W$200)-MIN(ROW('Temp Hisfa'!W$3:W$200))+1), ROW(106:305))),"")</f>
        <v>0</v>
      </c>
      <c r="X108" s="22">
        <f t="array" ref="X108">IFERROR(INDEX('Temp Hisfa'!X$3:X$200, SMALL(IF(ISERROR('Temp Hisfa'!X$3:X$200), "", ROW('Temp Hisfa'!X$3:X$200)-MIN(ROW('Temp Hisfa'!X$3:X$200))+1), ROW(106:305))),"")</f>
        <v>0</v>
      </c>
      <c r="Y108" s="22">
        <f t="array" ref="Y108">IFERROR(INDEX('Temp Hisfa'!Y$3:Y$200, SMALL(IF(ISERROR('Temp Hisfa'!Y$3:Y$200), "", ROW('Temp Hisfa'!Y$3:Y$200)-MIN(ROW('Temp Hisfa'!Y$3:Y$200))+1), ROW(106:305))),"")</f>
        <v>0</v>
      </c>
      <c r="Z108" s="22">
        <f t="array" ref="Z108">IFERROR(INDEX('Temp Hisfa'!Z$3:Z$200, SMALL(IF(ISERROR('Temp Hisfa'!Z$3:Z$200), "", ROW('Temp Hisfa'!Z$3:Z$200)-MIN(ROW('Temp Hisfa'!Z$3:Z$200))+1), ROW(106:305))),"")</f>
        <v>0</v>
      </c>
      <c r="AA108" s="22">
        <f t="array" ref="AA108">IFERROR(INDEX('Temp Hisfa'!AA$3:AA$200, SMALL(IF(ISERROR('Temp Hisfa'!AA$3:AA$200), "", ROW('Temp Hisfa'!AA$3:AA$200)-MIN(ROW('Temp Hisfa'!AA$3:AA$200))+1), ROW(106:305))),"")</f>
        <v>0</v>
      </c>
      <c r="AB108" s="22">
        <f t="array" ref="AB108">IFERROR(INDEX('Temp Hisfa'!AB$3:AB$200, SMALL(IF(ISERROR('Temp Hisfa'!AB$3:AB$200), "", ROW('Temp Hisfa'!AB$3:AB$200)-MIN(ROW('Temp Hisfa'!AB$3:AB$200))+1), ROW(106:305))),"")</f>
        <v>0</v>
      </c>
    </row>
    <row r="109" spans="1:28" x14ac:dyDescent="0.3">
      <c r="A109" s="4">
        <f t="array" ref="A109">IFERROR(INDEX('Temp Hisfa'!A$3:A$200, SMALL(IF(ISERROR('Temp Hisfa'!A$3:A$200), "", ROW('Temp Hisfa'!A$3:A$200)-MIN(ROW('Temp Hisfa'!A$3:A$200))+1), ROW(107:305))),"")</f>
        <v>0</v>
      </c>
      <c r="B109" s="4">
        <f t="array" ref="B109">IFERROR(INDEX('Temp Hisfa'!B$3:B$200, SMALL(IF(ISERROR('Temp Hisfa'!B$3:B$200), "", ROW('Temp Hisfa'!B$3:B$200)-MIN(ROW('Temp Hisfa'!B$3:B$200))+1), ROW(107:305))),"")</f>
        <v>0</v>
      </c>
      <c r="C109" s="3">
        <f t="array" ref="C109">IFERROR(INDEX('Temp Hisfa'!C$3:C$200, SMALL(IF(ISERROR('Temp Hisfa'!C$3:C$200), "", ROW('Temp Hisfa'!C$3:C$200)-MIN(ROW('Temp Hisfa'!C$3:C$200))+1), ROW(107:305))),"")</f>
        <v>0</v>
      </c>
      <c r="D109" s="3">
        <f t="array" ref="D109">IFERROR(INDEX('Temp Hisfa'!D$3:D$200, SMALL(IF(ISERROR('Temp Hisfa'!D$3:D$200), "", ROW('Temp Hisfa'!D$3:D$200)-MIN(ROW('Temp Hisfa'!D$3:D$200))+1), ROW(107:305))),"")</f>
        <v>0</v>
      </c>
      <c r="E109" s="29">
        <f t="array" ref="E109">IFERROR(INDEX('Temp Hisfa'!E$3:E$200, SMALL(IF(ISERROR('Temp Hisfa'!E$3:E$200), "", ROW('Temp Hisfa'!E$3:E$200)-MIN(ROW('Temp Hisfa'!E$3:E$200))+1), ROW(107:306))),"")</f>
        <v>0</v>
      </c>
      <c r="F109" s="22">
        <f t="array" ref="F109">IFERROR(INDEX('Temp Hisfa'!F$3:F$200, SMALL(IF(ISERROR('Temp Hisfa'!F$3:F$200), "", ROW('Temp Hisfa'!F$3:F$200)-MIN(ROW('Temp Hisfa'!F$3:F$200))+1), ROW(107:306))),"")</f>
        <v>0</v>
      </c>
      <c r="G109" s="30">
        <f t="array" ref="G109">IFERROR(INDEX('Temp Hisfa'!G$3:G$200, SMALL(IF(ISERROR('Temp Hisfa'!G$3:G$200), "", ROW('Temp Hisfa'!G$3:G$200)-MIN(ROW('Temp Hisfa'!G$3:G$200))+1), ROW(107:306))),"")</f>
        <v>0</v>
      </c>
      <c r="H109" s="22">
        <f t="array" ref="H109">IFERROR(INDEX('Temp Hisfa'!H$3:H$200, SMALL(IF(ISERROR('Temp Hisfa'!H$3:H$200), "", ROW('Temp Hisfa'!H$3:H$200)-MIN(ROW('Temp Hisfa'!H$3:H$200))+1), ROW(107:306))),"")</f>
        <v>0</v>
      </c>
      <c r="I109" s="22">
        <f t="array" ref="I109">IFERROR(INDEX('Temp Hisfa'!I$3:I$200, SMALL(IF(ISERROR('Temp Hisfa'!I$3:I$200), "", ROW('Temp Hisfa'!I$3:I$200)-MIN(ROW('Temp Hisfa'!I$3:I$200))+1), ROW(107:306))),"")</f>
        <v>0</v>
      </c>
      <c r="J109" s="22">
        <f t="array" ref="J109">IFERROR(INDEX('Temp Hisfa'!J$3:J$200, SMALL(IF(ISERROR('Temp Hisfa'!J$3:J$200), "", ROW('Temp Hisfa'!J$3:J$200)-MIN(ROW('Temp Hisfa'!J$3:J$200))+1), ROW(107:306))),"")</f>
        <v>0</v>
      </c>
      <c r="K109" s="30">
        <f t="array" ref="K109">IFERROR(INDEX('Temp Hisfa'!K$3:K$200, SMALL(IF(ISERROR('Temp Hisfa'!K$3:K$200), "", ROW('Temp Hisfa'!K$3:K$200)-MIN(ROW('Temp Hisfa'!K$3:K$200))+1), ROW(107:306))),"")</f>
        <v>0</v>
      </c>
      <c r="L109" s="22">
        <f t="array" ref="L109">IFERROR(INDEX('Temp Hisfa'!L$3:L$200, SMALL(IF(ISERROR('Temp Hisfa'!L$3:L$200), "", ROW('Temp Hisfa'!L$3:L$200)-MIN(ROW('Temp Hisfa'!L$3:L$200))+1), ROW(107:306))),"")</f>
        <v>0</v>
      </c>
      <c r="M109" s="22">
        <f t="array" ref="M109">IFERROR(INDEX('Temp Hisfa'!M$3:M$200, SMALL(IF(ISERROR('Temp Hisfa'!M$3:M$200), "", ROW('Temp Hisfa'!M$3:M$200)-MIN(ROW('Temp Hisfa'!M$3:M$200))+1), ROW(107:306))),"")</f>
        <v>0</v>
      </c>
      <c r="N109" s="22">
        <f t="array" ref="N109">IFERROR(INDEX('Temp Hisfa'!N$3:N$200, SMALL(IF(ISERROR('Temp Hisfa'!N$3:N$200), "", ROW('Temp Hisfa'!N$3:N$200)-MIN(ROW('Temp Hisfa'!N$3:N$200))+1), ROW(107:306))),"")</f>
        <v>1900</v>
      </c>
      <c r="O109" s="22" t="str">
        <f t="array" ref="O109">IFERROR(INDEX('Temp Hisfa'!O$3:O$200, SMALL(IF(ISERROR('Temp Hisfa'!O$3:O$200), "", ROW('Temp Hisfa'!O$3:O$200)-MIN(ROW('Temp Hisfa'!O$3:O$200))+1), ROW(107:306))),"")</f>
        <v>enero</v>
      </c>
      <c r="P109" s="22">
        <f t="array" ref="P109">IFERROR(INDEX('Temp Hisfa'!P$3:P$200, SMALL(IF(ISERROR('Temp Hisfa'!P$3:P$200), "", ROW('Temp Hisfa'!P$3:P$200)-MIN(ROW('Temp Hisfa'!P$3:P$200))+1), ROW(107:306))),"")</f>
        <v>0</v>
      </c>
      <c r="Q109" s="22">
        <f t="array" ref="Q109">IFERROR(INDEX('Temp Hisfa'!Q$3:Q$200, SMALL(IF(ISERROR('Temp Hisfa'!Q$3:Q$200), "", ROW('Temp Hisfa'!Q$3:Q$200)-MIN(ROW('Temp Hisfa'!Q$3:Q$200))+1), ROW(107:306))),"")</f>
        <v>0</v>
      </c>
      <c r="R109" s="22">
        <f t="array" ref="R109">IFERROR(INDEX('Temp Hisfa'!R$3:R$200, SMALL(IF(ISERROR('Temp Hisfa'!R$3:R$200), "", ROW('Temp Hisfa'!R$3:R$200)-MIN(ROW('Temp Hisfa'!R$3:R$200))+1), ROW(107:306))),"")</f>
        <v>0</v>
      </c>
      <c r="S109" s="22">
        <f t="array" ref="S109">IFERROR(INDEX('Temp Hisfa'!S$3:S$200, SMALL(IF(ISERROR('Temp Hisfa'!S$3:S$200), "", ROW('Temp Hisfa'!S$3:S$200)-MIN(ROW('Temp Hisfa'!S$3:S$200))+1), ROW(107:306))),"")</f>
        <v>0</v>
      </c>
      <c r="T109" s="22">
        <f t="array" ref="T109">IFERROR(INDEX('Temp Hisfa'!T$3:T$200, SMALL(IF(ISERROR('Temp Hisfa'!T$3:T$200), "", ROW('Temp Hisfa'!T$3:T$200)-MIN(ROW('Temp Hisfa'!T$3:T$200))+1), ROW(107:306))),"")</f>
        <v>0</v>
      </c>
      <c r="U109" s="22">
        <f t="array" ref="U109">IFERROR(INDEX('Temp Hisfa'!U$3:U$200, SMALL(IF(ISERROR('Temp Hisfa'!U$3:U$200), "", ROW('Temp Hisfa'!U$3:U$200)-MIN(ROW('Temp Hisfa'!U$3:U$200))+1), ROW(107:306))),"")</f>
        <v>0</v>
      </c>
      <c r="V109" s="22">
        <f t="array" ref="V109">IFERROR(INDEX('Temp Hisfa'!V$3:V$200, SMALL(IF(ISERROR('Temp Hisfa'!V$3:V$200), "", ROW('Temp Hisfa'!V$3:V$200)-MIN(ROW('Temp Hisfa'!V$3:V$200))+1), ROW(107:306))),"")</f>
        <v>0</v>
      </c>
      <c r="W109" s="22">
        <f t="array" ref="W109">IFERROR(INDEX('Temp Hisfa'!W$3:W$200, SMALL(IF(ISERROR('Temp Hisfa'!W$3:W$200), "", ROW('Temp Hisfa'!W$3:W$200)-MIN(ROW('Temp Hisfa'!W$3:W$200))+1), ROW(107:306))),"")</f>
        <v>0</v>
      </c>
      <c r="X109" s="22">
        <f t="array" ref="X109">IFERROR(INDEX('Temp Hisfa'!X$3:X$200, SMALL(IF(ISERROR('Temp Hisfa'!X$3:X$200), "", ROW('Temp Hisfa'!X$3:X$200)-MIN(ROW('Temp Hisfa'!X$3:X$200))+1), ROW(107:306))),"")</f>
        <v>0</v>
      </c>
      <c r="Y109" s="22">
        <f t="array" ref="Y109">IFERROR(INDEX('Temp Hisfa'!Y$3:Y$200, SMALL(IF(ISERROR('Temp Hisfa'!Y$3:Y$200), "", ROW('Temp Hisfa'!Y$3:Y$200)-MIN(ROW('Temp Hisfa'!Y$3:Y$200))+1), ROW(107:306))),"")</f>
        <v>0</v>
      </c>
      <c r="Z109" s="22">
        <f t="array" ref="Z109">IFERROR(INDEX('Temp Hisfa'!Z$3:Z$200, SMALL(IF(ISERROR('Temp Hisfa'!Z$3:Z$200), "", ROW('Temp Hisfa'!Z$3:Z$200)-MIN(ROW('Temp Hisfa'!Z$3:Z$200))+1), ROW(107:306))),"")</f>
        <v>0</v>
      </c>
      <c r="AA109" s="22">
        <f t="array" ref="AA109">IFERROR(INDEX('Temp Hisfa'!AA$3:AA$200, SMALL(IF(ISERROR('Temp Hisfa'!AA$3:AA$200), "", ROW('Temp Hisfa'!AA$3:AA$200)-MIN(ROW('Temp Hisfa'!AA$3:AA$200))+1), ROW(107:306))),"")</f>
        <v>0</v>
      </c>
      <c r="AB109" s="22">
        <f t="array" ref="AB109">IFERROR(INDEX('Temp Hisfa'!AB$3:AB$200, SMALL(IF(ISERROR('Temp Hisfa'!AB$3:AB$200), "", ROW('Temp Hisfa'!AB$3:AB$200)-MIN(ROW('Temp Hisfa'!AB$3:AB$200))+1), ROW(107:306))),"")</f>
        <v>0</v>
      </c>
    </row>
    <row r="110" spans="1:28" x14ac:dyDescent="0.3">
      <c r="A110" s="4">
        <f t="array" ref="A110">IFERROR(INDEX('Temp Hisfa'!A$3:A$200, SMALL(IF(ISERROR('Temp Hisfa'!A$3:A$200), "", ROW('Temp Hisfa'!A$3:A$200)-MIN(ROW('Temp Hisfa'!A$3:A$200))+1), ROW(108:306))),"")</f>
        <v>0</v>
      </c>
      <c r="B110" s="4">
        <f t="array" ref="B110">IFERROR(INDEX('Temp Hisfa'!B$3:B$200, SMALL(IF(ISERROR('Temp Hisfa'!B$3:B$200), "", ROW('Temp Hisfa'!B$3:B$200)-MIN(ROW('Temp Hisfa'!B$3:B$200))+1), ROW(108:306))),"")</f>
        <v>0</v>
      </c>
      <c r="C110" s="3">
        <f t="array" ref="C110">IFERROR(INDEX('Temp Hisfa'!C$3:C$200, SMALL(IF(ISERROR('Temp Hisfa'!C$3:C$200), "", ROW('Temp Hisfa'!C$3:C$200)-MIN(ROW('Temp Hisfa'!C$3:C$200))+1), ROW(108:306))),"")</f>
        <v>0</v>
      </c>
      <c r="D110" s="3">
        <f t="array" ref="D110">IFERROR(INDEX('Temp Hisfa'!D$3:D$200, SMALL(IF(ISERROR('Temp Hisfa'!D$3:D$200), "", ROW('Temp Hisfa'!D$3:D$200)-MIN(ROW('Temp Hisfa'!D$3:D$200))+1), ROW(108:306))),"")</f>
        <v>0</v>
      </c>
      <c r="E110" s="29">
        <f t="array" ref="E110">IFERROR(INDEX('Temp Hisfa'!E$3:E$200, SMALL(IF(ISERROR('Temp Hisfa'!E$3:E$200), "", ROW('Temp Hisfa'!E$3:E$200)-MIN(ROW('Temp Hisfa'!E$3:E$200))+1), ROW(108:307))),"")</f>
        <v>0</v>
      </c>
      <c r="F110" s="22">
        <f t="array" ref="F110">IFERROR(INDEX('Temp Hisfa'!F$3:F$200, SMALL(IF(ISERROR('Temp Hisfa'!F$3:F$200), "", ROW('Temp Hisfa'!F$3:F$200)-MIN(ROW('Temp Hisfa'!F$3:F$200))+1), ROW(108:307))),"")</f>
        <v>0</v>
      </c>
      <c r="G110" s="30">
        <f t="array" ref="G110">IFERROR(INDEX('Temp Hisfa'!G$3:G$200, SMALL(IF(ISERROR('Temp Hisfa'!G$3:G$200), "", ROW('Temp Hisfa'!G$3:G$200)-MIN(ROW('Temp Hisfa'!G$3:G$200))+1), ROW(108:307))),"")</f>
        <v>0</v>
      </c>
      <c r="H110" s="22">
        <f t="array" ref="H110">IFERROR(INDEX('Temp Hisfa'!H$3:H$200, SMALL(IF(ISERROR('Temp Hisfa'!H$3:H$200), "", ROW('Temp Hisfa'!H$3:H$200)-MIN(ROW('Temp Hisfa'!H$3:H$200))+1), ROW(108:307))),"")</f>
        <v>0</v>
      </c>
      <c r="I110" s="22">
        <f t="array" ref="I110">IFERROR(INDEX('Temp Hisfa'!I$3:I$200, SMALL(IF(ISERROR('Temp Hisfa'!I$3:I$200), "", ROW('Temp Hisfa'!I$3:I$200)-MIN(ROW('Temp Hisfa'!I$3:I$200))+1), ROW(108:307))),"")</f>
        <v>0</v>
      </c>
      <c r="J110" s="22">
        <f t="array" ref="J110">IFERROR(INDEX('Temp Hisfa'!J$3:J$200, SMALL(IF(ISERROR('Temp Hisfa'!J$3:J$200), "", ROW('Temp Hisfa'!J$3:J$200)-MIN(ROW('Temp Hisfa'!J$3:J$200))+1), ROW(108:307))),"")</f>
        <v>0</v>
      </c>
      <c r="K110" s="30">
        <f t="array" ref="K110">IFERROR(INDEX('Temp Hisfa'!K$3:K$200, SMALL(IF(ISERROR('Temp Hisfa'!K$3:K$200), "", ROW('Temp Hisfa'!K$3:K$200)-MIN(ROW('Temp Hisfa'!K$3:K$200))+1), ROW(108:307))),"")</f>
        <v>0</v>
      </c>
      <c r="L110" s="22">
        <f t="array" ref="L110">IFERROR(INDEX('Temp Hisfa'!L$3:L$200, SMALL(IF(ISERROR('Temp Hisfa'!L$3:L$200), "", ROW('Temp Hisfa'!L$3:L$200)-MIN(ROW('Temp Hisfa'!L$3:L$200))+1), ROW(108:307))),"")</f>
        <v>0</v>
      </c>
      <c r="M110" s="22">
        <f t="array" ref="M110">IFERROR(INDEX('Temp Hisfa'!M$3:M$200, SMALL(IF(ISERROR('Temp Hisfa'!M$3:M$200), "", ROW('Temp Hisfa'!M$3:M$200)-MIN(ROW('Temp Hisfa'!M$3:M$200))+1), ROW(108:307))),"")</f>
        <v>0</v>
      </c>
      <c r="N110" s="22">
        <f t="array" ref="N110">IFERROR(INDEX('Temp Hisfa'!N$3:N$200, SMALL(IF(ISERROR('Temp Hisfa'!N$3:N$200), "", ROW('Temp Hisfa'!N$3:N$200)-MIN(ROW('Temp Hisfa'!N$3:N$200))+1), ROW(108:307))),"")</f>
        <v>1900</v>
      </c>
      <c r="O110" s="22" t="str">
        <f t="array" ref="O110">IFERROR(INDEX('Temp Hisfa'!O$3:O$200, SMALL(IF(ISERROR('Temp Hisfa'!O$3:O$200), "", ROW('Temp Hisfa'!O$3:O$200)-MIN(ROW('Temp Hisfa'!O$3:O$200))+1), ROW(108:307))),"")</f>
        <v>enero</v>
      </c>
      <c r="P110" s="22">
        <f t="array" ref="P110">IFERROR(INDEX('Temp Hisfa'!P$3:P$200, SMALL(IF(ISERROR('Temp Hisfa'!P$3:P$200), "", ROW('Temp Hisfa'!P$3:P$200)-MIN(ROW('Temp Hisfa'!P$3:P$200))+1), ROW(108:307))),"")</f>
        <v>0</v>
      </c>
      <c r="Q110" s="22">
        <f t="array" ref="Q110">IFERROR(INDEX('Temp Hisfa'!Q$3:Q$200, SMALL(IF(ISERROR('Temp Hisfa'!Q$3:Q$200), "", ROW('Temp Hisfa'!Q$3:Q$200)-MIN(ROW('Temp Hisfa'!Q$3:Q$200))+1), ROW(108:307))),"")</f>
        <v>0</v>
      </c>
      <c r="R110" s="22">
        <f t="array" ref="R110">IFERROR(INDEX('Temp Hisfa'!R$3:R$200, SMALL(IF(ISERROR('Temp Hisfa'!R$3:R$200), "", ROW('Temp Hisfa'!R$3:R$200)-MIN(ROW('Temp Hisfa'!R$3:R$200))+1), ROW(108:307))),"")</f>
        <v>0</v>
      </c>
      <c r="S110" s="22">
        <f t="array" ref="S110">IFERROR(INDEX('Temp Hisfa'!S$3:S$200, SMALL(IF(ISERROR('Temp Hisfa'!S$3:S$200), "", ROW('Temp Hisfa'!S$3:S$200)-MIN(ROW('Temp Hisfa'!S$3:S$200))+1), ROW(108:307))),"")</f>
        <v>0</v>
      </c>
      <c r="T110" s="22">
        <f t="array" ref="T110">IFERROR(INDEX('Temp Hisfa'!T$3:T$200, SMALL(IF(ISERROR('Temp Hisfa'!T$3:T$200), "", ROW('Temp Hisfa'!T$3:T$200)-MIN(ROW('Temp Hisfa'!T$3:T$200))+1), ROW(108:307))),"")</f>
        <v>0</v>
      </c>
      <c r="U110" s="22">
        <f t="array" ref="U110">IFERROR(INDEX('Temp Hisfa'!U$3:U$200, SMALL(IF(ISERROR('Temp Hisfa'!U$3:U$200), "", ROW('Temp Hisfa'!U$3:U$200)-MIN(ROW('Temp Hisfa'!U$3:U$200))+1), ROW(108:307))),"")</f>
        <v>0</v>
      </c>
      <c r="V110" s="22">
        <f t="array" ref="V110">IFERROR(INDEX('Temp Hisfa'!V$3:V$200, SMALL(IF(ISERROR('Temp Hisfa'!V$3:V$200), "", ROW('Temp Hisfa'!V$3:V$200)-MIN(ROW('Temp Hisfa'!V$3:V$200))+1), ROW(108:307))),"")</f>
        <v>0</v>
      </c>
      <c r="W110" s="22">
        <f t="array" ref="W110">IFERROR(INDEX('Temp Hisfa'!W$3:W$200, SMALL(IF(ISERROR('Temp Hisfa'!W$3:W$200), "", ROW('Temp Hisfa'!W$3:W$200)-MIN(ROW('Temp Hisfa'!W$3:W$200))+1), ROW(108:307))),"")</f>
        <v>0</v>
      </c>
      <c r="X110" s="22">
        <f t="array" ref="X110">IFERROR(INDEX('Temp Hisfa'!X$3:X$200, SMALL(IF(ISERROR('Temp Hisfa'!X$3:X$200), "", ROW('Temp Hisfa'!X$3:X$200)-MIN(ROW('Temp Hisfa'!X$3:X$200))+1), ROW(108:307))),"")</f>
        <v>0</v>
      </c>
      <c r="Y110" s="22">
        <f t="array" ref="Y110">IFERROR(INDEX('Temp Hisfa'!Y$3:Y$200, SMALL(IF(ISERROR('Temp Hisfa'!Y$3:Y$200), "", ROW('Temp Hisfa'!Y$3:Y$200)-MIN(ROW('Temp Hisfa'!Y$3:Y$200))+1), ROW(108:307))),"")</f>
        <v>0</v>
      </c>
      <c r="Z110" s="22">
        <f t="array" ref="Z110">IFERROR(INDEX('Temp Hisfa'!Z$3:Z$200, SMALL(IF(ISERROR('Temp Hisfa'!Z$3:Z$200), "", ROW('Temp Hisfa'!Z$3:Z$200)-MIN(ROW('Temp Hisfa'!Z$3:Z$200))+1), ROW(108:307))),"")</f>
        <v>0</v>
      </c>
      <c r="AA110" s="22">
        <f t="array" ref="AA110">IFERROR(INDEX('Temp Hisfa'!AA$3:AA$200, SMALL(IF(ISERROR('Temp Hisfa'!AA$3:AA$200), "", ROW('Temp Hisfa'!AA$3:AA$200)-MIN(ROW('Temp Hisfa'!AA$3:AA$200))+1), ROW(108:307))),"")</f>
        <v>0</v>
      </c>
      <c r="AB110" s="22">
        <f t="array" ref="AB110">IFERROR(INDEX('Temp Hisfa'!AB$3:AB$200, SMALL(IF(ISERROR('Temp Hisfa'!AB$3:AB$200), "", ROW('Temp Hisfa'!AB$3:AB$200)-MIN(ROW('Temp Hisfa'!AB$3:AB$200))+1), ROW(108:307))),"")</f>
        <v>0</v>
      </c>
    </row>
    <row r="111" spans="1:28" x14ac:dyDescent="0.3">
      <c r="A111" s="4" t="str">
        <f t="array" ref="A111">IFERROR(INDEX('Temp Hisfa'!A$3:A$200, SMALL(IF(ISERROR('Temp Hisfa'!A$3:A$200), "", ROW('Temp Hisfa'!A$3:A$200)-MIN(ROW('Temp Hisfa'!A$3:A$200))+1), ROW(109:307))),"")</f>
        <v/>
      </c>
      <c r="B111" s="4" t="str">
        <f t="array" ref="B111">IFERROR(INDEX('Temp Hisfa'!B$3:B$200, SMALL(IF(ISERROR('Temp Hisfa'!B$3:B$200), "", ROW('Temp Hisfa'!B$3:B$200)-MIN(ROW('Temp Hisfa'!B$3:B$200))+1), ROW(109:307))),"")</f>
        <v/>
      </c>
      <c r="C111" s="3" t="str">
        <f t="array" ref="C111">IFERROR(INDEX('Temp Hisfa'!C$3:C$200, SMALL(IF(ISERROR('Temp Hisfa'!C$3:C$200), "", ROW('Temp Hisfa'!C$3:C$200)-MIN(ROW('Temp Hisfa'!C$3:C$200))+1), ROW(109:307))),"")</f>
        <v/>
      </c>
      <c r="D111" s="3" t="str">
        <f t="array" ref="D111">IFERROR(INDEX('Temp Hisfa'!D$3:D$200, SMALL(IF(ISERROR('Temp Hisfa'!D$3:D$200), "", ROW('Temp Hisfa'!D$3:D$200)-MIN(ROW('Temp Hisfa'!D$3:D$200))+1), ROW(109:307))),"")</f>
        <v/>
      </c>
      <c r="E111" s="29" t="str">
        <f t="array" ref="E111">IFERROR(INDEX('Temp Hisfa'!E$3:E$200, SMALL(IF(ISERROR('Temp Hisfa'!E$3:E$200), "", ROW('Temp Hisfa'!E$3:E$200)-MIN(ROW('Temp Hisfa'!E$3:E$200))+1), ROW(109:308))),"")</f>
        <v/>
      </c>
      <c r="F111" s="22" t="str">
        <f t="array" ref="F111">IFERROR(INDEX('Temp Hisfa'!F$3:F$200, SMALL(IF(ISERROR('Temp Hisfa'!F$3:F$200), "", ROW('Temp Hisfa'!F$3:F$200)-MIN(ROW('Temp Hisfa'!F$3:F$200))+1), ROW(109:308))),"")</f>
        <v/>
      </c>
      <c r="G111" s="30" t="str">
        <f t="array" ref="G111">IFERROR(INDEX('Temp Hisfa'!G$3:G$200, SMALL(IF(ISERROR('Temp Hisfa'!G$3:G$200), "", ROW('Temp Hisfa'!G$3:G$200)-MIN(ROW('Temp Hisfa'!G$3:G$200))+1), ROW(109:308))),"")</f>
        <v/>
      </c>
      <c r="H111" s="22" t="str">
        <f t="array" ref="H111">IFERROR(INDEX('Temp Hisfa'!H$3:H$200, SMALL(IF(ISERROR('Temp Hisfa'!H$3:H$200), "", ROW('Temp Hisfa'!H$3:H$200)-MIN(ROW('Temp Hisfa'!H$3:H$200))+1), ROW(109:308))),"")</f>
        <v/>
      </c>
      <c r="I111" s="22" t="str">
        <f t="array" ref="I111">IFERROR(INDEX('Temp Hisfa'!I$3:I$200, SMALL(IF(ISERROR('Temp Hisfa'!I$3:I$200), "", ROW('Temp Hisfa'!I$3:I$200)-MIN(ROW('Temp Hisfa'!I$3:I$200))+1), ROW(109:308))),"")</f>
        <v/>
      </c>
      <c r="J111" s="22" t="str">
        <f t="array" ref="J111">IFERROR(INDEX('Temp Hisfa'!J$3:J$200, SMALL(IF(ISERROR('Temp Hisfa'!J$3:J$200), "", ROW('Temp Hisfa'!J$3:J$200)-MIN(ROW('Temp Hisfa'!J$3:J$200))+1), ROW(109:308))),"")</f>
        <v/>
      </c>
      <c r="K111" s="30" t="str">
        <f t="array" ref="K111">IFERROR(INDEX('Temp Hisfa'!K$3:K$200, SMALL(IF(ISERROR('Temp Hisfa'!K$3:K$200), "", ROW('Temp Hisfa'!K$3:K$200)-MIN(ROW('Temp Hisfa'!K$3:K$200))+1), ROW(109:308))),"")</f>
        <v/>
      </c>
      <c r="L111" s="22" t="str">
        <f t="array" ref="L111">IFERROR(INDEX('Temp Hisfa'!L$3:L$200, SMALL(IF(ISERROR('Temp Hisfa'!L$3:L$200), "", ROW('Temp Hisfa'!L$3:L$200)-MIN(ROW('Temp Hisfa'!L$3:L$200))+1), ROW(109:308))),"")</f>
        <v/>
      </c>
      <c r="M111" s="22" t="str">
        <f t="array" ref="M111">IFERROR(INDEX('Temp Hisfa'!M$3:M$200, SMALL(IF(ISERROR('Temp Hisfa'!M$3:M$200), "", ROW('Temp Hisfa'!M$3:M$200)-MIN(ROW('Temp Hisfa'!M$3:M$200))+1), ROW(109:308))),"")</f>
        <v/>
      </c>
      <c r="N111" s="22" t="str">
        <f t="array" ref="N111">IFERROR(INDEX('Temp Hisfa'!N$3:N$200, SMALL(IF(ISERROR('Temp Hisfa'!N$3:N$200), "", ROW('Temp Hisfa'!N$3:N$200)-MIN(ROW('Temp Hisfa'!N$3:N$200))+1), ROW(109:308))),"")</f>
        <v/>
      </c>
      <c r="O111" s="22" t="str">
        <f t="array" ref="O111">IFERROR(INDEX('Temp Hisfa'!O$3:O$200, SMALL(IF(ISERROR('Temp Hisfa'!O$3:O$200), "", ROW('Temp Hisfa'!O$3:O$200)-MIN(ROW('Temp Hisfa'!O$3:O$200))+1), ROW(109:308))),"")</f>
        <v/>
      </c>
      <c r="P111" s="22" t="str">
        <f t="array" ref="P111">IFERROR(INDEX('Temp Hisfa'!P$3:P$200, SMALL(IF(ISERROR('Temp Hisfa'!P$3:P$200), "", ROW('Temp Hisfa'!P$3:P$200)-MIN(ROW('Temp Hisfa'!P$3:P$200))+1), ROW(109:308))),"")</f>
        <v/>
      </c>
      <c r="Q111" s="22" t="str">
        <f t="array" ref="Q111">IFERROR(INDEX('Temp Hisfa'!Q$3:Q$200, SMALL(IF(ISERROR('Temp Hisfa'!Q$3:Q$200), "", ROW('Temp Hisfa'!Q$3:Q$200)-MIN(ROW('Temp Hisfa'!Q$3:Q$200))+1), ROW(109:308))),"")</f>
        <v/>
      </c>
      <c r="R111" s="22" t="str">
        <f t="array" ref="R111">IFERROR(INDEX('Temp Hisfa'!R$3:R$200, SMALL(IF(ISERROR('Temp Hisfa'!R$3:R$200), "", ROW('Temp Hisfa'!R$3:R$200)-MIN(ROW('Temp Hisfa'!R$3:R$200))+1), ROW(109:308))),"")</f>
        <v/>
      </c>
      <c r="S111" s="22" t="str">
        <f t="array" ref="S111">IFERROR(INDEX('Temp Hisfa'!S$3:S$200, SMALL(IF(ISERROR('Temp Hisfa'!S$3:S$200), "", ROW('Temp Hisfa'!S$3:S$200)-MIN(ROW('Temp Hisfa'!S$3:S$200))+1), ROW(109:308))),"")</f>
        <v/>
      </c>
      <c r="T111" s="22" t="str">
        <f t="array" ref="T111">IFERROR(INDEX('Temp Hisfa'!T$3:T$200, SMALL(IF(ISERROR('Temp Hisfa'!T$3:T$200), "", ROW('Temp Hisfa'!T$3:T$200)-MIN(ROW('Temp Hisfa'!T$3:T$200))+1), ROW(109:308))),"")</f>
        <v/>
      </c>
      <c r="U111" s="22" t="str">
        <f t="array" ref="U111">IFERROR(INDEX('Temp Hisfa'!U$3:U$200, SMALL(IF(ISERROR('Temp Hisfa'!U$3:U$200), "", ROW('Temp Hisfa'!U$3:U$200)-MIN(ROW('Temp Hisfa'!U$3:U$200))+1), ROW(109:308))),"")</f>
        <v/>
      </c>
      <c r="V111" s="22" t="str">
        <f t="array" ref="V111">IFERROR(INDEX('Temp Hisfa'!V$3:V$200, SMALL(IF(ISERROR('Temp Hisfa'!V$3:V$200), "", ROW('Temp Hisfa'!V$3:V$200)-MIN(ROW('Temp Hisfa'!V$3:V$200))+1), ROW(109:308))),"")</f>
        <v/>
      </c>
      <c r="W111" s="22" t="str">
        <f t="array" ref="W111">IFERROR(INDEX('Temp Hisfa'!W$3:W$200, SMALL(IF(ISERROR('Temp Hisfa'!W$3:W$200), "", ROW('Temp Hisfa'!W$3:W$200)-MIN(ROW('Temp Hisfa'!W$3:W$200))+1), ROW(109:308))),"")</f>
        <v/>
      </c>
      <c r="X111" s="22" t="str">
        <f t="array" ref="X111">IFERROR(INDEX('Temp Hisfa'!X$3:X$200, SMALL(IF(ISERROR('Temp Hisfa'!X$3:X$200), "", ROW('Temp Hisfa'!X$3:X$200)-MIN(ROW('Temp Hisfa'!X$3:X$200))+1), ROW(109:308))),"")</f>
        <v/>
      </c>
      <c r="Y111" s="22" t="str">
        <f t="array" ref="Y111">IFERROR(INDEX('Temp Hisfa'!Y$3:Y$200, SMALL(IF(ISERROR('Temp Hisfa'!Y$3:Y$200), "", ROW('Temp Hisfa'!Y$3:Y$200)-MIN(ROW('Temp Hisfa'!Y$3:Y$200))+1), ROW(109:308))),"")</f>
        <v/>
      </c>
      <c r="Z111" s="22" t="str">
        <f t="array" ref="Z111">IFERROR(INDEX('Temp Hisfa'!Z$3:Z$200, SMALL(IF(ISERROR('Temp Hisfa'!Z$3:Z$200), "", ROW('Temp Hisfa'!Z$3:Z$200)-MIN(ROW('Temp Hisfa'!Z$3:Z$200))+1), ROW(109:308))),"")</f>
        <v/>
      </c>
      <c r="AA111" s="22" t="str">
        <f t="array" ref="AA111">IFERROR(INDEX('Temp Hisfa'!AA$3:AA$200, SMALL(IF(ISERROR('Temp Hisfa'!AA$3:AA$200), "", ROW('Temp Hisfa'!AA$3:AA$200)-MIN(ROW('Temp Hisfa'!AA$3:AA$200))+1), ROW(109:308))),"")</f>
        <v/>
      </c>
      <c r="AB111" s="22" t="str">
        <f t="array" ref="AB111">IFERROR(INDEX('Temp Hisfa'!AB$3:AB$200, SMALL(IF(ISERROR('Temp Hisfa'!AB$3:AB$200), "", ROW('Temp Hisfa'!AB$3:AB$200)-MIN(ROW('Temp Hisfa'!AB$3:AB$200))+1), ROW(109:308))),"")</f>
        <v/>
      </c>
    </row>
    <row r="112" spans="1:28" x14ac:dyDescent="0.3">
      <c r="A112" s="4" t="str">
        <f t="array" ref="A112">IFERROR(INDEX('Temp Hisfa'!A$3:A$200, SMALL(IF(ISERROR('Temp Hisfa'!A$3:A$200), "", ROW('Temp Hisfa'!A$3:A$200)-MIN(ROW('Temp Hisfa'!A$3:A$200))+1), ROW(110:308))),"")</f>
        <v/>
      </c>
      <c r="B112" s="4" t="str">
        <f t="array" ref="B112">IFERROR(INDEX('Temp Hisfa'!B$3:B$200, SMALL(IF(ISERROR('Temp Hisfa'!B$3:B$200), "", ROW('Temp Hisfa'!B$3:B$200)-MIN(ROW('Temp Hisfa'!B$3:B$200))+1), ROW(110:308))),"")</f>
        <v/>
      </c>
      <c r="C112" s="3" t="str">
        <f t="array" ref="C112">IFERROR(INDEX('Temp Hisfa'!C$3:C$200, SMALL(IF(ISERROR('Temp Hisfa'!C$3:C$200), "", ROW('Temp Hisfa'!C$3:C$200)-MIN(ROW('Temp Hisfa'!C$3:C$200))+1), ROW(110:308))),"")</f>
        <v/>
      </c>
      <c r="D112" s="3" t="str">
        <f t="array" ref="D112">IFERROR(INDEX('Temp Hisfa'!D$3:D$200, SMALL(IF(ISERROR('Temp Hisfa'!D$3:D$200), "", ROW('Temp Hisfa'!D$3:D$200)-MIN(ROW('Temp Hisfa'!D$3:D$200))+1), ROW(110:308))),"")</f>
        <v/>
      </c>
      <c r="E112" s="29" t="str">
        <f t="array" ref="E112">IFERROR(INDEX('Temp Hisfa'!E$3:E$200, SMALL(IF(ISERROR('Temp Hisfa'!E$3:E$200), "", ROW('Temp Hisfa'!E$3:E$200)-MIN(ROW('Temp Hisfa'!E$3:E$200))+1), ROW(110:309))),"")</f>
        <v/>
      </c>
      <c r="F112" s="22" t="str">
        <f t="array" ref="F112">IFERROR(INDEX('Temp Hisfa'!F$3:F$200, SMALL(IF(ISERROR('Temp Hisfa'!F$3:F$200), "", ROW('Temp Hisfa'!F$3:F$200)-MIN(ROW('Temp Hisfa'!F$3:F$200))+1), ROW(110:309))),"")</f>
        <v/>
      </c>
      <c r="G112" s="30" t="str">
        <f t="array" ref="G112">IFERROR(INDEX('Temp Hisfa'!G$3:G$200, SMALL(IF(ISERROR('Temp Hisfa'!G$3:G$200), "", ROW('Temp Hisfa'!G$3:G$200)-MIN(ROW('Temp Hisfa'!G$3:G$200))+1), ROW(110:309))),"")</f>
        <v/>
      </c>
      <c r="H112" s="22" t="str">
        <f t="array" ref="H112">IFERROR(INDEX('Temp Hisfa'!H$3:H$200, SMALL(IF(ISERROR('Temp Hisfa'!H$3:H$200), "", ROW('Temp Hisfa'!H$3:H$200)-MIN(ROW('Temp Hisfa'!H$3:H$200))+1), ROW(110:309))),"")</f>
        <v/>
      </c>
      <c r="I112" s="22" t="str">
        <f t="array" ref="I112">IFERROR(INDEX('Temp Hisfa'!I$3:I$200, SMALL(IF(ISERROR('Temp Hisfa'!I$3:I$200), "", ROW('Temp Hisfa'!I$3:I$200)-MIN(ROW('Temp Hisfa'!I$3:I$200))+1), ROW(110:309))),"")</f>
        <v/>
      </c>
      <c r="J112" s="22" t="str">
        <f t="array" ref="J112">IFERROR(INDEX('Temp Hisfa'!J$3:J$200, SMALL(IF(ISERROR('Temp Hisfa'!J$3:J$200), "", ROW('Temp Hisfa'!J$3:J$200)-MIN(ROW('Temp Hisfa'!J$3:J$200))+1), ROW(110:309))),"")</f>
        <v/>
      </c>
      <c r="K112" s="30" t="str">
        <f t="array" ref="K112">IFERROR(INDEX('Temp Hisfa'!K$3:K$200, SMALL(IF(ISERROR('Temp Hisfa'!K$3:K$200), "", ROW('Temp Hisfa'!K$3:K$200)-MIN(ROW('Temp Hisfa'!K$3:K$200))+1), ROW(110:309))),"")</f>
        <v/>
      </c>
      <c r="L112" s="22" t="str">
        <f t="array" ref="L112">IFERROR(INDEX('Temp Hisfa'!L$3:L$200, SMALL(IF(ISERROR('Temp Hisfa'!L$3:L$200), "", ROW('Temp Hisfa'!L$3:L$200)-MIN(ROW('Temp Hisfa'!L$3:L$200))+1), ROW(110:309))),"")</f>
        <v/>
      </c>
      <c r="M112" s="22" t="str">
        <f t="array" ref="M112">IFERROR(INDEX('Temp Hisfa'!M$3:M$200, SMALL(IF(ISERROR('Temp Hisfa'!M$3:M$200), "", ROW('Temp Hisfa'!M$3:M$200)-MIN(ROW('Temp Hisfa'!M$3:M$200))+1), ROW(110:309))),"")</f>
        <v/>
      </c>
      <c r="N112" s="22" t="str">
        <f t="array" ref="N112">IFERROR(INDEX('Temp Hisfa'!N$3:N$200, SMALL(IF(ISERROR('Temp Hisfa'!N$3:N$200), "", ROW('Temp Hisfa'!N$3:N$200)-MIN(ROW('Temp Hisfa'!N$3:N$200))+1), ROW(110:309))),"")</f>
        <v/>
      </c>
      <c r="O112" s="22" t="str">
        <f t="array" ref="O112">IFERROR(INDEX('Temp Hisfa'!O$3:O$200, SMALL(IF(ISERROR('Temp Hisfa'!O$3:O$200), "", ROW('Temp Hisfa'!O$3:O$200)-MIN(ROW('Temp Hisfa'!O$3:O$200))+1), ROW(110:309))),"")</f>
        <v/>
      </c>
      <c r="P112" s="22" t="str">
        <f t="array" ref="P112">IFERROR(INDEX('Temp Hisfa'!P$3:P$200, SMALL(IF(ISERROR('Temp Hisfa'!P$3:P$200), "", ROW('Temp Hisfa'!P$3:P$200)-MIN(ROW('Temp Hisfa'!P$3:P$200))+1), ROW(110:309))),"")</f>
        <v/>
      </c>
      <c r="Q112" s="22" t="str">
        <f t="array" ref="Q112">IFERROR(INDEX('Temp Hisfa'!Q$3:Q$200, SMALL(IF(ISERROR('Temp Hisfa'!Q$3:Q$200), "", ROW('Temp Hisfa'!Q$3:Q$200)-MIN(ROW('Temp Hisfa'!Q$3:Q$200))+1), ROW(110:309))),"")</f>
        <v/>
      </c>
      <c r="R112" s="22" t="str">
        <f t="array" ref="R112">IFERROR(INDEX('Temp Hisfa'!R$3:R$200, SMALL(IF(ISERROR('Temp Hisfa'!R$3:R$200), "", ROW('Temp Hisfa'!R$3:R$200)-MIN(ROW('Temp Hisfa'!R$3:R$200))+1), ROW(110:309))),"")</f>
        <v/>
      </c>
      <c r="S112" s="22" t="str">
        <f t="array" ref="S112">IFERROR(INDEX('Temp Hisfa'!S$3:S$200, SMALL(IF(ISERROR('Temp Hisfa'!S$3:S$200), "", ROW('Temp Hisfa'!S$3:S$200)-MIN(ROW('Temp Hisfa'!S$3:S$200))+1), ROW(110:309))),"")</f>
        <v/>
      </c>
      <c r="T112" s="22" t="str">
        <f t="array" ref="T112">IFERROR(INDEX('Temp Hisfa'!T$3:T$200, SMALL(IF(ISERROR('Temp Hisfa'!T$3:T$200), "", ROW('Temp Hisfa'!T$3:T$200)-MIN(ROW('Temp Hisfa'!T$3:T$200))+1), ROW(110:309))),"")</f>
        <v/>
      </c>
      <c r="U112" s="22" t="str">
        <f t="array" ref="U112">IFERROR(INDEX('Temp Hisfa'!U$3:U$200, SMALL(IF(ISERROR('Temp Hisfa'!U$3:U$200), "", ROW('Temp Hisfa'!U$3:U$200)-MIN(ROW('Temp Hisfa'!U$3:U$200))+1), ROW(110:309))),"")</f>
        <v/>
      </c>
      <c r="V112" s="22" t="str">
        <f t="array" ref="V112">IFERROR(INDEX('Temp Hisfa'!V$3:V$200, SMALL(IF(ISERROR('Temp Hisfa'!V$3:V$200), "", ROW('Temp Hisfa'!V$3:V$200)-MIN(ROW('Temp Hisfa'!V$3:V$200))+1), ROW(110:309))),"")</f>
        <v/>
      </c>
      <c r="W112" s="22" t="str">
        <f t="array" ref="W112">IFERROR(INDEX('Temp Hisfa'!W$3:W$200, SMALL(IF(ISERROR('Temp Hisfa'!W$3:W$200), "", ROW('Temp Hisfa'!W$3:W$200)-MIN(ROW('Temp Hisfa'!W$3:W$200))+1), ROW(110:309))),"")</f>
        <v/>
      </c>
      <c r="X112" s="22" t="str">
        <f t="array" ref="X112">IFERROR(INDEX('Temp Hisfa'!X$3:X$200, SMALL(IF(ISERROR('Temp Hisfa'!X$3:X$200), "", ROW('Temp Hisfa'!X$3:X$200)-MIN(ROW('Temp Hisfa'!X$3:X$200))+1), ROW(110:309))),"")</f>
        <v/>
      </c>
      <c r="Y112" s="22" t="str">
        <f t="array" ref="Y112">IFERROR(INDEX('Temp Hisfa'!Y$3:Y$200, SMALL(IF(ISERROR('Temp Hisfa'!Y$3:Y$200), "", ROW('Temp Hisfa'!Y$3:Y$200)-MIN(ROW('Temp Hisfa'!Y$3:Y$200))+1), ROW(110:309))),"")</f>
        <v/>
      </c>
      <c r="Z112" s="22" t="str">
        <f t="array" ref="Z112">IFERROR(INDEX('Temp Hisfa'!Z$3:Z$200, SMALL(IF(ISERROR('Temp Hisfa'!Z$3:Z$200), "", ROW('Temp Hisfa'!Z$3:Z$200)-MIN(ROW('Temp Hisfa'!Z$3:Z$200))+1), ROW(110:309))),"")</f>
        <v/>
      </c>
      <c r="AA112" s="22" t="str">
        <f t="array" ref="AA112">IFERROR(INDEX('Temp Hisfa'!AA$3:AA$200, SMALL(IF(ISERROR('Temp Hisfa'!AA$3:AA$200), "", ROW('Temp Hisfa'!AA$3:AA$200)-MIN(ROW('Temp Hisfa'!AA$3:AA$200))+1), ROW(110:309))),"")</f>
        <v/>
      </c>
      <c r="AB112" s="22" t="str">
        <f t="array" ref="AB112">IFERROR(INDEX('Temp Hisfa'!AB$3:AB$200, SMALL(IF(ISERROR('Temp Hisfa'!AB$3:AB$200), "", ROW('Temp Hisfa'!AB$3:AB$200)-MIN(ROW('Temp Hisfa'!AB$3:AB$200))+1), ROW(110:309))),"")</f>
        <v/>
      </c>
    </row>
    <row r="113" spans="1:28" x14ac:dyDescent="0.3">
      <c r="A113" s="4" t="str">
        <f t="array" ref="A113">IFERROR(INDEX('Temp Hisfa'!A$3:A$200, SMALL(IF(ISERROR('Temp Hisfa'!A$3:A$200), "", ROW('Temp Hisfa'!A$3:A$200)-MIN(ROW('Temp Hisfa'!A$3:A$200))+1), ROW(111:309))),"")</f>
        <v/>
      </c>
      <c r="B113" s="4" t="str">
        <f t="array" ref="B113">IFERROR(INDEX('Temp Hisfa'!B$3:B$200, SMALL(IF(ISERROR('Temp Hisfa'!B$3:B$200), "", ROW('Temp Hisfa'!B$3:B$200)-MIN(ROW('Temp Hisfa'!B$3:B$200))+1), ROW(111:309))),"")</f>
        <v/>
      </c>
      <c r="C113" s="3" t="str">
        <f t="array" ref="C113">IFERROR(INDEX('Temp Hisfa'!C$3:C$200, SMALL(IF(ISERROR('Temp Hisfa'!C$3:C$200), "", ROW('Temp Hisfa'!C$3:C$200)-MIN(ROW('Temp Hisfa'!C$3:C$200))+1), ROW(111:309))),"")</f>
        <v/>
      </c>
      <c r="D113" s="3" t="str">
        <f t="array" ref="D113">IFERROR(INDEX('Temp Hisfa'!D$3:D$200, SMALL(IF(ISERROR('Temp Hisfa'!D$3:D$200), "", ROW('Temp Hisfa'!D$3:D$200)-MIN(ROW('Temp Hisfa'!D$3:D$200))+1), ROW(111:309))),"")</f>
        <v/>
      </c>
      <c r="E113" s="29" t="str">
        <f t="array" ref="E113">IFERROR(INDEX('Temp Hisfa'!E$3:E$200, SMALL(IF(ISERROR('Temp Hisfa'!E$3:E$200), "", ROW('Temp Hisfa'!E$3:E$200)-MIN(ROW('Temp Hisfa'!E$3:E$200))+1), ROW(111:310))),"")</f>
        <v/>
      </c>
      <c r="F113" s="22" t="str">
        <f t="array" ref="F113">IFERROR(INDEX('Temp Hisfa'!F$3:F$200, SMALL(IF(ISERROR('Temp Hisfa'!F$3:F$200), "", ROW('Temp Hisfa'!F$3:F$200)-MIN(ROW('Temp Hisfa'!F$3:F$200))+1), ROW(111:310))),"")</f>
        <v/>
      </c>
      <c r="G113" s="30" t="str">
        <f t="array" ref="G113">IFERROR(INDEX('Temp Hisfa'!G$3:G$200, SMALL(IF(ISERROR('Temp Hisfa'!G$3:G$200), "", ROW('Temp Hisfa'!G$3:G$200)-MIN(ROW('Temp Hisfa'!G$3:G$200))+1), ROW(111:310))),"")</f>
        <v/>
      </c>
      <c r="H113" s="22" t="str">
        <f t="array" ref="H113">IFERROR(INDEX('Temp Hisfa'!H$3:H$200, SMALL(IF(ISERROR('Temp Hisfa'!H$3:H$200), "", ROW('Temp Hisfa'!H$3:H$200)-MIN(ROW('Temp Hisfa'!H$3:H$200))+1), ROW(111:310))),"")</f>
        <v/>
      </c>
      <c r="I113" s="22" t="str">
        <f t="array" ref="I113">IFERROR(INDEX('Temp Hisfa'!I$3:I$200, SMALL(IF(ISERROR('Temp Hisfa'!I$3:I$200), "", ROW('Temp Hisfa'!I$3:I$200)-MIN(ROW('Temp Hisfa'!I$3:I$200))+1), ROW(111:310))),"")</f>
        <v/>
      </c>
      <c r="J113" s="22" t="str">
        <f t="array" ref="J113">IFERROR(INDEX('Temp Hisfa'!J$3:J$200, SMALL(IF(ISERROR('Temp Hisfa'!J$3:J$200), "", ROW('Temp Hisfa'!J$3:J$200)-MIN(ROW('Temp Hisfa'!J$3:J$200))+1), ROW(111:310))),"")</f>
        <v/>
      </c>
      <c r="K113" s="30" t="str">
        <f t="array" ref="K113">IFERROR(INDEX('Temp Hisfa'!K$3:K$200, SMALL(IF(ISERROR('Temp Hisfa'!K$3:K$200), "", ROW('Temp Hisfa'!K$3:K$200)-MIN(ROW('Temp Hisfa'!K$3:K$200))+1), ROW(111:310))),"")</f>
        <v/>
      </c>
      <c r="L113" s="22" t="str">
        <f t="array" ref="L113">IFERROR(INDEX('Temp Hisfa'!L$3:L$200, SMALL(IF(ISERROR('Temp Hisfa'!L$3:L$200), "", ROW('Temp Hisfa'!L$3:L$200)-MIN(ROW('Temp Hisfa'!L$3:L$200))+1), ROW(111:310))),"")</f>
        <v/>
      </c>
      <c r="M113" s="22" t="str">
        <f t="array" ref="M113">IFERROR(INDEX('Temp Hisfa'!M$3:M$200, SMALL(IF(ISERROR('Temp Hisfa'!M$3:M$200), "", ROW('Temp Hisfa'!M$3:M$200)-MIN(ROW('Temp Hisfa'!M$3:M$200))+1), ROW(111:310))),"")</f>
        <v/>
      </c>
      <c r="N113" s="22" t="str">
        <f t="array" ref="N113">IFERROR(INDEX('Temp Hisfa'!N$3:N$200, SMALL(IF(ISERROR('Temp Hisfa'!N$3:N$200), "", ROW('Temp Hisfa'!N$3:N$200)-MIN(ROW('Temp Hisfa'!N$3:N$200))+1), ROW(111:310))),"")</f>
        <v/>
      </c>
      <c r="O113" s="22" t="str">
        <f t="array" ref="O113">IFERROR(INDEX('Temp Hisfa'!O$3:O$200, SMALL(IF(ISERROR('Temp Hisfa'!O$3:O$200), "", ROW('Temp Hisfa'!O$3:O$200)-MIN(ROW('Temp Hisfa'!O$3:O$200))+1), ROW(111:310))),"")</f>
        <v/>
      </c>
      <c r="P113" s="22" t="str">
        <f t="array" ref="P113">IFERROR(INDEX('Temp Hisfa'!P$3:P$200, SMALL(IF(ISERROR('Temp Hisfa'!P$3:P$200), "", ROW('Temp Hisfa'!P$3:P$200)-MIN(ROW('Temp Hisfa'!P$3:P$200))+1), ROW(111:310))),"")</f>
        <v/>
      </c>
      <c r="Q113" s="22" t="str">
        <f t="array" ref="Q113">IFERROR(INDEX('Temp Hisfa'!Q$3:Q$200, SMALL(IF(ISERROR('Temp Hisfa'!Q$3:Q$200), "", ROW('Temp Hisfa'!Q$3:Q$200)-MIN(ROW('Temp Hisfa'!Q$3:Q$200))+1), ROW(111:310))),"")</f>
        <v/>
      </c>
      <c r="R113" s="22" t="str">
        <f t="array" ref="R113">IFERROR(INDEX('Temp Hisfa'!R$3:R$200, SMALL(IF(ISERROR('Temp Hisfa'!R$3:R$200), "", ROW('Temp Hisfa'!R$3:R$200)-MIN(ROW('Temp Hisfa'!R$3:R$200))+1), ROW(111:310))),"")</f>
        <v/>
      </c>
      <c r="S113" s="22" t="str">
        <f t="array" ref="S113">IFERROR(INDEX('Temp Hisfa'!S$3:S$200, SMALL(IF(ISERROR('Temp Hisfa'!S$3:S$200), "", ROW('Temp Hisfa'!S$3:S$200)-MIN(ROW('Temp Hisfa'!S$3:S$200))+1), ROW(111:310))),"")</f>
        <v/>
      </c>
      <c r="T113" s="22" t="str">
        <f t="array" ref="T113">IFERROR(INDEX('Temp Hisfa'!T$3:T$200, SMALL(IF(ISERROR('Temp Hisfa'!T$3:T$200), "", ROW('Temp Hisfa'!T$3:T$200)-MIN(ROW('Temp Hisfa'!T$3:T$200))+1), ROW(111:310))),"")</f>
        <v/>
      </c>
      <c r="U113" s="22" t="str">
        <f t="array" ref="U113">IFERROR(INDEX('Temp Hisfa'!U$3:U$200, SMALL(IF(ISERROR('Temp Hisfa'!U$3:U$200), "", ROW('Temp Hisfa'!U$3:U$200)-MIN(ROW('Temp Hisfa'!U$3:U$200))+1), ROW(111:310))),"")</f>
        <v/>
      </c>
      <c r="V113" s="22" t="str">
        <f t="array" ref="V113">IFERROR(INDEX('Temp Hisfa'!V$3:V$200, SMALL(IF(ISERROR('Temp Hisfa'!V$3:V$200), "", ROW('Temp Hisfa'!V$3:V$200)-MIN(ROW('Temp Hisfa'!V$3:V$200))+1), ROW(111:310))),"")</f>
        <v/>
      </c>
      <c r="W113" s="22" t="str">
        <f t="array" ref="W113">IFERROR(INDEX('Temp Hisfa'!W$3:W$200, SMALL(IF(ISERROR('Temp Hisfa'!W$3:W$200), "", ROW('Temp Hisfa'!W$3:W$200)-MIN(ROW('Temp Hisfa'!W$3:W$200))+1), ROW(111:310))),"")</f>
        <v/>
      </c>
      <c r="X113" s="22" t="str">
        <f t="array" ref="X113">IFERROR(INDEX('Temp Hisfa'!X$3:X$200, SMALL(IF(ISERROR('Temp Hisfa'!X$3:X$200), "", ROW('Temp Hisfa'!X$3:X$200)-MIN(ROW('Temp Hisfa'!X$3:X$200))+1), ROW(111:310))),"")</f>
        <v/>
      </c>
      <c r="Y113" s="22" t="str">
        <f t="array" ref="Y113">IFERROR(INDEX('Temp Hisfa'!Y$3:Y$200, SMALL(IF(ISERROR('Temp Hisfa'!Y$3:Y$200), "", ROW('Temp Hisfa'!Y$3:Y$200)-MIN(ROW('Temp Hisfa'!Y$3:Y$200))+1), ROW(111:310))),"")</f>
        <v/>
      </c>
      <c r="Z113" s="22" t="str">
        <f t="array" ref="Z113">IFERROR(INDEX('Temp Hisfa'!Z$3:Z$200, SMALL(IF(ISERROR('Temp Hisfa'!Z$3:Z$200), "", ROW('Temp Hisfa'!Z$3:Z$200)-MIN(ROW('Temp Hisfa'!Z$3:Z$200))+1), ROW(111:310))),"")</f>
        <v/>
      </c>
      <c r="AA113" s="22" t="str">
        <f t="array" ref="AA113">IFERROR(INDEX('Temp Hisfa'!AA$3:AA$200, SMALL(IF(ISERROR('Temp Hisfa'!AA$3:AA$200), "", ROW('Temp Hisfa'!AA$3:AA$200)-MIN(ROW('Temp Hisfa'!AA$3:AA$200))+1), ROW(111:310))),"")</f>
        <v/>
      </c>
      <c r="AB113" s="22" t="str">
        <f t="array" ref="AB113">IFERROR(INDEX('Temp Hisfa'!AB$3:AB$200, SMALL(IF(ISERROR('Temp Hisfa'!AB$3:AB$200), "", ROW('Temp Hisfa'!AB$3:AB$200)-MIN(ROW('Temp Hisfa'!AB$3:AB$200))+1), ROW(111:310))),"")</f>
        <v/>
      </c>
    </row>
    <row r="114" spans="1:28" x14ac:dyDescent="0.3">
      <c r="A114" s="4" t="str">
        <f t="array" ref="A114">IFERROR(INDEX('Temp Hisfa'!A$3:A$200, SMALL(IF(ISERROR('Temp Hisfa'!A$3:A$200), "", ROW('Temp Hisfa'!A$3:A$200)-MIN(ROW('Temp Hisfa'!A$3:A$200))+1), ROW(112:310))),"")</f>
        <v/>
      </c>
      <c r="B114" s="4" t="str">
        <f t="array" ref="B114">IFERROR(INDEX('Temp Hisfa'!B$3:B$200, SMALL(IF(ISERROR('Temp Hisfa'!B$3:B$200), "", ROW('Temp Hisfa'!B$3:B$200)-MIN(ROW('Temp Hisfa'!B$3:B$200))+1), ROW(112:310))),"")</f>
        <v/>
      </c>
      <c r="C114" s="3" t="str">
        <f t="array" ref="C114">IFERROR(INDEX('Temp Hisfa'!C$3:C$200, SMALL(IF(ISERROR('Temp Hisfa'!C$3:C$200), "", ROW('Temp Hisfa'!C$3:C$200)-MIN(ROW('Temp Hisfa'!C$3:C$200))+1), ROW(112:310))),"")</f>
        <v/>
      </c>
      <c r="D114" s="3" t="str">
        <f t="array" ref="D114">IFERROR(INDEX('Temp Hisfa'!D$3:D$200, SMALL(IF(ISERROR('Temp Hisfa'!D$3:D$200), "", ROW('Temp Hisfa'!D$3:D$200)-MIN(ROW('Temp Hisfa'!D$3:D$200))+1), ROW(112:310))),"")</f>
        <v/>
      </c>
      <c r="E114" s="29" t="str">
        <f t="array" ref="E114">IFERROR(INDEX('Temp Hisfa'!E$3:E$200, SMALL(IF(ISERROR('Temp Hisfa'!E$3:E$200), "", ROW('Temp Hisfa'!E$3:E$200)-MIN(ROW('Temp Hisfa'!E$3:E$200))+1), ROW(112:311))),"")</f>
        <v/>
      </c>
      <c r="F114" s="22" t="str">
        <f t="array" ref="F114">IFERROR(INDEX('Temp Hisfa'!F$3:F$200, SMALL(IF(ISERROR('Temp Hisfa'!F$3:F$200), "", ROW('Temp Hisfa'!F$3:F$200)-MIN(ROW('Temp Hisfa'!F$3:F$200))+1), ROW(112:311))),"")</f>
        <v/>
      </c>
      <c r="G114" s="30" t="str">
        <f t="array" ref="G114">IFERROR(INDEX('Temp Hisfa'!G$3:G$200, SMALL(IF(ISERROR('Temp Hisfa'!G$3:G$200), "", ROW('Temp Hisfa'!G$3:G$200)-MIN(ROW('Temp Hisfa'!G$3:G$200))+1), ROW(112:311))),"")</f>
        <v/>
      </c>
      <c r="H114" s="22" t="str">
        <f t="array" ref="H114">IFERROR(INDEX('Temp Hisfa'!H$3:H$200, SMALL(IF(ISERROR('Temp Hisfa'!H$3:H$200), "", ROW('Temp Hisfa'!H$3:H$200)-MIN(ROW('Temp Hisfa'!H$3:H$200))+1), ROW(112:311))),"")</f>
        <v/>
      </c>
      <c r="I114" s="22" t="str">
        <f t="array" ref="I114">IFERROR(INDEX('Temp Hisfa'!I$3:I$200, SMALL(IF(ISERROR('Temp Hisfa'!I$3:I$200), "", ROW('Temp Hisfa'!I$3:I$200)-MIN(ROW('Temp Hisfa'!I$3:I$200))+1), ROW(112:311))),"")</f>
        <v/>
      </c>
      <c r="J114" s="22" t="str">
        <f t="array" ref="J114">IFERROR(INDEX('Temp Hisfa'!J$3:J$200, SMALL(IF(ISERROR('Temp Hisfa'!J$3:J$200), "", ROW('Temp Hisfa'!J$3:J$200)-MIN(ROW('Temp Hisfa'!J$3:J$200))+1), ROW(112:311))),"")</f>
        <v/>
      </c>
      <c r="K114" s="30" t="str">
        <f t="array" ref="K114">IFERROR(INDEX('Temp Hisfa'!K$3:K$200, SMALL(IF(ISERROR('Temp Hisfa'!K$3:K$200), "", ROW('Temp Hisfa'!K$3:K$200)-MIN(ROW('Temp Hisfa'!K$3:K$200))+1), ROW(112:311))),"")</f>
        <v/>
      </c>
      <c r="L114" s="22" t="str">
        <f t="array" ref="L114">IFERROR(INDEX('Temp Hisfa'!L$3:L$200, SMALL(IF(ISERROR('Temp Hisfa'!L$3:L$200), "", ROW('Temp Hisfa'!L$3:L$200)-MIN(ROW('Temp Hisfa'!L$3:L$200))+1), ROW(112:311))),"")</f>
        <v/>
      </c>
      <c r="M114" s="22" t="str">
        <f t="array" ref="M114">IFERROR(INDEX('Temp Hisfa'!M$3:M$200, SMALL(IF(ISERROR('Temp Hisfa'!M$3:M$200), "", ROW('Temp Hisfa'!M$3:M$200)-MIN(ROW('Temp Hisfa'!M$3:M$200))+1), ROW(112:311))),"")</f>
        <v/>
      </c>
      <c r="N114" s="22" t="str">
        <f t="array" ref="N114">IFERROR(INDEX('Temp Hisfa'!N$3:N$200, SMALL(IF(ISERROR('Temp Hisfa'!N$3:N$200), "", ROW('Temp Hisfa'!N$3:N$200)-MIN(ROW('Temp Hisfa'!N$3:N$200))+1), ROW(112:311))),"")</f>
        <v/>
      </c>
      <c r="O114" s="22" t="str">
        <f t="array" ref="O114">IFERROR(INDEX('Temp Hisfa'!O$3:O$200, SMALL(IF(ISERROR('Temp Hisfa'!O$3:O$200), "", ROW('Temp Hisfa'!O$3:O$200)-MIN(ROW('Temp Hisfa'!O$3:O$200))+1), ROW(112:311))),"")</f>
        <v/>
      </c>
      <c r="P114" s="22" t="str">
        <f t="array" ref="P114">IFERROR(INDEX('Temp Hisfa'!P$3:P$200, SMALL(IF(ISERROR('Temp Hisfa'!P$3:P$200), "", ROW('Temp Hisfa'!P$3:P$200)-MIN(ROW('Temp Hisfa'!P$3:P$200))+1), ROW(112:311))),"")</f>
        <v/>
      </c>
      <c r="Q114" s="22" t="str">
        <f t="array" ref="Q114">IFERROR(INDEX('Temp Hisfa'!Q$3:Q$200, SMALL(IF(ISERROR('Temp Hisfa'!Q$3:Q$200), "", ROW('Temp Hisfa'!Q$3:Q$200)-MIN(ROW('Temp Hisfa'!Q$3:Q$200))+1), ROW(112:311))),"")</f>
        <v/>
      </c>
      <c r="R114" s="22" t="str">
        <f t="array" ref="R114">IFERROR(INDEX('Temp Hisfa'!R$3:R$200, SMALL(IF(ISERROR('Temp Hisfa'!R$3:R$200), "", ROW('Temp Hisfa'!R$3:R$200)-MIN(ROW('Temp Hisfa'!R$3:R$200))+1), ROW(112:311))),"")</f>
        <v/>
      </c>
      <c r="S114" s="22" t="str">
        <f t="array" ref="S114">IFERROR(INDEX('Temp Hisfa'!S$3:S$200, SMALL(IF(ISERROR('Temp Hisfa'!S$3:S$200), "", ROW('Temp Hisfa'!S$3:S$200)-MIN(ROW('Temp Hisfa'!S$3:S$200))+1), ROW(112:311))),"")</f>
        <v/>
      </c>
      <c r="T114" s="22" t="str">
        <f t="array" ref="T114">IFERROR(INDEX('Temp Hisfa'!T$3:T$200, SMALL(IF(ISERROR('Temp Hisfa'!T$3:T$200), "", ROW('Temp Hisfa'!T$3:T$200)-MIN(ROW('Temp Hisfa'!T$3:T$200))+1), ROW(112:311))),"")</f>
        <v/>
      </c>
      <c r="U114" s="22" t="str">
        <f t="array" ref="U114">IFERROR(INDEX('Temp Hisfa'!U$3:U$200, SMALL(IF(ISERROR('Temp Hisfa'!U$3:U$200), "", ROW('Temp Hisfa'!U$3:U$200)-MIN(ROW('Temp Hisfa'!U$3:U$200))+1), ROW(112:311))),"")</f>
        <v/>
      </c>
      <c r="V114" s="22" t="str">
        <f t="array" ref="V114">IFERROR(INDEX('Temp Hisfa'!V$3:V$200, SMALL(IF(ISERROR('Temp Hisfa'!V$3:V$200), "", ROW('Temp Hisfa'!V$3:V$200)-MIN(ROW('Temp Hisfa'!V$3:V$200))+1), ROW(112:311))),"")</f>
        <v/>
      </c>
      <c r="W114" s="22" t="str">
        <f t="array" ref="W114">IFERROR(INDEX('Temp Hisfa'!W$3:W$200, SMALL(IF(ISERROR('Temp Hisfa'!W$3:W$200), "", ROW('Temp Hisfa'!W$3:W$200)-MIN(ROW('Temp Hisfa'!W$3:W$200))+1), ROW(112:311))),"")</f>
        <v/>
      </c>
      <c r="X114" s="22" t="str">
        <f t="array" ref="X114">IFERROR(INDEX('Temp Hisfa'!X$3:X$200, SMALL(IF(ISERROR('Temp Hisfa'!X$3:X$200), "", ROW('Temp Hisfa'!X$3:X$200)-MIN(ROW('Temp Hisfa'!X$3:X$200))+1), ROW(112:311))),"")</f>
        <v/>
      </c>
      <c r="Y114" s="22" t="str">
        <f t="array" ref="Y114">IFERROR(INDEX('Temp Hisfa'!Y$3:Y$200, SMALL(IF(ISERROR('Temp Hisfa'!Y$3:Y$200), "", ROW('Temp Hisfa'!Y$3:Y$200)-MIN(ROW('Temp Hisfa'!Y$3:Y$200))+1), ROW(112:311))),"")</f>
        <v/>
      </c>
      <c r="Z114" s="22" t="str">
        <f t="array" ref="Z114">IFERROR(INDEX('Temp Hisfa'!Z$3:Z$200, SMALL(IF(ISERROR('Temp Hisfa'!Z$3:Z$200), "", ROW('Temp Hisfa'!Z$3:Z$200)-MIN(ROW('Temp Hisfa'!Z$3:Z$200))+1), ROW(112:311))),"")</f>
        <v/>
      </c>
      <c r="AA114" s="22" t="str">
        <f t="array" ref="AA114">IFERROR(INDEX('Temp Hisfa'!AA$3:AA$200, SMALL(IF(ISERROR('Temp Hisfa'!AA$3:AA$200), "", ROW('Temp Hisfa'!AA$3:AA$200)-MIN(ROW('Temp Hisfa'!AA$3:AA$200))+1), ROW(112:311))),"")</f>
        <v/>
      </c>
      <c r="AB114" s="22" t="str">
        <f t="array" ref="AB114">IFERROR(INDEX('Temp Hisfa'!AB$3:AB$200, SMALL(IF(ISERROR('Temp Hisfa'!AB$3:AB$200), "", ROW('Temp Hisfa'!AB$3:AB$200)-MIN(ROW('Temp Hisfa'!AB$3:AB$200))+1), ROW(112:311))),"")</f>
        <v/>
      </c>
    </row>
    <row r="115" spans="1:28" x14ac:dyDescent="0.3">
      <c r="A115" s="4" t="str">
        <f t="array" ref="A115">IFERROR(INDEX('Temp Hisfa'!A$3:A$200, SMALL(IF(ISERROR('Temp Hisfa'!A$3:A$200), "", ROW('Temp Hisfa'!A$3:A$200)-MIN(ROW('Temp Hisfa'!A$3:A$200))+1), ROW(113:311))),"")</f>
        <v/>
      </c>
      <c r="B115" s="4" t="str">
        <f t="array" ref="B115">IFERROR(INDEX('Temp Hisfa'!B$3:B$200, SMALL(IF(ISERROR('Temp Hisfa'!B$3:B$200), "", ROW('Temp Hisfa'!B$3:B$200)-MIN(ROW('Temp Hisfa'!B$3:B$200))+1), ROW(113:311))),"")</f>
        <v/>
      </c>
      <c r="C115" s="3" t="str">
        <f t="array" ref="C115">IFERROR(INDEX('Temp Hisfa'!C$3:C$200, SMALL(IF(ISERROR('Temp Hisfa'!C$3:C$200), "", ROW('Temp Hisfa'!C$3:C$200)-MIN(ROW('Temp Hisfa'!C$3:C$200))+1), ROW(113:311))),"")</f>
        <v/>
      </c>
      <c r="D115" s="3" t="str">
        <f t="array" ref="D115">IFERROR(INDEX('Temp Hisfa'!D$3:D$200, SMALL(IF(ISERROR('Temp Hisfa'!D$3:D$200), "", ROW('Temp Hisfa'!D$3:D$200)-MIN(ROW('Temp Hisfa'!D$3:D$200))+1), ROW(113:311))),"")</f>
        <v/>
      </c>
      <c r="E115" s="29" t="str">
        <f t="array" ref="E115">IFERROR(INDEX('Temp Hisfa'!E$3:E$200, SMALL(IF(ISERROR('Temp Hisfa'!E$3:E$200), "", ROW('Temp Hisfa'!E$3:E$200)-MIN(ROW('Temp Hisfa'!E$3:E$200))+1), ROW(113:312))),"")</f>
        <v/>
      </c>
      <c r="F115" s="22" t="str">
        <f t="array" ref="F115">IFERROR(INDEX('Temp Hisfa'!F$3:F$200, SMALL(IF(ISERROR('Temp Hisfa'!F$3:F$200), "", ROW('Temp Hisfa'!F$3:F$200)-MIN(ROW('Temp Hisfa'!F$3:F$200))+1), ROW(113:312))),"")</f>
        <v/>
      </c>
      <c r="G115" s="30" t="str">
        <f t="array" ref="G115">IFERROR(INDEX('Temp Hisfa'!G$3:G$200, SMALL(IF(ISERROR('Temp Hisfa'!G$3:G$200), "", ROW('Temp Hisfa'!G$3:G$200)-MIN(ROW('Temp Hisfa'!G$3:G$200))+1), ROW(113:312))),"")</f>
        <v/>
      </c>
      <c r="H115" s="22" t="str">
        <f t="array" ref="H115">IFERROR(INDEX('Temp Hisfa'!H$3:H$200, SMALL(IF(ISERROR('Temp Hisfa'!H$3:H$200), "", ROW('Temp Hisfa'!H$3:H$200)-MIN(ROW('Temp Hisfa'!H$3:H$200))+1), ROW(113:312))),"")</f>
        <v/>
      </c>
      <c r="I115" s="22" t="str">
        <f t="array" ref="I115">IFERROR(INDEX('Temp Hisfa'!I$3:I$200, SMALL(IF(ISERROR('Temp Hisfa'!I$3:I$200), "", ROW('Temp Hisfa'!I$3:I$200)-MIN(ROW('Temp Hisfa'!I$3:I$200))+1), ROW(113:312))),"")</f>
        <v/>
      </c>
      <c r="J115" s="22" t="str">
        <f t="array" ref="J115">IFERROR(INDEX('Temp Hisfa'!J$3:J$200, SMALL(IF(ISERROR('Temp Hisfa'!J$3:J$200), "", ROW('Temp Hisfa'!J$3:J$200)-MIN(ROW('Temp Hisfa'!J$3:J$200))+1), ROW(113:312))),"")</f>
        <v/>
      </c>
      <c r="K115" s="30" t="str">
        <f t="array" ref="K115">IFERROR(INDEX('Temp Hisfa'!K$3:K$200, SMALL(IF(ISERROR('Temp Hisfa'!K$3:K$200), "", ROW('Temp Hisfa'!K$3:K$200)-MIN(ROW('Temp Hisfa'!K$3:K$200))+1), ROW(113:312))),"")</f>
        <v/>
      </c>
      <c r="L115" s="22" t="str">
        <f t="array" ref="L115">IFERROR(INDEX('Temp Hisfa'!L$3:L$200, SMALL(IF(ISERROR('Temp Hisfa'!L$3:L$200), "", ROW('Temp Hisfa'!L$3:L$200)-MIN(ROW('Temp Hisfa'!L$3:L$200))+1), ROW(113:312))),"")</f>
        <v/>
      </c>
      <c r="M115" s="22" t="str">
        <f t="array" ref="M115">IFERROR(INDEX('Temp Hisfa'!M$3:M$200, SMALL(IF(ISERROR('Temp Hisfa'!M$3:M$200), "", ROW('Temp Hisfa'!M$3:M$200)-MIN(ROW('Temp Hisfa'!M$3:M$200))+1), ROW(113:312))),"")</f>
        <v/>
      </c>
      <c r="N115" s="22" t="str">
        <f t="array" ref="N115">IFERROR(INDEX('Temp Hisfa'!N$3:N$200, SMALL(IF(ISERROR('Temp Hisfa'!N$3:N$200), "", ROW('Temp Hisfa'!N$3:N$200)-MIN(ROW('Temp Hisfa'!N$3:N$200))+1), ROW(113:312))),"")</f>
        <v/>
      </c>
      <c r="O115" s="22" t="str">
        <f t="array" ref="O115">IFERROR(INDEX('Temp Hisfa'!O$3:O$200, SMALL(IF(ISERROR('Temp Hisfa'!O$3:O$200), "", ROW('Temp Hisfa'!O$3:O$200)-MIN(ROW('Temp Hisfa'!O$3:O$200))+1), ROW(113:312))),"")</f>
        <v/>
      </c>
      <c r="P115" s="22" t="str">
        <f t="array" ref="P115">IFERROR(INDEX('Temp Hisfa'!P$3:P$200, SMALL(IF(ISERROR('Temp Hisfa'!P$3:P$200), "", ROW('Temp Hisfa'!P$3:P$200)-MIN(ROW('Temp Hisfa'!P$3:P$200))+1), ROW(113:312))),"")</f>
        <v/>
      </c>
      <c r="Q115" s="22" t="str">
        <f t="array" ref="Q115">IFERROR(INDEX('Temp Hisfa'!Q$3:Q$200, SMALL(IF(ISERROR('Temp Hisfa'!Q$3:Q$200), "", ROW('Temp Hisfa'!Q$3:Q$200)-MIN(ROW('Temp Hisfa'!Q$3:Q$200))+1), ROW(113:312))),"")</f>
        <v/>
      </c>
      <c r="R115" s="22" t="str">
        <f t="array" ref="R115">IFERROR(INDEX('Temp Hisfa'!R$3:R$200, SMALL(IF(ISERROR('Temp Hisfa'!R$3:R$200), "", ROW('Temp Hisfa'!R$3:R$200)-MIN(ROW('Temp Hisfa'!R$3:R$200))+1), ROW(113:312))),"")</f>
        <v/>
      </c>
      <c r="S115" s="22" t="str">
        <f t="array" ref="S115">IFERROR(INDEX('Temp Hisfa'!S$3:S$200, SMALL(IF(ISERROR('Temp Hisfa'!S$3:S$200), "", ROW('Temp Hisfa'!S$3:S$200)-MIN(ROW('Temp Hisfa'!S$3:S$200))+1), ROW(113:312))),"")</f>
        <v/>
      </c>
      <c r="T115" s="22" t="str">
        <f t="array" ref="T115">IFERROR(INDEX('Temp Hisfa'!T$3:T$200, SMALL(IF(ISERROR('Temp Hisfa'!T$3:T$200), "", ROW('Temp Hisfa'!T$3:T$200)-MIN(ROW('Temp Hisfa'!T$3:T$200))+1), ROW(113:312))),"")</f>
        <v/>
      </c>
      <c r="U115" s="22" t="str">
        <f t="array" ref="U115">IFERROR(INDEX('Temp Hisfa'!U$3:U$200, SMALL(IF(ISERROR('Temp Hisfa'!U$3:U$200), "", ROW('Temp Hisfa'!U$3:U$200)-MIN(ROW('Temp Hisfa'!U$3:U$200))+1), ROW(113:312))),"")</f>
        <v/>
      </c>
      <c r="V115" s="22" t="str">
        <f t="array" ref="V115">IFERROR(INDEX('Temp Hisfa'!V$3:V$200, SMALL(IF(ISERROR('Temp Hisfa'!V$3:V$200), "", ROW('Temp Hisfa'!V$3:V$200)-MIN(ROW('Temp Hisfa'!V$3:V$200))+1), ROW(113:312))),"")</f>
        <v/>
      </c>
      <c r="W115" s="22" t="str">
        <f t="array" ref="W115">IFERROR(INDEX('Temp Hisfa'!W$3:W$200, SMALL(IF(ISERROR('Temp Hisfa'!W$3:W$200), "", ROW('Temp Hisfa'!W$3:W$200)-MIN(ROW('Temp Hisfa'!W$3:W$200))+1), ROW(113:312))),"")</f>
        <v/>
      </c>
      <c r="X115" s="22" t="str">
        <f t="array" ref="X115">IFERROR(INDEX('Temp Hisfa'!X$3:X$200, SMALL(IF(ISERROR('Temp Hisfa'!X$3:X$200), "", ROW('Temp Hisfa'!X$3:X$200)-MIN(ROW('Temp Hisfa'!X$3:X$200))+1), ROW(113:312))),"")</f>
        <v/>
      </c>
      <c r="Y115" s="22" t="str">
        <f t="array" ref="Y115">IFERROR(INDEX('Temp Hisfa'!Y$3:Y$200, SMALL(IF(ISERROR('Temp Hisfa'!Y$3:Y$200), "", ROW('Temp Hisfa'!Y$3:Y$200)-MIN(ROW('Temp Hisfa'!Y$3:Y$200))+1), ROW(113:312))),"")</f>
        <v/>
      </c>
      <c r="Z115" s="22" t="str">
        <f t="array" ref="Z115">IFERROR(INDEX('Temp Hisfa'!Z$3:Z$200, SMALL(IF(ISERROR('Temp Hisfa'!Z$3:Z$200), "", ROW('Temp Hisfa'!Z$3:Z$200)-MIN(ROW('Temp Hisfa'!Z$3:Z$200))+1), ROW(113:312))),"")</f>
        <v/>
      </c>
      <c r="AA115" s="22" t="str">
        <f t="array" ref="AA115">IFERROR(INDEX('Temp Hisfa'!AA$3:AA$200, SMALL(IF(ISERROR('Temp Hisfa'!AA$3:AA$200), "", ROW('Temp Hisfa'!AA$3:AA$200)-MIN(ROW('Temp Hisfa'!AA$3:AA$200))+1), ROW(113:312))),"")</f>
        <v/>
      </c>
      <c r="AB115" s="22" t="str">
        <f t="array" ref="AB115">IFERROR(INDEX('Temp Hisfa'!AB$3:AB$200, SMALL(IF(ISERROR('Temp Hisfa'!AB$3:AB$200), "", ROW('Temp Hisfa'!AB$3:AB$200)-MIN(ROW('Temp Hisfa'!AB$3:AB$200))+1), ROW(113:312))),"")</f>
        <v/>
      </c>
    </row>
    <row r="116" spans="1:28" x14ac:dyDescent="0.3">
      <c r="A116" s="4" t="str">
        <f t="array" ref="A116">IFERROR(INDEX('Temp Hisfa'!A$3:A$200, SMALL(IF(ISERROR('Temp Hisfa'!A$3:A$200), "", ROW('Temp Hisfa'!A$3:A$200)-MIN(ROW('Temp Hisfa'!A$3:A$200))+1), ROW(114:312))),"")</f>
        <v/>
      </c>
      <c r="B116" s="4" t="str">
        <f t="array" ref="B116">IFERROR(INDEX('Temp Hisfa'!B$3:B$200, SMALL(IF(ISERROR('Temp Hisfa'!B$3:B$200), "", ROW('Temp Hisfa'!B$3:B$200)-MIN(ROW('Temp Hisfa'!B$3:B$200))+1), ROW(114:312))),"")</f>
        <v/>
      </c>
      <c r="C116" s="3" t="str">
        <f t="array" ref="C116">IFERROR(INDEX('Temp Hisfa'!C$3:C$200, SMALL(IF(ISERROR('Temp Hisfa'!C$3:C$200), "", ROW('Temp Hisfa'!C$3:C$200)-MIN(ROW('Temp Hisfa'!C$3:C$200))+1), ROW(114:312))),"")</f>
        <v/>
      </c>
      <c r="D116" s="3" t="str">
        <f t="array" ref="D116">IFERROR(INDEX('Temp Hisfa'!D$3:D$200, SMALL(IF(ISERROR('Temp Hisfa'!D$3:D$200), "", ROW('Temp Hisfa'!D$3:D$200)-MIN(ROW('Temp Hisfa'!D$3:D$200))+1), ROW(114:312))),"")</f>
        <v/>
      </c>
      <c r="E116" s="29" t="str">
        <f t="array" ref="E116">IFERROR(INDEX('Temp Hisfa'!E$3:E$200, SMALL(IF(ISERROR('Temp Hisfa'!E$3:E$200), "", ROW('Temp Hisfa'!E$3:E$200)-MIN(ROW('Temp Hisfa'!E$3:E$200))+1), ROW(114:313))),"")</f>
        <v/>
      </c>
      <c r="F116" s="22" t="str">
        <f t="array" ref="F116">IFERROR(INDEX('Temp Hisfa'!F$3:F$200, SMALL(IF(ISERROR('Temp Hisfa'!F$3:F$200), "", ROW('Temp Hisfa'!F$3:F$200)-MIN(ROW('Temp Hisfa'!F$3:F$200))+1), ROW(114:313))),"")</f>
        <v/>
      </c>
      <c r="G116" s="30" t="str">
        <f t="array" ref="G116">IFERROR(INDEX('Temp Hisfa'!G$3:G$200, SMALL(IF(ISERROR('Temp Hisfa'!G$3:G$200), "", ROW('Temp Hisfa'!G$3:G$200)-MIN(ROW('Temp Hisfa'!G$3:G$200))+1), ROW(114:313))),"")</f>
        <v/>
      </c>
      <c r="H116" s="22" t="str">
        <f t="array" ref="H116">IFERROR(INDEX('Temp Hisfa'!H$3:H$200, SMALL(IF(ISERROR('Temp Hisfa'!H$3:H$200), "", ROW('Temp Hisfa'!H$3:H$200)-MIN(ROW('Temp Hisfa'!H$3:H$200))+1), ROW(114:313))),"")</f>
        <v/>
      </c>
      <c r="I116" s="22" t="str">
        <f t="array" ref="I116">IFERROR(INDEX('Temp Hisfa'!I$3:I$200, SMALL(IF(ISERROR('Temp Hisfa'!I$3:I$200), "", ROW('Temp Hisfa'!I$3:I$200)-MIN(ROW('Temp Hisfa'!I$3:I$200))+1), ROW(114:313))),"")</f>
        <v/>
      </c>
      <c r="J116" s="22" t="str">
        <f t="array" ref="J116">IFERROR(INDEX('Temp Hisfa'!J$3:J$200, SMALL(IF(ISERROR('Temp Hisfa'!J$3:J$200), "", ROW('Temp Hisfa'!J$3:J$200)-MIN(ROW('Temp Hisfa'!J$3:J$200))+1), ROW(114:313))),"")</f>
        <v/>
      </c>
      <c r="K116" s="30" t="str">
        <f t="array" ref="K116">IFERROR(INDEX('Temp Hisfa'!K$3:K$200, SMALL(IF(ISERROR('Temp Hisfa'!K$3:K$200), "", ROW('Temp Hisfa'!K$3:K$200)-MIN(ROW('Temp Hisfa'!K$3:K$200))+1), ROW(114:313))),"")</f>
        <v/>
      </c>
      <c r="L116" s="22" t="str">
        <f t="array" ref="L116">IFERROR(INDEX('Temp Hisfa'!L$3:L$200, SMALL(IF(ISERROR('Temp Hisfa'!L$3:L$200), "", ROW('Temp Hisfa'!L$3:L$200)-MIN(ROW('Temp Hisfa'!L$3:L$200))+1), ROW(114:313))),"")</f>
        <v/>
      </c>
      <c r="M116" s="22" t="str">
        <f t="array" ref="M116">IFERROR(INDEX('Temp Hisfa'!M$3:M$200, SMALL(IF(ISERROR('Temp Hisfa'!M$3:M$200), "", ROW('Temp Hisfa'!M$3:M$200)-MIN(ROW('Temp Hisfa'!M$3:M$200))+1), ROW(114:313))),"")</f>
        <v/>
      </c>
      <c r="N116" s="22" t="str">
        <f t="array" ref="N116">IFERROR(INDEX('Temp Hisfa'!N$3:N$200, SMALL(IF(ISERROR('Temp Hisfa'!N$3:N$200), "", ROW('Temp Hisfa'!N$3:N$200)-MIN(ROW('Temp Hisfa'!N$3:N$200))+1), ROW(114:313))),"")</f>
        <v/>
      </c>
      <c r="O116" s="22" t="str">
        <f t="array" ref="O116">IFERROR(INDEX('Temp Hisfa'!O$3:O$200, SMALL(IF(ISERROR('Temp Hisfa'!O$3:O$200), "", ROW('Temp Hisfa'!O$3:O$200)-MIN(ROW('Temp Hisfa'!O$3:O$200))+1), ROW(114:313))),"")</f>
        <v/>
      </c>
      <c r="P116" s="22" t="str">
        <f t="array" ref="P116">IFERROR(INDEX('Temp Hisfa'!P$3:P$200, SMALL(IF(ISERROR('Temp Hisfa'!P$3:P$200), "", ROW('Temp Hisfa'!P$3:P$200)-MIN(ROW('Temp Hisfa'!P$3:P$200))+1), ROW(114:313))),"")</f>
        <v/>
      </c>
      <c r="Q116" s="22" t="str">
        <f t="array" ref="Q116">IFERROR(INDEX('Temp Hisfa'!Q$3:Q$200, SMALL(IF(ISERROR('Temp Hisfa'!Q$3:Q$200), "", ROW('Temp Hisfa'!Q$3:Q$200)-MIN(ROW('Temp Hisfa'!Q$3:Q$200))+1), ROW(114:313))),"")</f>
        <v/>
      </c>
      <c r="R116" s="22" t="str">
        <f t="array" ref="R116">IFERROR(INDEX('Temp Hisfa'!R$3:R$200, SMALL(IF(ISERROR('Temp Hisfa'!R$3:R$200), "", ROW('Temp Hisfa'!R$3:R$200)-MIN(ROW('Temp Hisfa'!R$3:R$200))+1), ROW(114:313))),"")</f>
        <v/>
      </c>
      <c r="S116" s="22" t="str">
        <f t="array" ref="S116">IFERROR(INDEX('Temp Hisfa'!S$3:S$200, SMALL(IF(ISERROR('Temp Hisfa'!S$3:S$200), "", ROW('Temp Hisfa'!S$3:S$200)-MIN(ROW('Temp Hisfa'!S$3:S$200))+1), ROW(114:313))),"")</f>
        <v/>
      </c>
      <c r="T116" s="22" t="str">
        <f t="array" ref="T116">IFERROR(INDEX('Temp Hisfa'!T$3:T$200, SMALL(IF(ISERROR('Temp Hisfa'!T$3:T$200), "", ROW('Temp Hisfa'!T$3:T$200)-MIN(ROW('Temp Hisfa'!T$3:T$200))+1), ROW(114:313))),"")</f>
        <v/>
      </c>
      <c r="U116" s="22" t="str">
        <f t="array" ref="U116">IFERROR(INDEX('Temp Hisfa'!U$3:U$200, SMALL(IF(ISERROR('Temp Hisfa'!U$3:U$200), "", ROW('Temp Hisfa'!U$3:U$200)-MIN(ROW('Temp Hisfa'!U$3:U$200))+1), ROW(114:313))),"")</f>
        <v/>
      </c>
      <c r="V116" s="22" t="str">
        <f t="array" ref="V116">IFERROR(INDEX('Temp Hisfa'!V$3:V$200, SMALL(IF(ISERROR('Temp Hisfa'!V$3:V$200), "", ROW('Temp Hisfa'!V$3:V$200)-MIN(ROW('Temp Hisfa'!V$3:V$200))+1), ROW(114:313))),"")</f>
        <v/>
      </c>
      <c r="W116" s="22" t="str">
        <f t="array" ref="W116">IFERROR(INDEX('Temp Hisfa'!W$3:W$200, SMALL(IF(ISERROR('Temp Hisfa'!W$3:W$200), "", ROW('Temp Hisfa'!W$3:W$200)-MIN(ROW('Temp Hisfa'!W$3:W$200))+1), ROW(114:313))),"")</f>
        <v/>
      </c>
      <c r="X116" s="22" t="str">
        <f t="array" ref="X116">IFERROR(INDEX('Temp Hisfa'!X$3:X$200, SMALL(IF(ISERROR('Temp Hisfa'!X$3:X$200), "", ROW('Temp Hisfa'!X$3:X$200)-MIN(ROW('Temp Hisfa'!X$3:X$200))+1), ROW(114:313))),"")</f>
        <v/>
      </c>
      <c r="Y116" s="22" t="str">
        <f t="array" ref="Y116">IFERROR(INDEX('Temp Hisfa'!Y$3:Y$200, SMALL(IF(ISERROR('Temp Hisfa'!Y$3:Y$200), "", ROW('Temp Hisfa'!Y$3:Y$200)-MIN(ROW('Temp Hisfa'!Y$3:Y$200))+1), ROW(114:313))),"")</f>
        <v/>
      </c>
      <c r="Z116" s="22" t="str">
        <f t="array" ref="Z116">IFERROR(INDEX('Temp Hisfa'!Z$3:Z$200, SMALL(IF(ISERROR('Temp Hisfa'!Z$3:Z$200), "", ROW('Temp Hisfa'!Z$3:Z$200)-MIN(ROW('Temp Hisfa'!Z$3:Z$200))+1), ROW(114:313))),"")</f>
        <v/>
      </c>
      <c r="AA116" s="22" t="str">
        <f t="array" ref="AA116">IFERROR(INDEX('Temp Hisfa'!AA$3:AA$200, SMALL(IF(ISERROR('Temp Hisfa'!AA$3:AA$200), "", ROW('Temp Hisfa'!AA$3:AA$200)-MIN(ROW('Temp Hisfa'!AA$3:AA$200))+1), ROW(114:313))),"")</f>
        <v/>
      </c>
      <c r="AB116" s="22" t="str">
        <f t="array" ref="AB116">IFERROR(INDEX('Temp Hisfa'!AB$3:AB$200, SMALL(IF(ISERROR('Temp Hisfa'!AB$3:AB$200), "", ROW('Temp Hisfa'!AB$3:AB$200)-MIN(ROW('Temp Hisfa'!AB$3:AB$200))+1), ROW(114:313))),"")</f>
        <v/>
      </c>
    </row>
    <row r="117" spans="1:28" x14ac:dyDescent="0.3">
      <c r="A117" s="4" t="str">
        <f t="array" ref="A117">IFERROR(INDEX('Temp Hisfa'!A$3:A$200, SMALL(IF(ISERROR('Temp Hisfa'!A$3:A$200), "", ROW('Temp Hisfa'!A$3:A$200)-MIN(ROW('Temp Hisfa'!A$3:A$200))+1), ROW(115:313))),"")</f>
        <v/>
      </c>
      <c r="B117" s="4" t="str">
        <f t="array" ref="B117">IFERROR(INDEX('Temp Hisfa'!B$3:B$200, SMALL(IF(ISERROR('Temp Hisfa'!B$3:B$200), "", ROW('Temp Hisfa'!B$3:B$200)-MIN(ROW('Temp Hisfa'!B$3:B$200))+1), ROW(115:313))),"")</f>
        <v/>
      </c>
      <c r="C117" s="3" t="str">
        <f t="array" ref="C117">IFERROR(INDEX('Temp Hisfa'!C$3:C$200, SMALL(IF(ISERROR('Temp Hisfa'!C$3:C$200), "", ROW('Temp Hisfa'!C$3:C$200)-MIN(ROW('Temp Hisfa'!C$3:C$200))+1), ROW(115:313))),"")</f>
        <v/>
      </c>
      <c r="D117" s="3" t="str">
        <f t="array" ref="D117">IFERROR(INDEX('Temp Hisfa'!D$3:D$200, SMALL(IF(ISERROR('Temp Hisfa'!D$3:D$200), "", ROW('Temp Hisfa'!D$3:D$200)-MIN(ROW('Temp Hisfa'!D$3:D$200))+1), ROW(115:313))),"")</f>
        <v/>
      </c>
      <c r="E117" s="29" t="str">
        <f t="array" ref="E117">IFERROR(INDEX('Temp Hisfa'!E$3:E$200, SMALL(IF(ISERROR('Temp Hisfa'!E$3:E$200), "", ROW('Temp Hisfa'!E$3:E$200)-MIN(ROW('Temp Hisfa'!E$3:E$200))+1), ROW(115:314))),"")</f>
        <v/>
      </c>
      <c r="F117" s="22" t="str">
        <f t="array" ref="F117">IFERROR(INDEX('Temp Hisfa'!F$3:F$200, SMALL(IF(ISERROR('Temp Hisfa'!F$3:F$200), "", ROW('Temp Hisfa'!F$3:F$200)-MIN(ROW('Temp Hisfa'!F$3:F$200))+1), ROW(115:314))),"")</f>
        <v/>
      </c>
      <c r="G117" s="30" t="str">
        <f t="array" ref="G117">IFERROR(INDEX('Temp Hisfa'!G$3:G$200, SMALL(IF(ISERROR('Temp Hisfa'!G$3:G$200), "", ROW('Temp Hisfa'!G$3:G$200)-MIN(ROW('Temp Hisfa'!G$3:G$200))+1), ROW(115:314))),"")</f>
        <v/>
      </c>
      <c r="H117" s="22" t="str">
        <f t="array" ref="H117">IFERROR(INDEX('Temp Hisfa'!H$3:H$200, SMALL(IF(ISERROR('Temp Hisfa'!H$3:H$200), "", ROW('Temp Hisfa'!H$3:H$200)-MIN(ROW('Temp Hisfa'!H$3:H$200))+1), ROW(115:314))),"")</f>
        <v/>
      </c>
      <c r="I117" s="22" t="str">
        <f t="array" ref="I117">IFERROR(INDEX('Temp Hisfa'!I$3:I$200, SMALL(IF(ISERROR('Temp Hisfa'!I$3:I$200), "", ROW('Temp Hisfa'!I$3:I$200)-MIN(ROW('Temp Hisfa'!I$3:I$200))+1), ROW(115:314))),"")</f>
        <v/>
      </c>
      <c r="J117" s="22" t="str">
        <f t="array" ref="J117">IFERROR(INDEX('Temp Hisfa'!J$3:J$200, SMALL(IF(ISERROR('Temp Hisfa'!J$3:J$200), "", ROW('Temp Hisfa'!J$3:J$200)-MIN(ROW('Temp Hisfa'!J$3:J$200))+1), ROW(115:314))),"")</f>
        <v/>
      </c>
      <c r="K117" s="30" t="str">
        <f t="array" ref="K117">IFERROR(INDEX('Temp Hisfa'!K$3:K$200, SMALL(IF(ISERROR('Temp Hisfa'!K$3:K$200), "", ROW('Temp Hisfa'!K$3:K$200)-MIN(ROW('Temp Hisfa'!K$3:K$200))+1), ROW(115:314))),"")</f>
        <v/>
      </c>
      <c r="L117" s="22" t="str">
        <f t="array" ref="L117">IFERROR(INDEX('Temp Hisfa'!L$3:L$200, SMALL(IF(ISERROR('Temp Hisfa'!L$3:L$200), "", ROW('Temp Hisfa'!L$3:L$200)-MIN(ROW('Temp Hisfa'!L$3:L$200))+1), ROW(115:314))),"")</f>
        <v/>
      </c>
      <c r="M117" s="22" t="str">
        <f t="array" ref="M117">IFERROR(INDEX('Temp Hisfa'!M$3:M$200, SMALL(IF(ISERROR('Temp Hisfa'!M$3:M$200), "", ROW('Temp Hisfa'!M$3:M$200)-MIN(ROW('Temp Hisfa'!M$3:M$200))+1), ROW(115:314))),"")</f>
        <v/>
      </c>
      <c r="N117" s="22" t="str">
        <f t="array" ref="N117">IFERROR(INDEX('Temp Hisfa'!N$3:N$200, SMALL(IF(ISERROR('Temp Hisfa'!N$3:N$200), "", ROW('Temp Hisfa'!N$3:N$200)-MIN(ROW('Temp Hisfa'!N$3:N$200))+1), ROW(115:314))),"")</f>
        <v/>
      </c>
      <c r="O117" s="22" t="str">
        <f t="array" ref="O117">IFERROR(INDEX('Temp Hisfa'!O$3:O$200, SMALL(IF(ISERROR('Temp Hisfa'!O$3:O$200), "", ROW('Temp Hisfa'!O$3:O$200)-MIN(ROW('Temp Hisfa'!O$3:O$200))+1), ROW(115:314))),"")</f>
        <v/>
      </c>
      <c r="P117" s="22" t="str">
        <f t="array" ref="P117">IFERROR(INDEX('Temp Hisfa'!P$3:P$200, SMALL(IF(ISERROR('Temp Hisfa'!P$3:P$200), "", ROW('Temp Hisfa'!P$3:P$200)-MIN(ROW('Temp Hisfa'!P$3:P$200))+1), ROW(115:314))),"")</f>
        <v/>
      </c>
      <c r="Q117" s="22" t="str">
        <f t="array" ref="Q117">IFERROR(INDEX('Temp Hisfa'!Q$3:Q$200, SMALL(IF(ISERROR('Temp Hisfa'!Q$3:Q$200), "", ROW('Temp Hisfa'!Q$3:Q$200)-MIN(ROW('Temp Hisfa'!Q$3:Q$200))+1), ROW(115:314))),"")</f>
        <v/>
      </c>
      <c r="R117" s="22" t="str">
        <f t="array" ref="R117">IFERROR(INDEX('Temp Hisfa'!R$3:R$200, SMALL(IF(ISERROR('Temp Hisfa'!R$3:R$200), "", ROW('Temp Hisfa'!R$3:R$200)-MIN(ROW('Temp Hisfa'!R$3:R$200))+1), ROW(115:314))),"")</f>
        <v/>
      </c>
      <c r="S117" s="22" t="str">
        <f t="array" ref="S117">IFERROR(INDEX('Temp Hisfa'!S$3:S$200, SMALL(IF(ISERROR('Temp Hisfa'!S$3:S$200), "", ROW('Temp Hisfa'!S$3:S$200)-MIN(ROW('Temp Hisfa'!S$3:S$200))+1), ROW(115:314))),"")</f>
        <v/>
      </c>
      <c r="T117" s="22" t="str">
        <f t="array" ref="T117">IFERROR(INDEX('Temp Hisfa'!T$3:T$200, SMALL(IF(ISERROR('Temp Hisfa'!T$3:T$200), "", ROW('Temp Hisfa'!T$3:T$200)-MIN(ROW('Temp Hisfa'!T$3:T$200))+1), ROW(115:314))),"")</f>
        <v/>
      </c>
      <c r="U117" s="22" t="str">
        <f t="array" ref="U117">IFERROR(INDEX('Temp Hisfa'!U$3:U$200, SMALL(IF(ISERROR('Temp Hisfa'!U$3:U$200), "", ROW('Temp Hisfa'!U$3:U$200)-MIN(ROW('Temp Hisfa'!U$3:U$200))+1), ROW(115:314))),"")</f>
        <v/>
      </c>
      <c r="V117" s="22" t="str">
        <f t="array" ref="V117">IFERROR(INDEX('Temp Hisfa'!V$3:V$200, SMALL(IF(ISERROR('Temp Hisfa'!V$3:V$200), "", ROW('Temp Hisfa'!V$3:V$200)-MIN(ROW('Temp Hisfa'!V$3:V$200))+1), ROW(115:314))),"")</f>
        <v/>
      </c>
      <c r="W117" s="22" t="str">
        <f t="array" ref="W117">IFERROR(INDEX('Temp Hisfa'!W$3:W$200, SMALL(IF(ISERROR('Temp Hisfa'!W$3:W$200), "", ROW('Temp Hisfa'!W$3:W$200)-MIN(ROW('Temp Hisfa'!W$3:W$200))+1), ROW(115:314))),"")</f>
        <v/>
      </c>
      <c r="X117" s="22" t="str">
        <f t="array" ref="X117">IFERROR(INDEX('Temp Hisfa'!X$3:X$200, SMALL(IF(ISERROR('Temp Hisfa'!X$3:X$200), "", ROW('Temp Hisfa'!X$3:X$200)-MIN(ROW('Temp Hisfa'!X$3:X$200))+1), ROW(115:314))),"")</f>
        <v/>
      </c>
      <c r="Y117" s="22" t="str">
        <f t="array" ref="Y117">IFERROR(INDEX('Temp Hisfa'!Y$3:Y$200, SMALL(IF(ISERROR('Temp Hisfa'!Y$3:Y$200), "", ROW('Temp Hisfa'!Y$3:Y$200)-MIN(ROW('Temp Hisfa'!Y$3:Y$200))+1), ROW(115:314))),"")</f>
        <v/>
      </c>
      <c r="Z117" s="22" t="str">
        <f t="array" ref="Z117">IFERROR(INDEX('Temp Hisfa'!Z$3:Z$200, SMALL(IF(ISERROR('Temp Hisfa'!Z$3:Z$200), "", ROW('Temp Hisfa'!Z$3:Z$200)-MIN(ROW('Temp Hisfa'!Z$3:Z$200))+1), ROW(115:314))),"")</f>
        <v/>
      </c>
      <c r="AA117" s="22" t="str">
        <f t="array" ref="AA117">IFERROR(INDEX('Temp Hisfa'!AA$3:AA$200, SMALL(IF(ISERROR('Temp Hisfa'!AA$3:AA$200), "", ROW('Temp Hisfa'!AA$3:AA$200)-MIN(ROW('Temp Hisfa'!AA$3:AA$200))+1), ROW(115:314))),"")</f>
        <v/>
      </c>
      <c r="AB117" s="22" t="str">
        <f t="array" ref="AB117">IFERROR(INDEX('Temp Hisfa'!AB$3:AB$200, SMALL(IF(ISERROR('Temp Hisfa'!AB$3:AB$200), "", ROW('Temp Hisfa'!AB$3:AB$200)-MIN(ROW('Temp Hisfa'!AB$3:AB$200))+1), ROW(115:314))),"")</f>
        <v/>
      </c>
    </row>
    <row r="118" spans="1:28" x14ac:dyDescent="0.3">
      <c r="A118" s="4" t="str">
        <f t="array" ref="A118">IFERROR(INDEX('Temp Hisfa'!A$3:A$200, SMALL(IF(ISERROR('Temp Hisfa'!A$3:A$200), "", ROW('Temp Hisfa'!A$3:A$200)-MIN(ROW('Temp Hisfa'!A$3:A$200))+1), ROW(116:314))),"")</f>
        <v/>
      </c>
      <c r="B118" s="4" t="str">
        <f t="array" ref="B118">IFERROR(INDEX('Temp Hisfa'!B$3:B$200, SMALL(IF(ISERROR('Temp Hisfa'!B$3:B$200), "", ROW('Temp Hisfa'!B$3:B$200)-MIN(ROW('Temp Hisfa'!B$3:B$200))+1), ROW(116:314))),"")</f>
        <v/>
      </c>
      <c r="C118" s="3" t="str">
        <f t="array" ref="C118">IFERROR(INDEX('Temp Hisfa'!C$3:C$200, SMALL(IF(ISERROR('Temp Hisfa'!C$3:C$200), "", ROW('Temp Hisfa'!C$3:C$200)-MIN(ROW('Temp Hisfa'!C$3:C$200))+1), ROW(116:314))),"")</f>
        <v/>
      </c>
      <c r="D118" s="3" t="str">
        <f t="array" ref="D118">IFERROR(INDEX('Temp Hisfa'!D$3:D$200, SMALL(IF(ISERROR('Temp Hisfa'!D$3:D$200), "", ROW('Temp Hisfa'!D$3:D$200)-MIN(ROW('Temp Hisfa'!D$3:D$200))+1), ROW(116:314))),"")</f>
        <v/>
      </c>
      <c r="E118" s="29" t="str">
        <f t="array" ref="E118">IFERROR(INDEX('Temp Hisfa'!E$3:E$200, SMALL(IF(ISERROR('Temp Hisfa'!E$3:E$200), "", ROW('Temp Hisfa'!E$3:E$200)-MIN(ROW('Temp Hisfa'!E$3:E$200))+1), ROW(116:315))),"")</f>
        <v/>
      </c>
      <c r="F118" s="22" t="str">
        <f t="array" ref="F118">IFERROR(INDEX('Temp Hisfa'!F$3:F$200, SMALL(IF(ISERROR('Temp Hisfa'!F$3:F$200), "", ROW('Temp Hisfa'!F$3:F$200)-MIN(ROW('Temp Hisfa'!F$3:F$200))+1), ROW(116:315))),"")</f>
        <v/>
      </c>
      <c r="G118" s="30" t="str">
        <f t="array" ref="G118">IFERROR(INDEX('Temp Hisfa'!G$3:G$200, SMALL(IF(ISERROR('Temp Hisfa'!G$3:G$200), "", ROW('Temp Hisfa'!G$3:G$200)-MIN(ROW('Temp Hisfa'!G$3:G$200))+1), ROW(116:315))),"")</f>
        <v/>
      </c>
      <c r="H118" s="22" t="str">
        <f t="array" ref="H118">IFERROR(INDEX('Temp Hisfa'!H$3:H$200, SMALL(IF(ISERROR('Temp Hisfa'!H$3:H$200), "", ROW('Temp Hisfa'!H$3:H$200)-MIN(ROW('Temp Hisfa'!H$3:H$200))+1), ROW(116:315))),"")</f>
        <v/>
      </c>
      <c r="I118" s="22" t="str">
        <f t="array" ref="I118">IFERROR(INDEX('Temp Hisfa'!I$3:I$200, SMALL(IF(ISERROR('Temp Hisfa'!I$3:I$200), "", ROW('Temp Hisfa'!I$3:I$200)-MIN(ROW('Temp Hisfa'!I$3:I$200))+1), ROW(116:315))),"")</f>
        <v/>
      </c>
      <c r="J118" s="22" t="str">
        <f t="array" ref="J118">IFERROR(INDEX('Temp Hisfa'!J$3:J$200, SMALL(IF(ISERROR('Temp Hisfa'!J$3:J$200), "", ROW('Temp Hisfa'!J$3:J$200)-MIN(ROW('Temp Hisfa'!J$3:J$200))+1), ROW(116:315))),"")</f>
        <v/>
      </c>
      <c r="K118" s="30" t="str">
        <f t="array" ref="K118">IFERROR(INDEX('Temp Hisfa'!K$3:K$200, SMALL(IF(ISERROR('Temp Hisfa'!K$3:K$200), "", ROW('Temp Hisfa'!K$3:K$200)-MIN(ROW('Temp Hisfa'!K$3:K$200))+1), ROW(116:315))),"")</f>
        <v/>
      </c>
      <c r="L118" s="22" t="str">
        <f t="array" ref="L118">IFERROR(INDEX('Temp Hisfa'!L$3:L$200, SMALL(IF(ISERROR('Temp Hisfa'!L$3:L$200), "", ROW('Temp Hisfa'!L$3:L$200)-MIN(ROW('Temp Hisfa'!L$3:L$200))+1), ROW(116:315))),"")</f>
        <v/>
      </c>
      <c r="M118" s="22" t="str">
        <f t="array" ref="M118">IFERROR(INDEX('Temp Hisfa'!M$3:M$200, SMALL(IF(ISERROR('Temp Hisfa'!M$3:M$200), "", ROW('Temp Hisfa'!M$3:M$200)-MIN(ROW('Temp Hisfa'!M$3:M$200))+1), ROW(116:315))),"")</f>
        <v/>
      </c>
      <c r="N118" s="22" t="str">
        <f t="array" ref="N118">IFERROR(INDEX('Temp Hisfa'!N$3:N$200, SMALL(IF(ISERROR('Temp Hisfa'!N$3:N$200), "", ROW('Temp Hisfa'!N$3:N$200)-MIN(ROW('Temp Hisfa'!N$3:N$200))+1), ROW(116:315))),"")</f>
        <v/>
      </c>
      <c r="O118" s="22" t="str">
        <f t="array" ref="O118">IFERROR(INDEX('Temp Hisfa'!O$3:O$200, SMALL(IF(ISERROR('Temp Hisfa'!O$3:O$200), "", ROW('Temp Hisfa'!O$3:O$200)-MIN(ROW('Temp Hisfa'!O$3:O$200))+1), ROW(116:315))),"")</f>
        <v/>
      </c>
      <c r="P118" s="22" t="str">
        <f t="array" ref="P118">IFERROR(INDEX('Temp Hisfa'!P$3:P$200, SMALL(IF(ISERROR('Temp Hisfa'!P$3:P$200), "", ROW('Temp Hisfa'!P$3:P$200)-MIN(ROW('Temp Hisfa'!P$3:P$200))+1), ROW(116:315))),"")</f>
        <v/>
      </c>
      <c r="Q118" s="22" t="str">
        <f t="array" ref="Q118">IFERROR(INDEX('Temp Hisfa'!Q$3:Q$200, SMALL(IF(ISERROR('Temp Hisfa'!Q$3:Q$200), "", ROW('Temp Hisfa'!Q$3:Q$200)-MIN(ROW('Temp Hisfa'!Q$3:Q$200))+1), ROW(116:315))),"")</f>
        <v/>
      </c>
      <c r="R118" s="22" t="str">
        <f t="array" ref="R118">IFERROR(INDEX('Temp Hisfa'!R$3:R$200, SMALL(IF(ISERROR('Temp Hisfa'!R$3:R$200), "", ROW('Temp Hisfa'!R$3:R$200)-MIN(ROW('Temp Hisfa'!R$3:R$200))+1), ROW(116:315))),"")</f>
        <v/>
      </c>
      <c r="S118" s="22" t="str">
        <f t="array" ref="S118">IFERROR(INDEX('Temp Hisfa'!S$3:S$200, SMALL(IF(ISERROR('Temp Hisfa'!S$3:S$200), "", ROW('Temp Hisfa'!S$3:S$200)-MIN(ROW('Temp Hisfa'!S$3:S$200))+1), ROW(116:315))),"")</f>
        <v/>
      </c>
      <c r="T118" s="22" t="str">
        <f t="array" ref="T118">IFERROR(INDEX('Temp Hisfa'!T$3:T$200, SMALL(IF(ISERROR('Temp Hisfa'!T$3:T$200), "", ROW('Temp Hisfa'!T$3:T$200)-MIN(ROW('Temp Hisfa'!T$3:T$200))+1), ROW(116:315))),"")</f>
        <v/>
      </c>
      <c r="U118" s="22" t="str">
        <f t="array" ref="U118">IFERROR(INDEX('Temp Hisfa'!U$3:U$200, SMALL(IF(ISERROR('Temp Hisfa'!U$3:U$200), "", ROW('Temp Hisfa'!U$3:U$200)-MIN(ROW('Temp Hisfa'!U$3:U$200))+1), ROW(116:315))),"")</f>
        <v/>
      </c>
      <c r="V118" s="22" t="str">
        <f t="array" ref="V118">IFERROR(INDEX('Temp Hisfa'!V$3:V$200, SMALL(IF(ISERROR('Temp Hisfa'!V$3:V$200), "", ROW('Temp Hisfa'!V$3:V$200)-MIN(ROW('Temp Hisfa'!V$3:V$200))+1), ROW(116:315))),"")</f>
        <v/>
      </c>
      <c r="W118" s="22" t="str">
        <f t="array" ref="W118">IFERROR(INDEX('Temp Hisfa'!W$3:W$200, SMALL(IF(ISERROR('Temp Hisfa'!W$3:W$200), "", ROW('Temp Hisfa'!W$3:W$200)-MIN(ROW('Temp Hisfa'!W$3:W$200))+1), ROW(116:315))),"")</f>
        <v/>
      </c>
      <c r="X118" s="22" t="str">
        <f t="array" ref="X118">IFERROR(INDEX('Temp Hisfa'!X$3:X$200, SMALL(IF(ISERROR('Temp Hisfa'!X$3:X$200), "", ROW('Temp Hisfa'!X$3:X$200)-MIN(ROW('Temp Hisfa'!X$3:X$200))+1), ROW(116:315))),"")</f>
        <v/>
      </c>
      <c r="Y118" s="22" t="str">
        <f t="array" ref="Y118">IFERROR(INDEX('Temp Hisfa'!Y$3:Y$200, SMALL(IF(ISERROR('Temp Hisfa'!Y$3:Y$200), "", ROW('Temp Hisfa'!Y$3:Y$200)-MIN(ROW('Temp Hisfa'!Y$3:Y$200))+1), ROW(116:315))),"")</f>
        <v/>
      </c>
      <c r="Z118" s="22" t="str">
        <f t="array" ref="Z118">IFERROR(INDEX('Temp Hisfa'!Z$3:Z$200, SMALL(IF(ISERROR('Temp Hisfa'!Z$3:Z$200), "", ROW('Temp Hisfa'!Z$3:Z$200)-MIN(ROW('Temp Hisfa'!Z$3:Z$200))+1), ROW(116:315))),"")</f>
        <v/>
      </c>
      <c r="AA118" s="22" t="str">
        <f t="array" ref="AA118">IFERROR(INDEX('Temp Hisfa'!AA$3:AA$200, SMALL(IF(ISERROR('Temp Hisfa'!AA$3:AA$200), "", ROW('Temp Hisfa'!AA$3:AA$200)-MIN(ROW('Temp Hisfa'!AA$3:AA$200))+1), ROW(116:315))),"")</f>
        <v/>
      </c>
      <c r="AB118" s="22" t="str">
        <f t="array" ref="AB118">IFERROR(INDEX('Temp Hisfa'!AB$3:AB$200, SMALL(IF(ISERROR('Temp Hisfa'!AB$3:AB$200), "", ROW('Temp Hisfa'!AB$3:AB$200)-MIN(ROW('Temp Hisfa'!AB$3:AB$200))+1), ROW(116:315))),"")</f>
        <v/>
      </c>
    </row>
    <row r="119" spans="1:28" x14ac:dyDescent="0.3">
      <c r="A119" s="4" t="str">
        <f t="array" ref="A119">IFERROR(INDEX('Temp Hisfa'!A$3:A$200, SMALL(IF(ISERROR('Temp Hisfa'!A$3:A$200), "", ROW('Temp Hisfa'!A$3:A$200)-MIN(ROW('Temp Hisfa'!A$3:A$200))+1), ROW(117:315))),"")</f>
        <v/>
      </c>
      <c r="B119" s="4" t="str">
        <f t="array" ref="B119">IFERROR(INDEX('Temp Hisfa'!B$3:B$200, SMALL(IF(ISERROR('Temp Hisfa'!B$3:B$200), "", ROW('Temp Hisfa'!B$3:B$200)-MIN(ROW('Temp Hisfa'!B$3:B$200))+1), ROW(117:315))),"")</f>
        <v/>
      </c>
      <c r="C119" s="3" t="str">
        <f t="array" ref="C119">IFERROR(INDEX('Temp Hisfa'!C$3:C$200, SMALL(IF(ISERROR('Temp Hisfa'!C$3:C$200), "", ROW('Temp Hisfa'!C$3:C$200)-MIN(ROW('Temp Hisfa'!C$3:C$200))+1), ROW(117:315))),"")</f>
        <v/>
      </c>
      <c r="D119" s="3" t="str">
        <f t="array" ref="D119">IFERROR(INDEX('Temp Hisfa'!D$3:D$200, SMALL(IF(ISERROR('Temp Hisfa'!D$3:D$200), "", ROW('Temp Hisfa'!D$3:D$200)-MIN(ROW('Temp Hisfa'!D$3:D$200))+1), ROW(117:315))),"")</f>
        <v/>
      </c>
      <c r="E119" s="29" t="str">
        <f t="array" ref="E119">IFERROR(INDEX('Temp Hisfa'!E$3:E$200, SMALL(IF(ISERROR('Temp Hisfa'!E$3:E$200), "", ROW('Temp Hisfa'!E$3:E$200)-MIN(ROW('Temp Hisfa'!E$3:E$200))+1), ROW(117:316))),"")</f>
        <v/>
      </c>
      <c r="F119" s="22" t="str">
        <f t="array" ref="F119">IFERROR(INDEX('Temp Hisfa'!F$3:F$200, SMALL(IF(ISERROR('Temp Hisfa'!F$3:F$200), "", ROW('Temp Hisfa'!F$3:F$200)-MIN(ROW('Temp Hisfa'!F$3:F$200))+1), ROW(117:316))),"")</f>
        <v/>
      </c>
      <c r="G119" s="30" t="str">
        <f t="array" ref="G119">IFERROR(INDEX('Temp Hisfa'!G$3:G$200, SMALL(IF(ISERROR('Temp Hisfa'!G$3:G$200), "", ROW('Temp Hisfa'!G$3:G$200)-MIN(ROW('Temp Hisfa'!G$3:G$200))+1), ROW(117:316))),"")</f>
        <v/>
      </c>
      <c r="H119" s="22" t="str">
        <f t="array" ref="H119">IFERROR(INDEX('Temp Hisfa'!H$3:H$200, SMALL(IF(ISERROR('Temp Hisfa'!H$3:H$200), "", ROW('Temp Hisfa'!H$3:H$200)-MIN(ROW('Temp Hisfa'!H$3:H$200))+1), ROW(117:316))),"")</f>
        <v/>
      </c>
      <c r="I119" s="22" t="str">
        <f t="array" ref="I119">IFERROR(INDEX('Temp Hisfa'!I$3:I$200, SMALL(IF(ISERROR('Temp Hisfa'!I$3:I$200), "", ROW('Temp Hisfa'!I$3:I$200)-MIN(ROW('Temp Hisfa'!I$3:I$200))+1), ROW(117:316))),"")</f>
        <v/>
      </c>
      <c r="J119" s="22" t="str">
        <f t="array" ref="J119">IFERROR(INDEX('Temp Hisfa'!J$3:J$200, SMALL(IF(ISERROR('Temp Hisfa'!J$3:J$200), "", ROW('Temp Hisfa'!J$3:J$200)-MIN(ROW('Temp Hisfa'!J$3:J$200))+1), ROW(117:316))),"")</f>
        <v/>
      </c>
      <c r="K119" s="30" t="str">
        <f t="array" ref="K119">IFERROR(INDEX('Temp Hisfa'!K$3:K$200, SMALL(IF(ISERROR('Temp Hisfa'!K$3:K$200), "", ROW('Temp Hisfa'!K$3:K$200)-MIN(ROW('Temp Hisfa'!K$3:K$200))+1), ROW(117:316))),"")</f>
        <v/>
      </c>
      <c r="L119" s="22" t="str">
        <f t="array" ref="L119">IFERROR(INDEX('Temp Hisfa'!L$3:L$200, SMALL(IF(ISERROR('Temp Hisfa'!L$3:L$200), "", ROW('Temp Hisfa'!L$3:L$200)-MIN(ROW('Temp Hisfa'!L$3:L$200))+1), ROW(117:316))),"")</f>
        <v/>
      </c>
      <c r="M119" s="22" t="str">
        <f t="array" ref="M119">IFERROR(INDEX('Temp Hisfa'!M$3:M$200, SMALL(IF(ISERROR('Temp Hisfa'!M$3:M$200), "", ROW('Temp Hisfa'!M$3:M$200)-MIN(ROW('Temp Hisfa'!M$3:M$200))+1), ROW(117:316))),"")</f>
        <v/>
      </c>
      <c r="N119" s="22" t="str">
        <f t="array" ref="N119">IFERROR(INDEX('Temp Hisfa'!N$3:N$200, SMALL(IF(ISERROR('Temp Hisfa'!N$3:N$200), "", ROW('Temp Hisfa'!N$3:N$200)-MIN(ROW('Temp Hisfa'!N$3:N$200))+1), ROW(117:316))),"")</f>
        <v/>
      </c>
      <c r="O119" s="22" t="str">
        <f t="array" ref="O119">IFERROR(INDEX('Temp Hisfa'!O$3:O$200, SMALL(IF(ISERROR('Temp Hisfa'!O$3:O$200), "", ROW('Temp Hisfa'!O$3:O$200)-MIN(ROW('Temp Hisfa'!O$3:O$200))+1), ROW(117:316))),"")</f>
        <v/>
      </c>
      <c r="P119" s="22" t="str">
        <f t="array" ref="P119">IFERROR(INDEX('Temp Hisfa'!P$3:P$200, SMALL(IF(ISERROR('Temp Hisfa'!P$3:P$200), "", ROW('Temp Hisfa'!P$3:P$200)-MIN(ROW('Temp Hisfa'!P$3:P$200))+1), ROW(117:316))),"")</f>
        <v/>
      </c>
      <c r="Q119" s="22" t="str">
        <f t="array" ref="Q119">IFERROR(INDEX('Temp Hisfa'!Q$3:Q$200, SMALL(IF(ISERROR('Temp Hisfa'!Q$3:Q$200), "", ROW('Temp Hisfa'!Q$3:Q$200)-MIN(ROW('Temp Hisfa'!Q$3:Q$200))+1), ROW(117:316))),"")</f>
        <v/>
      </c>
      <c r="R119" s="22" t="str">
        <f t="array" ref="R119">IFERROR(INDEX('Temp Hisfa'!R$3:R$200, SMALL(IF(ISERROR('Temp Hisfa'!R$3:R$200), "", ROW('Temp Hisfa'!R$3:R$200)-MIN(ROW('Temp Hisfa'!R$3:R$200))+1), ROW(117:316))),"")</f>
        <v/>
      </c>
      <c r="S119" s="22" t="str">
        <f t="array" ref="S119">IFERROR(INDEX('Temp Hisfa'!S$3:S$200, SMALL(IF(ISERROR('Temp Hisfa'!S$3:S$200), "", ROW('Temp Hisfa'!S$3:S$200)-MIN(ROW('Temp Hisfa'!S$3:S$200))+1), ROW(117:316))),"")</f>
        <v/>
      </c>
      <c r="T119" s="22" t="str">
        <f t="array" ref="T119">IFERROR(INDEX('Temp Hisfa'!T$3:T$200, SMALL(IF(ISERROR('Temp Hisfa'!T$3:T$200), "", ROW('Temp Hisfa'!T$3:T$200)-MIN(ROW('Temp Hisfa'!T$3:T$200))+1), ROW(117:316))),"")</f>
        <v/>
      </c>
      <c r="U119" s="22" t="str">
        <f t="array" ref="U119">IFERROR(INDEX('Temp Hisfa'!U$3:U$200, SMALL(IF(ISERROR('Temp Hisfa'!U$3:U$200), "", ROW('Temp Hisfa'!U$3:U$200)-MIN(ROW('Temp Hisfa'!U$3:U$200))+1), ROW(117:316))),"")</f>
        <v/>
      </c>
      <c r="V119" s="22" t="str">
        <f t="array" ref="V119">IFERROR(INDEX('Temp Hisfa'!V$3:V$200, SMALL(IF(ISERROR('Temp Hisfa'!V$3:V$200), "", ROW('Temp Hisfa'!V$3:V$200)-MIN(ROW('Temp Hisfa'!V$3:V$200))+1), ROW(117:316))),"")</f>
        <v/>
      </c>
      <c r="W119" s="22" t="str">
        <f t="array" ref="W119">IFERROR(INDEX('Temp Hisfa'!W$3:W$200, SMALL(IF(ISERROR('Temp Hisfa'!W$3:W$200), "", ROW('Temp Hisfa'!W$3:W$200)-MIN(ROW('Temp Hisfa'!W$3:W$200))+1), ROW(117:316))),"")</f>
        <v/>
      </c>
      <c r="X119" s="22" t="str">
        <f t="array" ref="X119">IFERROR(INDEX('Temp Hisfa'!X$3:X$200, SMALL(IF(ISERROR('Temp Hisfa'!X$3:X$200), "", ROW('Temp Hisfa'!X$3:X$200)-MIN(ROW('Temp Hisfa'!X$3:X$200))+1), ROW(117:316))),"")</f>
        <v/>
      </c>
      <c r="Y119" s="22" t="str">
        <f t="array" ref="Y119">IFERROR(INDEX('Temp Hisfa'!Y$3:Y$200, SMALL(IF(ISERROR('Temp Hisfa'!Y$3:Y$200), "", ROW('Temp Hisfa'!Y$3:Y$200)-MIN(ROW('Temp Hisfa'!Y$3:Y$200))+1), ROW(117:316))),"")</f>
        <v/>
      </c>
      <c r="Z119" s="22" t="str">
        <f t="array" ref="Z119">IFERROR(INDEX('Temp Hisfa'!Z$3:Z$200, SMALL(IF(ISERROR('Temp Hisfa'!Z$3:Z$200), "", ROW('Temp Hisfa'!Z$3:Z$200)-MIN(ROW('Temp Hisfa'!Z$3:Z$200))+1), ROW(117:316))),"")</f>
        <v/>
      </c>
      <c r="AA119" s="22" t="str">
        <f t="array" ref="AA119">IFERROR(INDEX('Temp Hisfa'!AA$3:AA$200, SMALL(IF(ISERROR('Temp Hisfa'!AA$3:AA$200), "", ROW('Temp Hisfa'!AA$3:AA$200)-MIN(ROW('Temp Hisfa'!AA$3:AA$200))+1), ROW(117:316))),"")</f>
        <v/>
      </c>
      <c r="AB119" s="22" t="str">
        <f t="array" ref="AB119">IFERROR(INDEX('Temp Hisfa'!AB$3:AB$200, SMALL(IF(ISERROR('Temp Hisfa'!AB$3:AB$200), "", ROW('Temp Hisfa'!AB$3:AB$200)-MIN(ROW('Temp Hisfa'!AB$3:AB$200))+1), ROW(117:316))),"")</f>
        <v/>
      </c>
    </row>
    <row r="120" spans="1:28" x14ac:dyDescent="0.3">
      <c r="A120" s="4" t="str">
        <f t="array" ref="A120">IFERROR(INDEX('Temp Hisfa'!A$3:A$200, SMALL(IF(ISERROR('Temp Hisfa'!A$3:A$200), "", ROW('Temp Hisfa'!A$3:A$200)-MIN(ROW('Temp Hisfa'!A$3:A$200))+1), ROW(118:316))),"")</f>
        <v/>
      </c>
      <c r="B120" s="4" t="str">
        <f t="array" ref="B120">IFERROR(INDEX('Temp Hisfa'!B$3:B$200, SMALL(IF(ISERROR('Temp Hisfa'!B$3:B$200), "", ROW('Temp Hisfa'!B$3:B$200)-MIN(ROW('Temp Hisfa'!B$3:B$200))+1), ROW(118:316))),"")</f>
        <v/>
      </c>
      <c r="C120" s="3" t="str">
        <f t="array" ref="C120">IFERROR(INDEX('Temp Hisfa'!C$3:C$200, SMALL(IF(ISERROR('Temp Hisfa'!C$3:C$200), "", ROW('Temp Hisfa'!C$3:C$200)-MIN(ROW('Temp Hisfa'!C$3:C$200))+1), ROW(118:316))),"")</f>
        <v/>
      </c>
      <c r="D120" s="3" t="str">
        <f t="array" ref="D120">IFERROR(INDEX('Temp Hisfa'!D$3:D$200, SMALL(IF(ISERROR('Temp Hisfa'!D$3:D$200), "", ROW('Temp Hisfa'!D$3:D$200)-MIN(ROW('Temp Hisfa'!D$3:D$200))+1), ROW(118:316))),"")</f>
        <v/>
      </c>
      <c r="E120" s="29" t="str">
        <f t="array" ref="E120">IFERROR(INDEX('Temp Hisfa'!E$3:E$200, SMALL(IF(ISERROR('Temp Hisfa'!E$3:E$200), "", ROW('Temp Hisfa'!E$3:E$200)-MIN(ROW('Temp Hisfa'!E$3:E$200))+1), ROW(118:317))),"")</f>
        <v/>
      </c>
      <c r="F120" s="22" t="str">
        <f t="array" ref="F120">IFERROR(INDEX('Temp Hisfa'!F$3:F$200, SMALL(IF(ISERROR('Temp Hisfa'!F$3:F$200), "", ROW('Temp Hisfa'!F$3:F$200)-MIN(ROW('Temp Hisfa'!F$3:F$200))+1), ROW(118:317))),"")</f>
        <v/>
      </c>
      <c r="G120" s="30" t="str">
        <f t="array" ref="G120">IFERROR(INDEX('Temp Hisfa'!G$3:G$200, SMALL(IF(ISERROR('Temp Hisfa'!G$3:G$200), "", ROW('Temp Hisfa'!G$3:G$200)-MIN(ROW('Temp Hisfa'!G$3:G$200))+1), ROW(118:317))),"")</f>
        <v/>
      </c>
      <c r="H120" s="22" t="str">
        <f t="array" ref="H120">IFERROR(INDEX('Temp Hisfa'!H$3:H$200, SMALL(IF(ISERROR('Temp Hisfa'!H$3:H$200), "", ROW('Temp Hisfa'!H$3:H$200)-MIN(ROW('Temp Hisfa'!H$3:H$200))+1), ROW(118:317))),"")</f>
        <v/>
      </c>
      <c r="I120" s="22" t="str">
        <f t="array" ref="I120">IFERROR(INDEX('Temp Hisfa'!I$3:I$200, SMALL(IF(ISERROR('Temp Hisfa'!I$3:I$200), "", ROW('Temp Hisfa'!I$3:I$200)-MIN(ROW('Temp Hisfa'!I$3:I$200))+1), ROW(118:317))),"")</f>
        <v/>
      </c>
      <c r="J120" s="22" t="str">
        <f t="array" ref="J120">IFERROR(INDEX('Temp Hisfa'!J$3:J$200, SMALL(IF(ISERROR('Temp Hisfa'!J$3:J$200), "", ROW('Temp Hisfa'!J$3:J$200)-MIN(ROW('Temp Hisfa'!J$3:J$200))+1), ROW(118:317))),"")</f>
        <v/>
      </c>
      <c r="K120" s="30" t="str">
        <f t="array" ref="K120">IFERROR(INDEX('Temp Hisfa'!K$3:K$200, SMALL(IF(ISERROR('Temp Hisfa'!K$3:K$200), "", ROW('Temp Hisfa'!K$3:K$200)-MIN(ROW('Temp Hisfa'!K$3:K$200))+1), ROW(118:317))),"")</f>
        <v/>
      </c>
      <c r="L120" s="22" t="str">
        <f t="array" ref="L120">IFERROR(INDEX('Temp Hisfa'!L$3:L$200, SMALL(IF(ISERROR('Temp Hisfa'!L$3:L$200), "", ROW('Temp Hisfa'!L$3:L$200)-MIN(ROW('Temp Hisfa'!L$3:L$200))+1), ROW(118:317))),"")</f>
        <v/>
      </c>
      <c r="M120" s="22" t="str">
        <f t="array" ref="M120">IFERROR(INDEX('Temp Hisfa'!M$3:M$200, SMALL(IF(ISERROR('Temp Hisfa'!M$3:M$200), "", ROW('Temp Hisfa'!M$3:M$200)-MIN(ROW('Temp Hisfa'!M$3:M$200))+1), ROW(118:317))),"")</f>
        <v/>
      </c>
      <c r="N120" s="22" t="str">
        <f t="array" ref="N120">IFERROR(INDEX('Temp Hisfa'!N$3:N$200, SMALL(IF(ISERROR('Temp Hisfa'!N$3:N$200), "", ROW('Temp Hisfa'!N$3:N$200)-MIN(ROW('Temp Hisfa'!N$3:N$200))+1), ROW(118:317))),"")</f>
        <v/>
      </c>
      <c r="O120" s="22" t="str">
        <f t="array" ref="O120">IFERROR(INDEX('Temp Hisfa'!O$3:O$200, SMALL(IF(ISERROR('Temp Hisfa'!O$3:O$200), "", ROW('Temp Hisfa'!O$3:O$200)-MIN(ROW('Temp Hisfa'!O$3:O$200))+1), ROW(118:317))),"")</f>
        <v/>
      </c>
      <c r="P120" s="22" t="str">
        <f t="array" ref="P120">IFERROR(INDEX('Temp Hisfa'!P$3:P$200, SMALL(IF(ISERROR('Temp Hisfa'!P$3:P$200), "", ROW('Temp Hisfa'!P$3:P$200)-MIN(ROW('Temp Hisfa'!P$3:P$200))+1), ROW(118:317))),"")</f>
        <v/>
      </c>
      <c r="Q120" s="22" t="str">
        <f t="array" ref="Q120">IFERROR(INDEX('Temp Hisfa'!Q$3:Q$200, SMALL(IF(ISERROR('Temp Hisfa'!Q$3:Q$200), "", ROW('Temp Hisfa'!Q$3:Q$200)-MIN(ROW('Temp Hisfa'!Q$3:Q$200))+1), ROW(118:317))),"")</f>
        <v/>
      </c>
      <c r="R120" s="22" t="str">
        <f t="array" ref="R120">IFERROR(INDEX('Temp Hisfa'!R$3:R$200, SMALL(IF(ISERROR('Temp Hisfa'!R$3:R$200), "", ROW('Temp Hisfa'!R$3:R$200)-MIN(ROW('Temp Hisfa'!R$3:R$200))+1), ROW(118:317))),"")</f>
        <v/>
      </c>
      <c r="S120" s="22" t="str">
        <f t="array" ref="S120">IFERROR(INDEX('Temp Hisfa'!S$3:S$200, SMALL(IF(ISERROR('Temp Hisfa'!S$3:S$200), "", ROW('Temp Hisfa'!S$3:S$200)-MIN(ROW('Temp Hisfa'!S$3:S$200))+1), ROW(118:317))),"")</f>
        <v/>
      </c>
      <c r="T120" s="22" t="str">
        <f t="array" ref="T120">IFERROR(INDEX('Temp Hisfa'!T$3:T$200, SMALL(IF(ISERROR('Temp Hisfa'!T$3:T$200), "", ROW('Temp Hisfa'!T$3:T$200)-MIN(ROW('Temp Hisfa'!T$3:T$200))+1), ROW(118:317))),"")</f>
        <v/>
      </c>
      <c r="U120" s="22" t="str">
        <f t="array" ref="U120">IFERROR(INDEX('Temp Hisfa'!U$3:U$200, SMALL(IF(ISERROR('Temp Hisfa'!U$3:U$200), "", ROW('Temp Hisfa'!U$3:U$200)-MIN(ROW('Temp Hisfa'!U$3:U$200))+1), ROW(118:317))),"")</f>
        <v/>
      </c>
      <c r="V120" s="22" t="str">
        <f t="array" ref="V120">IFERROR(INDEX('Temp Hisfa'!V$3:V$200, SMALL(IF(ISERROR('Temp Hisfa'!V$3:V$200), "", ROW('Temp Hisfa'!V$3:V$200)-MIN(ROW('Temp Hisfa'!V$3:V$200))+1), ROW(118:317))),"")</f>
        <v/>
      </c>
      <c r="W120" s="22" t="str">
        <f t="array" ref="W120">IFERROR(INDEX('Temp Hisfa'!W$3:W$200, SMALL(IF(ISERROR('Temp Hisfa'!W$3:W$200), "", ROW('Temp Hisfa'!W$3:W$200)-MIN(ROW('Temp Hisfa'!W$3:W$200))+1), ROW(118:317))),"")</f>
        <v/>
      </c>
      <c r="X120" s="22" t="str">
        <f t="array" ref="X120">IFERROR(INDEX('Temp Hisfa'!X$3:X$200, SMALL(IF(ISERROR('Temp Hisfa'!X$3:X$200), "", ROW('Temp Hisfa'!X$3:X$200)-MIN(ROW('Temp Hisfa'!X$3:X$200))+1), ROW(118:317))),"")</f>
        <v/>
      </c>
      <c r="Y120" s="22" t="str">
        <f t="array" ref="Y120">IFERROR(INDEX('Temp Hisfa'!Y$3:Y$200, SMALL(IF(ISERROR('Temp Hisfa'!Y$3:Y$200), "", ROW('Temp Hisfa'!Y$3:Y$200)-MIN(ROW('Temp Hisfa'!Y$3:Y$200))+1), ROW(118:317))),"")</f>
        <v/>
      </c>
      <c r="Z120" s="22" t="str">
        <f t="array" ref="Z120">IFERROR(INDEX('Temp Hisfa'!Z$3:Z$200, SMALL(IF(ISERROR('Temp Hisfa'!Z$3:Z$200), "", ROW('Temp Hisfa'!Z$3:Z$200)-MIN(ROW('Temp Hisfa'!Z$3:Z$200))+1), ROW(118:317))),"")</f>
        <v/>
      </c>
      <c r="AA120" s="22" t="str">
        <f t="array" ref="AA120">IFERROR(INDEX('Temp Hisfa'!AA$3:AA$200, SMALL(IF(ISERROR('Temp Hisfa'!AA$3:AA$200), "", ROW('Temp Hisfa'!AA$3:AA$200)-MIN(ROW('Temp Hisfa'!AA$3:AA$200))+1), ROW(118:317))),"")</f>
        <v/>
      </c>
      <c r="AB120" s="22" t="str">
        <f t="array" ref="AB120">IFERROR(INDEX('Temp Hisfa'!AB$3:AB$200, SMALL(IF(ISERROR('Temp Hisfa'!AB$3:AB$200), "", ROW('Temp Hisfa'!AB$3:AB$200)-MIN(ROW('Temp Hisfa'!AB$3:AB$200))+1), ROW(118:317))),"")</f>
        <v/>
      </c>
    </row>
    <row r="121" spans="1:28" x14ac:dyDescent="0.3">
      <c r="A121" s="4" t="str">
        <f t="array" ref="A121">IFERROR(INDEX('Temp Hisfa'!A$3:A$200, SMALL(IF(ISERROR('Temp Hisfa'!A$3:A$200), "", ROW('Temp Hisfa'!A$3:A$200)-MIN(ROW('Temp Hisfa'!A$3:A$200))+1), ROW(119:317))),"")</f>
        <v/>
      </c>
      <c r="B121" s="4" t="str">
        <f t="array" ref="B121">IFERROR(INDEX('Temp Hisfa'!B$3:B$200, SMALL(IF(ISERROR('Temp Hisfa'!B$3:B$200), "", ROW('Temp Hisfa'!B$3:B$200)-MIN(ROW('Temp Hisfa'!B$3:B$200))+1), ROW(119:317))),"")</f>
        <v/>
      </c>
      <c r="C121" s="3" t="str">
        <f t="array" ref="C121">IFERROR(INDEX('Temp Hisfa'!C$3:C$200, SMALL(IF(ISERROR('Temp Hisfa'!C$3:C$200), "", ROW('Temp Hisfa'!C$3:C$200)-MIN(ROW('Temp Hisfa'!C$3:C$200))+1), ROW(119:317))),"")</f>
        <v/>
      </c>
      <c r="D121" s="3" t="str">
        <f t="array" ref="D121">IFERROR(INDEX('Temp Hisfa'!D$3:D$200, SMALL(IF(ISERROR('Temp Hisfa'!D$3:D$200), "", ROW('Temp Hisfa'!D$3:D$200)-MIN(ROW('Temp Hisfa'!D$3:D$200))+1), ROW(119:317))),"")</f>
        <v/>
      </c>
      <c r="E121" s="29" t="str">
        <f t="array" ref="E121">IFERROR(INDEX('Temp Hisfa'!E$3:E$200, SMALL(IF(ISERROR('Temp Hisfa'!E$3:E$200), "", ROW('Temp Hisfa'!E$3:E$200)-MIN(ROW('Temp Hisfa'!E$3:E$200))+1), ROW(119:318))),"")</f>
        <v/>
      </c>
      <c r="F121" s="22" t="str">
        <f t="array" ref="F121">IFERROR(INDEX('Temp Hisfa'!F$3:F$200, SMALL(IF(ISERROR('Temp Hisfa'!F$3:F$200), "", ROW('Temp Hisfa'!F$3:F$200)-MIN(ROW('Temp Hisfa'!F$3:F$200))+1), ROW(119:318))),"")</f>
        <v/>
      </c>
      <c r="G121" s="30" t="str">
        <f t="array" ref="G121">IFERROR(INDEX('Temp Hisfa'!G$3:G$200, SMALL(IF(ISERROR('Temp Hisfa'!G$3:G$200), "", ROW('Temp Hisfa'!G$3:G$200)-MIN(ROW('Temp Hisfa'!G$3:G$200))+1), ROW(119:318))),"")</f>
        <v/>
      </c>
      <c r="H121" s="22" t="str">
        <f t="array" ref="H121">IFERROR(INDEX('Temp Hisfa'!H$3:H$200, SMALL(IF(ISERROR('Temp Hisfa'!H$3:H$200), "", ROW('Temp Hisfa'!H$3:H$200)-MIN(ROW('Temp Hisfa'!H$3:H$200))+1), ROW(119:318))),"")</f>
        <v/>
      </c>
      <c r="I121" s="22" t="str">
        <f t="array" ref="I121">IFERROR(INDEX('Temp Hisfa'!I$3:I$200, SMALL(IF(ISERROR('Temp Hisfa'!I$3:I$200), "", ROW('Temp Hisfa'!I$3:I$200)-MIN(ROW('Temp Hisfa'!I$3:I$200))+1), ROW(119:318))),"")</f>
        <v/>
      </c>
      <c r="J121" s="22" t="str">
        <f t="array" ref="J121">IFERROR(INDEX('Temp Hisfa'!J$3:J$200, SMALL(IF(ISERROR('Temp Hisfa'!J$3:J$200), "", ROW('Temp Hisfa'!J$3:J$200)-MIN(ROW('Temp Hisfa'!J$3:J$200))+1), ROW(119:318))),"")</f>
        <v/>
      </c>
      <c r="K121" s="30" t="str">
        <f t="array" ref="K121">IFERROR(INDEX('Temp Hisfa'!K$3:K$200, SMALL(IF(ISERROR('Temp Hisfa'!K$3:K$200), "", ROW('Temp Hisfa'!K$3:K$200)-MIN(ROW('Temp Hisfa'!K$3:K$200))+1), ROW(119:318))),"")</f>
        <v/>
      </c>
      <c r="L121" s="22" t="str">
        <f t="array" ref="L121">IFERROR(INDEX('Temp Hisfa'!L$3:L$200, SMALL(IF(ISERROR('Temp Hisfa'!L$3:L$200), "", ROW('Temp Hisfa'!L$3:L$200)-MIN(ROW('Temp Hisfa'!L$3:L$200))+1), ROW(119:318))),"")</f>
        <v/>
      </c>
      <c r="M121" s="22" t="str">
        <f t="array" ref="M121">IFERROR(INDEX('Temp Hisfa'!M$3:M$200, SMALL(IF(ISERROR('Temp Hisfa'!M$3:M$200), "", ROW('Temp Hisfa'!M$3:M$200)-MIN(ROW('Temp Hisfa'!M$3:M$200))+1), ROW(119:318))),"")</f>
        <v/>
      </c>
      <c r="N121" s="22" t="str">
        <f t="array" ref="N121">IFERROR(INDEX('Temp Hisfa'!N$3:N$200, SMALL(IF(ISERROR('Temp Hisfa'!N$3:N$200), "", ROW('Temp Hisfa'!N$3:N$200)-MIN(ROW('Temp Hisfa'!N$3:N$200))+1), ROW(119:318))),"")</f>
        <v/>
      </c>
      <c r="O121" s="22" t="str">
        <f t="array" ref="O121">IFERROR(INDEX('Temp Hisfa'!O$3:O$200, SMALL(IF(ISERROR('Temp Hisfa'!O$3:O$200), "", ROW('Temp Hisfa'!O$3:O$200)-MIN(ROW('Temp Hisfa'!O$3:O$200))+1), ROW(119:318))),"")</f>
        <v/>
      </c>
      <c r="P121" s="22" t="str">
        <f t="array" ref="P121">IFERROR(INDEX('Temp Hisfa'!P$3:P$200, SMALL(IF(ISERROR('Temp Hisfa'!P$3:P$200), "", ROW('Temp Hisfa'!P$3:P$200)-MIN(ROW('Temp Hisfa'!P$3:P$200))+1), ROW(119:318))),"")</f>
        <v/>
      </c>
      <c r="Q121" s="22" t="str">
        <f t="array" ref="Q121">IFERROR(INDEX('Temp Hisfa'!Q$3:Q$200, SMALL(IF(ISERROR('Temp Hisfa'!Q$3:Q$200), "", ROW('Temp Hisfa'!Q$3:Q$200)-MIN(ROW('Temp Hisfa'!Q$3:Q$200))+1), ROW(119:318))),"")</f>
        <v/>
      </c>
      <c r="R121" s="22" t="str">
        <f t="array" ref="R121">IFERROR(INDEX('Temp Hisfa'!R$3:R$200, SMALL(IF(ISERROR('Temp Hisfa'!R$3:R$200), "", ROW('Temp Hisfa'!R$3:R$200)-MIN(ROW('Temp Hisfa'!R$3:R$200))+1), ROW(119:318))),"")</f>
        <v/>
      </c>
      <c r="S121" s="22" t="str">
        <f t="array" ref="S121">IFERROR(INDEX('Temp Hisfa'!S$3:S$200, SMALL(IF(ISERROR('Temp Hisfa'!S$3:S$200), "", ROW('Temp Hisfa'!S$3:S$200)-MIN(ROW('Temp Hisfa'!S$3:S$200))+1), ROW(119:318))),"")</f>
        <v/>
      </c>
      <c r="T121" s="22" t="str">
        <f t="array" ref="T121">IFERROR(INDEX('Temp Hisfa'!T$3:T$200, SMALL(IF(ISERROR('Temp Hisfa'!T$3:T$200), "", ROW('Temp Hisfa'!T$3:T$200)-MIN(ROW('Temp Hisfa'!T$3:T$200))+1), ROW(119:318))),"")</f>
        <v/>
      </c>
      <c r="U121" s="22" t="str">
        <f t="array" ref="U121">IFERROR(INDEX('Temp Hisfa'!U$3:U$200, SMALL(IF(ISERROR('Temp Hisfa'!U$3:U$200), "", ROW('Temp Hisfa'!U$3:U$200)-MIN(ROW('Temp Hisfa'!U$3:U$200))+1), ROW(119:318))),"")</f>
        <v/>
      </c>
      <c r="V121" s="22" t="str">
        <f t="array" ref="V121">IFERROR(INDEX('Temp Hisfa'!V$3:V$200, SMALL(IF(ISERROR('Temp Hisfa'!V$3:V$200), "", ROW('Temp Hisfa'!V$3:V$200)-MIN(ROW('Temp Hisfa'!V$3:V$200))+1), ROW(119:318))),"")</f>
        <v/>
      </c>
      <c r="W121" s="22" t="str">
        <f t="array" ref="W121">IFERROR(INDEX('Temp Hisfa'!W$3:W$200, SMALL(IF(ISERROR('Temp Hisfa'!W$3:W$200), "", ROW('Temp Hisfa'!W$3:W$200)-MIN(ROW('Temp Hisfa'!W$3:W$200))+1), ROW(119:318))),"")</f>
        <v/>
      </c>
      <c r="X121" s="22" t="str">
        <f t="array" ref="X121">IFERROR(INDEX('Temp Hisfa'!X$3:X$200, SMALL(IF(ISERROR('Temp Hisfa'!X$3:X$200), "", ROW('Temp Hisfa'!X$3:X$200)-MIN(ROW('Temp Hisfa'!X$3:X$200))+1), ROW(119:318))),"")</f>
        <v/>
      </c>
      <c r="Y121" s="22" t="str">
        <f t="array" ref="Y121">IFERROR(INDEX('Temp Hisfa'!Y$3:Y$200, SMALL(IF(ISERROR('Temp Hisfa'!Y$3:Y$200), "", ROW('Temp Hisfa'!Y$3:Y$200)-MIN(ROW('Temp Hisfa'!Y$3:Y$200))+1), ROW(119:318))),"")</f>
        <v/>
      </c>
      <c r="Z121" s="22" t="str">
        <f t="array" ref="Z121">IFERROR(INDEX('Temp Hisfa'!Z$3:Z$200, SMALL(IF(ISERROR('Temp Hisfa'!Z$3:Z$200), "", ROW('Temp Hisfa'!Z$3:Z$200)-MIN(ROW('Temp Hisfa'!Z$3:Z$200))+1), ROW(119:318))),"")</f>
        <v/>
      </c>
      <c r="AA121" s="22" t="str">
        <f t="array" ref="AA121">IFERROR(INDEX('Temp Hisfa'!AA$3:AA$200, SMALL(IF(ISERROR('Temp Hisfa'!AA$3:AA$200), "", ROW('Temp Hisfa'!AA$3:AA$200)-MIN(ROW('Temp Hisfa'!AA$3:AA$200))+1), ROW(119:318))),"")</f>
        <v/>
      </c>
      <c r="AB121" s="22" t="str">
        <f t="array" ref="AB121">IFERROR(INDEX('Temp Hisfa'!AB$3:AB$200, SMALL(IF(ISERROR('Temp Hisfa'!AB$3:AB$200), "", ROW('Temp Hisfa'!AB$3:AB$200)-MIN(ROW('Temp Hisfa'!AB$3:AB$200))+1), ROW(119:318))),"")</f>
        <v/>
      </c>
    </row>
    <row r="122" spans="1:28" x14ac:dyDescent="0.3">
      <c r="A122" s="4" t="str">
        <f t="array" ref="A122">IFERROR(INDEX('Temp Hisfa'!A$3:A$200, SMALL(IF(ISERROR('Temp Hisfa'!A$3:A$200), "", ROW('Temp Hisfa'!A$3:A$200)-MIN(ROW('Temp Hisfa'!A$3:A$200))+1), ROW(120:318))),"")</f>
        <v/>
      </c>
      <c r="B122" s="4" t="str">
        <f t="array" ref="B122">IFERROR(INDEX('Temp Hisfa'!B$3:B$200, SMALL(IF(ISERROR('Temp Hisfa'!B$3:B$200), "", ROW('Temp Hisfa'!B$3:B$200)-MIN(ROW('Temp Hisfa'!B$3:B$200))+1), ROW(120:318))),"")</f>
        <v/>
      </c>
      <c r="C122" s="3" t="str">
        <f t="array" ref="C122">IFERROR(INDEX('Temp Hisfa'!C$3:C$200, SMALL(IF(ISERROR('Temp Hisfa'!C$3:C$200), "", ROW('Temp Hisfa'!C$3:C$200)-MIN(ROW('Temp Hisfa'!C$3:C$200))+1), ROW(120:318))),"")</f>
        <v/>
      </c>
      <c r="D122" s="3" t="str">
        <f t="array" ref="D122">IFERROR(INDEX('Temp Hisfa'!D$3:D$200, SMALL(IF(ISERROR('Temp Hisfa'!D$3:D$200), "", ROW('Temp Hisfa'!D$3:D$200)-MIN(ROW('Temp Hisfa'!D$3:D$200))+1), ROW(120:318))),"")</f>
        <v/>
      </c>
      <c r="E122" s="29" t="str">
        <f t="array" ref="E122">IFERROR(INDEX('Temp Hisfa'!E$3:E$200, SMALL(IF(ISERROR('Temp Hisfa'!E$3:E$200), "", ROW('Temp Hisfa'!E$3:E$200)-MIN(ROW('Temp Hisfa'!E$3:E$200))+1), ROW(120:319))),"")</f>
        <v/>
      </c>
      <c r="F122" s="22" t="str">
        <f t="array" ref="F122">IFERROR(INDEX('Temp Hisfa'!F$3:F$200, SMALL(IF(ISERROR('Temp Hisfa'!F$3:F$200), "", ROW('Temp Hisfa'!F$3:F$200)-MIN(ROW('Temp Hisfa'!F$3:F$200))+1), ROW(120:319))),"")</f>
        <v/>
      </c>
      <c r="G122" s="30" t="str">
        <f t="array" ref="G122">IFERROR(INDEX('Temp Hisfa'!G$3:G$200, SMALL(IF(ISERROR('Temp Hisfa'!G$3:G$200), "", ROW('Temp Hisfa'!G$3:G$200)-MIN(ROW('Temp Hisfa'!G$3:G$200))+1), ROW(120:319))),"")</f>
        <v/>
      </c>
      <c r="H122" s="22" t="str">
        <f t="array" ref="H122">IFERROR(INDEX('Temp Hisfa'!H$3:H$200, SMALL(IF(ISERROR('Temp Hisfa'!H$3:H$200), "", ROW('Temp Hisfa'!H$3:H$200)-MIN(ROW('Temp Hisfa'!H$3:H$200))+1), ROW(120:319))),"")</f>
        <v/>
      </c>
      <c r="I122" s="22" t="str">
        <f t="array" ref="I122">IFERROR(INDEX('Temp Hisfa'!I$3:I$200, SMALL(IF(ISERROR('Temp Hisfa'!I$3:I$200), "", ROW('Temp Hisfa'!I$3:I$200)-MIN(ROW('Temp Hisfa'!I$3:I$200))+1), ROW(120:319))),"")</f>
        <v/>
      </c>
      <c r="J122" s="22" t="str">
        <f t="array" ref="J122">IFERROR(INDEX('Temp Hisfa'!J$3:J$200, SMALL(IF(ISERROR('Temp Hisfa'!J$3:J$200), "", ROW('Temp Hisfa'!J$3:J$200)-MIN(ROW('Temp Hisfa'!J$3:J$200))+1), ROW(120:319))),"")</f>
        <v/>
      </c>
      <c r="K122" s="30" t="str">
        <f t="array" ref="K122">IFERROR(INDEX('Temp Hisfa'!K$3:K$200, SMALL(IF(ISERROR('Temp Hisfa'!K$3:K$200), "", ROW('Temp Hisfa'!K$3:K$200)-MIN(ROW('Temp Hisfa'!K$3:K$200))+1), ROW(120:319))),"")</f>
        <v/>
      </c>
      <c r="L122" s="22" t="str">
        <f t="array" ref="L122">IFERROR(INDEX('Temp Hisfa'!L$3:L$200, SMALL(IF(ISERROR('Temp Hisfa'!L$3:L$200), "", ROW('Temp Hisfa'!L$3:L$200)-MIN(ROW('Temp Hisfa'!L$3:L$200))+1), ROW(120:319))),"")</f>
        <v/>
      </c>
      <c r="M122" s="22" t="str">
        <f t="array" ref="M122">IFERROR(INDEX('Temp Hisfa'!M$3:M$200, SMALL(IF(ISERROR('Temp Hisfa'!M$3:M$200), "", ROW('Temp Hisfa'!M$3:M$200)-MIN(ROW('Temp Hisfa'!M$3:M$200))+1), ROW(120:319))),"")</f>
        <v/>
      </c>
      <c r="N122" s="22" t="str">
        <f t="array" ref="N122">IFERROR(INDEX('Temp Hisfa'!N$3:N$200, SMALL(IF(ISERROR('Temp Hisfa'!N$3:N$200), "", ROW('Temp Hisfa'!N$3:N$200)-MIN(ROW('Temp Hisfa'!N$3:N$200))+1), ROW(120:319))),"")</f>
        <v/>
      </c>
      <c r="O122" s="22" t="str">
        <f t="array" ref="O122">IFERROR(INDEX('Temp Hisfa'!O$3:O$200, SMALL(IF(ISERROR('Temp Hisfa'!O$3:O$200), "", ROW('Temp Hisfa'!O$3:O$200)-MIN(ROW('Temp Hisfa'!O$3:O$200))+1), ROW(120:319))),"")</f>
        <v/>
      </c>
      <c r="P122" s="22" t="str">
        <f t="array" ref="P122">IFERROR(INDEX('Temp Hisfa'!P$3:P$200, SMALL(IF(ISERROR('Temp Hisfa'!P$3:P$200), "", ROW('Temp Hisfa'!P$3:P$200)-MIN(ROW('Temp Hisfa'!P$3:P$200))+1), ROW(120:319))),"")</f>
        <v/>
      </c>
      <c r="Q122" s="22" t="str">
        <f t="array" ref="Q122">IFERROR(INDEX('Temp Hisfa'!Q$3:Q$200, SMALL(IF(ISERROR('Temp Hisfa'!Q$3:Q$200), "", ROW('Temp Hisfa'!Q$3:Q$200)-MIN(ROW('Temp Hisfa'!Q$3:Q$200))+1), ROW(120:319))),"")</f>
        <v/>
      </c>
      <c r="R122" s="22" t="str">
        <f t="array" ref="R122">IFERROR(INDEX('Temp Hisfa'!R$3:R$200, SMALL(IF(ISERROR('Temp Hisfa'!R$3:R$200), "", ROW('Temp Hisfa'!R$3:R$200)-MIN(ROW('Temp Hisfa'!R$3:R$200))+1), ROW(120:319))),"")</f>
        <v/>
      </c>
      <c r="S122" s="22" t="str">
        <f t="array" ref="S122">IFERROR(INDEX('Temp Hisfa'!S$3:S$200, SMALL(IF(ISERROR('Temp Hisfa'!S$3:S$200), "", ROW('Temp Hisfa'!S$3:S$200)-MIN(ROW('Temp Hisfa'!S$3:S$200))+1), ROW(120:319))),"")</f>
        <v/>
      </c>
      <c r="T122" s="22" t="str">
        <f t="array" ref="T122">IFERROR(INDEX('Temp Hisfa'!T$3:T$200, SMALL(IF(ISERROR('Temp Hisfa'!T$3:T$200), "", ROW('Temp Hisfa'!T$3:T$200)-MIN(ROW('Temp Hisfa'!T$3:T$200))+1), ROW(120:319))),"")</f>
        <v/>
      </c>
      <c r="U122" s="22" t="str">
        <f t="array" ref="U122">IFERROR(INDEX('Temp Hisfa'!U$3:U$200, SMALL(IF(ISERROR('Temp Hisfa'!U$3:U$200), "", ROW('Temp Hisfa'!U$3:U$200)-MIN(ROW('Temp Hisfa'!U$3:U$200))+1), ROW(120:319))),"")</f>
        <v/>
      </c>
      <c r="V122" s="22" t="str">
        <f t="array" ref="V122">IFERROR(INDEX('Temp Hisfa'!V$3:V$200, SMALL(IF(ISERROR('Temp Hisfa'!V$3:V$200), "", ROW('Temp Hisfa'!V$3:V$200)-MIN(ROW('Temp Hisfa'!V$3:V$200))+1), ROW(120:319))),"")</f>
        <v/>
      </c>
      <c r="W122" s="22" t="str">
        <f t="array" ref="W122">IFERROR(INDEX('Temp Hisfa'!W$3:W$200, SMALL(IF(ISERROR('Temp Hisfa'!W$3:W$200), "", ROW('Temp Hisfa'!W$3:W$200)-MIN(ROW('Temp Hisfa'!W$3:W$200))+1), ROW(120:319))),"")</f>
        <v/>
      </c>
      <c r="X122" s="22" t="str">
        <f t="array" ref="X122">IFERROR(INDEX('Temp Hisfa'!X$3:X$200, SMALL(IF(ISERROR('Temp Hisfa'!X$3:X$200), "", ROW('Temp Hisfa'!X$3:X$200)-MIN(ROW('Temp Hisfa'!X$3:X$200))+1), ROW(120:319))),"")</f>
        <v/>
      </c>
      <c r="Y122" s="22" t="str">
        <f t="array" ref="Y122">IFERROR(INDEX('Temp Hisfa'!Y$3:Y$200, SMALL(IF(ISERROR('Temp Hisfa'!Y$3:Y$200), "", ROW('Temp Hisfa'!Y$3:Y$200)-MIN(ROW('Temp Hisfa'!Y$3:Y$200))+1), ROW(120:319))),"")</f>
        <v/>
      </c>
      <c r="Z122" s="22" t="str">
        <f t="array" ref="Z122">IFERROR(INDEX('Temp Hisfa'!Z$3:Z$200, SMALL(IF(ISERROR('Temp Hisfa'!Z$3:Z$200), "", ROW('Temp Hisfa'!Z$3:Z$200)-MIN(ROW('Temp Hisfa'!Z$3:Z$200))+1), ROW(120:319))),"")</f>
        <v/>
      </c>
      <c r="AA122" s="22" t="str">
        <f t="array" ref="AA122">IFERROR(INDEX('Temp Hisfa'!AA$3:AA$200, SMALL(IF(ISERROR('Temp Hisfa'!AA$3:AA$200), "", ROW('Temp Hisfa'!AA$3:AA$200)-MIN(ROW('Temp Hisfa'!AA$3:AA$200))+1), ROW(120:319))),"")</f>
        <v/>
      </c>
      <c r="AB122" s="22" t="str">
        <f t="array" ref="AB122">IFERROR(INDEX('Temp Hisfa'!AB$3:AB$200, SMALL(IF(ISERROR('Temp Hisfa'!AB$3:AB$200), "", ROW('Temp Hisfa'!AB$3:AB$200)-MIN(ROW('Temp Hisfa'!AB$3:AB$200))+1), ROW(120:319))),"")</f>
        <v/>
      </c>
    </row>
    <row r="123" spans="1:28" x14ac:dyDescent="0.3">
      <c r="A123" s="4" t="str">
        <f t="array" ref="A123">IFERROR(INDEX('Temp Hisfa'!A$3:A$200, SMALL(IF(ISERROR('Temp Hisfa'!A$3:A$200), "", ROW('Temp Hisfa'!A$3:A$200)-MIN(ROW('Temp Hisfa'!A$3:A$200))+1), ROW(121:319))),"")</f>
        <v/>
      </c>
      <c r="B123" s="4" t="str">
        <f t="array" ref="B123">IFERROR(INDEX('Temp Hisfa'!B$3:B$200, SMALL(IF(ISERROR('Temp Hisfa'!B$3:B$200), "", ROW('Temp Hisfa'!B$3:B$200)-MIN(ROW('Temp Hisfa'!B$3:B$200))+1), ROW(121:319))),"")</f>
        <v/>
      </c>
      <c r="C123" s="3" t="str">
        <f t="array" ref="C123">IFERROR(INDEX('Temp Hisfa'!C$3:C$200, SMALL(IF(ISERROR('Temp Hisfa'!C$3:C$200), "", ROW('Temp Hisfa'!C$3:C$200)-MIN(ROW('Temp Hisfa'!C$3:C$200))+1), ROW(121:319))),"")</f>
        <v/>
      </c>
      <c r="D123" s="3" t="str">
        <f t="array" ref="D123">IFERROR(INDEX('Temp Hisfa'!D$3:D$200, SMALL(IF(ISERROR('Temp Hisfa'!D$3:D$200), "", ROW('Temp Hisfa'!D$3:D$200)-MIN(ROW('Temp Hisfa'!D$3:D$200))+1), ROW(121:319))),"")</f>
        <v/>
      </c>
      <c r="E123" s="29" t="str">
        <f t="array" ref="E123">IFERROR(INDEX('Temp Hisfa'!E$3:E$200, SMALL(IF(ISERROR('Temp Hisfa'!E$3:E$200), "", ROW('Temp Hisfa'!E$3:E$200)-MIN(ROW('Temp Hisfa'!E$3:E$200))+1), ROW(121:320))),"")</f>
        <v/>
      </c>
      <c r="F123" s="22" t="str">
        <f t="array" ref="F123">IFERROR(INDEX('Temp Hisfa'!F$3:F$200, SMALL(IF(ISERROR('Temp Hisfa'!F$3:F$200), "", ROW('Temp Hisfa'!F$3:F$200)-MIN(ROW('Temp Hisfa'!F$3:F$200))+1), ROW(121:320))),"")</f>
        <v/>
      </c>
      <c r="G123" s="30" t="str">
        <f t="array" ref="G123">IFERROR(INDEX('Temp Hisfa'!G$3:G$200, SMALL(IF(ISERROR('Temp Hisfa'!G$3:G$200), "", ROW('Temp Hisfa'!G$3:G$200)-MIN(ROW('Temp Hisfa'!G$3:G$200))+1), ROW(121:320))),"")</f>
        <v/>
      </c>
      <c r="H123" s="22" t="str">
        <f t="array" ref="H123">IFERROR(INDEX('Temp Hisfa'!H$3:H$200, SMALL(IF(ISERROR('Temp Hisfa'!H$3:H$200), "", ROW('Temp Hisfa'!H$3:H$200)-MIN(ROW('Temp Hisfa'!H$3:H$200))+1), ROW(121:320))),"")</f>
        <v/>
      </c>
      <c r="I123" s="22" t="str">
        <f t="array" ref="I123">IFERROR(INDEX('Temp Hisfa'!I$3:I$200, SMALL(IF(ISERROR('Temp Hisfa'!I$3:I$200), "", ROW('Temp Hisfa'!I$3:I$200)-MIN(ROW('Temp Hisfa'!I$3:I$200))+1), ROW(121:320))),"")</f>
        <v/>
      </c>
      <c r="J123" s="22" t="str">
        <f t="array" ref="J123">IFERROR(INDEX('Temp Hisfa'!J$3:J$200, SMALL(IF(ISERROR('Temp Hisfa'!J$3:J$200), "", ROW('Temp Hisfa'!J$3:J$200)-MIN(ROW('Temp Hisfa'!J$3:J$200))+1), ROW(121:320))),"")</f>
        <v/>
      </c>
      <c r="K123" s="30" t="str">
        <f t="array" ref="K123">IFERROR(INDEX('Temp Hisfa'!K$3:K$200, SMALL(IF(ISERROR('Temp Hisfa'!K$3:K$200), "", ROW('Temp Hisfa'!K$3:K$200)-MIN(ROW('Temp Hisfa'!K$3:K$200))+1), ROW(121:320))),"")</f>
        <v/>
      </c>
      <c r="L123" s="22" t="str">
        <f t="array" ref="L123">IFERROR(INDEX('Temp Hisfa'!L$3:L$200, SMALL(IF(ISERROR('Temp Hisfa'!L$3:L$200), "", ROW('Temp Hisfa'!L$3:L$200)-MIN(ROW('Temp Hisfa'!L$3:L$200))+1), ROW(121:320))),"")</f>
        <v/>
      </c>
      <c r="M123" s="22" t="str">
        <f t="array" ref="M123">IFERROR(INDEX('Temp Hisfa'!M$3:M$200, SMALL(IF(ISERROR('Temp Hisfa'!M$3:M$200), "", ROW('Temp Hisfa'!M$3:M$200)-MIN(ROW('Temp Hisfa'!M$3:M$200))+1), ROW(121:320))),"")</f>
        <v/>
      </c>
      <c r="N123" s="22" t="str">
        <f t="array" ref="N123">IFERROR(INDEX('Temp Hisfa'!N$3:N$200, SMALL(IF(ISERROR('Temp Hisfa'!N$3:N$200), "", ROW('Temp Hisfa'!N$3:N$200)-MIN(ROW('Temp Hisfa'!N$3:N$200))+1), ROW(121:320))),"")</f>
        <v/>
      </c>
      <c r="O123" s="22" t="str">
        <f t="array" ref="O123">IFERROR(INDEX('Temp Hisfa'!O$3:O$200, SMALL(IF(ISERROR('Temp Hisfa'!O$3:O$200), "", ROW('Temp Hisfa'!O$3:O$200)-MIN(ROW('Temp Hisfa'!O$3:O$200))+1), ROW(121:320))),"")</f>
        <v/>
      </c>
      <c r="P123" s="22" t="str">
        <f t="array" ref="P123">IFERROR(INDEX('Temp Hisfa'!P$3:P$200, SMALL(IF(ISERROR('Temp Hisfa'!P$3:P$200), "", ROW('Temp Hisfa'!P$3:P$200)-MIN(ROW('Temp Hisfa'!P$3:P$200))+1), ROW(121:320))),"")</f>
        <v/>
      </c>
      <c r="Q123" s="22" t="str">
        <f t="array" ref="Q123">IFERROR(INDEX('Temp Hisfa'!Q$3:Q$200, SMALL(IF(ISERROR('Temp Hisfa'!Q$3:Q$200), "", ROW('Temp Hisfa'!Q$3:Q$200)-MIN(ROW('Temp Hisfa'!Q$3:Q$200))+1), ROW(121:320))),"")</f>
        <v/>
      </c>
      <c r="R123" s="22" t="str">
        <f t="array" ref="R123">IFERROR(INDEX('Temp Hisfa'!R$3:R$200, SMALL(IF(ISERROR('Temp Hisfa'!R$3:R$200), "", ROW('Temp Hisfa'!R$3:R$200)-MIN(ROW('Temp Hisfa'!R$3:R$200))+1), ROW(121:320))),"")</f>
        <v/>
      </c>
      <c r="S123" s="22" t="str">
        <f t="array" ref="S123">IFERROR(INDEX('Temp Hisfa'!S$3:S$200, SMALL(IF(ISERROR('Temp Hisfa'!S$3:S$200), "", ROW('Temp Hisfa'!S$3:S$200)-MIN(ROW('Temp Hisfa'!S$3:S$200))+1), ROW(121:320))),"")</f>
        <v/>
      </c>
      <c r="T123" s="22" t="str">
        <f t="array" ref="T123">IFERROR(INDEX('Temp Hisfa'!T$3:T$200, SMALL(IF(ISERROR('Temp Hisfa'!T$3:T$200), "", ROW('Temp Hisfa'!T$3:T$200)-MIN(ROW('Temp Hisfa'!T$3:T$200))+1), ROW(121:320))),"")</f>
        <v/>
      </c>
      <c r="U123" s="22" t="str">
        <f t="array" ref="U123">IFERROR(INDEX('Temp Hisfa'!U$3:U$200, SMALL(IF(ISERROR('Temp Hisfa'!U$3:U$200), "", ROW('Temp Hisfa'!U$3:U$200)-MIN(ROW('Temp Hisfa'!U$3:U$200))+1), ROW(121:320))),"")</f>
        <v/>
      </c>
      <c r="V123" s="22" t="str">
        <f t="array" ref="V123">IFERROR(INDEX('Temp Hisfa'!V$3:V$200, SMALL(IF(ISERROR('Temp Hisfa'!V$3:V$200), "", ROW('Temp Hisfa'!V$3:V$200)-MIN(ROW('Temp Hisfa'!V$3:V$200))+1), ROW(121:320))),"")</f>
        <v/>
      </c>
      <c r="W123" s="22" t="str">
        <f t="array" ref="W123">IFERROR(INDEX('Temp Hisfa'!W$3:W$200, SMALL(IF(ISERROR('Temp Hisfa'!W$3:W$200), "", ROW('Temp Hisfa'!W$3:W$200)-MIN(ROW('Temp Hisfa'!W$3:W$200))+1), ROW(121:320))),"")</f>
        <v/>
      </c>
      <c r="X123" s="22" t="str">
        <f t="array" ref="X123">IFERROR(INDEX('Temp Hisfa'!X$3:X$200, SMALL(IF(ISERROR('Temp Hisfa'!X$3:X$200), "", ROW('Temp Hisfa'!X$3:X$200)-MIN(ROW('Temp Hisfa'!X$3:X$200))+1), ROW(121:320))),"")</f>
        <v/>
      </c>
      <c r="Y123" s="22" t="str">
        <f t="array" ref="Y123">IFERROR(INDEX('Temp Hisfa'!Y$3:Y$200, SMALL(IF(ISERROR('Temp Hisfa'!Y$3:Y$200), "", ROW('Temp Hisfa'!Y$3:Y$200)-MIN(ROW('Temp Hisfa'!Y$3:Y$200))+1), ROW(121:320))),"")</f>
        <v/>
      </c>
      <c r="Z123" s="22" t="str">
        <f t="array" ref="Z123">IFERROR(INDEX('Temp Hisfa'!Z$3:Z$200, SMALL(IF(ISERROR('Temp Hisfa'!Z$3:Z$200), "", ROW('Temp Hisfa'!Z$3:Z$200)-MIN(ROW('Temp Hisfa'!Z$3:Z$200))+1), ROW(121:320))),"")</f>
        <v/>
      </c>
      <c r="AA123" s="22" t="str">
        <f t="array" ref="AA123">IFERROR(INDEX('Temp Hisfa'!AA$3:AA$200, SMALL(IF(ISERROR('Temp Hisfa'!AA$3:AA$200), "", ROW('Temp Hisfa'!AA$3:AA$200)-MIN(ROW('Temp Hisfa'!AA$3:AA$200))+1), ROW(121:320))),"")</f>
        <v/>
      </c>
      <c r="AB123" s="22" t="str">
        <f t="array" ref="AB123">IFERROR(INDEX('Temp Hisfa'!AB$3:AB$200, SMALL(IF(ISERROR('Temp Hisfa'!AB$3:AB$200), "", ROW('Temp Hisfa'!AB$3:AB$200)-MIN(ROW('Temp Hisfa'!AB$3:AB$200))+1), ROW(121:320))),"")</f>
        <v/>
      </c>
    </row>
    <row r="124" spans="1:28" x14ac:dyDescent="0.3">
      <c r="A124" s="4" t="str">
        <f t="array" ref="A124">IFERROR(INDEX('Temp Hisfa'!A$3:A$200, SMALL(IF(ISERROR('Temp Hisfa'!A$3:A$200), "", ROW('Temp Hisfa'!A$3:A$200)-MIN(ROW('Temp Hisfa'!A$3:A$200))+1), ROW(122:320))),"")</f>
        <v/>
      </c>
      <c r="B124" s="4" t="str">
        <f t="array" ref="B124">IFERROR(INDEX('Temp Hisfa'!B$3:B$200, SMALL(IF(ISERROR('Temp Hisfa'!B$3:B$200), "", ROW('Temp Hisfa'!B$3:B$200)-MIN(ROW('Temp Hisfa'!B$3:B$200))+1), ROW(122:320))),"")</f>
        <v/>
      </c>
      <c r="C124" s="3" t="str">
        <f t="array" ref="C124">IFERROR(INDEX('Temp Hisfa'!C$3:C$200, SMALL(IF(ISERROR('Temp Hisfa'!C$3:C$200), "", ROW('Temp Hisfa'!C$3:C$200)-MIN(ROW('Temp Hisfa'!C$3:C$200))+1), ROW(122:320))),"")</f>
        <v/>
      </c>
      <c r="D124" s="3" t="str">
        <f t="array" ref="D124">IFERROR(INDEX('Temp Hisfa'!D$3:D$200, SMALL(IF(ISERROR('Temp Hisfa'!D$3:D$200), "", ROW('Temp Hisfa'!D$3:D$200)-MIN(ROW('Temp Hisfa'!D$3:D$200))+1), ROW(122:320))),"")</f>
        <v/>
      </c>
      <c r="E124" s="29" t="str">
        <f t="array" ref="E124">IFERROR(INDEX('Temp Hisfa'!E$3:E$200, SMALL(IF(ISERROR('Temp Hisfa'!E$3:E$200), "", ROW('Temp Hisfa'!E$3:E$200)-MIN(ROW('Temp Hisfa'!E$3:E$200))+1), ROW(122:321))),"")</f>
        <v/>
      </c>
      <c r="F124" s="22" t="str">
        <f t="array" ref="F124">IFERROR(INDEX('Temp Hisfa'!F$3:F$200, SMALL(IF(ISERROR('Temp Hisfa'!F$3:F$200), "", ROW('Temp Hisfa'!F$3:F$200)-MIN(ROW('Temp Hisfa'!F$3:F$200))+1), ROW(122:321))),"")</f>
        <v/>
      </c>
      <c r="G124" s="30" t="str">
        <f t="array" ref="G124">IFERROR(INDEX('Temp Hisfa'!G$3:G$200, SMALL(IF(ISERROR('Temp Hisfa'!G$3:G$200), "", ROW('Temp Hisfa'!G$3:G$200)-MIN(ROW('Temp Hisfa'!G$3:G$200))+1), ROW(122:321))),"")</f>
        <v/>
      </c>
      <c r="H124" s="22" t="str">
        <f t="array" ref="H124">IFERROR(INDEX('Temp Hisfa'!H$3:H$200, SMALL(IF(ISERROR('Temp Hisfa'!H$3:H$200), "", ROW('Temp Hisfa'!H$3:H$200)-MIN(ROW('Temp Hisfa'!H$3:H$200))+1), ROW(122:321))),"")</f>
        <v/>
      </c>
      <c r="I124" s="22" t="str">
        <f t="array" ref="I124">IFERROR(INDEX('Temp Hisfa'!I$3:I$200, SMALL(IF(ISERROR('Temp Hisfa'!I$3:I$200), "", ROW('Temp Hisfa'!I$3:I$200)-MIN(ROW('Temp Hisfa'!I$3:I$200))+1), ROW(122:321))),"")</f>
        <v/>
      </c>
      <c r="J124" s="22" t="str">
        <f t="array" ref="J124">IFERROR(INDEX('Temp Hisfa'!J$3:J$200, SMALL(IF(ISERROR('Temp Hisfa'!J$3:J$200), "", ROW('Temp Hisfa'!J$3:J$200)-MIN(ROW('Temp Hisfa'!J$3:J$200))+1), ROW(122:321))),"")</f>
        <v/>
      </c>
      <c r="K124" s="30" t="str">
        <f t="array" ref="K124">IFERROR(INDEX('Temp Hisfa'!K$3:K$200, SMALL(IF(ISERROR('Temp Hisfa'!K$3:K$200), "", ROW('Temp Hisfa'!K$3:K$200)-MIN(ROW('Temp Hisfa'!K$3:K$200))+1), ROW(122:321))),"")</f>
        <v/>
      </c>
      <c r="L124" s="22" t="str">
        <f t="array" ref="L124">IFERROR(INDEX('Temp Hisfa'!L$3:L$200, SMALL(IF(ISERROR('Temp Hisfa'!L$3:L$200), "", ROW('Temp Hisfa'!L$3:L$200)-MIN(ROW('Temp Hisfa'!L$3:L$200))+1), ROW(122:321))),"")</f>
        <v/>
      </c>
      <c r="M124" s="22" t="str">
        <f t="array" ref="M124">IFERROR(INDEX('Temp Hisfa'!M$3:M$200, SMALL(IF(ISERROR('Temp Hisfa'!M$3:M$200), "", ROW('Temp Hisfa'!M$3:M$200)-MIN(ROW('Temp Hisfa'!M$3:M$200))+1), ROW(122:321))),"")</f>
        <v/>
      </c>
      <c r="N124" s="22" t="str">
        <f t="array" ref="N124">IFERROR(INDEX('Temp Hisfa'!N$3:N$200, SMALL(IF(ISERROR('Temp Hisfa'!N$3:N$200), "", ROW('Temp Hisfa'!N$3:N$200)-MIN(ROW('Temp Hisfa'!N$3:N$200))+1), ROW(122:321))),"")</f>
        <v/>
      </c>
      <c r="O124" s="22" t="str">
        <f t="array" ref="O124">IFERROR(INDEX('Temp Hisfa'!O$3:O$200, SMALL(IF(ISERROR('Temp Hisfa'!O$3:O$200), "", ROW('Temp Hisfa'!O$3:O$200)-MIN(ROW('Temp Hisfa'!O$3:O$200))+1), ROW(122:321))),"")</f>
        <v/>
      </c>
      <c r="P124" s="22" t="str">
        <f t="array" ref="P124">IFERROR(INDEX('Temp Hisfa'!P$3:P$200, SMALL(IF(ISERROR('Temp Hisfa'!P$3:P$200), "", ROW('Temp Hisfa'!P$3:P$200)-MIN(ROW('Temp Hisfa'!P$3:P$200))+1), ROW(122:321))),"")</f>
        <v/>
      </c>
      <c r="Q124" s="22" t="str">
        <f t="array" ref="Q124">IFERROR(INDEX('Temp Hisfa'!Q$3:Q$200, SMALL(IF(ISERROR('Temp Hisfa'!Q$3:Q$200), "", ROW('Temp Hisfa'!Q$3:Q$200)-MIN(ROW('Temp Hisfa'!Q$3:Q$200))+1), ROW(122:321))),"")</f>
        <v/>
      </c>
      <c r="R124" s="22" t="str">
        <f t="array" ref="R124">IFERROR(INDEX('Temp Hisfa'!R$3:R$200, SMALL(IF(ISERROR('Temp Hisfa'!R$3:R$200), "", ROW('Temp Hisfa'!R$3:R$200)-MIN(ROW('Temp Hisfa'!R$3:R$200))+1), ROW(122:321))),"")</f>
        <v/>
      </c>
      <c r="S124" s="22" t="str">
        <f t="array" ref="S124">IFERROR(INDEX('Temp Hisfa'!S$3:S$200, SMALL(IF(ISERROR('Temp Hisfa'!S$3:S$200), "", ROW('Temp Hisfa'!S$3:S$200)-MIN(ROW('Temp Hisfa'!S$3:S$200))+1), ROW(122:321))),"")</f>
        <v/>
      </c>
      <c r="T124" s="22" t="str">
        <f t="array" ref="T124">IFERROR(INDEX('Temp Hisfa'!T$3:T$200, SMALL(IF(ISERROR('Temp Hisfa'!T$3:T$200), "", ROW('Temp Hisfa'!T$3:T$200)-MIN(ROW('Temp Hisfa'!T$3:T$200))+1), ROW(122:321))),"")</f>
        <v/>
      </c>
      <c r="U124" s="22" t="str">
        <f t="array" ref="U124">IFERROR(INDEX('Temp Hisfa'!U$3:U$200, SMALL(IF(ISERROR('Temp Hisfa'!U$3:U$200), "", ROW('Temp Hisfa'!U$3:U$200)-MIN(ROW('Temp Hisfa'!U$3:U$200))+1), ROW(122:321))),"")</f>
        <v/>
      </c>
      <c r="V124" s="22" t="str">
        <f t="array" ref="V124">IFERROR(INDEX('Temp Hisfa'!V$3:V$200, SMALL(IF(ISERROR('Temp Hisfa'!V$3:V$200), "", ROW('Temp Hisfa'!V$3:V$200)-MIN(ROW('Temp Hisfa'!V$3:V$200))+1), ROW(122:321))),"")</f>
        <v/>
      </c>
      <c r="W124" s="22" t="str">
        <f t="array" ref="W124">IFERROR(INDEX('Temp Hisfa'!W$3:W$200, SMALL(IF(ISERROR('Temp Hisfa'!W$3:W$200), "", ROW('Temp Hisfa'!W$3:W$200)-MIN(ROW('Temp Hisfa'!W$3:W$200))+1), ROW(122:321))),"")</f>
        <v/>
      </c>
      <c r="X124" s="22" t="str">
        <f t="array" ref="X124">IFERROR(INDEX('Temp Hisfa'!X$3:X$200, SMALL(IF(ISERROR('Temp Hisfa'!X$3:X$200), "", ROW('Temp Hisfa'!X$3:X$200)-MIN(ROW('Temp Hisfa'!X$3:X$200))+1), ROW(122:321))),"")</f>
        <v/>
      </c>
      <c r="Y124" s="22" t="str">
        <f t="array" ref="Y124">IFERROR(INDEX('Temp Hisfa'!Y$3:Y$200, SMALL(IF(ISERROR('Temp Hisfa'!Y$3:Y$200), "", ROW('Temp Hisfa'!Y$3:Y$200)-MIN(ROW('Temp Hisfa'!Y$3:Y$200))+1), ROW(122:321))),"")</f>
        <v/>
      </c>
      <c r="Z124" s="22" t="str">
        <f t="array" ref="Z124">IFERROR(INDEX('Temp Hisfa'!Z$3:Z$200, SMALL(IF(ISERROR('Temp Hisfa'!Z$3:Z$200), "", ROW('Temp Hisfa'!Z$3:Z$200)-MIN(ROW('Temp Hisfa'!Z$3:Z$200))+1), ROW(122:321))),"")</f>
        <v/>
      </c>
      <c r="AA124" s="22" t="str">
        <f t="array" ref="AA124">IFERROR(INDEX('Temp Hisfa'!AA$3:AA$200, SMALL(IF(ISERROR('Temp Hisfa'!AA$3:AA$200), "", ROW('Temp Hisfa'!AA$3:AA$200)-MIN(ROW('Temp Hisfa'!AA$3:AA$200))+1), ROW(122:321))),"")</f>
        <v/>
      </c>
      <c r="AB124" s="22" t="str">
        <f t="array" ref="AB124">IFERROR(INDEX('Temp Hisfa'!AB$3:AB$200, SMALL(IF(ISERROR('Temp Hisfa'!AB$3:AB$200), "", ROW('Temp Hisfa'!AB$3:AB$200)-MIN(ROW('Temp Hisfa'!AB$3:AB$200))+1), ROW(122:321))),"")</f>
        <v/>
      </c>
    </row>
    <row r="125" spans="1:28" x14ac:dyDescent="0.3">
      <c r="A125" s="4" t="str">
        <f t="array" ref="A125">IFERROR(INDEX('Temp Hisfa'!A$3:A$200, SMALL(IF(ISERROR('Temp Hisfa'!A$3:A$200), "", ROW('Temp Hisfa'!A$3:A$200)-MIN(ROW('Temp Hisfa'!A$3:A$200))+1), ROW(123:321))),"")</f>
        <v/>
      </c>
      <c r="B125" s="4" t="str">
        <f t="array" ref="B125">IFERROR(INDEX('Temp Hisfa'!B$3:B$200, SMALL(IF(ISERROR('Temp Hisfa'!B$3:B$200), "", ROW('Temp Hisfa'!B$3:B$200)-MIN(ROW('Temp Hisfa'!B$3:B$200))+1), ROW(123:321))),"")</f>
        <v/>
      </c>
      <c r="C125" s="3" t="str">
        <f t="array" ref="C125">IFERROR(INDEX('Temp Hisfa'!C$3:C$200, SMALL(IF(ISERROR('Temp Hisfa'!C$3:C$200), "", ROW('Temp Hisfa'!C$3:C$200)-MIN(ROW('Temp Hisfa'!C$3:C$200))+1), ROW(123:321))),"")</f>
        <v/>
      </c>
      <c r="D125" s="3" t="str">
        <f t="array" ref="D125">IFERROR(INDEX('Temp Hisfa'!D$3:D$200, SMALL(IF(ISERROR('Temp Hisfa'!D$3:D$200), "", ROW('Temp Hisfa'!D$3:D$200)-MIN(ROW('Temp Hisfa'!D$3:D$200))+1), ROW(123:321))),"")</f>
        <v/>
      </c>
      <c r="E125" s="29" t="str">
        <f t="array" ref="E125">IFERROR(INDEX('Temp Hisfa'!E$3:E$200, SMALL(IF(ISERROR('Temp Hisfa'!E$3:E$200), "", ROW('Temp Hisfa'!E$3:E$200)-MIN(ROW('Temp Hisfa'!E$3:E$200))+1), ROW(123:322))),"")</f>
        <v/>
      </c>
      <c r="F125" s="22" t="str">
        <f t="array" ref="F125">IFERROR(INDEX('Temp Hisfa'!F$3:F$200, SMALL(IF(ISERROR('Temp Hisfa'!F$3:F$200), "", ROW('Temp Hisfa'!F$3:F$200)-MIN(ROW('Temp Hisfa'!F$3:F$200))+1), ROW(123:322))),"")</f>
        <v/>
      </c>
      <c r="G125" s="30" t="str">
        <f t="array" ref="G125">IFERROR(INDEX('Temp Hisfa'!G$3:G$200, SMALL(IF(ISERROR('Temp Hisfa'!G$3:G$200), "", ROW('Temp Hisfa'!G$3:G$200)-MIN(ROW('Temp Hisfa'!G$3:G$200))+1), ROW(123:322))),"")</f>
        <v/>
      </c>
      <c r="H125" s="22" t="str">
        <f t="array" ref="H125">IFERROR(INDEX('Temp Hisfa'!H$3:H$200, SMALL(IF(ISERROR('Temp Hisfa'!H$3:H$200), "", ROW('Temp Hisfa'!H$3:H$200)-MIN(ROW('Temp Hisfa'!H$3:H$200))+1), ROW(123:322))),"")</f>
        <v/>
      </c>
      <c r="I125" s="22" t="str">
        <f t="array" ref="I125">IFERROR(INDEX('Temp Hisfa'!I$3:I$200, SMALL(IF(ISERROR('Temp Hisfa'!I$3:I$200), "", ROW('Temp Hisfa'!I$3:I$200)-MIN(ROW('Temp Hisfa'!I$3:I$200))+1), ROW(123:322))),"")</f>
        <v/>
      </c>
      <c r="J125" s="22" t="str">
        <f t="array" ref="J125">IFERROR(INDEX('Temp Hisfa'!J$3:J$200, SMALL(IF(ISERROR('Temp Hisfa'!J$3:J$200), "", ROW('Temp Hisfa'!J$3:J$200)-MIN(ROW('Temp Hisfa'!J$3:J$200))+1), ROW(123:322))),"")</f>
        <v/>
      </c>
      <c r="K125" s="30" t="str">
        <f t="array" ref="K125">IFERROR(INDEX('Temp Hisfa'!K$3:K$200, SMALL(IF(ISERROR('Temp Hisfa'!K$3:K$200), "", ROW('Temp Hisfa'!K$3:K$200)-MIN(ROW('Temp Hisfa'!K$3:K$200))+1), ROW(123:322))),"")</f>
        <v/>
      </c>
      <c r="L125" s="22" t="str">
        <f t="array" ref="L125">IFERROR(INDEX('Temp Hisfa'!L$3:L$200, SMALL(IF(ISERROR('Temp Hisfa'!L$3:L$200), "", ROW('Temp Hisfa'!L$3:L$200)-MIN(ROW('Temp Hisfa'!L$3:L$200))+1), ROW(123:322))),"")</f>
        <v/>
      </c>
      <c r="M125" s="22" t="str">
        <f t="array" ref="M125">IFERROR(INDEX('Temp Hisfa'!M$3:M$200, SMALL(IF(ISERROR('Temp Hisfa'!M$3:M$200), "", ROW('Temp Hisfa'!M$3:M$200)-MIN(ROW('Temp Hisfa'!M$3:M$200))+1), ROW(123:322))),"")</f>
        <v/>
      </c>
      <c r="N125" s="22" t="str">
        <f t="array" ref="N125">IFERROR(INDEX('Temp Hisfa'!N$3:N$200, SMALL(IF(ISERROR('Temp Hisfa'!N$3:N$200), "", ROW('Temp Hisfa'!N$3:N$200)-MIN(ROW('Temp Hisfa'!N$3:N$200))+1), ROW(123:322))),"")</f>
        <v/>
      </c>
      <c r="O125" s="22" t="str">
        <f t="array" ref="O125">IFERROR(INDEX('Temp Hisfa'!O$3:O$200, SMALL(IF(ISERROR('Temp Hisfa'!O$3:O$200), "", ROW('Temp Hisfa'!O$3:O$200)-MIN(ROW('Temp Hisfa'!O$3:O$200))+1), ROW(123:322))),"")</f>
        <v/>
      </c>
      <c r="P125" s="22" t="str">
        <f t="array" ref="P125">IFERROR(INDEX('Temp Hisfa'!P$3:P$200, SMALL(IF(ISERROR('Temp Hisfa'!P$3:P$200), "", ROW('Temp Hisfa'!P$3:P$200)-MIN(ROW('Temp Hisfa'!P$3:P$200))+1), ROW(123:322))),"")</f>
        <v/>
      </c>
      <c r="Q125" s="22" t="str">
        <f t="array" ref="Q125">IFERROR(INDEX('Temp Hisfa'!Q$3:Q$200, SMALL(IF(ISERROR('Temp Hisfa'!Q$3:Q$200), "", ROW('Temp Hisfa'!Q$3:Q$200)-MIN(ROW('Temp Hisfa'!Q$3:Q$200))+1), ROW(123:322))),"")</f>
        <v/>
      </c>
      <c r="R125" s="22" t="str">
        <f t="array" ref="R125">IFERROR(INDEX('Temp Hisfa'!R$3:R$200, SMALL(IF(ISERROR('Temp Hisfa'!R$3:R$200), "", ROW('Temp Hisfa'!R$3:R$200)-MIN(ROW('Temp Hisfa'!R$3:R$200))+1), ROW(123:322))),"")</f>
        <v/>
      </c>
      <c r="S125" s="22" t="str">
        <f t="array" ref="S125">IFERROR(INDEX('Temp Hisfa'!S$3:S$200, SMALL(IF(ISERROR('Temp Hisfa'!S$3:S$200), "", ROW('Temp Hisfa'!S$3:S$200)-MIN(ROW('Temp Hisfa'!S$3:S$200))+1), ROW(123:322))),"")</f>
        <v/>
      </c>
      <c r="T125" s="22" t="str">
        <f t="array" ref="T125">IFERROR(INDEX('Temp Hisfa'!T$3:T$200, SMALL(IF(ISERROR('Temp Hisfa'!T$3:T$200), "", ROW('Temp Hisfa'!T$3:T$200)-MIN(ROW('Temp Hisfa'!T$3:T$200))+1), ROW(123:322))),"")</f>
        <v/>
      </c>
      <c r="U125" s="22" t="str">
        <f t="array" ref="U125">IFERROR(INDEX('Temp Hisfa'!U$3:U$200, SMALL(IF(ISERROR('Temp Hisfa'!U$3:U$200), "", ROW('Temp Hisfa'!U$3:U$200)-MIN(ROW('Temp Hisfa'!U$3:U$200))+1), ROW(123:322))),"")</f>
        <v/>
      </c>
      <c r="V125" s="22" t="str">
        <f t="array" ref="V125">IFERROR(INDEX('Temp Hisfa'!V$3:V$200, SMALL(IF(ISERROR('Temp Hisfa'!V$3:V$200), "", ROW('Temp Hisfa'!V$3:V$200)-MIN(ROW('Temp Hisfa'!V$3:V$200))+1), ROW(123:322))),"")</f>
        <v/>
      </c>
      <c r="W125" s="22" t="str">
        <f t="array" ref="W125">IFERROR(INDEX('Temp Hisfa'!W$3:W$200, SMALL(IF(ISERROR('Temp Hisfa'!W$3:W$200), "", ROW('Temp Hisfa'!W$3:W$200)-MIN(ROW('Temp Hisfa'!W$3:W$200))+1), ROW(123:322))),"")</f>
        <v/>
      </c>
      <c r="X125" s="22" t="str">
        <f t="array" ref="X125">IFERROR(INDEX('Temp Hisfa'!X$3:X$200, SMALL(IF(ISERROR('Temp Hisfa'!X$3:X$200), "", ROW('Temp Hisfa'!X$3:X$200)-MIN(ROW('Temp Hisfa'!X$3:X$200))+1), ROW(123:322))),"")</f>
        <v/>
      </c>
      <c r="Y125" s="22" t="str">
        <f t="array" ref="Y125">IFERROR(INDEX('Temp Hisfa'!Y$3:Y$200, SMALL(IF(ISERROR('Temp Hisfa'!Y$3:Y$200), "", ROW('Temp Hisfa'!Y$3:Y$200)-MIN(ROW('Temp Hisfa'!Y$3:Y$200))+1), ROW(123:322))),"")</f>
        <v/>
      </c>
      <c r="Z125" s="22" t="str">
        <f t="array" ref="Z125">IFERROR(INDEX('Temp Hisfa'!Z$3:Z$200, SMALL(IF(ISERROR('Temp Hisfa'!Z$3:Z$200), "", ROW('Temp Hisfa'!Z$3:Z$200)-MIN(ROW('Temp Hisfa'!Z$3:Z$200))+1), ROW(123:322))),"")</f>
        <v/>
      </c>
      <c r="AA125" s="22" t="str">
        <f t="array" ref="AA125">IFERROR(INDEX('Temp Hisfa'!AA$3:AA$200, SMALL(IF(ISERROR('Temp Hisfa'!AA$3:AA$200), "", ROW('Temp Hisfa'!AA$3:AA$200)-MIN(ROW('Temp Hisfa'!AA$3:AA$200))+1), ROW(123:322))),"")</f>
        <v/>
      </c>
      <c r="AB125" s="22" t="str">
        <f t="array" ref="AB125">IFERROR(INDEX('Temp Hisfa'!AB$3:AB$200, SMALL(IF(ISERROR('Temp Hisfa'!AB$3:AB$200), "", ROW('Temp Hisfa'!AB$3:AB$200)-MIN(ROW('Temp Hisfa'!AB$3:AB$200))+1), ROW(123:322))),"")</f>
        <v/>
      </c>
    </row>
    <row r="126" spans="1:28" x14ac:dyDescent="0.3">
      <c r="A126" s="4" t="str">
        <f t="array" ref="A126">IFERROR(INDEX('Temp Hisfa'!A$3:A$200, SMALL(IF(ISERROR('Temp Hisfa'!A$3:A$200), "", ROW('Temp Hisfa'!A$3:A$200)-MIN(ROW('Temp Hisfa'!A$3:A$200))+1), ROW(124:322))),"")</f>
        <v/>
      </c>
      <c r="B126" s="4" t="str">
        <f t="array" ref="B126">IFERROR(INDEX('Temp Hisfa'!B$3:B$200, SMALL(IF(ISERROR('Temp Hisfa'!B$3:B$200), "", ROW('Temp Hisfa'!B$3:B$200)-MIN(ROW('Temp Hisfa'!B$3:B$200))+1), ROW(124:322))),"")</f>
        <v/>
      </c>
      <c r="C126" s="3" t="str">
        <f t="array" ref="C126">IFERROR(INDEX('Temp Hisfa'!C$3:C$200, SMALL(IF(ISERROR('Temp Hisfa'!C$3:C$200), "", ROW('Temp Hisfa'!C$3:C$200)-MIN(ROW('Temp Hisfa'!C$3:C$200))+1), ROW(124:322))),"")</f>
        <v/>
      </c>
      <c r="D126" s="3" t="str">
        <f t="array" ref="D126">IFERROR(INDEX('Temp Hisfa'!D$3:D$200, SMALL(IF(ISERROR('Temp Hisfa'!D$3:D$200), "", ROW('Temp Hisfa'!D$3:D$200)-MIN(ROW('Temp Hisfa'!D$3:D$200))+1), ROW(124:322))),"")</f>
        <v/>
      </c>
      <c r="E126" s="29" t="str">
        <f t="array" ref="E126">IFERROR(INDEX('Temp Hisfa'!E$3:E$200, SMALL(IF(ISERROR('Temp Hisfa'!E$3:E$200), "", ROW('Temp Hisfa'!E$3:E$200)-MIN(ROW('Temp Hisfa'!E$3:E$200))+1), ROW(124:323))),"")</f>
        <v/>
      </c>
      <c r="F126" s="22" t="str">
        <f t="array" ref="F126">IFERROR(INDEX('Temp Hisfa'!F$3:F$200, SMALL(IF(ISERROR('Temp Hisfa'!F$3:F$200), "", ROW('Temp Hisfa'!F$3:F$200)-MIN(ROW('Temp Hisfa'!F$3:F$200))+1), ROW(124:323))),"")</f>
        <v/>
      </c>
      <c r="G126" s="30" t="str">
        <f t="array" ref="G126">IFERROR(INDEX('Temp Hisfa'!G$3:G$200, SMALL(IF(ISERROR('Temp Hisfa'!G$3:G$200), "", ROW('Temp Hisfa'!G$3:G$200)-MIN(ROW('Temp Hisfa'!G$3:G$200))+1), ROW(124:323))),"")</f>
        <v/>
      </c>
      <c r="H126" s="22" t="str">
        <f t="array" ref="H126">IFERROR(INDEX('Temp Hisfa'!H$3:H$200, SMALL(IF(ISERROR('Temp Hisfa'!H$3:H$200), "", ROW('Temp Hisfa'!H$3:H$200)-MIN(ROW('Temp Hisfa'!H$3:H$200))+1), ROW(124:323))),"")</f>
        <v/>
      </c>
      <c r="I126" s="22" t="str">
        <f t="array" ref="I126">IFERROR(INDEX('Temp Hisfa'!I$3:I$200, SMALL(IF(ISERROR('Temp Hisfa'!I$3:I$200), "", ROW('Temp Hisfa'!I$3:I$200)-MIN(ROW('Temp Hisfa'!I$3:I$200))+1), ROW(124:323))),"")</f>
        <v/>
      </c>
      <c r="J126" s="22" t="str">
        <f t="array" ref="J126">IFERROR(INDEX('Temp Hisfa'!J$3:J$200, SMALL(IF(ISERROR('Temp Hisfa'!J$3:J$200), "", ROW('Temp Hisfa'!J$3:J$200)-MIN(ROW('Temp Hisfa'!J$3:J$200))+1), ROW(124:323))),"")</f>
        <v/>
      </c>
      <c r="K126" s="30" t="str">
        <f t="array" ref="K126">IFERROR(INDEX('Temp Hisfa'!K$3:K$200, SMALL(IF(ISERROR('Temp Hisfa'!K$3:K$200), "", ROW('Temp Hisfa'!K$3:K$200)-MIN(ROW('Temp Hisfa'!K$3:K$200))+1), ROW(124:323))),"")</f>
        <v/>
      </c>
      <c r="L126" s="22" t="str">
        <f t="array" ref="L126">IFERROR(INDEX('Temp Hisfa'!L$3:L$200, SMALL(IF(ISERROR('Temp Hisfa'!L$3:L$200), "", ROW('Temp Hisfa'!L$3:L$200)-MIN(ROW('Temp Hisfa'!L$3:L$200))+1), ROW(124:323))),"")</f>
        <v/>
      </c>
      <c r="M126" s="22" t="str">
        <f t="array" ref="M126">IFERROR(INDEX('Temp Hisfa'!M$3:M$200, SMALL(IF(ISERROR('Temp Hisfa'!M$3:M$200), "", ROW('Temp Hisfa'!M$3:M$200)-MIN(ROW('Temp Hisfa'!M$3:M$200))+1), ROW(124:323))),"")</f>
        <v/>
      </c>
      <c r="N126" s="22" t="str">
        <f t="array" ref="N126">IFERROR(INDEX('Temp Hisfa'!N$3:N$200, SMALL(IF(ISERROR('Temp Hisfa'!N$3:N$200), "", ROW('Temp Hisfa'!N$3:N$200)-MIN(ROW('Temp Hisfa'!N$3:N$200))+1), ROW(124:323))),"")</f>
        <v/>
      </c>
      <c r="O126" s="22" t="str">
        <f t="array" ref="O126">IFERROR(INDEX('Temp Hisfa'!O$3:O$200, SMALL(IF(ISERROR('Temp Hisfa'!O$3:O$200), "", ROW('Temp Hisfa'!O$3:O$200)-MIN(ROW('Temp Hisfa'!O$3:O$200))+1), ROW(124:323))),"")</f>
        <v/>
      </c>
      <c r="P126" s="22" t="str">
        <f t="array" ref="P126">IFERROR(INDEX('Temp Hisfa'!P$3:P$200, SMALL(IF(ISERROR('Temp Hisfa'!P$3:P$200), "", ROW('Temp Hisfa'!P$3:P$200)-MIN(ROW('Temp Hisfa'!P$3:P$200))+1), ROW(124:323))),"")</f>
        <v/>
      </c>
      <c r="Q126" s="22" t="str">
        <f t="array" ref="Q126">IFERROR(INDEX('Temp Hisfa'!Q$3:Q$200, SMALL(IF(ISERROR('Temp Hisfa'!Q$3:Q$200), "", ROW('Temp Hisfa'!Q$3:Q$200)-MIN(ROW('Temp Hisfa'!Q$3:Q$200))+1), ROW(124:323))),"")</f>
        <v/>
      </c>
      <c r="R126" s="22" t="str">
        <f t="array" ref="R126">IFERROR(INDEX('Temp Hisfa'!R$3:R$200, SMALL(IF(ISERROR('Temp Hisfa'!R$3:R$200), "", ROW('Temp Hisfa'!R$3:R$200)-MIN(ROW('Temp Hisfa'!R$3:R$200))+1), ROW(124:323))),"")</f>
        <v/>
      </c>
      <c r="S126" s="22" t="str">
        <f t="array" ref="S126">IFERROR(INDEX('Temp Hisfa'!S$3:S$200, SMALL(IF(ISERROR('Temp Hisfa'!S$3:S$200), "", ROW('Temp Hisfa'!S$3:S$200)-MIN(ROW('Temp Hisfa'!S$3:S$200))+1), ROW(124:323))),"")</f>
        <v/>
      </c>
      <c r="T126" s="22" t="str">
        <f t="array" ref="T126">IFERROR(INDEX('Temp Hisfa'!T$3:T$200, SMALL(IF(ISERROR('Temp Hisfa'!T$3:T$200), "", ROW('Temp Hisfa'!T$3:T$200)-MIN(ROW('Temp Hisfa'!T$3:T$200))+1), ROW(124:323))),"")</f>
        <v/>
      </c>
      <c r="U126" s="22" t="str">
        <f t="array" ref="U126">IFERROR(INDEX('Temp Hisfa'!U$3:U$200, SMALL(IF(ISERROR('Temp Hisfa'!U$3:U$200), "", ROW('Temp Hisfa'!U$3:U$200)-MIN(ROW('Temp Hisfa'!U$3:U$200))+1), ROW(124:323))),"")</f>
        <v/>
      </c>
      <c r="V126" s="22" t="str">
        <f t="array" ref="V126">IFERROR(INDEX('Temp Hisfa'!V$3:V$200, SMALL(IF(ISERROR('Temp Hisfa'!V$3:V$200), "", ROW('Temp Hisfa'!V$3:V$200)-MIN(ROW('Temp Hisfa'!V$3:V$200))+1), ROW(124:323))),"")</f>
        <v/>
      </c>
      <c r="W126" s="22" t="str">
        <f t="array" ref="W126">IFERROR(INDEX('Temp Hisfa'!W$3:W$200, SMALL(IF(ISERROR('Temp Hisfa'!W$3:W$200), "", ROW('Temp Hisfa'!W$3:W$200)-MIN(ROW('Temp Hisfa'!W$3:W$200))+1), ROW(124:323))),"")</f>
        <v/>
      </c>
      <c r="X126" s="22" t="str">
        <f t="array" ref="X126">IFERROR(INDEX('Temp Hisfa'!X$3:X$200, SMALL(IF(ISERROR('Temp Hisfa'!X$3:X$200), "", ROW('Temp Hisfa'!X$3:X$200)-MIN(ROW('Temp Hisfa'!X$3:X$200))+1), ROW(124:323))),"")</f>
        <v/>
      </c>
      <c r="Y126" s="22" t="str">
        <f t="array" ref="Y126">IFERROR(INDEX('Temp Hisfa'!Y$3:Y$200, SMALL(IF(ISERROR('Temp Hisfa'!Y$3:Y$200), "", ROW('Temp Hisfa'!Y$3:Y$200)-MIN(ROW('Temp Hisfa'!Y$3:Y$200))+1), ROW(124:323))),"")</f>
        <v/>
      </c>
      <c r="Z126" s="22" t="str">
        <f t="array" ref="Z126">IFERROR(INDEX('Temp Hisfa'!Z$3:Z$200, SMALL(IF(ISERROR('Temp Hisfa'!Z$3:Z$200), "", ROW('Temp Hisfa'!Z$3:Z$200)-MIN(ROW('Temp Hisfa'!Z$3:Z$200))+1), ROW(124:323))),"")</f>
        <v/>
      </c>
      <c r="AA126" s="22" t="str">
        <f t="array" ref="AA126">IFERROR(INDEX('Temp Hisfa'!AA$3:AA$200, SMALL(IF(ISERROR('Temp Hisfa'!AA$3:AA$200), "", ROW('Temp Hisfa'!AA$3:AA$200)-MIN(ROW('Temp Hisfa'!AA$3:AA$200))+1), ROW(124:323))),"")</f>
        <v/>
      </c>
      <c r="AB126" s="22" t="str">
        <f t="array" ref="AB126">IFERROR(INDEX('Temp Hisfa'!AB$3:AB$200, SMALL(IF(ISERROR('Temp Hisfa'!AB$3:AB$200), "", ROW('Temp Hisfa'!AB$3:AB$200)-MIN(ROW('Temp Hisfa'!AB$3:AB$200))+1), ROW(124:323))),"")</f>
        <v/>
      </c>
    </row>
    <row r="127" spans="1:28" x14ac:dyDescent="0.3">
      <c r="A127" s="4" t="str">
        <f t="array" ref="A127">IFERROR(INDEX('Temp Hisfa'!A$3:A$200, SMALL(IF(ISERROR('Temp Hisfa'!A$3:A$200), "", ROW('Temp Hisfa'!A$3:A$200)-MIN(ROW('Temp Hisfa'!A$3:A$200))+1), ROW(125:323))),"")</f>
        <v/>
      </c>
      <c r="B127" s="4" t="str">
        <f t="array" ref="B127">IFERROR(INDEX('Temp Hisfa'!B$3:B$200, SMALL(IF(ISERROR('Temp Hisfa'!B$3:B$200), "", ROW('Temp Hisfa'!B$3:B$200)-MIN(ROW('Temp Hisfa'!B$3:B$200))+1), ROW(125:323))),"")</f>
        <v/>
      </c>
      <c r="C127" s="3" t="str">
        <f t="array" ref="C127">IFERROR(INDEX('Temp Hisfa'!C$3:C$200, SMALL(IF(ISERROR('Temp Hisfa'!C$3:C$200), "", ROW('Temp Hisfa'!C$3:C$200)-MIN(ROW('Temp Hisfa'!C$3:C$200))+1), ROW(125:323))),"")</f>
        <v/>
      </c>
      <c r="D127" s="3" t="str">
        <f t="array" ref="D127">IFERROR(INDEX('Temp Hisfa'!D$3:D$200, SMALL(IF(ISERROR('Temp Hisfa'!D$3:D$200), "", ROW('Temp Hisfa'!D$3:D$200)-MIN(ROW('Temp Hisfa'!D$3:D$200))+1), ROW(125:323))),"")</f>
        <v/>
      </c>
      <c r="E127" s="29" t="str">
        <f t="array" ref="E127">IFERROR(INDEX('Temp Hisfa'!E$3:E$200, SMALL(IF(ISERROR('Temp Hisfa'!E$3:E$200), "", ROW('Temp Hisfa'!E$3:E$200)-MIN(ROW('Temp Hisfa'!E$3:E$200))+1), ROW(125:324))),"")</f>
        <v/>
      </c>
      <c r="F127" s="22" t="str">
        <f t="array" ref="F127">IFERROR(INDEX('Temp Hisfa'!F$3:F$200, SMALL(IF(ISERROR('Temp Hisfa'!F$3:F$200), "", ROW('Temp Hisfa'!F$3:F$200)-MIN(ROW('Temp Hisfa'!F$3:F$200))+1), ROW(125:324))),"")</f>
        <v/>
      </c>
      <c r="G127" s="30" t="str">
        <f t="array" ref="G127">IFERROR(INDEX('Temp Hisfa'!G$3:G$200, SMALL(IF(ISERROR('Temp Hisfa'!G$3:G$200), "", ROW('Temp Hisfa'!G$3:G$200)-MIN(ROW('Temp Hisfa'!G$3:G$200))+1), ROW(125:324))),"")</f>
        <v/>
      </c>
      <c r="H127" s="22" t="str">
        <f t="array" ref="H127">IFERROR(INDEX('Temp Hisfa'!H$3:H$200, SMALL(IF(ISERROR('Temp Hisfa'!H$3:H$200), "", ROW('Temp Hisfa'!H$3:H$200)-MIN(ROW('Temp Hisfa'!H$3:H$200))+1), ROW(125:324))),"")</f>
        <v/>
      </c>
      <c r="I127" s="22" t="str">
        <f t="array" ref="I127">IFERROR(INDEX('Temp Hisfa'!I$3:I$200, SMALL(IF(ISERROR('Temp Hisfa'!I$3:I$200), "", ROW('Temp Hisfa'!I$3:I$200)-MIN(ROW('Temp Hisfa'!I$3:I$200))+1), ROW(125:324))),"")</f>
        <v/>
      </c>
      <c r="J127" s="22" t="str">
        <f t="array" ref="J127">IFERROR(INDEX('Temp Hisfa'!J$3:J$200, SMALL(IF(ISERROR('Temp Hisfa'!J$3:J$200), "", ROW('Temp Hisfa'!J$3:J$200)-MIN(ROW('Temp Hisfa'!J$3:J$200))+1), ROW(125:324))),"")</f>
        <v/>
      </c>
      <c r="K127" s="30" t="str">
        <f t="array" ref="K127">IFERROR(INDEX('Temp Hisfa'!K$3:K$200, SMALL(IF(ISERROR('Temp Hisfa'!K$3:K$200), "", ROW('Temp Hisfa'!K$3:K$200)-MIN(ROW('Temp Hisfa'!K$3:K$200))+1), ROW(125:324))),"")</f>
        <v/>
      </c>
      <c r="L127" s="22" t="str">
        <f t="array" ref="L127">IFERROR(INDEX('Temp Hisfa'!L$3:L$200, SMALL(IF(ISERROR('Temp Hisfa'!L$3:L$200), "", ROW('Temp Hisfa'!L$3:L$200)-MIN(ROW('Temp Hisfa'!L$3:L$200))+1), ROW(125:324))),"")</f>
        <v/>
      </c>
      <c r="M127" s="22" t="str">
        <f t="array" ref="M127">IFERROR(INDEX('Temp Hisfa'!M$3:M$200, SMALL(IF(ISERROR('Temp Hisfa'!M$3:M$200), "", ROW('Temp Hisfa'!M$3:M$200)-MIN(ROW('Temp Hisfa'!M$3:M$200))+1), ROW(125:324))),"")</f>
        <v/>
      </c>
      <c r="N127" s="22" t="str">
        <f t="array" ref="N127">IFERROR(INDEX('Temp Hisfa'!N$3:N$200, SMALL(IF(ISERROR('Temp Hisfa'!N$3:N$200), "", ROW('Temp Hisfa'!N$3:N$200)-MIN(ROW('Temp Hisfa'!N$3:N$200))+1), ROW(125:324))),"")</f>
        <v/>
      </c>
      <c r="O127" s="22" t="str">
        <f t="array" ref="O127">IFERROR(INDEX('Temp Hisfa'!O$3:O$200, SMALL(IF(ISERROR('Temp Hisfa'!O$3:O$200), "", ROW('Temp Hisfa'!O$3:O$200)-MIN(ROW('Temp Hisfa'!O$3:O$200))+1), ROW(125:324))),"")</f>
        <v/>
      </c>
      <c r="P127" s="22" t="str">
        <f t="array" ref="P127">IFERROR(INDEX('Temp Hisfa'!P$3:P$200, SMALL(IF(ISERROR('Temp Hisfa'!P$3:P$200), "", ROW('Temp Hisfa'!P$3:P$200)-MIN(ROW('Temp Hisfa'!P$3:P$200))+1), ROW(125:324))),"")</f>
        <v/>
      </c>
      <c r="Q127" s="22" t="str">
        <f t="array" ref="Q127">IFERROR(INDEX('Temp Hisfa'!Q$3:Q$200, SMALL(IF(ISERROR('Temp Hisfa'!Q$3:Q$200), "", ROW('Temp Hisfa'!Q$3:Q$200)-MIN(ROW('Temp Hisfa'!Q$3:Q$200))+1), ROW(125:324))),"")</f>
        <v/>
      </c>
      <c r="R127" s="22" t="str">
        <f t="array" ref="R127">IFERROR(INDEX('Temp Hisfa'!R$3:R$200, SMALL(IF(ISERROR('Temp Hisfa'!R$3:R$200), "", ROW('Temp Hisfa'!R$3:R$200)-MIN(ROW('Temp Hisfa'!R$3:R$200))+1), ROW(125:324))),"")</f>
        <v/>
      </c>
      <c r="S127" s="22" t="str">
        <f t="array" ref="S127">IFERROR(INDEX('Temp Hisfa'!S$3:S$200, SMALL(IF(ISERROR('Temp Hisfa'!S$3:S$200), "", ROW('Temp Hisfa'!S$3:S$200)-MIN(ROW('Temp Hisfa'!S$3:S$200))+1), ROW(125:324))),"")</f>
        <v/>
      </c>
      <c r="T127" s="22" t="str">
        <f t="array" ref="T127">IFERROR(INDEX('Temp Hisfa'!T$3:T$200, SMALL(IF(ISERROR('Temp Hisfa'!T$3:T$200), "", ROW('Temp Hisfa'!T$3:T$200)-MIN(ROW('Temp Hisfa'!T$3:T$200))+1), ROW(125:324))),"")</f>
        <v/>
      </c>
      <c r="U127" s="22" t="str">
        <f t="array" ref="U127">IFERROR(INDEX('Temp Hisfa'!U$3:U$200, SMALL(IF(ISERROR('Temp Hisfa'!U$3:U$200), "", ROW('Temp Hisfa'!U$3:U$200)-MIN(ROW('Temp Hisfa'!U$3:U$200))+1), ROW(125:324))),"")</f>
        <v/>
      </c>
      <c r="V127" s="22" t="str">
        <f t="array" ref="V127">IFERROR(INDEX('Temp Hisfa'!V$3:V$200, SMALL(IF(ISERROR('Temp Hisfa'!V$3:V$200), "", ROW('Temp Hisfa'!V$3:V$200)-MIN(ROW('Temp Hisfa'!V$3:V$200))+1), ROW(125:324))),"")</f>
        <v/>
      </c>
      <c r="W127" s="22" t="str">
        <f t="array" ref="W127">IFERROR(INDEX('Temp Hisfa'!W$3:W$200, SMALL(IF(ISERROR('Temp Hisfa'!W$3:W$200), "", ROW('Temp Hisfa'!W$3:W$200)-MIN(ROW('Temp Hisfa'!W$3:W$200))+1), ROW(125:324))),"")</f>
        <v/>
      </c>
      <c r="X127" s="22" t="str">
        <f t="array" ref="X127">IFERROR(INDEX('Temp Hisfa'!X$3:X$200, SMALL(IF(ISERROR('Temp Hisfa'!X$3:X$200), "", ROW('Temp Hisfa'!X$3:X$200)-MIN(ROW('Temp Hisfa'!X$3:X$200))+1), ROW(125:324))),"")</f>
        <v/>
      </c>
      <c r="Y127" s="22" t="str">
        <f t="array" ref="Y127">IFERROR(INDEX('Temp Hisfa'!Y$3:Y$200, SMALL(IF(ISERROR('Temp Hisfa'!Y$3:Y$200), "", ROW('Temp Hisfa'!Y$3:Y$200)-MIN(ROW('Temp Hisfa'!Y$3:Y$200))+1), ROW(125:324))),"")</f>
        <v/>
      </c>
      <c r="Z127" s="22" t="str">
        <f t="array" ref="Z127">IFERROR(INDEX('Temp Hisfa'!Z$3:Z$200, SMALL(IF(ISERROR('Temp Hisfa'!Z$3:Z$200), "", ROW('Temp Hisfa'!Z$3:Z$200)-MIN(ROW('Temp Hisfa'!Z$3:Z$200))+1), ROW(125:324))),"")</f>
        <v/>
      </c>
      <c r="AA127" s="22" t="str">
        <f t="array" ref="AA127">IFERROR(INDEX('Temp Hisfa'!AA$3:AA$200, SMALL(IF(ISERROR('Temp Hisfa'!AA$3:AA$200), "", ROW('Temp Hisfa'!AA$3:AA$200)-MIN(ROW('Temp Hisfa'!AA$3:AA$200))+1), ROW(125:324))),"")</f>
        <v/>
      </c>
      <c r="AB127" s="22" t="str">
        <f t="array" ref="AB127">IFERROR(INDEX('Temp Hisfa'!AB$3:AB$200, SMALL(IF(ISERROR('Temp Hisfa'!AB$3:AB$200), "", ROW('Temp Hisfa'!AB$3:AB$200)-MIN(ROW('Temp Hisfa'!AB$3:AB$200))+1), ROW(125:324))),"")</f>
        <v/>
      </c>
    </row>
    <row r="128" spans="1:28" x14ac:dyDescent="0.3">
      <c r="A128" s="4" t="str">
        <f t="array" ref="A128">IFERROR(INDEX('Temp Hisfa'!A$3:A$200, SMALL(IF(ISERROR('Temp Hisfa'!A$3:A$200), "", ROW('Temp Hisfa'!A$3:A$200)-MIN(ROW('Temp Hisfa'!A$3:A$200))+1), ROW(126:324))),"")</f>
        <v/>
      </c>
      <c r="B128" s="4" t="str">
        <f t="array" ref="B128">IFERROR(INDEX('Temp Hisfa'!B$3:B$200, SMALL(IF(ISERROR('Temp Hisfa'!B$3:B$200), "", ROW('Temp Hisfa'!B$3:B$200)-MIN(ROW('Temp Hisfa'!B$3:B$200))+1), ROW(126:324))),"")</f>
        <v/>
      </c>
      <c r="C128" s="3" t="str">
        <f t="array" ref="C128">IFERROR(INDEX('Temp Hisfa'!C$3:C$200, SMALL(IF(ISERROR('Temp Hisfa'!C$3:C$200), "", ROW('Temp Hisfa'!C$3:C$200)-MIN(ROW('Temp Hisfa'!C$3:C$200))+1), ROW(126:324))),"")</f>
        <v/>
      </c>
      <c r="D128" s="3" t="str">
        <f t="array" ref="D128">IFERROR(INDEX('Temp Hisfa'!D$3:D$200, SMALL(IF(ISERROR('Temp Hisfa'!D$3:D$200), "", ROW('Temp Hisfa'!D$3:D$200)-MIN(ROW('Temp Hisfa'!D$3:D$200))+1), ROW(126:324))),"")</f>
        <v/>
      </c>
      <c r="E128" s="29" t="str">
        <f t="array" ref="E128">IFERROR(INDEX('Temp Hisfa'!E$3:E$200, SMALL(IF(ISERROR('Temp Hisfa'!E$3:E$200), "", ROW('Temp Hisfa'!E$3:E$200)-MIN(ROW('Temp Hisfa'!E$3:E$200))+1), ROW(126:325))),"")</f>
        <v/>
      </c>
      <c r="F128" s="22" t="str">
        <f t="array" ref="F128">IFERROR(INDEX('Temp Hisfa'!F$3:F$200, SMALL(IF(ISERROR('Temp Hisfa'!F$3:F$200), "", ROW('Temp Hisfa'!F$3:F$200)-MIN(ROW('Temp Hisfa'!F$3:F$200))+1), ROW(126:325))),"")</f>
        <v/>
      </c>
      <c r="G128" s="30" t="str">
        <f t="array" ref="G128">IFERROR(INDEX('Temp Hisfa'!G$3:G$200, SMALL(IF(ISERROR('Temp Hisfa'!G$3:G$200), "", ROW('Temp Hisfa'!G$3:G$200)-MIN(ROW('Temp Hisfa'!G$3:G$200))+1), ROW(126:325))),"")</f>
        <v/>
      </c>
      <c r="H128" s="22" t="str">
        <f t="array" ref="H128">IFERROR(INDEX('Temp Hisfa'!H$3:H$200, SMALL(IF(ISERROR('Temp Hisfa'!H$3:H$200), "", ROW('Temp Hisfa'!H$3:H$200)-MIN(ROW('Temp Hisfa'!H$3:H$200))+1), ROW(126:325))),"")</f>
        <v/>
      </c>
      <c r="I128" s="22" t="str">
        <f t="array" ref="I128">IFERROR(INDEX('Temp Hisfa'!I$3:I$200, SMALL(IF(ISERROR('Temp Hisfa'!I$3:I$200), "", ROW('Temp Hisfa'!I$3:I$200)-MIN(ROW('Temp Hisfa'!I$3:I$200))+1), ROW(126:325))),"")</f>
        <v/>
      </c>
      <c r="J128" s="22" t="str">
        <f t="array" ref="J128">IFERROR(INDEX('Temp Hisfa'!J$3:J$200, SMALL(IF(ISERROR('Temp Hisfa'!J$3:J$200), "", ROW('Temp Hisfa'!J$3:J$200)-MIN(ROW('Temp Hisfa'!J$3:J$200))+1), ROW(126:325))),"")</f>
        <v/>
      </c>
      <c r="K128" s="30" t="str">
        <f t="array" ref="K128">IFERROR(INDEX('Temp Hisfa'!K$3:K$200, SMALL(IF(ISERROR('Temp Hisfa'!K$3:K$200), "", ROW('Temp Hisfa'!K$3:K$200)-MIN(ROW('Temp Hisfa'!K$3:K$200))+1), ROW(126:325))),"")</f>
        <v/>
      </c>
      <c r="L128" s="22" t="str">
        <f t="array" ref="L128">IFERROR(INDEX('Temp Hisfa'!L$3:L$200, SMALL(IF(ISERROR('Temp Hisfa'!L$3:L$200), "", ROW('Temp Hisfa'!L$3:L$200)-MIN(ROW('Temp Hisfa'!L$3:L$200))+1), ROW(126:325))),"")</f>
        <v/>
      </c>
      <c r="M128" s="22" t="str">
        <f t="array" ref="M128">IFERROR(INDEX('Temp Hisfa'!M$3:M$200, SMALL(IF(ISERROR('Temp Hisfa'!M$3:M$200), "", ROW('Temp Hisfa'!M$3:M$200)-MIN(ROW('Temp Hisfa'!M$3:M$200))+1), ROW(126:325))),"")</f>
        <v/>
      </c>
      <c r="N128" s="22" t="str">
        <f t="array" ref="N128">IFERROR(INDEX('Temp Hisfa'!N$3:N$200, SMALL(IF(ISERROR('Temp Hisfa'!N$3:N$200), "", ROW('Temp Hisfa'!N$3:N$200)-MIN(ROW('Temp Hisfa'!N$3:N$200))+1), ROW(126:325))),"")</f>
        <v/>
      </c>
      <c r="O128" s="22" t="str">
        <f t="array" ref="O128">IFERROR(INDEX('Temp Hisfa'!O$3:O$200, SMALL(IF(ISERROR('Temp Hisfa'!O$3:O$200), "", ROW('Temp Hisfa'!O$3:O$200)-MIN(ROW('Temp Hisfa'!O$3:O$200))+1), ROW(126:325))),"")</f>
        <v/>
      </c>
      <c r="P128" s="22" t="str">
        <f t="array" ref="P128">IFERROR(INDEX('Temp Hisfa'!P$3:P$200, SMALL(IF(ISERROR('Temp Hisfa'!P$3:P$200), "", ROW('Temp Hisfa'!P$3:P$200)-MIN(ROW('Temp Hisfa'!P$3:P$200))+1), ROW(126:325))),"")</f>
        <v/>
      </c>
      <c r="Q128" s="22" t="str">
        <f t="array" ref="Q128">IFERROR(INDEX('Temp Hisfa'!Q$3:Q$200, SMALL(IF(ISERROR('Temp Hisfa'!Q$3:Q$200), "", ROW('Temp Hisfa'!Q$3:Q$200)-MIN(ROW('Temp Hisfa'!Q$3:Q$200))+1), ROW(126:325))),"")</f>
        <v/>
      </c>
      <c r="R128" s="22" t="str">
        <f t="array" ref="R128">IFERROR(INDEX('Temp Hisfa'!R$3:R$200, SMALL(IF(ISERROR('Temp Hisfa'!R$3:R$200), "", ROW('Temp Hisfa'!R$3:R$200)-MIN(ROW('Temp Hisfa'!R$3:R$200))+1), ROW(126:325))),"")</f>
        <v/>
      </c>
      <c r="S128" s="22" t="str">
        <f t="array" ref="S128">IFERROR(INDEX('Temp Hisfa'!S$3:S$200, SMALL(IF(ISERROR('Temp Hisfa'!S$3:S$200), "", ROW('Temp Hisfa'!S$3:S$200)-MIN(ROW('Temp Hisfa'!S$3:S$200))+1), ROW(126:325))),"")</f>
        <v/>
      </c>
      <c r="T128" s="22" t="str">
        <f t="array" ref="T128">IFERROR(INDEX('Temp Hisfa'!T$3:T$200, SMALL(IF(ISERROR('Temp Hisfa'!T$3:T$200), "", ROW('Temp Hisfa'!T$3:T$200)-MIN(ROW('Temp Hisfa'!T$3:T$200))+1), ROW(126:325))),"")</f>
        <v/>
      </c>
      <c r="U128" s="22" t="str">
        <f t="array" ref="U128">IFERROR(INDEX('Temp Hisfa'!U$3:U$200, SMALL(IF(ISERROR('Temp Hisfa'!U$3:U$200), "", ROW('Temp Hisfa'!U$3:U$200)-MIN(ROW('Temp Hisfa'!U$3:U$200))+1), ROW(126:325))),"")</f>
        <v/>
      </c>
      <c r="V128" s="22" t="str">
        <f t="array" ref="V128">IFERROR(INDEX('Temp Hisfa'!V$3:V$200, SMALL(IF(ISERROR('Temp Hisfa'!V$3:V$200), "", ROW('Temp Hisfa'!V$3:V$200)-MIN(ROW('Temp Hisfa'!V$3:V$200))+1), ROW(126:325))),"")</f>
        <v/>
      </c>
      <c r="W128" s="22" t="str">
        <f t="array" ref="W128">IFERROR(INDEX('Temp Hisfa'!W$3:W$200, SMALL(IF(ISERROR('Temp Hisfa'!W$3:W$200), "", ROW('Temp Hisfa'!W$3:W$200)-MIN(ROW('Temp Hisfa'!W$3:W$200))+1), ROW(126:325))),"")</f>
        <v/>
      </c>
      <c r="X128" s="22" t="str">
        <f t="array" ref="X128">IFERROR(INDEX('Temp Hisfa'!X$3:X$200, SMALL(IF(ISERROR('Temp Hisfa'!X$3:X$200), "", ROW('Temp Hisfa'!X$3:X$200)-MIN(ROW('Temp Hisfa'!X$3:X$200))+1), ROW(126:325))),"")</f>
        <v/>
      </c>
      <c r="Y128" s="22" t="str">
        <f t="array" ref="Y128">IFERROR(INDEX('Temp Hisfa'!Y$3:Y$200, SMALL(IF(ISERROR('Temp Hisfa'!Y$3:Y$200), "", ROW('Temp Hisfa'!Y$3:Y$200)-MIN(ROW('Temp Hisfa'!Y$3:Y$200))+1), ROW(126:325))),"")</f>
        <v/>
      </c>
      <c r="Z128" s="22" t="str">
        <f t="array" ref="Z128">IFERROR(INDEX('Temp Hisfa'!Z$3:Z$200, SMALL(IF(ISERROR('Temp Hisfa'!Z$3:Z$200), "", ROW('Temp Hisfa'!Z$3:Z$200)-MIN(ROW('Temp Hisfa'!Z$3:Z$200))+1), ROW(126:325))),"")</f>
        <v/>
      </c>
      <c r="AA128" s="22" t="str">
        <f t="array" ref="AA128">IFERROR(INDEX('Temp Hisfa'!AA$3:AA$200, SMALL(IF(ISERROR('Temp Hisfa'!AA$3:AA$200), "", ROW('Temp Hisfa'!AA$3:AA$200)-MIN(ROW('Temp Hisfa'!AA$3:AA$200))+1), ROW(126:325))),"")</f>
        <v/>
      </c>
      <c r="AB128" s="22" t="str">
        <f t="array" ref="AB128">IFERROR(INDEX('Temp Hisfa'!AB$3:AB$200, SMALL(IF(ISERROR('Temp Hisfa'!AB$3:AB$200), "", ROW('Temp Hisfa'!AB$3:AB$200)-MIN(ROW('Temp Hisfa'!AB$3:AB$200))+1), ROW(126:325))),"")</f>
        <v/>
      </c>
    </row>
    <row r="129" spans="1:28" x14ac:dyDescent="0.3">
      <c r="A129" s="4" t="str">
        <f t="array" ref="A129">IFERROR(INDEX('Temp Hisfa'!A$3:A$200, SMALL(IF(ISERROR('Temp Hisfa'!A$3:A$200), "", ROW('Temp Hisfa'!A$3:A$200)-MIN(ROW('Temp Hisfa'!A$3:A$200))+1), ROW(127:325))),"")</f>
        <v/>
      </c>
      <c r="B129" s="4" t="str">
        <f t="array" ref="B129">IFERROR(INDEX('Temp Hisfa'!B$3:B$200, SMALL(IF(ISERROR('Temp Hisfa'!B$3:B$200), "", ROW('Temp Hisfa'!B$3:B$200)-MIN(ROW('Temp Hisfa'!B$3:B$200))+1), ROW(127:325))),"")</f>
        <v/>
      </c>
      <c r="C129" s="3" t="str">
        <f t="array" ref="C129">IFERROR(INDEX('Temp Hisfa'!C$3:C$200, SMALL(IF(ISERROR('Temp Hisfa'!C$3:C$200), "", ROW('Temp Hisfa'!C$3:C$200)-MIN(ROW('Temp Hisfa'!C$3:C$200))+1), ROW(127:325))),"")</f>
        <v/>
      </c>
      <c r="D129" s="3" t="str">
        <f t="array" ref="D129">IFERROR(INDEX('Temp Hisfa'!D$3:D$200, SMALL(IF(ISERROR('Temp Hisfa'!D$3:D$200), "", ROW('Temp Hisfa'!D$3:D$200)-MIN(ROW('Temp Hisfa'!D$3:D$200))+1), ROW(127:325))),"")</f>
        <v/>
      </c>
      <c r="E129" s="29" t="str">
        <f t="array" ref="E129">IFERROR(INDEX('Temp Hisfa'!E$3:E$200, SMALL(IF(ISERROR('Temp Hisfa'!E$3:E$200), "", ROW('Temp Hisfa'!E$3:E$200)-MIN(ROW('Temp Hisfa'!E$3:E$200))+1), ROW(127:326))),"")</f>
        <v/>
      </c>
      <c r="F129" s="22" t="str">
        <f t="array" ref="F129">IFERROR(INDEX('Temp Hisfa'!F$3:F$200, SMALL(IF(ISERROR('Temp Hisfa'!F$3:F$200), "", ROW('Temp Hisfa'!F$3:F$200)-MIN(ROW('Temp Hisfa'!F$3:F$200))+1), ROW(127:326))),"")</f>
        <v/>
      </c>
      <c r="G129" s="30" t="str">
        <f t="array" ref="G129">IFERROR(INDEX('Temp Hisfa'!G$3:G$200, SMALL(IF(ISERROR('Temp Hisfa'!G$3:G$200), "", ROW('Temp Hisfa'!G$3:G$200)-MIN(ROW('Temp Hisfa'!G$3:G$200))+1), ROW(127:326))),"")</f>
        <v/>
      </c>
      <c r="H129" s="22" t="str">
        <f t="array" ref="H129">IFERROR(INDEX('Temp Hisfa'!H$3:H$200, SMALL(IF(ISERROR('Temp Hisfa'!H$3:H$200), "", ROW('Temp Hisfa'!H$3:H$200)-MIN(ROW('Temp Hisfa'!H$3:H$200))+1), ROW(127:326))),"")</f>
        <v/>
      </c>
      <c r="I129" s="22" t="str">
        <f t="array" ref="I129">IFERROR(INDEX('Temp Hisfa'!I$3:I$200, SMALL(IF(ISERROR('Temp Hisfa'!I$3:I$200), "", ROW('Temp Hisfa'!I$3:I$200)-MIN(ROW('Temp Hisfa'!I$3:I$200))+1), ROW(127:326))),"")</f>
        <v/>
      </c>
      <c r="J129" s="22" t="str">
        <f t="array" ref="J129">IFERROR(INDEX('Temp Hisfa'!J$3:J$200, SMALL(IF(ISERROR('Temp Hisfa'!J$3:J$200), "", ROW('Temp Hisfa'!J$3:J$200)-MIN(ROW('Temp Hisfa'!J$3:J$200))+1), ROW(127:326))),"")</f>
        <v/>
      </c>
      <c r="K129" s="30" t="str">
        <f t="array" ref="K129">IFERROR(INDEX('Temp Hisfa'!K$3:K$200, SMALL(IF(ISERROR('Temp Hisfa'!K$3:K$200), "", ROW('Temp Hisfa'!K$3:K$200)-MIN(ROW('Temp Hisfa'!K$3:K$200))+1), ROW(127:326))),"")</f>
        <v/>
      </c>
      <c r="L129" s="22" t="str">
        <f t="array" ref="L129">IFERROR(INDEX('Temp Hisfa'!L$3:L$200, SMALL(IF(ISERROR('Temp Hisfa'!L$3:L$200), "", ROW('Temp Hisfa'!L$3:L$200)-MIN(ROW('Temp Hisfa'!L$3:L$200))+1), ROW(127:326))),"")</f>
        <v/>
      </c>
      <c r="M129" s="22" t="str">
        <f t="array" ref="M129">IFERROR(INDEX('Temp Hisfa'!M$3:M$200, SMALL(IF(ISERROR('Temp Hisfa'!M$3:M$200), "", ROW('Temp Hisfa'!M$3:M$200)-MIN(ROW('Temp Hisfa'!M$3:M$200))+1), ROW(127:326))),"")</f>
        <v/>
      </c>
      <c r="N129" s="22" t="str">
        <f t="array" ref="N129">IFERROR(INDEX('Temp Hisfa'!N$3:N$200, SMALL(IF(ISERROR('Temp Hisfa'!N$3:N$200), "", ROW('Temp Hisfa'!N$3:N$200)-MIN(ROW('Temp Hisfa'!N$3:N$200))+1), ROW(127:326))),"")</f>
        <v/>
      </c>
      <c r="O129" s="22" t="str">
        <f t="array" ref="O129">IFERROR(INDEX('Temp Hisfa'!O$3:O$200, SMALL(IF(ISERROR('Temp Hisfa'!O$3:O$200), "", ROW('Temp Hisfa'!O$3:O$200)-MIN(ROW('Temp Hisfa'!O$3:O$200))+1), ROW(127:326))),"")</f>
        <v/>
      </c>
      <c r="P129" s="22" t="str">
        <f t="array" ref="P129">IFERROR(INDEX('Temp Hisfa'!P$3:P$200, SMALL(IF(ISERROR('Temp Hisfa'!P$3:P$200), "", ROW('Temp Hisfa'!P$3:P$200)-MIN(ROW('Temp Hisfa'!P$3:P$200))+1), ROW(127:326))),"")</f>
        <v/>
      </c>
      <c r="Q129" s="22" t="str">
        <f t="array" ref="Q129">IFERROR(INDEX('Temp Hisfa'!Q$3:Q$200, SMALL(IF(ISERROR('Temp Hisfa'!Q$3:Q$200), "", ROW('Temp Hisfa'!Q$3:Q$200)-MIN(ROW('Temp Hisfa'!Q$3:Q$200))+1), ROW(127:326))),"")</f>
        <v/>
      </c>
      <c r="R129" s="22" t="str">
        <f t="array" ref="R129">IFERROR(INDEX('Temp Hisfa'!R$3:R$200, SMALL(IF(ISERROR('Temp Hisfa'!R$3:R$200), "", ROW('Temp Hisfa'!R$3:R$200)-MIN(ROW('Temp Hisfa'!R$3:R$200))+1), ROW(127:326))),"")</f>
        <v/>
      </c>
      <c r="S129" s="22" t="str">
        <f t="array" ref="S129">IFERROR(INDEX('Temp Hisfa'!S$3:S$200, SMALL(IF(ISERROR('Temp Hisfa'!S$3:S$200), "", ROW('Temp Hisfa'!S$3:S$200)-MIN(ROW('Temp Hisfa'!S$3:S$200))+1), ROW(127:326))),"")</f>
        <v/>
      </c>
      <c r="T129" s="22" t="str">
        <f t="array" ref="T129">IFERROR(INDEX('Temp Hisfa'!T$3:T$200, SMALL(IF(ISERROR('Temp Hisfa'!T$3:T$200), "", ROW('Temp Hisfa'!T$3:T$200)-MIN(ROW('Temp Hisfa'!T$3:T$200))+1), ROW(127:326))),"")</f>
        <v/>
      </c>
      <c r="U129" s="22" t="str">
        <f t="array" ref="U129">IFERROR(INDEX('Temp Hisfa'!U$3:U$200, SMALL(IF(ISERROR('Temp Hisfa'!U$3:U$200), "", ROW('Temp Hisfa'!U$3:U$200)-MIN(ROW('Temp Hisfa'!U$3:U$200))+1), ROW(127:326))),"")</f>
        <v/>
      </c>
      <c r="V129" s="22" t="str">
        <f t="array" ref="V129">IFERROR(INDEX('Temp Hisfa'!V$3:V$200, SMALL(IF(ISERROR('Temp Hisfa'!V$3:V$200), "", ROW('Temp Hisfa'!V$3:V$200)-MIN(ROW('Temp Hisfa'!V$3:V$200))+1), ROW(127:326))),"")</f>
        <v/>
      </c>
      <c r="W129" s="22" t="str">
        <f t="array" ref="W129">IFERROR(INDEX('Temp Hisfa'!W$3:W$200, SMALL(IF(ISERROR('Temp Hisfa'!W$3:W$200), "", ROW('Temp Hisfa'!W$3:W$200)-MIN(ROW('Temp Hisfa'!W$3:W$200))+1), ROW(127:326))),"")</f>
        <v/>
      </c>
      <c r="X129" s="22" t="str">
        <f t="array" ref="X129">IFERROR(INDEX('Temp Hisfa'!X$3:X$200, SMALL(IF(ISERROR('Temp Hisfa'!X$3:X$200), "", ROW('Temp Hisfa'!X$3:X$200)-MIN(ROW('Temp Hisfa'!X$3:X$200))+1), ROW(127:326))),"")</f>
        <v/>
      </c>
      <c r="Y129" s="22" t="str">
        <f t="array" ref="Y129">IFERROR(INDEX('Temp Hisfa'!Y$3:Y$200, SMALL(IF(ISERROR('Temp Hisfa'!Y$3:Y$200), "", ROW('Temp Hisfa'!Y$3:Y$200)-MIN(ROW('Temp Hisfa'!Y$3:Y$200))+1), ROW(127:326))),"")</f>
        <v/>
      </c>
      <c r="Z129" s="22" t="str">
        <f t="array" ref="Z129">IFERROR(INDEX('Temp Hisfa'!Z$3:Z$200, SMALL(IF(ISERROR('Temp Hisfa'!Z$3:Z$200), "", ROW('Temp Hisfa'!Z$3:Z$200)-MIN(ROW('Temp Hisfa'!Z$3:Z$200))+1), ROW(127:326))),"")</f>
        <v/>
      </c>
      <c r="AA129" s="22" t="str">
        <f t="array" ref="AA129">IFERROR(INDEX('Temp Hisfa'!AA$3:AA$200, SMALL(IF(ISERROR('Temp Hisfa'!AA$3:AA$200), "", ROW('Temp Hisfa'!AA$3:AA$200)-MIN(ROW('Temp Hisfa'!AA$3:AA$200))+1), ROW(127:326))),"")</f>
        <v/>
      </c>
      <c r="AB129" s="22" t="str">
        <f t="array" ref="AB129">IFERROR(INDEX('Temp Hisfa'!AB$3:AB$200, SMALL(IF(ISERROR('Temp Hisfa'!AB$3:AB$200), "", ROW('Temp Hisfa'!AB$3:AB$200)-MIN(ROW('Temp Hisfa'!AB$3:AB$200))+1), ROW(127:326))),"")</f>
        <v/>
      </c>
    </row>
    <row r="130" spans="1:28" x14ac:dyDescent="0.3">
      <c r="A130" s="4" t="str">
        <f t="array" ref="A130">IFERROR(INDEX('Temp Hisfa'!A$3:A$200, SMALL(IF(ISERROR('Temp Hisfa'!A$3:A$200), "", ROW('Temp Hisfa'!A$3:A$200)-MIN(ROW('Temp Hisfa'!A$3:A$200))+1), ROW(128:326))),"")</f>
        <v/>
      </c>
      <c r="B130" s="4" t="str">
        <f t="array" ref="B130">IFERROR(INDEX('Temp Hisfa'!B$3:B$200, SMALL(IF(ISERROR('Temp Hisfa'!B$3:B$200), "", ROW('Temp Hisfa'!B$3:B$200)-MIN(ROW('Temp Hisfa'!B$3:B$200))+1), ROW(128:326))),"")</f>
        <v/>
      </c>
      <c r="C130" s="3" t="str">
        <f t="array" ref="C130">IFERROR(INDEX('Temp Hisfa'!C$3:C$200, SMALL(IF(ISERROR('Temp Hisfa'!C$3:C$200), "", ROW('Temp Hisfa'!C$3:C$200)-MIN(ROW('Temp Hisfa'!C$3:C$200))+1), ROW(128:326))),"")</f>
        <v/>
      </c>
      <c r="D130" s="3" t="str">
        <f t="array" ref="D130">IFERROR(INDEX('Temp Hisfa'!D$3:D$200, SMALL(IF(ISERROR('Temp Hisfa'!D$3:D$200), "", ROW('Temp Hisfa'!D$3:D$200)-MIN(ROW('Temp Hisfa'!D$3:D$200))+1), ROW(128:326))),"")</f>
        <v/>
      </c>
      <c r="E130" s="29" t="str">
        <f t="array" ref="E130">IFERROR(INDEX('Temp Hisfa'!E$3:E$200, SMALL(IF(ISERROR('Temp Hisfa'!E$3:E$200), "", ROW('Temp Hisfa'!E$3:E$200)-MIN(ROW('Temp Hisfa'!E$3:E$200))+1), ROW(128:327))),"")</f>
        <v/>
      </c>
      <c r="F130" s="22" t="str">
        <f t="array" ref="F130">IFERROR(INDEX('Temp Hisfa'!F$3:F$200, SMALL(IF(ISERROR('Temp Hisfa'!F$3:F$200), "", ROW('Temp Hisfa'!F$3:F$200)-MIN(ROW('Temp Hisfa'!F$3:F$200))+1), ROW(128:327))),"")</f>
        <v/>
      </c>
      <c r="G130" s="30" t="str">
        <f t="array" ref="G130">IFERROR(INDEX('Temp Hisfa'!G$3:G$200, SMALL(IF(ISERROR('Temp Hisfa'!G$3:G$200), "", ROW('Temp Hisfa'!G$3:G$200)-MIN(ROW('Temp Hisfa'!G$3:G$200))+1), ROW(128:327))),"")</f>
        <v/>
      </c>
      <c r="H130" s="22" t="str">
        <f t="array" ref="H130">IFERROR(INDEX('Temp Hisfa'!H$3:H$200, SMALL(IF(ISERROR('Temp Hisfa'!H$3:H$200), "", ROW('Temp Hisfa'!H$3:H$200)-MIN(ROW('Temp Hisfa'!H$3:H$200))+1), ROW(128:327))),"")</f>
        <v/>
      </c>
      <c r="I130" s="22" t="str">
        <f t="array" ref="I130">IFERROR(INDEX('Temp Hisfa'!I$3:I$200, SMALL(IF(ISERROR('Temp Hisfa'!I$3:I$200), "", ROW('Temp Hisfa'!I$3:I$200)-MIN(ROW('Temp Hisfa'!I$3:I$200))+1), ROW(128:327))),"")</f>
        <v/>
      </c>
      <c r="J130" s="22" t="str">
        <f t="array" ref="J130">IFERROR(INDEX('Temp Hisfa'!J$3:J$200, SMALL(IF(ISERROR('Temp Hisfa'!J$3:J$200), "", ROW('Temp Hisfa'!J$3:J$200)-MIN(ROW('Temp Hisfa'!J$3:J$200))+1), ROW(128:327))),"")</f>
        <v/>
      </c>
      <c r="K130" s="30" t="str">
        <f t="array" ref="K130">IFERROR(INDEX('Temp Hisfa'!K$3:K$200, SMALL(IF(ISERROR('Temp Hisfa'!K$3:K$200), "", ROW('Temp Hisfa'!K$3:K$200)-MIN(ROW('Temp Hisfa'!K$3:K$200))+1), ROW(128:327))),"")</f>
        <v/>
      </c>
      <c r="L130" s="22" t="str">
        <f t="array" ref="L130">IFERROR(INDEX('Temp Hisfa'!L$3:L$200, SMALL(IF(ISERROR('Temp Hisfa'!L$3:L$200), "", ROW('Temp Hisfa'!L$3:L$200)-MIN(ROW('Temp Hisfa'!L$3:L$200))+1), ROW(128:327))),"")</f>
        <v/>
      </c>
      <c r="M130" s="22" t="str">
        <f t="array" ref="M130">IFERROR(INDEX('Temp Hisfa'!M$3:M$200, SMALL(IF(ISERROR('Temp Hisfa'!M$3:M$200), "", ROW('Temp Hisfa'!M$3:M$200)-MIN(ROW('Temp Hisfa'!M$3:M$200))+1), ROW(128:327))),"")</f>
        <v/>
      </c>
      <c r="N130" s="22" t="str">
        <f t="array" ref="N130">IFERROR(INDEX('Temp Hisfa'!N$3:N$200, SMALL(IF(ISERROR('Temp Hisfa'!N$3:N$200), "", ROW('Temp Hisfa'!N$3:N$200)-MIN(ROW('Temp Hisfa'!N$3:N$200))+1), ROW(128:327))),"")</f>
        <v/>
      </c>
      <c r="O130" s="22" t="str">
        <f t="array" ref="O130">IFERROR(INDEX('Temp Hisfa'!O$3:O$200, SMALL(IF(ISERROR('Temp Hisfa'!O$3:O$200), "", ROW('Temp Hisfa'!O$3:O$200)-MIN(ROW('Temp Hisfa'!O$3:O$200))+1), ROW(128:327))),"")</f>
        <v/>
      </c>
      <c r="P130" s="22" t="str">
        <f t="array" ref="P130">IFERROR(INDEX('Temp Hisfa'!P$3:P$200, SMALL(IF(ISERROR('Temp Hisfa'!P$3:P$200), "", ROW('Temp Hisfa'!P$3:P$200)-MIN(ROW('Temp Hisfa'!P$3:P$200))+1), ROW(128:327))),"")</f>
        <v/>
      </c>
      <c r="Q130" s="22" t="str">
        <f t="array" ref="Q130">IFERROR(INDEX('Temp Hisfa'!Q$3:Q$200, SMALL(IF(ISERROR('Temp Hisfa'!Q$3:Q$200), "", ROW('Temp Hisfa'!Q$3:Q$200)-MIN(ROW('Temp Hisfa'!Q$3:Q$200))+1), ROW(128:327))),"")</f>
        <v/>
      </c>
      <c r="R130" s="22" t="str">
        <f t="array" ref="R130">IFERROR(INDEX('Temp Hisfa'!R$3:R$200, SMALL(IF(ISERROR('Temp Hisfa'!R$3:R$200), "", ROW('Temp Hisfa'!R$3:R$200)-MIN(ROW('Temp Hisfa'!R$3:R$200))+1), ROW(128:327))),"")</f>
        <v/>
      </c>
      <c r="S130" s="22" t="str">
        <f t="array" ref="S130">IFERROR(INDEX('Temp Hisfa'!S$3:S$200, SMALL(IF(ISERROR('Temp Hisfa'!S$3:S$200), "", ROW('Temp Hisfa'!S$3:S$200)-MIN(ROW('Temp Hisfa'!S$3:S$200))+1), ROW(128:327))),"")</f>
        <v/>
      </c>
      <c r="T130" s="22" t="str">
        <f t="array" ref="T130">IFERROR(INDEX('Temp Hisfa'!T$3:T$200, SMALL(IF(ISERROR('Temp Hisfa'!T$3:T$200), "", ROW('Temp Hisfa'!T$3:T$200)-MIN(ROW('Temp Hisfa'!T$3:T$200))+1), ROW(128:327))),"")</f>
        <v/>
      </c>
      <c r="U130" s="22" t="str">
        <f t="array" ref="U130">IFERROR(INDEX('Temp Hisfa'!U$3:U$200, SMALL(IF(ISERROR('Temp Hisfa'!U$3:U$200), "", ROW('Temp Hisfa'!U$3:U$200)-MIN(ROW('Temp Hisfa'!U$3:U$200))+1), ROW(128:327))),"")</f>
        <v/>
      </c>
      <c r="V130" s="22" t="str">
        <f t="array" ref="V130">IFERROR(INDEX('Temp Hisfa'!V$3:V$200, SMALL(IF(ISERROR('Temp Hisfa'!V$3:V$200), "", ROW('Temp Hisfa'!V$3:V$200)-MIN(ROW('Temp Hisfa'!V$3:V$200))+1), ROW(128:327))),"")</f>
        <v/>
      </c>
      <c r="W130" s="22" t="str">
        <f t="array" ref="W130">IFERROR(INDEX('Temp Hisfa'!W$3:W$200, SMALL(IF(ISERROR('Temp Hisfa'!W$3:W$200), "", ROW('Temp Hisfa'!W$3:W$200)-MIN(ROW('Temp Hisfa'!W$3:W$200))+1), ROW(128:327))),"")</f>
        <v/>
      </c>
      <c r="X130" s="22" t="str">
        <f t="array" ref="X130">IFERROR(INDEX('Temp Hisfa'!X$3:X$200, SMALL(IF(ISERROR('Temp Hisfa'!X$3:X$200), "", ROW('Temp Hisfa'!X$3:X$200)-MIN(ROW('Temp Hisfa'!X$3:X$200))+1), ROW(128:327))),"")</f>
        <v/>
      </c>
      <c r="Y130" s="22" t="str">
        <f t="array" ref="Y130">IFERROR(INDEX('Temp Hisfa'!Y$3:Y$200, SMALL(IF(ISERROR('Temp Hisfa'!Y$3:Y$200), "", ROW('Temp Hisfa'!Y$3:Y$200)-MIN(ROW('Temp Hisfa'!Y$3:Y$200))+1), ROW(128:327))),"")</f>
        <v/>
      </c>
      <c r="Z130" s="22" t="str">
        <f t="array" ref="Z130">IFERROR(INDEX('Temp Hisfa'!Z$3:Z$200, SMALL(IF(ISERROR('Temp Hisfa'!Z$3:Z$200), "", ROW('Temp Hisfa'!Z$3:Z$200)-MIN(ROW('Temp Hisfa'!Z$3:Z$200))+1), ROW(128:327))),"")</f>
        <v/>
      </c>
      <c r="AA130" s="22" t="str">
        <f t="array" ref="AA130">IFERROR(INDEX('Temp Hisfa'!AA$3:AA$200, SMALL(IF(ISERROR('Temp Hisfa'!AA$3:AA$200), "", ROW('Temp Hisfa'!AA$3:AA$200)-MIN(ROW('Temp Hisfa'!AA$3:AA$200))+1), ROW(128:327))),"")</f>
        <v/>
      </c>
      <c r="AB130" s="22" t="str">
        <f t="array" ref="AB130">IFERROR(INDEX('Temp Hisfa'!AB$3:AB$200, SMALL(IF(ISERROR('Temp Hisfa'!AB$3:AB$200), "", ROW('Temp Hisfa'!AB$3:AB$200)-MIN(ROW('Temp Hisfa'!AB$3:AB$200))+1), ROW(128:327))),"")</f>
        <v/>
      </c>
    </row>
    <row r="131" spans="1:28" x14ac:dyDescent="0.3">
      <c r="A131" s="4" t="str">
        <f t="array" ref="A131">IFERROR(INDEX('Temp Hisfa'!A$3:A$200, SMALL(IF(ISERROR('Temp Hisfa'!A$3:A$200), "", ROW('Temp Hisfa'!A$3:A$200)-MIN(ROW('Temp Hisfa'!A$3:A$200))+1), ROW(129:327))),"")</f>
        <v/>
      </c>
      <c r="B131" s="4" t="str">
        <f t="array" ref="B131">IFERROR(INDEX('Temp Hisfa'!B$3:B$200, SMALL(IF(ISERROR('Temp Hisfa'!B$3:B$200), "", ROW('Temp Hisfa'!B$3:B$200)-MIN(ROW('Temp Hisfa'!B$3:B$200))+1), ROW(129:327))),"")</f>
        <v/>
      </c>
      <c r="C131" s="3" t="str">
        <f t="array" ref="C131">IFERROR(INDEX('Temp Hisfa'!C$3:C$200, SMALL(IF(ISERROR('Temp Hisfa'!C$3:C$200), "", ROW('Temp Hisfa'!C$3:C$200)-MIN(ROW('Temp Hisfa'!C$3:C$200))+1), ROW(129:327))),"")</f>
        <v/>
      </c>
      <c r="D131" s="3" t="str">
        <f t="array" ref="D131">IFERROR(INDEX('Temp Hisfa'!D$3:D$200, SMALL(IF(ISERROR('Temp Hisfa'!D$3:D$200), "", ROW('Temp Hisfa'!D$3:D$200)-MIN(ROW('Temp Hisfa'!D$3:D$200))+1), ROW(129:327))),"")</f>
        <v/>
      </c>
      <c r="E131" s="29" t="str">
        <f t="array" ref="E131">IFERROR(INDEX('Temp Hisfa'!E$3:E$200, SMALL(IF(ISERROR('Temp Hisfa'!E$3:E$200), "", ROW('Temp Hisfa'!E$3:E$200)-MIN(ROW('Temp Hisfa'!E$3:E$200))+1), ROW(129:328))),"")</f>
        <v/>
      </c>
      <c r="F131" s="22" t="str">
        <f t="array" ref="F131">IFERROR(INDEX('Temp Hisfa'!F$3:F$200, SMALL(IF(ISERROR('Temp Hisfa'!F$3:F$200), "", ROW('Temp Hisfa'!F$3:F$200)-MIN(ROW('Temp Hisfa'!F$3:F$200))+1), ROW(129:328))),"")</f>
        <v/>
      </c>
      <c r="G131" s="30" t="str">
        <f t="array" ref="G131">IFERROR(INDEX('Temp Hisfa'!G$3:G$200, SMALL(IF(ISERROR('Temp Hisfa'!G$3:G$200), "", ROW('Temp Hisfa'!G$3:G$200)-MIN(ROW('Temp Hisfa'!G$3:G$200))+1), ROW(129:328))),"")</f>
        <v/>
      </c>
      <c r="H131" s="22" t="str">
        <f t="array" ref="H131">IFERROR(INDEX('Temp Hisfa'!H$3:H$200, SMALL(IF(ISERROR('Temp Hisfa'!H$3:H$200), "", ROW('Temp Hisfa'!H$3:H$200)-MIN(ROW('Temp Hisfa'!H$3:H$200))+1), ROW(129:328))),"")</f>
        <v/>
      </c>
      <c r="I131" s="22" t="str">
        <f t="array" ref="I131">IFERROR(INDEX('Temp Hisfa'!I$3:I$200, SMALL(IF(ISERROR('Temp Hisfa'!I$3:I$200), "", ROW('Temp Hisfa'!I$3:I$200)-MIN(ROW('Temp Hisfa'!I$3:I$200))+1), ROW(129:328))),"")</f>
        <v/>
      </c>
      <c r="J131" s="22" t="str">
        <f t="array" ref="J131">IFERROR(INDEX('Temp Hisfa'!J$3:J$200, SMALL(IF(ISERROR('Temp Hisfa'!J$3:J$200), "", ROW('Temp Hisfa'!J$3:J$200)-MIN(ROW('Temp Hisfa'!J$3:J$200))+1), ROW(129:328))),"")</f>
        <v/>
      </c>
      <c r="K131" s="30" t="str">
        <f t="array" ref="K131">IFERROR(INDEX('Temp Hisfa'!K$3:K$200, SMALL(IF(ISERROR('Temp Hisfa'!K$3:K$200), "", ROW('Temp Hisfa'!K$3:K$200)-MIN(ROW('Temp Hisfa'!K$3:K$200))+1), ROW(129:328))),"")</f>
        <v/>
      </c>
      <c r="L131" s="22" t="str">
        <f t="array" ref="L131">IFERROR(INDEX('Temp Hisfa'!L$3:L$200, SMALL(IF(ISERROR('Temp Hisfa'!L$3:L$200), "", ROW('Temp Hisfa'!L$3:L$200)-MIN(ROW('Temp Hisfa'!L$3:L$200))+1), ROW(129:328))),"")</f>
        <v/>
      </c>
      <c r="M131" s="22" t="str">
        <f t="array" ref="M131">IFERROR(INDEX('Temp Hisfa'!M$3:M$200, SMALL(IF(ISERROR('Temp Hisfa'!M$3:M$200), "", ROW('Temp Hisfa'!M$3:M$200)-MIN(ROW('Temp Hisfa'!M$3:M$200))+1), ROW(129:328))),"")</f>
        <v/>
      </c>
      <c r="N131" s="22" t="str">
        <f t="array" ref="N131">IFERROR(INDEX('Temp Hisfa'!N$3:N$200, SMALL(IF(ISERROR('Temp Hisfa'!N$3:N$200), "", ROW('Temp Hisfa'!N$3:N$200)-MIN(ROW('Temp Hisfa'!N$3:N$200))+1), ROW(129:328))),"")</f>
        <v/>
      </c>
      <c r="O131" s="22" t="str">
        <f t="array" ref="O131">IFERROR(INDEX('Temp Hisfa'!O$3:O$200, SMALL(IF(ISERROR('Temp Hisfa'!O$3:O$200), "", ROW('Temp Hisfa'!O$3:O$200)-MIN(ROW('Temp Hisfa'!O$3:O$200))+1), ROW(129:328))),"")</f>
        <v/>
      </c>
      <c r="P131" s="22" t="str">
        <f t="array" ref="P131">IFERROR(INDEX('Temp Hisfa'!P$3:P$200, SMALL(IF(ISERROR('Temp Hisfa'!P$3:P$200), "", ROW('Temp Hisfa'!P$3:P$200)-MIN(ROW('Temp Hisfa'!P$3:P$200))+1), ROW(129:328))),"")</f>
        <v/>
      </c>
      <c r="Q131" s="22" t="str">
        <f t="array" ref="Q131">IFERROR(INDEX('Temp Hisfa'!Q$3:Q$200, SMALL(IF(ISERROR('Temp Hisfa'!Q$3:Q$200), "", ROW('Temp Hisfa'!Q$3:Q$200)-MIN(ROW('Temp Hisfa'!Q$3:Q$200))+1), ROW(129:328))),"")</f>
        <v/>
      </c>
      <c r="R131" s="22" t="str">
        <f t="array" ref="R131">IFERROR(INDEX('Temp Hisfa'!R$3:R$200, SMALL(IF(ISERROR('Temp Hisfa'!R$3:R$200), "", ROW('Temp Hisfa'!R$3:R$200)-MIN(ROW('Temp Hisfa'!R$3:R$200))+1), ROW(129:328))),"")</f>
        <v/>
      </c>
      <c r="S131" s="22" t="str">
        <f t="array" ref="S131">IFERROR(INDEX('Temp Hisfa'!S$3:S$200, SMALL(IF(ISERROR('Temp Hisfa'!S$3:S$200), "", ROW('Temp Hisfa'!S$3:S$200)-MIN(ROW('Temp Hisfa'!S$3:S$200))+1), ROW(129:328))),"")</f>
        <v/>
      </c>
      <c r="T131" s="22" t="str">
        <f t="array" ref="T131">IFERROR(INDEX('Temp Hisfa'!T$3:T$200, SMALL(IF(ISERROR('Temp Hisfa'!T$3:T$200), "", ROW('Temp Hisfa'!T$3:T$200)-MIN(ROW('Temp Hisfa'!T$3:T$200))+1), ROW(129:328))),"")</f>
        <v/>
      </c>
      <c r="U131" s="22" t="str">
        <f t="array" ref="U131">IFERROR(INDEX('Temp Hisfa'!U$3:U$200, SMALL(IF(ISERROR('Temp Hisfa'!U$3:U$200), "", ROW('Temp Hisfa'!U$3:U$200)-MIN(ROW('Temp Hisfa'!U$3:U$200))+1), ROW(129:328))),"")</f>
        <v/>
      </c>
      <c r="V131" s="22" t="str">
        <f t="array" ref="V131">IFERROR(INDEX('Temp Hisfa'!V$3:V$200, SMALL(IF(ISERROR('Temp Hisfa'!V$3:V$200), "", ROW('Temp Hisfa'!V$3:V$200)-MIN(ROW('Temp Hisfa'!V$3:V$200))+1), ROW(129:328))),"")</f>
        <v/>
      </c>
      <c r="W131" s="22" t="str">
        <f t="array" ref="W131">IFERROR(INDEX('Temp Hisfa'!W$3:W$200, SMALL(IF(ISERROR('Temp Hisfa'!W$3:W$200), "", ROW('Temp Hisfa'!W$3:W$200)-MIN(ROW('Temp Hisfa'!W$3:W$200))+1), ROW(129:328))),"")</f>
        <v/>
      </c>
      <c r="X131" s="22" t="str">
        <f t="array" ref="X131">IFERROR(INDEX('Temp Hisfa'!X$3:X$200, SMALL(IF(ISERROR('Temp Hisfa'!X$3:X$200), "", ROW('Temp Hisfa'!X$3:X$200)-MIN(ROW('Temp Hisfa'!X$3:X$200))+1), ROW(129:328))),"")</f>
        <v/>
      </c>
      <c r="Y131" s="22" t="str">
        <f t="array" ref="Y131">IFERROR(INDEX('Temp Hisfa'!Y$3:Y$200, SMALL(IF(ISERROR('Temp Hisfa'!Y$3:Y$200), "", ROW('Temp Hisfa'!Y$3:Y$200)-MIN(ROW('Temp Hisfa'!Y$3:Y$200))+1), ROW(129:328))),"")</f>
        <v/>
      </c>
      <c r="Z131" s="22" t="str">
        <f t="array" ref="Z131">IFERROR(INDEX('Temp Hisfa'!Z$3:Z$200, SMALL(IF(ISERROR('Temp Hisfa'!Z$3:Z$200), "", ROW('Temp Hisfa'!Z$3:Z$200)-MIN(ROW('Temp Hisfa'!Z$3:Z$200))+1), ROW(129:328))),"")</f>
        <v/>
      </c>
      <c r="AA131" s="22" t="str">
        <f t="array" ref="AA131">IFERROR(INDEX('Temp Hisfa'!AA$3:AA$200, SMALL(IF(ISERROR('Temp Hisfa'!AA$3:AA$200), "", ROW('Temp Hisfa'!AA$3:AA$200)-MIN(ROW('Temp Hisfa'!AA$3:AA$200))+1), ROW(129:328))),"")</f>
        <v/>
      </c>
      <c r="AB131" s="22" t="str">
        <f t="array" ref="AB131">IFERROR(INDEX('Temp Hisfa'!AB$3:AB$200, SMALL(IF(ISERROR('Temp Hisfa'!AB$3:AB$200), "", ROW('Temp Hisfa'!AB$3:AB$200)-MIN(ROW('Temp Hisfa'!AB$3:AB$200))+1), ROW(129:328))),"")</f>
        <v/>
      </c>
    </row>
    <row r="132" spans="1:28" x14ac:dyDescent="0.3">
      <c r="A132" s="4" t="str">
        <f t="array" ref="A132">IFERROR(INDEX('Temp Hisfa'!A$3:A$200, SMALL(IF(ISERROR('Temp Hisfa'!A$3:A$200), "", ROW('Temp Hisfa'!A$3:A$200)-MIN(ROW('Temp Hisfa'!A$3:A$200))+1), ROW(130:328))),"")</f>
        <v/>
      </c>
      <c r="B132" s="4" t="str">
        <f t="array" ref="B132">IFERROR(INDEX('Temp Hisfa'!B$3:B$200, SMALL(IF(ISERROR('Temp Hisfa'!B$3:B$200), "", ROW('Temp Hisfa'!B$3:B$200)-MIN(ROW('Temp Hisfa'!B$3:B$200))+1), ROW(130:328))),"")</f>
        <v/>
      </c>
      <c r="C132" s="3" t="str">
        <f t="array" ref="C132">IFERROR(INDEX('Temp Hisfa'!C$3:C$200, SMALL(IF(ISERROR('Temp Hisfa'!C$3:C$200), "", ROW('Temp Hisfa'!C$3:C$200)-MIN(ROW('Temp Hisfa'!C$3:C$200))+1), ROW(130:328))),"")</f>
        <v/>
      </c>
      <c r="D132" s="3" t="str">
        <f t="array" ref="D132">IFERROR(INDEX('Temp Hisfa'!D$3:D$200, SMALL(IF(ISERROR('Temp Hisfa'!D$3:D$200), "", ROW('Temp Hisfa'!D$3:D$200)-MIN(ROW('Temp Hisfa'!D$3:D$200))+1), ROW(130:328))),"")</f>
        <v/>
      </c>
      <c r="E132" s="29" t="str">
        <f t="array" ref="E132">IFERROR(INDEX('Temp Hisfa'!E$3:E$200, SMALL(IF(ISERROR('Temp Hisfa'!E$3:E$200), "", ROW('Temp Hisfa'!E$3:E$200)-MIN(ROW('Temp Hisfa'!E$3:E$200))+1), ROW(130:329))),"")</f>
        <v/>
      </c>
      <c r="F132" s="22" t="str">
        <f t="array" ref="F132">IFERROR(INDEX('Temp Hisfa'!F$3:F$200, SMALL(IF(ISERROR('Temp Hisfa'!F$3:F$200), "", ROW('Temp Hisfa'!F$3:F$200)-MIN(ROW('Temp Hisfa'!F$3:F$200))+1), ROW(130:329))),"")</f>
        <v/>
      </c>
      <c r="G132" s="30" t="str">
        <f t="array" ref="G132">IFERROR(INDEX('Temp Hisfa'!G$3:G$200, SMALL(IF(ISERROR('Temp Hisfa'!G$3:G$200), "", ROW('Temp Hisfa'!G$3:G$200)-MIN(ROW('Temp Hisfa'!G$3:G$200))+1), ROW(130:329))),"")</f>
        <v/>
      </c>
      <c r="H132" s="22" t="str">
        <f t="array" ref="H132">IFERROR(INDEX('Temp Hisfa'!H$3:H$200, SMALL(IF(ISERROR('Temp Hisfa'!H$3:H$200), "", ROW('Temp Hisfa'!H$3:H$200)-MIN(ROW('Temp Hisfa'!H$3:H$200))+1), ROW(130:329))),"")</f>
        <v/>
      </c>
      <c r="I132" s="22" t="str">
        <f t="array" ref="I132">IFERROR(INDEX('Temp Hisfa'!I$3:I$200, SMALL(IF(ISERROR('Temp Hisfa'!I$3:I$200), "", ROW('Temp Hisfa'!I$3:I$200)-MIN(ROW('Temp Hisfa'!I$3:I$200))+1), ROW(130:329))),"")</f>
        <v/>
      </c>
      <c r="J132" s="22" t="str">
        <f t="array" ref="J132">IFERROR(INDEX('Temp Hisfa'!J$3:J$200, SMALL(IF(ISERROR('Temp Hisfa'!J$3:J$200), "", ROW('Temp Hisfa'!J$3:J$200)-MIN(ROW('Temp Hisfa'!J$3:J$200))+1), ROW(130:329))),"")</f>
        <v/>
      </c>
      <c r="K132" s="30" t="str">
        <f t="array" ref="K132">IFERROR(INDEX('Temp Hisfa'!K$3:K$200, SMALL(IF(ISERROR('Temp Hisfa'!K$3:K$200), "", ROW('Temp Hisfa'!K$3:K$200)-MIN(ROW('Temp Hisfa'!K$3:K$200))+1), ROW(130:329))),"")</f>
        <v/>
      </c>
      <c r="L132" s="22" t="str">
        <f t="array" ref="L132">IFERROR(INDEX('Temp Hisfa'!L$3:L$200, SMALL(IF(ISERROR('Temp Hisfa'!L$3:L$200), "", ROW('Temp Hisfa'!L$3:L$200)-MIN(ROW('Temp Hisfa'!L$3:L$200))+1), ROW(130:329))),"")</f>
        <v/>
      </c>
      <c r="M132" s="22" t="str">
        <f t="array" ref="M132">IFERROR(INDEX('Temp Hisfa'!M$3:M$200, SMALL(IF(ISERROR('Temp Hisfa'!M$3:M$200), "", ROW('Temp Hisfa'!M$3:M$200)-MIN(ROW('Temp Hisfa'!M$3:M$200))+1), ROW(130:329))),"")</f>
        <v/>
      </c>
      <c r="N132" s="22" t="str">
        <f t="array" ref="N132">IFERROR(INDEX('Temp Hisfa'!N$3:N$200, SMALL(IF(ISERROR('Temp Hisfa'!N$3:N$200), "", ROW('Temp Hisfa'!N$3:N$200)-MIN(ROW('Temp Hisfa'!N$3:N$200))+1), ROW(130:329))),"")</f>
        <v/>
      </c>
      <c r="O132" s="22" t="str">
        <f t="array" ref="O132">IFERROR(INDEX('Temp Hisfa'!O$3:O$200, SMALL(IF(ISERROR('Temp Hisfa'!O$3:O$200), "", ROW('Temp Hisfa'!O$3:O$200)-MIN(ROW('Temp Hisfa'!O$3:O$200))+1), ROW(130:329))),"")</f>
        <v/>
      </c>
      <c r="P132" s="22" t="str">
        <f t="array" ref="P132">IFERROR(INDEX('Temp Hisfa'!P$3:P$200, SMALL(IF(ISERROR('Temp Hisfa'!P$3:P$200), "", ROW('Temp Hisfa'!P$3:P$200)-MIN(ROW('Temp Hisfa'!P$3:P$200))+1), ROW(130:329))),"")</f>
        <v/>
      </c>
      <c r="Q132" s="22" t="str">
        <f t="array" ref="Q132">IFERROR(INDEX('Temp Hisfa'!Q$3:Q$200, SMALL(IF(ISERROR('Temp Hisfa'!Q$3:Q$200), "", ROW('Temp Hisfa'!Q$3:Q$200)-MIN(ROW('Temp Hisfa'!Q$3:Q$200))+1), ROW(130:329))),"")</f>
        <v/>
      </c>
      <c r="R132" s="22" t="str">
        <f t="array" ref="R132">IFERROR(INDEX('Temp Hisfa'!R$3:R$200, SMALL(IF(ISERROR('Temp Hisfa'!R$3:R$200), "", ROW('Temp Hisfa'!R$3:R$200)-MIN(ROW('Temp Hisfa'!R$3:R$200))+1), ROW(130:329))),"")</f>
        <v/>
      </c>
      <c r="S132" s="22" t="str">
        <f t="array" ref="S132">IFERROR(INDEX('Temp Hisfa'!S$3:S$200, SMALL(IF(ISERROR('Temp Hisfa'!S$3:S$200), "", ROW('Temp Hisfa'!S$3:S$200)-MIN(ROW('Temp Hisfa'!S$3:S$200))+1), ROW(130:329))),"")</f>
        <v/>
      </c>
      <c r="T132" s="22" t="str">
        <f t="array" ref="T132">IFERROR(INDEX('Temp Hisfa'!T$3:T$200, SMALL(IF(ISERROR('Temp Hisfa'!T$3:T$200), "", ROW('Temp Hisfa'!T$3:T$200)-MIN(ROW('Temp Hisfa'!T$3:T$200))+1), ROW(130:329))),"")</f>
        <v/>
      </c>
      <c r="U132" s="22" t="str">
        <f t="array" ref="U132">IFERROR(INDEX('Temp Hisfa'!U$3:U$200, SMALL(IF(ISERROR('Temp Hisfa'!U$3:U$200), "", ROW('Temp Hisfa'!U$3:U$200)-MIN(ROW('Temp Hisfa'!U$3:U$200))+1), ROW(130:329))),"")</f>
        <v/>
      </c>
      <c r="V132" s="22" t="str">
        <f t="array" ref="V132">IFERROR(INDEX('Temp Hisfa'!V$3:V$200, SMALL(IF(ISERROR('Temp Hisfa'!V$3:V$200), "", ROW('Temp Hisfa'!V$3:V$200)-MIN(ROW('Temp Hisfa'!V$3:V$200))+1), ROW(130:329))),"")</f>
        <v/>
      </c>
      <c r="W132" s="22" t="str">
        <f t="array" ref="W132">IFERROR(INDEX('Temp Hisfa'!W$3:W$200, SMALL(IF(ISERROR('Temp Hisfa'!W$3:W$200), "", ROW('Temp Hisfa'!W$3:W$200)-MIN(ROW('Temp Hisfa'!W$3:W$200))+1), ROW(130:329))),"")</f>
        <v/>
      </c>
      <c r="X132" s="22" t="str">
        <f t="array" ref="X132">IFERROR(INDEX('Temp Hisfa'!X$3:X$200, SMALL(IF(ISERROR('Temp Hisfa'!X$3:X$200), "", ROW('Temp Hisfa'!X$3:X$200)-MIN(ROW('Temp Hisfa'!X$3:X$200))+1), ROW(130:329))),"")</f>
        <v/>
      </c>
      <c r="Y132" s="22" t="str">
        <f t="array" ref="Y132">IFERROR(INDEX('Temp Hisfa'!Y$3:Y$200, SMALL(IF(ISERROR('Temp Hisfa'!Y$3:Y$200), "", ROW('Temp Hisfa'!Y$3:Y$200)-MIN(ROW('Temp Hisfa'!Y$3:Y$200))+1), ROW(130:329))),"")</f>
        <v/>
      </c>
      <c r="Z132" s="22" t="str">
        <f t="array" ref="Z132">IFERROR(INDEX('Temp Hisfa'!Z$3:Z$200, SMALL(IF(ISERROR('Temp Hisfa'!Z$3:Z$200), "", ROW('Temp Hisfa'!Z$3:Z$200)-MIN(ROW('Temp Hisfa'!Z$3:Z$200))+1), ROW(130:329))),"")</f>
        <v/>
      </c>
      <c r="AA132" s="22" t="str">
        <f t="array" ref="AA132">IFERROR(INDEX('Temp Hisfa'!AA$3:AA$200, SMALL(IF(ISERROR('Temp Hisfa'!AA$3:AA$200), "", ROW('Temp Hisfa'!AA$3:AA$200)-MIN(ROW('Temp Hisfa'!AA$3:AA$200))+1), ROW(130:329))),"")</f>
        <v/>
      </c>
      <c r="AB132" s="22" t="str">
        <f t="array" ref="AB132">IFERROR(INDEX('Temp Hisfa'!AB$3:AB$200, SMALL(IF(ISERROR('Temp Hisfa'!AB$3:AB$200), "", ROW('Temp Hisfa'!AB$3:AB$200)-MIN(ROW('Temp Hisfa'!AB$3:AB$200))+1), ROW(130:329))),"")</f>
        <v/>
      </c>
    </row>
    <row r="133" spans="1:28" x14ac:dyDescent="0.3">
      <c r="A133" s="4" t="str">
        <f t="array" ref="A133">IFERROR(INDEX('Temp Hisfa'!A$3:A$200, SMALL(IF(ISERROR('Temp Hisfa'!A$3:A$200), "", ROW('Temp Hisfa'!A$3:A$200)-MIN(ROW('Temp Hisfa'!A$3:A$200))+1), ROW(131:329))),"")</f>
        <v/>
      </c>
      <c r="B133" s="4" t="str">
        <f t="array" ref="B133">IFERROR(INDEX('Temp Hisfa'!B$3:B$200, SMALL(IF(ISERROR('Temp Hisfa'!B$3:B$200), "", ROW('Temp Hisfa'!B$3:B$200)-MIN(ROW('Temp Hisfa'!B$3:B$200))+1), ROW(131:329))),"")</f>
        <v/>
      </c>
      <c r="C133" s="3" t="str">
        <f t="array" ref="C133">IFERROR(INDEX('Temp Hisfa'!C$3:C$200, SMALL(IF(ISERROR('Temp Hisfa'!C$3:C$200), "", ROW('Temp Hisfa'!C$3:C$200)-MIN(ROW('Temp Hisfa'!C$3:C$200))+1), ROW(131:329))),"")</f>
        <v/>
      </c>
      <c r="D133" s="3" t="str">
        <f t="array" ref="D133">IFERROR(INDEX('Temp Hisfa'!D$3:D$200, SMALL(IF(ISERROR('Temp Hisfa'!D$3:D$200), "", ROW('Temp Hisfa'!D$3:D$200)-MIN(ROW('Temp Hisfa'!D$3:D$200))+1), ROW(131:329))),"")</f>
        <v/>
      </c>
      <c r="E133" s="29" t="str">
        <f t="array" ref="E133">IFERROR(INDEX('Temp Hisfa'!E$3:E$200, SMALL(IF(ISERROR('Temp Hisfa'!E$3:E$200), "", ROW('Temp Hisfa'!E$3:E$200)-MIN(ROW('Temp Hisfa'!E$3:E$200))+1), ROW(131:330))),"")</f>
        <v/>
      </c>
      <c r="F133" s="22" t="str">
        <f t="array" ref="F133">IFERROR(INDEX('Temp Hisfa'!F$3:F$200, SMALL(IF(ISERROR('Temp Hisfa'!F$3:F$200), "", ROW('Temp Hisfa'!F$3:F$200)-MIN(ROW('Temp Hisfa'!F$3:F$200))+1), ROW(131:330))),"")</f>
        <v/>
      </c>
      <c r="G133" s="30" t="str">
        <f t="array" ref="G133">IFERROR(INDEX('Temp Hisfa'!G$3:G$200, SMALL(IF(ISERROR('Temp Hisfa'!G$3:G$200), "", ROW('Temp Hisfa'!G$3:G$200)-MIN(ROW('Temp Hisfa'!G$3:G$200))+1), ROW(131:330))),"")</f>
        <v/>
      </c>
      <c r="H133" s="22" t="str">
        <f t="array" ref="H133">IFERROR(INDEX('Temp Hisfa'!H$3:H$200, SMALL(IF(ISERROR('Temp Hisfa'!H$3:H$200), "", ROW('Temp Hisfa'!H$3:H$200)-MIN(ROW('Temp Hisfa'!H$3:H$200))+1), ROW(131:330))),"")</f>
        <v/>
      </c>
      <c r="I133" s="22" t="str">
        <f t="array" ref="I133">IFERROR(INDEX('Temp Hisfa'!I$3:I$200, SMALL(IF(ISERROR('Temp Hisfa'!I$3:I$200), "", ROW('Temp Hisfa'!I$3:I$200)-MIN(ROW('Temp Hisfa'!I$3:I$200))+1), ROW(131:330))),"")</f>
        <v/>
      </c>
      <c r="J133" s="22" t="str">
        <f t="array" ref="J133">IFERROR(INDEX('Temp Hisfa'!J$3:J$200, SMALL(IF(ISERROR('Temp Hisfa'!J$3:J$200), "", ROW('Temp Hisfa'!J$3:J$200)-MIN(ROW('Temp Hisfa'!J$3:J$200))+1), ROW(131:330))),"")</f>
        <v/>
      </c>
      <c r="K133" s="30" t="str">
        <f t="array" ref="K133">IFERROR(INDEX('Temp Hisfa'!K$3:K$200, SMALL(IF(ISERROR('Temp Hisfa'!K$3:K$200), "", ROW('Temp Hisfa'!K$3:K$200)-MIN(ROW('Temp Hisfa'!K$3:K$200))+1), ROW(131:330))),"")</f>
        <v/>
      </c>
      <c r="L133" s="22" t="str">
        <f t="array" ref="L133">IFERROR(INDEX('Temp Hisfa'!L$3:L$200, SMALL(IF(ISERROR('Temp Hisfa'!L$3:L$200), "", ROW('Temp Hisfa'!L$3:L$200)-MIN(ROW('Temp Hisfa'!L$3:L$200))+1), ROW(131:330))),"")</f>
        <v/>
      </c>
      <c r="M133" s="22" t="str">
        <f t="array" ref="M133">IFERROR(INDEX('Temp Hisfa'!M$3:M$200, SMALL(IF(ISERROR('Temp Hisfa'!M$3:M$200), "", ROW('Temp Hisfa'!M$3:M$200)-MIN(ROW('Temp Hisfa'!M$3:M$200))+1), ROW(131:330))),"")</f>
        <v/>
      </c>
      <c r="N133" s="22" t="str">
        <f t="array" ref="N133">IFERROR(INDEX('Temp Hisfa'!N$3:N$200, SMALL(IF(ISERROR('Temp Hisfa'!N$3:N$200), "", ROW('Temp Hisfa'!N$3:N$200)-MIN(ROW('Temp Hisfa'!N$3:N$200))+1), ROW(131:330))),"")</f>
        <v/>
      </c>
      <c r="O133" s="22" t="str">
        <f t="array" ref="O133">IFERROR(INDEX('Temp Hisfa'!O$3:O$200, SMALL(IF(ISERROR('Temp Hisfa'!O$3:O$200), "", ROW('Temp Hisfa'!O$3:O$200)-MIN(ROW('Temp Hisfa'!O$3:O$200))+1), ROW(131:330))),"")</f>
        <v/>
      </c>
      <c r="P133" s="22" t="str">
        <f t="array" ref="P133">IFERROR(INDEX('Temp Hisfa'!P$3:P$200, SMALL(IF(ISERROR('Temp Hisfa'!P$3:P$200), "", ROW('Temp Hisfa'!P$3:P$200)-MIN(ROW('Temp Hisfa'!P$3:P$200))+1), ROW(131:330))),"")</f>
        <v/>
      </c>
      <c r="Q133" s="22" t="str">
        <f t="array" ref="Q133">IFERROR(INDEX('Temp Hisfa'!Q$3:Q$200, SMALL(IF(ISERROR('Temp Hisfa'!Q$3:Q$200), "", ROW('Temp Hisfa'!Q$3:Q$200)-MIN(ROW('Temp Hisfa'!Q$3:Q$200))+1), ROW(131:330))),"")</f>
        <v/>
      </c>
      <c r="R133" s="22" t="str">
        <f t="array" ref="R133">IFERROR(INDEX('Temp Hisfa'!R$3:R$200, SMALL(IF(ISERROR('Temp Hisfa'!R$3:R$200), "", ROW('Temp Hisfa'!R$3:R$200)-MIN(ROW('Temp Hisfa'!R$3:R$200))+1), ROW(131:330))),"")</f>
        <v/>
      </c>
      <c r="S133" s="22" t="str">
        <f t="array" ref="S133">IFERROR(INDEX('Temp Hisfa'!S$3:S$200, SMALL(IF(ISERROR('Temp Hisfa'!S$3:S$200), "", ROW('Temp Hisfa'!S$3:S$200)-MIN(ROW('Temp Hisfa'!S$3:S$200))+1), ROW(131:330))),"")</f>
        <v/>
      </c>
      <c r="T133" s="22" t="str">
        <f t="array" ref="T133">IFERROR(INDEX('Temp Hisfa'!T$3:T$200, SMALL(IF(ISERROR('Temp Hisfa'!T$3:T$200), "", ROW('Temp Hisfa'!T$3:T$200)-MIN(ROW('Temp Hisfa'!T$3:T$200))+1), ROW(131:330))),"")</f>
        <v/>
      </c>
      <c r="U133" s="22" t="str">
        <f t="array" ref="U133">IFERROR(INDEX('Temp Hisfa'!U$3:U$200, SMALL(IF(ISERROR('Temp Hisfa'!U$3:U$200), "", ROW('Temp Hisfa'!U$3:U$200)-MIN(ROW('Temp Hisfa'!U$3:U$200))+1), ROW(131:330))),"")</f>
        <v/>
      </c>
      <c r="V133" s="22" t="str">
        <f t="array" ref="V133">IFERROR(INDEX('Temp Hisfa'!V$3:V$200, SMALL(IF(ISERROR('Temp Hisfa'!V$3:V$200), "", ROW('Temp Hisfa'!V$3:V$200)-MIN(ROW('Temp Hisfa'!V$3:V$200))+1), ROW(131:330))),"")</f>
        <v/>
      </c>
      <c r="W133" s="22" t="str">
        <f t="array" ref="W133">IFERROR(INDEX('Temp Hisfa'!W$3:W$200, SMALL(IF(ISERROR('Temp Hisfa'!W$3:W$200), "", ROW('Temp Hisfa'!W$3:W$200)-MIN(ROW('Temp Hisfa'!W$3:W$200))+1), ROW(131:330))),"")</f>
        <v/>
      </c>
      <c r="X133" s="22" t="str">
        <f t="array" ref="X133">IFERROR(INDEX('Temp Hisfa'!X$3:X$200, SMALL(IF(ISERROR('Temp Hisfa'!X$3:X$200), "", ROW('Temp Hisfa'!X$3:X$200)-MIN(ROW('Temp Hisfa'!X$3:X$200))+1), ROW(131:330))),"")</f>
        <v/>
      </c>
      <c r="Y133" s="22" t="str">
        <f t="array" ref="Y133">IFERROR(INDEX('Temp Hisfa'!Y$3:Y$200, SMALL(IF(ISERROR('Temp Hisfa'!Y$3:Y$200), "", ROW('Temp Hisfa'!Y$3:Y$200)-MIN(ROW('Temp Hisfa'!Y$3:Y$200))+1), ROW(131:330))),"")</f>
        <v/>
      </c>
      <c r="Z133" s="22" t="str">
        <f t="array" ref="Z133">IFERROR(INDEX('Temp Hisfa'!Z$3:Z$200, SMALL(IF(ISERROR('Temp Hisfa'!Z$3:Z$200), "", ROW('Temp Hisfa'!Z$3:Z$200)-MIN(ROW('Temp Hisfa'!Z$3:Z$200))+1), ROW(131:330))),"")</f>
        <v/>
      </c>
      <c r="AA133" s="22" t="str">
        <f t="array" ref="AA133">IFERROR(INDEX('Temp Hisfa'!AA$3:AA$200, SMALL(IF(ISERROR('Temp Hisfa'!AA$3:AA$200), "", ROW('Temp Hisfa'!AA$3:AA$200)-MIN(ROW('Temp Hisfa'!AA$3:AA$200))+1), ROW(131:330))),"")</f>
        <v/>
      </c>
      <c r="AB133" s="22" t="str">
        <f t="array" ref="AB133">IFERROR(INDEX('Temp Hisfa'!AB$3:AB$200, SMALL(IF(ISERROR('Temp Hisfa'!AB$3:AB$200), "", ROW('Temp Hisfa'!AB$3:AB$200)-MIN(ROW('Temp Hisfa'!AB$3:AB$200))+1), ROW(131:330))),"")</f>
        <v/>
      </c>
    </row>
    <row r="134" spans="1:28" x14ac:dyDescent="0.3">
      <c r="A134" s="4" t="str">
        <f t="array" ref="A134">IFERROR(INDEX('Temp Hisfa'!A$3:A$200, SMALL(IF(ISERROR('Temp Hisfa'!A$3:A$200), "", ROW('Temp Hisfa'!A$3:A$200)-MIN(ROW('Temp Hisfa'!A$3:A$200))+1), ROW(132:330))),"")</f>
        <v/>
      </c>
      <c r="B134" s="4" t="str">
        <f t="array" ref="B134">IFERROR(INDEX('Temp Hisfa'!B$3:B$200, SMALL(IF(ISERROR('Temp Hisfa'!B$3:B$200), "", ROW('Temp Hisfa'!B$3:B$200)-MIN(ROW('Temp Hisfa'!B$3:B$200))+1), ROW(132:330))),"")</f>
        <v/>
      </c>
      <c r="C134" s="3" t="str">
        <f t="array" ref="C134">IFERROR(INDEX('Temp Hisfa'!C$3:C$200, SMALL(IF(ISERROR('Temp Hisfa'!C$3:C$200), "", ROW('Temp Hisfa'!C$3:C$200)-MIN(ROW('Temp Hisfa'!C$3:C$200))+1), ROW(132:330))),"")</f>
        <v/>
      </c>
      <c r="D134" s="3" t="str">
        <f t="array" ref="D134">IFERROR(INDEX('Temp Hisfa'!D$3:D$200, SMALL(IF(ISERROR('Temp Hisfa'!D$3:D$200), "", ROW('Temp Hisfa'!D$3:D$200)-MIN(ROW('Temp Hisfa'!D$3:D$200))+1), ROW(132:330))),"")</f>
        <v/>
      </c>
      <c r="E134" s="29" t="str">
        <f t="array" ref="E134">IFERROR(INDEX('Temp Hisfa'!E$3:E$200, SMALL(IF(ISERROR('Temp Hisfa'!E$3:E$200), "", ROW('Temp Hisfa'!E$3:E$200)-MIN(ROW('Temp Hisfa'!E$3:E$200))+1), ROW(132:331))),"")</f>
        <v/>
      </c>
      <c r="F134" s="22" t="str">
        <f t="array" ref="F134">IFERROR(INDEX('Temp Hisfa'!F$3:F$200, SMALL(IF(ISERROR('Temp Hisfa'!F$3:F$200), "", ROW('Temp Hisfa'!F$3:F$200)-MIN(ROW('Temp Hisfa'!F$3:F$200))+1), ROW(132:331))),"")</f>
        <v/>
      </c>
      <c r="G134" s="30" t="str">
        <f t="array" ref="G134">IFERROR(INDEX('Temp Hisfa'!G$3:G$200, SMALL(IF(ISERROR('Temp Hisfa'!G$3:G$200), "", ROW('Temp Hisfa'!G$3:G$200)-MIN(ROW('Temp Hisfa'!G$3:G$200))+1), ROW(132:331))),"")</f>
        <v/>
      </c>
      <c r="H134" s="22" t="str">
        <f t="array" ref="H134">IFERROR(INDEX('Temp Hisfa'!H$3:H$200, SMALL(IF(ISERROR('Temp Hisfa'!H$3:H$200), "", ROW('Temp Hisfa'!H$3:H$200)-MIN(ROW('Temp Hisfa'!H$3:H$200))+1), ROW(132:331))),"")</f>
        <v/>
      </c>
      <c r="I134" s="22" t="str">
        <f t="array" ref="I134">IFERROR(INDEX('Temp Hisfa'!I$3:I$200, SMALL(IF(ISERROR('Temp Hisfa'!I$3:I$200), "", ROW('Temp Hisfa'!I$3:I$200)-MIN(ROW('Temp Hisfa'!I$3:I$200))+1), ROW(132:331))),"")</f>
        <v/>
      </c>
      <c r="J134" s="22" t="str">
        <f t="array" ref="J134">IFERROR(INDEX('Temp Hisfa'!J$3:J$200, SMALL(IF(ISERROR('Temp Hisfa'!J$3:J$200), "", ROW('Temp Hisfa'!J$3:J$200)-MIN(ROW('Temp Hisfa'!J$3:J$200))+1), ROW(132:331))),"")</f>
        <v/>
      </c>
      <c r="K134" s="30" t="str">
        <f t="array" ref="K134">IFERROR(INDEX('Temp Hisfa'!K$3:K$200, SMALL(IF(ISERROR('Temp Hisfa'!K$3:K$200), "", ROW('Temp Hisfa'!K$3:K$200)-MIN(ROW('Temp Hisfa'!K$3:K$200))+1), ROW(132:331))),"")</f>
        <v/>
      </c>
      <c r="L134" s="22" t="str">
        <f t="array" ref="L134">IFERROR(INDEX('Temp Hisfa'!L$3:L$200, SMALL(IF(ISERROR('Temp Hisfa'!L$3:L$200), "", ROW('Temp Hisfa'!L$3:L$200)-MIN(ROW('Temp Hisfa'!L$3:L$200))+1), ROW(132:331))),"")</f>
        <v/>
      </c>
      <c r="M134" s="22" t="str">
        <f t="array" ref="M134">IFERROR(INDEX('Temp Hisfa'!M$3:M$200, SMALL(IF(ISERROR('Temp Hisfa'!M$3:M$200), "", ROW('Temp Hisfa'!M$3:M$200)-MIN(ROW('Temp Hisfa'!M$3:M$200))+1), ROW(132:331))),"")</f>
        <v/>
      </c>
      <c r="N134" s="22" t="str">
        <f t="array" ref="N134">IFERROR(INDEX('Temp Hisfa'!N$3:N$200, SMALL(IF(ISERROR('Temp Hisfa'!N$3:N$200), "", ROW('Temp Hisfa'!N$3:N$200)-MIN(ROW('Temp Hisfa'!N$3:N$200))+1), ROW(132:331))),"")</f>
        <v/>
      </c>
      <c r="O134" s="22" t="str">
        <f t="array" ref="O134">IFERROR(INDEX('Temp Hisfa'!O$3:O$200, SMALL(IF(ISERROR('Temp Hisfa'!O$3:O$200), "", ROW('Temp Hisfa'!O$3:O$200)-MIN(ROW('Temp Hisfa'!O$3:O$200))+1), ROW(132:331))),"")</f>
        <v/>
      </c>
      <c r="P134" s="22" t="str">
        <f t="array" ref="P134">IFERROR(INDEX('Temp Hisfa'!P$3:P$200, SMALL(IF(ISERROR('Temp Hisfa'!P$3:P$200), "", ROW('Temp Hisfa'!P$3:P$200)-MIN(ROW('Temp Hisfa'!P$3:P$200))+1), ROW(132:331))),"")</f>
        <v/>
      </c>
      <c r="Q134" s="22" t="str">
        <f t="array" ref="Q134">IFERROR(INDEX('Temp Hisfa'!Q$3:Q$200, SMALL(IF(ISERROR('Temp Hisfa'!Q$3:Q$200), "", ROW('Temp Hisfa'!Q$3:Q$200)-MIN(ROW('Temp Hisfa'!Q$3:Q$200))+1), ROW(132:331))),"")</f>
        <v/>
      </c>
      <c r="R134" s="22" t="str">
        <f t="array" ref="R134">IFERROR(INDEX('Temp Hisfa'!R$3:R$200, SMALL(IF(ISERROR('Temp Hisfa'!R$3:R$200), "", ROW('Temp Hisfa'!R$3:R$200)-MIN(ROW('Temp Hisfa'!R$3:R$200))+1), ROW(132:331))),"")</f>
        <v/>
      </c>
      <c r="S134" s="22" t="str">
        <f t="array" ref="S134">IFERROR(INDEX('Temp Hisfa'!S$3:S$200, SMALL(IF(ISERROR('Temp Hisfa'!S$3:S$200), "", ROW('Temp Hisfa'!S$3:S$200)-MIN(ROW('Temp Hisfa'!S$3:S$200))+1), ROW(132:331))),"")</f>
        <v/>
      </c>
      <c r="T134" s="22" t="str">
        <f t="array" ref="T134">IFERROR(INDEX('Temp Hisfa'!T$3:T$200, SMALL(IF(ISERROR('Temp Hisfa'!T$3:T$200), "", ROW('Temp Hisfa'!T$3:T$200)-MIN(ROW('Temp Hisfa'!T$3:T$200))+1), ROW(132:331))),"")</f>
        <v/>
      </c>
      <c r="U134" s="22" t="str">
        <f t="array" ref="U134">IFERROR(INDEX('Temp Hisfa'!U$3:U$200, SMALL(IF(ISERROR('Temp Hisfa'!U$3:U$200), "", ROW('Temp Hisfa'!U$3:U$200)-MIN(ROW('Temp Hisfa'!U$3:U$200))+1), ROW(132:331))),"")</f>
        <v/>
      </c>
      <c r="V134" s="22" t="str">
        <f t="array" ref="V134">IFERROR(INDEX('Temp Hisfa'!V$3:V$200, SMALL(IF(ISERROR('Temp Hisfa'!V$3:V$200), "", ROW('Temp Hisfa'!V$3:V$200)-MIN(ROW('Temp Hisfa'!V$3:V$200))+1), ROW(132:331))),"")</f>
        <v/>
      </c>
      <c r="W134" s="22" t="str">
        <f t="array" ref="W134">IFERROR(INDEX('Temp Hisfa'!W$3:W$200, SMALL(IF(ISERROR('Temp Hisfa'!W$3:W$200), "", ROW('Temp Hisfa'!W$3:W$200)-MIN(ROW('Temp Hisfa'!W$3:W$200))+1), ROW(132:331))),"")</f>
        <v/>
      </c>
      <c r="X134" s="22" t="str">
        <f t="array" ref="X134">IFERROR(INDEX('Temp Hisfa'!X$3:X$200, SMALL(IF(ISERROR('Temp Hisfa'!X$3:X$200), "", ROW('Temp Hisfa'!X$3:X$200)-MIN(ROW('Temp Hisfa'!X$3:X$200))+1), ROW(132:331))),"")</f>
        <v/>
      </c>
      <c r="Y134" s="22" t="str">
        <f t="array" ref="Y134">IFERROR(INDEX('Temp Hisfa'!Y$3:Y$200, SMALL(IF(ISERROR('Temp Hisfa'!Y$3:Y$200), "", ROW('Temp Hisfa'!Y$3:Y$200)-MIN(ROW('Temp Hisfa'!Y$3:Y$200))+1), ROW(132:331))),"")</f>
        <v/>
      </c>
      <c r="Z134" s="22" t="str">
        <f t="array" ref="Z134">IFERROR(INDEX('Temp Hisfa'!Z$3:Z$200, SMALL(IF(ISERROR('Temp Hisfa'!Z$3:Z$200), "", ROW('Temp Hisfa'!Z$3:Z$200)-MIN(ROW('Temp Hisfa'!Z$3:Z$200))+1), ROW(132:331))),"")</f>
        <v/>
      </c>
      <c r="AA134" s="22" t="str">
        <f t="array" ref="AA134">IFERROR(INDEX('Temp Hisfa'!AA$3:AA$200, SMALL(IF(ISERROR('Temp Hisfa'!AA$3:AA$200), "", ROW('Temp Hisfa'!AA$3:AA$200)-MIN(ROW('Temp Hisfa'!AA$3:AA$200))+1), ROW(132:331))),"")</f>
        <v/>
      </c>
      <c r="AB134" s="22" t="str">
        <f t="array" ref="AB134">IFERROR(INDEX('Temp Hisfa'!AB$3:AB$200, SMALL(IF(ISERROR('Temp Hisfa'!AB$3:AB$200), "", ROW('Temp Hisfa'!AB$3:AB$200)-MIN(ROW('Temp Hisfa'!AB$3:AB$200))+1), ROW(132:331))),"")</f>
        <v/>
      </c>
    </row>
    <row r="135" spans="1:28" x14ac:dyDescent="0.3">
      <c r="A135" s="4" t="str">
        <f t="array" ref="A135">IFERROR(INDEX('Temp Hisfa'!A$3:A$200, SMALL(IF(ISERROR('Temp Hisfa'!A$3:A$200), "", ROW('Temp Hisfa'!A$3:A$200)-MIN(ROW('Temp Hisfa'!A$3:A$200))+1), ROW(133:331))),"")</f>
        <v/>
      </c>
      <c r="B135" s="4" t="str">
        <f t="array" ref="B135">IFERROR(INDEX('Temp Hisfa'!B$3:B$200, SMALL(IF(ISERROR('Temp Hisfa'!B$3:B$200), "", ROW('Temp Hisfa'!B$3:B$200)-MIN(ROW('Temp Hisfa'!B$3:B$200))+1), ROW(133:331))),"")</f>
        <v/>
      </c>
      <c r="C135" s="3" t="str">
        <f t="array" ref="C135">IFERROR(INDEX('Temp Hisfa'!C$3:C$200, SMALL(IF(ISERROR('Temp Hisfa'!C$3:C$200), "", ROW('Temp Hisfa'!C$3:C$200)-MIN(ROW('Temp Hisfa'!C$3:C$200))+1), ROW(133:331))),"")</f>
        <v/>
      </c>
      <c r="D135" s="3" t="str">
        <f t="array" ref="D135">IFERROR(INDEX('Temp Hisfa'!D$3:D$200, SMALL(IF(ISERROR('Temp Hisfa'!D$3:D$200), "", ROW('Temp Hisfa'!D$3:D$200)-MIN(ROW('Temp Hisfa'!D$3:D$200))+1), ROW(133:331))),"")</f>
        <v/>
      </c>
      <c r="E135" s="29" t="str">
        <f t="array" ref="E135">IFERROR(INDEX('Temp Hisfa'!E$3:E$200, SMALL(IF(ISERROR('Temp Hisfa'!E$3:E$200), "", ROW('Temp Hisfa'!E$3:E$200)-MIN(ROW('Temp Hisfa'!E$3:E$200))+1), ROW(133:332))),"")</f>
        <v/>
      </c>
      <c r="F135" s="22" t="str">
        <f t="array" ref="F135">IFERROR(INDEX('Temp Hisfa'!F$3:F$200, SMALL(IF(ISERROR('Temp Hisfa'!F$3:F$200), "", ROW('Temp Hisfa'!F$3:F$200)-MIN(ROW('Temp Hisfa'!F$3:F$200))+1), ROW(133:332))),"")</f>
        <v/>
      </c>
      <c r="G135" s="30" t="str">
        <f t="array" ref="G135">IFERROR(INDEX('Temp Hisfa'!G$3:G$200, SMALL(IF(ISERROR('Temp Hisfa'!G$3:G$200), "", ROW('Temp Hisfa'!G$3:G$200)-MIN(ROW('Temp Hisfa'!G$3:G$200))+1), ROW(133:332))),"")</f>
        <v/>
      </c>
      <c r="H135" s="22" t="str">
        <f t="array" ref="H135">IFERROR(INDEX('Temp Hisfa'!H$3:H$200, SMALL(IF(ISERROR('Temp Hisfa'!H$3:H$200), "", ROW('Temp Hisfa'!H$3:H$200)-MIN(ROW('Temp Hisfa'!H$3:H$200))+1), ROW(133:332))),"")</f>
        <v/>
      </c>
      <c r="I135" s="22" t="str">
        <f t="array" ref="I135">IFERROR(INDEX('Temp Hisfa'!I$3:I$200, SMALL(IF(ISERROR('Temp Hisfa'!I$3:I$200), "", ROW('Temp Hisfa'!I$3:I$200)-MIN(ROW('Temp Hisfa'!I$3:I$200))+1), ROW(133:332))),"")</f>
        <v/>
      </c>
      <c r="J135" s="22" t="str">
        <f t="array" ref="J135">IFERROR(INDEX('Temp Hisfa'!J$3:J$200, SMALL(IF(ISERROR('Temp Hisfa'!J$3:J$200), "", ROW('Temp Hisfa'!J$3:J$200)-MIN(ROW('Temp Hisfa'!J$3:J$200))+1), ROW(133:332))),"")</f>
        <v/>
      </c>
      <c r="K135" s="30" t="str">
        <f t="array" ref="K135">IFERROR(INDEX('Temp Hisfa'!K$3:K$200, SMALL(IF(ISERROR('Temp Hisfa'!K$3:K$200), "", ROW('Temp Hisfa'!K$3:K$200)-MIN(ROW('Temp Hisfa'!K$3:K$200))+1), ROW(133:332))),"")</f>
        <v/>
      </c>
      <c r="L135" s="22" t="str">
        <f t="array" ref="L135">IFERROR(INDEX('Temp Hisfa'!L$3:L$200, SMALL(IF(ISERROR('Temp Hisfa'!L$3:L$200), "", ROW('Temp Hisfa'!L$3:L$200)-MIN(ROW('Temp Hisfa'!L$3:L$200))+1), ROW(133:332))),"")</f>
        <v/>
      </c>
      <c r="M135" s="22" t="str">
        <f t="array" ref="M135">IFERROR(INDEX('Temp Hisfa'!M$3:M$200, SMALL(IF(ISERROR('Temp Hisfa'!M$3:M$200), "", ROW('Temp Hisfa'!M$3:M$200)-MIN(ROW('Temp Hisfa'!M$3:M$200))+1), ROW(133:332))),"")</f>
        <v/>
      </c>
      <c r="N135" s="22" t="str">
        <f t="array" ref="N135">IFERROR(INDEX('Temp Hisfa'!N$3:N$200, SMALL(IF(ISERROR('Temp Hisfa'!N$3:N$200), "", ROW('Temp Hisfa'!N$3:N$200)-MIN(ROW('Temp Hisfa'!N$3:N$200))+1), ROW(133:332))),"")</f>
        <v/>
      </c>
      <c r="O135" s="22" t="str">
        <f t="array" ref="O135">IFERROR(INDEX('Temp Hisfa'!O$3:O$200, SMALL(IF(ISERROR('Temp Hisfa'!O$3:O$200), "", ROW('Temp Hisfa'!O$3:O$200)-MIN(ROW('Temp Hisfa'!O$3:O$200))+1), ROW(133:332))),"")</f>
        <v/>
      </c>
      <c r="P135" s="22" t="str">
        <f t="array" ref="P135">IFERROR(INDEX('Temp Hisfa'!P$3:P$200, SMALL(IF(ISERROR('Temp Hisfa'!P$3:P$200), "", ROW('Temp Hisfa'!P$3:P$200)-MIN(ROW('Temp Hisfa'!P$3:P$200))+1), ROW(133:332))),"")</f>
        <v/>
      </c>
      <c r="Q135" s="22" t="str">
        <f t="array" ref="Q135">IFERROR(INDEX('Temp Hisfa'!Q$3:Q$200, SMALL(IF(ISERROR('Temp Hisfa'!Q$3:Q$200), "", ROW('Temp Hisfa'!Q$3:Q$200)-MIN(ROW('Temp Hisfa'!Q$3:Q$200))+1), ROW(133:332))),"")</f>
        <v/>
      </c>
      <c r="R135" s="22" t="str">
        <f t="array" ref="R135">IFERROR(INDEX('Temp Hisfa'!R$3:R$200, SMALL(IF(ISERROR('Temp Hisfa'!R$3:R$200), "", ROW('Temp Hisfa'!R$3:R$200)-MIN(ROW('Temp Hisfa'!R$3:R$200))+1), ROW(133:332))),"")</f>
        <v/>
      </c>
      <c r="S135" s="22" t="str">
        <f t="array" ref="S135">IFERROR(INDEX('Temp Hisfa'!S$3:S$200, SMALL(IF(ISERROR('Temp Hisfa'!S$3:S$200), "", ROW('Temp Hisfa'!S$3:S$200)-MIN(ROW('Temp Hisfa'!S$3:S$200))+1), ROW(133:332))),"")</f>
        <v/>
      </c>
      <c r="T135" s="22" t="str">
        <f t="array" ref="T135">IFERROR(INDEX('Temp Hisfa'!T$3:T$200, SMALL(IF(ISERROR('Temp Hisfa'!T$3:T$200), "", ROW('Temp Hisfa'!T$3:T$200)-MIN(ROW('Temp Hisfa'!T$3:T$200))+1), ROW(133:332))),"")</f>
        <v/>
      </c>
      <c r="U135" s="22" t="str">
        <f t="array" ref="U135">IFERROR(INDEX('Temp Hisfa'!U$3:U$200, SMALL(IF(ISERROR('Temp Hisfa'!U$3:U$200), "", ROW('Temp Hisfa'!U$3:U$200)-MIN(ROW('Temp Hisfa'!U$3:U$200))+1), ROW(133:332))),"")</f>
        <v/>
      </c>
      <c r="V135" s="22" t="str">
        <f t="array" ref="V135">IFERROR(INDEX('Temp Hisfa'!V$3:V$200, SMALL(IF(ISERROR('Temp Hisfa'!V$3:V$200), "", ROW('Temp Hisfa'!V$3:V$200)-MIN(ROW('Temp Hisfa'!V$3:V$200))+1), ROW(133:332))),"")</f>
        <v/>
      </c>
      <c r="W135" s="22" t="str">
        <f t="array" ref="W135">IFERROR(INDEX('Temp Hisfa'!W$3:W$200, SMALL(IF(ISERROR('Temp Hisfa'!W$3:W$200), "", ROW('Temp Hisfa'!W$3:W$200)-MIN(ROW('Temp Hisfa'!W$3:W$200))+1), ROW(133:332))),"")</f>
        <v/>
      </c>
      <c r="X135" s="22" t="str">
        <f t="array" ref="X135">IFERROR(INDEX('Temp Hisfa'!X$3:X$200, SMALL(IF(ISERROR('Temp Hisfa'!X$3:X$200), "", ROW('Temp Hisfa'!X$3:X$200)-MIN(ROW('Temp Hisfa'!X$3:X$200))+1), ROW(133:332))),"")</f>
        <v/>
      </c>
      <c r="Y135" s="22" t="str">
        <f t="array" ref="Y135">IFERROR(INDEX('Temp Hisfa'!Y$3:Y$200, SMALL(IF(ISERROR('Temp Hisfa'!Y$3:Y$200), "", ROW('Temp Hisfa'!Y$3:Y$200)-MIN(ROW('Temp Hisfa'!Y$3:Y$200))+1), ROW(133:332))),"")</f>
        <v/>
      </c>
      <c r="Z135" s="22" t="str">
        <f t="array" ref="Z135">IFERROR(INDEX('Temp Hisfa'!Z$3:Z$200, SMALL(IF(ISERROR('Temp Hisfa'!Z$3:Z$200), "", ROW('Temp Hisfa'!Z$3:Z$200)-MIN(ROW('Temp Hisfa'!Z$3:Z$200))+1), ROW(133:332))),"")</f>
        <v/>
      </c>
      <c r="AA135" s="22" t="str">
        <f t="array" ref="AA135">IFERROR(INDEX('Temp Hisfa'!AA$3:AA$200, SMALL(IF(ISERROR('Temp Hisfa'!AA$3:AA$200), "", ROW('Temp Hisfa'!AA$3:AA$200)-MIN(ROW('Temp Hisfa'!AA$3:AA$200))+1), ROW(133:332))),"")</f>
        <v/>
      </c>
      <c r="AB135" s="22" t="str">
        <f t="array" ref="AB135">IFERROR(INDEX('Temp Hisfa'!AB$3:AB$200, SMALL(IF(ISERROR('Temp Hisfa'!AB$3:AB$200), "", ROW('Temp Hisfa'!AB$3:AB$200)-MIN(ROW('Temp Hisfa'!AB$3:AB$200))+1), ROW(133:332))),"")</f>
        <v/>
      </c>
    </row>
    <row r="136" spans="1:28" x14ac:dyDescent="0.3">
      <c r="A136" s="4" t="str">
        <f t="array" ref="A136">IFERROR(INDEX('Temp Hisfa'!A$3:A$200, SMALL(IF(ISERROR('Temp Hisfa'!A$3:A$200), "", ROW('Temp Hisfa'!A$3:A$200)-MIN(ROW('Temp Hisfa'!A$3:A$200))+1), ROW(134:332))),"")</f>
        <v/>
      </c>
      <c r="B136" s="4" t="str">
        <f t="array" ref="B136">IFERROR(INDEX('Temp Hisfa'!B$3:B$200, SMALL(IF(ISERROR('Temp Hisfa'!B$3:B$200), "", ROW('Temp Hisfa'!B$3:B$200)-MIN(ROW('Temp Hisfa'!B$3:B$200))+1), ROW(134:332))),"")</f>
        <v/>
      </c>
      <c r="C136" s="3" t="str">
        <f t="array" ref="C136">IFERROR(INDEX('Temp Hisfa'!C$3:C$200, SMALL(IF(ISERROR('Temp Hisfa'!C$3:C$200), "", ROW('Temp Hisfa'!C$3:C$200)-MIN(ROW('Temp Hisfa'!C$3:C$200))+1), ROW(134:332))),"")</f>
        <v/>
      </c>
      <c r="D136" s="3" t="str">
        <f t="array" ref="D136">IFERROR(INDEX('Temp Hisfa'!D$3:D$200, SMALL(IF(ISERROR('Temp Hisfa'!D$3:D$200), "", ROW('Temp Hisfa'!D$3:D$200)-MIN(ROW('Temp Hisfa'!D$3:D$200))+1), ROW(134:332))),"")</f>
        <v/>
      </c>
      <c r="E136" s="29" t="str">
        <f t="array" ref="E136">IFERROR(INDEX('Temp Hisfa'!E$3:E$200, SMALL(IF(ISERROR('Temp Hisfa'!E$3:E$200), "", ROW('Temp Hisfa'!E$3:E$200)-MIN(ROW('Temp Hisfa'!E$3:E$200))+1), ROW(134:333))),"")</f>
        <v/>
      </c>
      <c r="F136" s="22" t="str">
        <f t="array" ref="F136">IFERROR(INDEX('Temp Hisfa'!F$3:F$200, SMALL(IF(ISERROR('Temp Hisfa'!F$3:F$200), "", ROW('Temp Hisfa'!F$3:F$200)-MIN(ROW('Temp Hisfa'!F$3:F$200))+1), ROW(134:333))),"")</f>
        <v/>
      </c>
      <c r="G136" s="30" t="str">
        <f t="array" ref="G136">IFERROR(INDEX('Temp Hisfa'!G$3:G$200, SMALL(IF(ISERROR('Temp Hisfa'!G$3:G$200), "", ROW('Temp Hisfa'!G$3:G$200)-MIN(ROW('Temp Hisfa'!G$3:G$200))+1), ROW(134:333))),"")</f>
        <v/>
      </c>
      <c r="H136" s="22" t="str">
        <f t="array" ref="H136">IFERROR(INDEX('Temp Hisfa'!H$3:H$200, SMALL(IF(ISERROR('Temp Hisfa'!H$3:H$200), "", ROW('Temp Hisfa'!H$3:H$200)-MIN(ROW('Temp Hisfa'!H$3:H$200))+1), ROW(134:333))),"")</f>
        <v/>
      </c>
      <c r="I136" s="22" t="str">
        <f t="array" ref="I136">IFERROR(INDEX('Temp Hisfa'!I$3:I$200, SMALL(IF(ISERROR('Temp Hisfa'!I$3:I$200), "", ROW('Temp Hisfa'!I$3:I$200)-MIN(ROW('Temp Hisfa'!I$3:I$200))+1), ROW(134:333))),"")</f>
        <v/>
      </c>
      <c r="J136" s="22" t="str">
        <f t="array" ref="J136">IFERROR(INDEX('Temp Hisfa'!J$3:J$200, SMALL(IF(ISERROR('Temp Hisfa'!J$3:J$200), "", ROW('Temp Hisfa'!J$3:J$200)-MIN(ROW('Temp Hisfa'!J$3:J$200))+1), ROW(134:333))),"")</f>
        <v/>
      </c>
      <c r="K136" s="30" t="str">
        <f t="array" ref="K136">IFERROR(INDEX('Temp Hisfa'!K$3:K$200, SMALL(IF(ISERROR('Temp Hisfa'!K$3:K$200), "", ROW('Temp Hisfa'!K$3:K$200)-MIN(ROW('Temp Hisfa'!K$3:K$200))+1), ROW(134:333))),"")</f>
        <v/>
      </c>
      <c r="L136" s="22" t="str">
        <f t="array" ref="L136">IFERROR(INDEX('Temp Hisfa'!L$3:L$200, SMALL(IF(ISERROR('Temp Hisfa'!L$3:L$200), "", ROW('Temp Hisfa'!L$3:L$200)-MIN(ROW('Temp Hisfa'!L$3:L$200))+1), ROW(134:333))),"")</f>
        <v/>
      </c>
      <c r="M136" s="22" t="str">
        <f t="array" ref="M136">IFERROR(INDEX('Temp Hisfa'!M$3:M$200, SMALL(IF(ISERROR('Temp Hisfa'!M$3:M$200), "", ROW('Temp Hisfa'!M$3:M$200)-MIN(ROW('Temp Hisfa'!M$3:M$200))+1), ROW(134:333))),"")</f>
        <v/>
      </c>
      <c r="N136" s="22" t="str">
        <f t="array" ref="N136">IFERROR(INDEX('Temp Hisfa'!N$3:N$200, SMALL(IF(ISERROR('Temp Hisfa'!N$3:N$200), "", ROW('Temp Hisfa'!N$3:N$200)-MIN(ROW('Temp Hisfa'!N$3:N$200))+1), ROW(134:333))),"")</f>
        <v/>
      </c>
      <c r="O136" s="22" t="str">
        <f t="array" ref="O136">IFERROR(INDEX('Temp Hisfa'!O$3:O$200, SMALL(IF(ISERROR('Temp Hisfa'!O$3:O$200), "", ROW('Temp Hisfa'!O$3:O$200)-MIN(ROW('Temp Hisfa'!O$3:O$200))+1), ROW(134:333))),"")</f>
        <v/>
      </c>
      <c r="P136" s="22" t="str">
        <f t="array" ref="P136">IFERROR(INDEX('Temp Hisfa'!P$3:P$200, SMALL(IF(ISERROR('Temp Hisfa'!P$3:P$200), "", ROW('Temp Hisfa'!P$3:P$200)-MIN(ROW('Temp Hisfa'!P$3:P$200))+1), ROW(134:333))),"")</f>
        <v/>
      </c>
      <c r="Q136" s="22" t="str">
        <f t="array" ref="Q136">IFERROR(INDEX('Temp Hisfa'!Q$3:Q$200, SMALL(IF(ISERROR('Temp Hisfa'!Q$3:Q$200), "", ROW('Temp Hisfa'!Q$3:Q$200)-MIN(ROW('Temp Hisfa'!Q$3:Q$200))+1), ROW(134:333))),"")</f>
        <v/>
      </c>
      <c r="R136" s="22" t="str">
        <f t="array" ref="R136">IFERROR(INDEX('Temp Hisfa'!R$3:R$200, SMALL(IF(ISERROR('Temp Hisfa'!R$3:R$200), "", ROW('Temp Hisfa'!R$3:R$200)-MIN(ROW('Temp Hisfa'!R$3:R$200))+1), ROW(134:333))),"")</f>
        <v/>
      </c>
      <c r="S136" s="22" t="str">
        <f t="array" ref="S136">IFERROR(INDEX('Temp Hisfa'!S$3:S$200, SMALL(IF(ISERROR('Temp Hisfa'!S$3:S$200), "", ROW('Temp Hisfa'!S$3:S$200)-MIN(ROW('Temp Hisfa'!S$3:S$200))+1), ROW(134:333))),"")</f>
        <v/>
      </c>
      <c r="T136" s="22" t="str">
        <f t="array" ref="T136">IFERROR(INDEX('Temp Hisfa'!T$3:T$200, SMALL(IF(ISERROR('Temp Hisfa'!T$3:T$200), "", ROW('Temp Hisfa'!T$3:T$200)-MIN(ROW('Temp Hisfa'!T$3:T$200))+1), ROW(134:333))),"")</f>
        <v/>
      </c>
      <c r="U136" s="22" t="str">
        <f t="array" ref="U136">IFERROR(INDEX('Temp Hisfa'!U$3:U$200, SMALL(IF(ISERROR('Temp Hisfa'!U$3:U$200), "", ROW('Temp Hisfa'!U$3:U$200)-MIN(ROW('Temp Hisfa'!U$3:U$200))+1), ROW(134:333))),"")</f>
        <v/>
      </c>
      <c r="V136" s="22" t="str">
        <f t="array" ref="V136">IFERROR(INDEX('Temp Hisfa'!V$3:V$200, SMALL(IF(ISERROR('Temp Hisfa'!V$3:V$200), "", ROW('Temp Hisfa'!V$3:V$200)-MIN(ROW('Temp Hisfa'!V$3:V$200))+1), ROW(134:333))),"")</f>
        <v/>
      </c>
      <c r="W136" s="22" t="str">
        <f t="array" ref="W136">IFERROR(INDEX('Temp Hisfa'!W$3:W$200, SMALL(IF(ISERROR('Temp Hisfa'!W$3:W$200), "", ROW('Temp Hisfa'!W$3:W$200)-MIN(ROW('Temp Hisfa'!W$3:W$200))+1), ROW(134:333))),"")</f>
        <v/>
      </c>
      <c r="X136" s="22" t="str">
        <f t="array" ref="X136">IFERROR(INDEX('Temp Hisfa'!X$3:X$200, SMALL(IF(ISERROR('Temp Hisfa'!X$3:X$200), "", ROW('Temp Hisfa'!X$3:X$200)-MIN(ROW('Temp Hisfa'!X$3:X$200))+1), ROW(134:333))),"")</f>
        <v/>
      </c>
      <c r="Y136" s="22" t="str">
        <f t="array" ref="Y136">IFERROR(INDEX('Temp Hisfa'!Y$3:Y$200, SMALL(IF(ISERROR('Temp Hisfa'!Y$3:Y$200), "", ROW('Temp Hisfa'!Y$3:Y$200)-MIN(ROW('Temp Hisfa'!Y$3:Y$200))+1), ROW(134:333))),"")</f>
        <v/>
      </c>
      <c r="Z136" s="22" t="str">
        <f t="array" ref="Z136">IFERROR(INDEX('Temp Hisfa'!Z$3:Z$200, SMALL(IF(ISERROR('Temp Hisfa'!Z$3:Z$200), "", ROW('Temp Hisfa'!Z$3:Z$200)-MIN(ROW('Temp Hisfa'!Z$3:Z$200))+1), ROW(134:333))),"")</f>
        <v/>
      </c>
      <c r="AA136" s="22" t="str">
        <f t="array" ref="AA136">IFERROR(INDEX('Temp Hisfa'!AA$3:AA$200, SMALL(IF(ISERROR('Temp Hisfa'!AA$3:AA$200), "", ROW('Temp Hisfa'!AA$3:AA$200)-MIN(ROW('Temp Hisfa'!AA$3:AA$200))+1), ROW(134:333))),"")</f>
        <v/>
      </c>
      <c r="AB136" s="22" t="str">
        <f t="array" ref="AB136">IFERROR(INDEX('Temp Hisfa'!AB$3:AB$200, SMALL(IF(ISERROR('Temp Hisfa'!AB$3:AB$200), "", ROW('Temp Hisfa'!AB$3:AB$200)-MIN(ROW('Temp Hisfa'!AB$3:AB$200))+1), ROW(134:333))),"")</f>
        <v/>
      </c>
    </row>
    <row r="137" spans="1:28" x14ac:dyDescent="0.3">
      <c r="A137" s="4" t="str">
        <f t="array" ref="A137">IFERROR(INDEX('Temp Hisfa'!A$3:A$200, SMALL(IF(ISERROR('Temp Hisfa'!A$3:A$200), "", ROW('Temp Hisfa'!A$3:A$200)-MIN(ROW('Temp Hisfa'!A$3:A$200))+1), ROW(135:333))),"")</f>
        <v/>
      </c>
      <c r="B137" s="4" t="str">
        <f t="array" ref="B137">IFERROR(INDEX('Temp Hisfa'!B$3:B$200, SMALL(IF(ISERROR('Temp Hisfa'!B$3:B$200), "", ROW('Temp Hisfa'!B$3:B$200)-MIN(ROW('Temp Hisfa'!B$3:B$200))+1), ROW(135:333))),"")</f>
        <v/>
      </c>
      <c r="C137" s="3" t="str">
        <f t="array" ref="C137">IFERROR(INDEX('Temp Hisfa'!C$3:C$200, SMALL(IF(ISERROR('Temp Hisfa'!C$3:C$200), "", ROW('Temp Hisfa'!C$3:C$200)-MIN(ROW('Temp Hisfa'!C$3:C$200))+1), ROW(135:333))),"")</f>
        <v/>
      </c>
      <c r="D137" s="3" t="str">
        <f t="array" ref="D137">IFERROR(INDEX('Temp Hisfa'!D$3:D$200, SMALL(IF(ISERROR('Temp Hisfa'!D$3:D$200), "", ROW('Temp Hisfa'!D$3:D$200)-MIN(ROW('Temp Hisfa'!D$3:D$200))+1), ROW(135:333))),"")</f>
        <v/>
      </c>
      <c r="E137" s="29" t="str">
        <f t="array" ref="E137">IFERROR(INDEX('Temp Hisfa'!E$3:E$200, SMALL(IF(ISERROR('Temp Hisfa'!E$3:E$200), "", ROW('Temp Hisfa'!E$3:E$200)-MIN(ROW('Temp Hisfa'!E$3:E$200))+1), ROW(135:334))),"")</f>
        <v/>
      </c>
      <c r="F137" s="22" t="str">
        <f t="array" ref="F137">IFERROR(INDEX('Temp Hisfa'!F$3:F$200, SMALL(IF(ISERROR('Temp Hisfa'!F$3:F$200), "", ROW('Temp Hisfa'!F$3:F$200)-MIN(ROW('Temp Hisfa'!F$3:F$200))+1), ROW(135:334))),"")</f>
        <v/>
      </c>
      <c r="G137" s="30" t="str">
        <f t="array" ref="G137">IFERROR(INDEX('Temp Hisfa'!G$3:G$200, SMALL(IF(ISERROR('Temp Hisfa'!G$3:G$200), "", ROW('Temp Hisfa'!G$3:G$200)-MIN(ROW('Temp Hisfa'!G$3:G$200))+1), ROW(135:334))),"")</f>
        <v/>
      </c>
      <c r="H137" s="22" t="str">
        <f t="array" ref="H137">IFERROR(INDEX('Temp Hisfa'!H$3:H$200, SMALL(IF(ISERROR('Temp Hisfa'!H$3:H$200), "", ROW('Temp Hisfa'!H$3:H$200)-MIN(ROW('Temp Hisfa'!H$3:H$200))+1), ROW(135:334))),"")</f>
        <v/>
      </c>
      <c r="I137" s="22" t="str">
        <f t="array" ref="I137">IFERROR(INDEX('Temp Hisfa'!I$3:I$200, SMALL(IF(ISERROR('Temp Hisfa'!I$3:I$200), "", ROW('Temp Hisfa'!I$3:I$200)-MIN(ROW('Temp Hisfa'!I$3:I$200))+1), ROW(135:334))),"")</f>
        <v/>
      </c>
      <c r="J137" s="22" t="str">
        <f t="array" ref="J137">IFERROR(INDEX('Temp Hisfa'!J$3:J$200, SMALL(IF(ISERROR('Temp Hisfa'!J$3:J$200), "", ROW('Temp Hisfa'!J$3:J$200)-MIN(ROW('Temp Hisfa'!J$3:J$200))+1), ROW(135:334))),"")</f>
        <v/>
      </c>
      <c r="K137" s="30" t="str">
        <f t="array" ref="K137">IFERROR(INDEX('Temp Hisfa'!K$3:K$200, SMALL(IF(ISERROR('Temp Hisfa'!K$3:K$200), "", ROW('Temp Hisfa'!K$3:K$200)-MIN(ROW('Temp Hisfa'!K$3:K$200))+1), ROW(135:334))),"")</f>
        <v/>
      </c>
      <c r="L137" s="22" t="str">
        <f t="array" ref="L137">IFERROR(INDEX('Temp Hisfa'!L$3:L$200, SMALL(IF(ISERROR('Temp Hisfa'!L$3:L$200), "", ROW('Temp Hisfa'!L$3:L$200)-MIN(ROW('Temp Hisfa'!L$3:L$200))+1), ROW(135:334))),"")</f>
        <v/>
      </c>
      <c r="M137" s="22" t="str">
        <f t="array" ref="M137">IFERROR(INDEX('Temp Hisfa'!M$3:M$200, SMALL(IF(ISERROR('Temp Hisfa'!M$3:M$200), "", ROW('Temp Hisfa'!M$3:M$200)-MIN(ROW('Temp Hisfa'!M$3:M$200))+1), ROW(135:334))),"")</f>
        <v/>
      </c>
      <c r="N137" s="22" t="str">
        <f t="array" ref="N137">IFERROR(INDEX('Temp Hisfa'!N$3:N$200, SMALL(IF(ISERROR('Temp Hisfa'!N$3:N$200), "", ROW('Temp Hisfa'!N$3:N$200)-MIN(ROW('Temp Hisfa'!N$3:N$200))+1), ROW(135:334))),"")</f>
        <v/>
      </c>
      <c r="O137" s="22" t="str">
        <f t="array" ref="O137">IFERROR(INDEX('Temp Hisfa'!O$3:O$200, SMALL(IF(ISERROR('Temp Hisfa'!O$3:O$200), "", ROW('Temp Hisfa'!O$3:O$200)-MIN(ROW('Temp Hisfa'!O$3:O$200))+1), ROW(135:334))),"")</f>
        <v/>
      </c>
      <c r="P137" s="22" t="str">
        <f t="array" ref="P137">IFERROR(INDEX('Temp Hisfa'!P$3:P$200, SMALL(IF(ISERROR('Temp Hisfa'!P$3:P$200), "", ROW('Temp Hisfa'!P$3:P$200)-MIN(ROW('Temp Hisfa'!P$3:P$200))+1), ROW(135:334))),"")</f>
        <v/>
      </c>
      <c r="Q137" s="22" t="str">
        <f t="array" ref="Q137">IFERROR(INDEX('Temp Hisfa'!Q$3:Q$200, SMALL(IF(ISERROR('Temp Hisfa'!Q$3:Q$200), "", ROW('Temp Hisfa'!Q$3:Q$200)-MIN(ROW('Temp Hisfa'!Q$3:Q$200))+1), ROW(135:334))),"")</f>
        <v/>
      </c>
      <c r="R137" s="22" t="str">
        <f t="array" ref="R137">IFERROR(INDEX('Temp Hisfa'!R$3:R$200, SMALL(IF(ISERROR('Temp Hisfa'!R$3:R$200), "", ROW('Temp Hisfa'!R$3:R$200)-MIN(ROW('Temp Hisfa'!R$3:R$200))+1), ROW(135:334))),"")</f>
        <v/>
      </c>
      <c r="S137" s="22" t="str">
        <f t="array" ref="S137">IFERROR(INDEX('Temp Hisfa'!S$3:S$200, SMALL(IF(ISERROR('Temp Hisfa'!S$3:S$200), "", ROW('Temp Hisfa'!S$3:S$200)-MIN(ROW('Temp Hisfa'!S$3:S$200))+1), ROW(135:334))),"")</f>
        <v/>
      </c>
      <c r="T137" s="22" t="str">
        <f t="array" ref="T137">IFERROR(INDEX('Temp Hisfa'!T$3:T$200, SMALL(IF(ISERROR('Temp Hisfa'!T$3:T$200), "", ROW('Temp Hisfa'!T$3:T$200)-MIN(ROW('Temp Hisfa'!T$3:T$200))+1), ROW(135:334))),"")</f>
        <v/>
      </c>
      <c r="U137" s="22" t="str">
        <f t="array" ref="U137">IFERROR(INDEX('Temp Hisfa'!U$3:U$200, SMALL(IF(ISERROR('Temp Hisfa'!U$3:U$200), "", ROW('Temp Hisfa'!U$3:U$200)-MIN(ROW('Temp Hisfa'!U$3:U$200))+1), ROW(135:334))),"")</f>
        <v/>
      </c>
      <c r="V137" s="22" t="str">
        <f t="array" ref="V137">IFERROR(INDEX('Temp Hisfa'!V$3:V$200, SMALL(IF(ISERROR('Temp Hisfa'!V$3:V$200), "", ROW('Temp Hisfa'!V$3:V$200)-MIN(ROW('Temp Hisfa'!V$3:V$200))+1), ROW(135:334))),"")</f>
        <v/>
      </c>
      <c r="W137" s="22" t="str">
        <f t="array" ref="W137">IFERROR(INDEX('Temp Hisfa'!W$3:W$200, SMALL(IF(ISERROR('Temp Hisfa'!W$3:W$200), "", ROW('Temp Hisfa'!W$3:W$200)-MIN(ROW('Temp Hisfa'!W$3:W$200))+1), ROW(135:334))),"")</f>
        <v/>
      </c>
      <c r="X137" s="22" t="str">
        <f t="array" ref="X137">IFERROR(INDEX('Temp Hisfa'!X$3:X$200, SMALL(IF(ISERROR('Temp Hisfa'!X$3:X$200), "", ROW('Temp Hisfa'!X$3:X$200)-MIN(ROW('Temp Hisfa'!X$3:X$200))+1), ROW(135:334))),"")</f>
        <v/>
      </c>
      <c r="Y137" s="22" t="str">
        <f t="array" ref="Y137">IFERROR(INDEX('Temp Hisfa'!Y$3:Y$200, SMALL(IF(ISERROR('Temp Hisfa'!Y$3:Y$200), "", ROW('Temp Hisfa'!Y$3:Y$200)-MIN(ROW('Temp Hisfa'!Y$3:Y$200))+1), ROW(135:334))),"")</f>
        <v/>
      </c>
      <c r="Z137" s="22" t="str">
        <f t="array" ref="Z137">IFERROR(INDEX('Temp Hisfa'!Z$3:Z$200, SMALL(IF(ISERROR('Temp Hisfa'!Z$3:Z$200), "", ROW('Temp Hisfa'!Z$3:Z$200)-MIN(ROW('Temp Hisfa'!Z$3:Z$200))+1), ROW(135:334))),"")</f>
        <v/>
      </c>
      <c r="AA137" s="22" t="str">
        <f t="array" ref="AA137">IFERROR(INDEX('Temp Hisfa'!AA$3:AA$200, SMALL(IF(ISERROR('Temp Hisfa'!AA$3:AA$200), "", ROW('Temp Hisfa'!AA$3:AA$200)-MIN(ROW('Temp Hisfa'!AA$3:AA$200))+1), ROW(135:334))),"")</f>
        <v/>
      </c>
      <c r="AB137" s="22" t="str">
        <f t="array" ref="AB137">IFERROR(INDEX('Temp Hisfa'!AB$3:AB$200, SMALL(IF(ISERROR('Temp Hisfa'!AB$3:AB$200), "", ROW('Temp Hisfa'!AB$3:AB$200)-MIN(ROW('Temp Hisfa'!AB$3:AB$200))+1), ROW(135:334))),"")</f>
        <v/>
      </c>
    </row>
    <row r="138" spans="1:28" x14ac:dyDescent="0.3">
      <c r="A138" s="4" t="str">
        <f t="array" ref="A138">IFERROR(INDEX('Temp Hisfa'!A$3:A$200, SMALL(IF(ISERROR('Temp Hisfa'!A$3:A$200), "", ROW('Temp Hisfa'!A$3:A$200)-MIN(ROW('Temp Hisfa'!A$3:A$200))+1), ROW(136:334))),"")</f>
        <v/>
      </c>
      <c r="B138" s="4" t="str">
        <f t="array" ref="B138">IFERROR(INDEX('Temp Hisfa'!B$3:B$200, SMALL(IF(ISERROR('Temp Hisfa'!B$3:B$200), "", ROW('Temp Hisfa'!B$3:B$200)-MIN(ROW('Temp Hisfa'!B$3:B$200))+1), ROW(136:334))),"")</f>
        <v/>
      </c>
      <c r="C138" s="3" t="str">
        <f t="array" ref="C138">IFERROR(INDEX('Temp Hisfa'!C$3:C$200, SMALL(IF(ISERROR('Temp Hisfa'!C$3:C$200), "", ROW('Temp Hisfa'!C$3:C$200)-MIN(ROW('Temp Hisfa'!C$3:C$200))+1), ROW(136:334))),"")</f>
        <v/>
      </c>
      <c r="D138" s="3" t="str">
        <f t="array" ref="D138">IFERROR(INDEX('Temp Hisfa'!D$3:D$200, SMALL(IF(ISERROR('Temp Hisfa'!D$3:D$200), "", ROW('Temp Hisfa'!D$3:D$200)-MIN(ROW('Temp Hisfa'!D$3:D$200))+1), ROW(136:334))),"")</f>
        <v/>
      </c>
      <c r="E138" s="29" t="str">
        <f t="array" ref="E138">IFERROR(INDEX('Temp Hisfa'!E$3:E$200, SMALL(IF(ISERROR('Temp Hisfa'!E$3:E$200), "", ROW('Temp Hisfa'!E$3:E$200)-MIN(ROW('Temp Hisfa'!E$3:E$200))+1), ROW(136:335))),"")</f>
        <v/>
      </c>
      <c r="F138" s="22" t="str">
        <f t="array" ref="F138">IFERROR(INDEX('Temp Hisfa'!F$3:F$200, SMALL(IF(ISERROR('Temp Hisfa'!F$3:F$200), "", ROW('Temp Hisfa'!F$3:F$200)-MIN(ROW('Temp Hisfa'!F$3:F$200))+1), ROW(136:335))),"")</f>
        <v/>
      </c>
      <c r="G138" s="30" t="str">
        <f t="array" ref="G138">IFERROR(INDEX('Temp Hisfa'!G$3:G$200, SMALL(IF(ISERROR('Temp Hisfa'!G$3:G$200), "", ROW('Temp Hisfa'!G$3:G$200)-MIN(ROW('Temp Hisfa'!G$3:G$200))+1), ROW(136:335))),"")</f>
        <v/>
      </c>
      <c r="H138" s="22" t="str">
        <f t="array" ref="H138">IFERROR(INDEX('Temp Hisfa'!H$3:H$200, SMALL(IF(ISERROR('Temp Hisfa'!H$3:H$200), "", ROW('Temp Hisfa'!H$3:H$200)-MIN(ROW('Temp Hisfa'!H$3:H$200))+1), ROW(136:335))),"")</f>
        <v/>
      </c>
      <c r="I138" s="22" t="str">
        <f t="array" ref="I138">IFERROR(INDEX('Temp Hisfa'!I$3:I$200, SMALL(IF(ISERROR('Temp Hisfa'!I$3:I$200), "", ROW('Temp Hisfa'!I$3:I$200)-MIN(ROW('Temp Hisfa'!I$3:I$200))+1), ROW(136:335))),"")</f>
        <v/>
      </c>
      <c r="J138" s="22" t="str">
        <f t="array" ref="J138">IFERROR(INDEX('Temp Hisfa'!J$3:J$200, SMALL(IF(ISERROR('Temp Hisfa'!J$3:J$200), "", ROW('Temp Hisfa'!J$3:J$200)-MIN(ROW('Temp Hisfa'!J$3:J$200))+1), ROW(136:335))),"")</f>
        <v/>
      </c>
      <c r="K138" s="30" t="str">
        <f t="array" ref="K138">IFERROR(INDEX('Temp Hisfa'!K$3:K$200, SMALL(IF(ISERROR('Temp Hisfa'!K$3:K$200), "", ROW('Temp Hisfa'!K$3:K$200)-MIN(ROW('Temp Hisfa'!K$3:K$200))+1), ROW(136:335))),"")</f>
        <v/>
      </c>
      <c r="L138" s="22" t="str">
        <f t="array" ref="L138">IFERROR(INDEX('Temp Hisfa'!L$3:L$200, SMALL(IF(ISERROR('Temp Hisfa'!L$3:L$200), "", ROW('Temp Hisfa'!L$3:L$200)-MIN(ROW('Temp Hisfa'!L$3:L$200))+1), ROW(136:335))),"")</f>
        <v/>
      </c>
      <c r="M138" s="22" t="str">
        <f t="array" ref="M138">IFERROR(INDEX('Temp Hisfa'!M$3:M$200, SMALL(IF(ISERROR('Temp Hisfa'!M$3:M$200), "", ROW('Temp Hisfa'!M$3:M$200)-MIN(ROW('Temp Hisfa'!M$3:M$200))+1), ROW(136:335))),"")</f>
        <v/>
      </c>
      <c r="N138" s="22" t="str">
        <f t="array" ref="N138">IFERROR(INDEX('Temp Hisfa'!N$3:N$200, SMALL(IF(ISERROR('Temp Hisfa'!N$3:N$200), "", ROW('Temp Hisfa'!N$3:N$200)-MIN(ROW('Temp Hisfa'!N$3:N$200))+1), ROW(136:335))),"")</f>
        <v/>
      </c>
      <c r="O138" s="22" t="str">
        <f t="array" ref="O138">IFERROR(INDEX('Temp Hisfa'!O$3:O$200, SMALL(IF(ISERROR('Temp Hisfa'!O$3:O$200), "", ROW('Temp Hisfa'!O$3:O$200)-MIN(ROW('Temp Hisfa'!O$3:O$200))+1), ROW(136:335))),"")</f>
        <v/>
      </c>
      <c r="P138" s="22" t="str">
        <f t="array" ref="P138">IFERROR(INDEX('Temp Hisfa'!P$3:P$200, SMALL(IF(ISERROR('Temp Hisfa'!P$3:P$200), "", ROW('Temp Hisfa'!P$3:P$200)-MIN(ROW('Temp Hisfa'!P$3:P$200))+1), ROW(136:335))),"")</f>
        <v/>
      </c>
      <c r="Q138" s="22" t="str">
        <f t="array" ref="Q138">IFERROR(INDEX('Temp Hisfa'!Q$3:Q$200, SMALL(IF(ISERROR('Temp Hisfa'!Q$3:Q$200), "", ROW('Temp Hisfa'!Q$3:Q$200)-MIN(ROW('Temp Hisfa'!Q$3:Q$200))+1), ROW(136:335))),"")</f>
        <v/>
      </c>
      <c r="R138" s="22" t="str">
        <f t="array" ref="R138">IFERROR(INDEX('Temp Hisfa'!R$3:R$200, SMALL(IF(ISERROR('Temp Hisfa'!R$3:R$200), "", ROW('Temp Hisfa'!R$3:R$200)-MIN(ROW('Temp Hisfa'!R$3:R$200))+1), ROW(136:335))),"")</f>
        <v/>
      </c>
      <c r="S138" s="22" t="str">
        <f t="array" ref="S138">IFERROR(INDEX('Temp Hisfa'!S$3:S$200, SMALL(IF(ISERROR('Temp Hisfa'!S$3:S$200), "", ROW('Temp Hisfa'!S$3:S$200)-MIN(ROW('Temp Hisfa'!S$3:S$200))+1), ROW(136:335))),"")</f>
        <v/>
      </c>
      <c r="T138" s="22" t="str">
        <f t="array" ref="T138">IFERROR(INDEX('Temp Hisfa'!T$3:T$200, SMALL(IF(ISERROR('Temp Hisfa'!T$3:T$200), "", ROW('Temp Hisfa'!T$3:T$200)-MIN(ROW('Temp Hisfa'!T$3:T$200))+1), ROW(136:335))),"")</f>
        <v/>
      </c>
      <c r="U138" s="22" t="str">
        <f t="array" ref="U138">IFERROR(INDEX('Temp Hisfa'!U$3:U$200, SMALL(IF(ISERROR('Temp Hisfa'!U$3:U$200), "", ROW('Temp Hisfa'!U$3:U$200)-MIN(ROW('Temp Hisfa'!U$3:U$200))+1), ROW(136:335))),"")</f>
        <v/>
      </c>
      <c r="V138" s="22" t="str">
        <f t="array" ref="V138">IFERROR(INDEX('Temp Hisfa'!V$3:V$200, SMALL(IF(ISERROR('Temp Hisfa'!V$3:V$200), "", ROW('Temp Hisfa'!V$3:V$200)-MIN(ROW('Temp Hisfa'!V$3:V$200))+1), ROW(136:335))),"")</f>
        <v/>
      </c>
      <c r="W138" s="22" t="str">
        <f t="array" ref="W138">IFERROR(INDEX('Temp Hisfa'!W$3:W$200, SMALL(IF(ISERROR('Temp Hisfa'!W$3:W$200), "", ROW('Temp Hisfa'!W$3:W$200)-MIN(ROW('Temp Hisfa'!W$3:W$200))+1), ROW(136:335))),"")</f>
        <v/>
      </c>
      <c r="X138" s="22" t="str">
        <f t="array" ref="X138">IFERROR(INDEX('Temp Hisfa'!X$3:X$200, SMALL(IF(ISERROR('Temp Hisfa'!X$3:X$200), "", ROW('Temp Hisfa'!X$3:X$200)-MIN(ROW('Temp Hisfa'!X$3:X$200))+1), ROW(136:335))),"")</f>
        <v/>
      </c>
      <c r="Y138" s="22" t="str">
        <f t="array" ref="Y138">IFERROR(INDEX('Temp Hisfa'!Y$3:Y$200, SMALL(IF(ISERROR('Temp Hisfa'!Y$3:Y$200), "", ROW('Temp Hisfa'!Y$3:Y$200)-MIN(ROW('Temp Hisfa'!Y$3:Y$200))+1), ROW(136:335))),"")</f>
        <v/>
      </c>
      <c r="Z138" s="22" t="str">
        <f t="array" ref="Z138">IFERROR(INDEX('Temp Hisfa'!Z$3:Z$200, SMALL(IF(ISERROR('Temp Hisfa'!Z$3:Z$200), "", ROW('Temp Hisfa'!Z$3:Z$200)-MIN(ROW('Temp Hisfa'!Z$3:Z$200))+1), ROW(136:335))),"")</f>
        <v/>
      </c>
      <c r="AA138" s="22" t="str">
        <f t="array" ref="AA138">IFERROR(INDEX('Temp Hisfa'!AA$3:AA$200, SMALL(IF(ISERROR('Temp Hisfa'!AA$3:AA$200), "", ROW('Temp Hisfa'!AA$3:AA$200)-MIN(ROW('Temp Hisfa'!AA$3:AA$200))+1), ROW(136:335))),"")</f>
        <v/>
      </c>
      <c r="AB138" s="22" t="str">
        <f t="array" ref="AB138">IFERROR(INDEX('Temp Hisfa'!AB$3:AB$200, SMALL(IF(ISERROR('Temp Hisfa'!AB$3:AB$200), "", ROW('Temp Hisfa'!AB$3:AB$200)-MIN(ROW('Temp Hisfa'!AB$3:AB$200))+1), ROW(136:335))),"")</f>
        <v/>
      </c>
    </row>
    <row r="139" spans="1:28" x14ac:dyDescent="0.3">
      <c r="A139" s="4" t="str">
        <f t="array" ref="A139">IFERROR(INDEX('Temp Hisfa'!A$3:A$200, SMALL(IF(ISERROR('Temp Hisfa'!A$3:A$200), "", ROW('Temp Hisfa'!A$3:A$200)-MIN(ROW('Temp Hisfa'!A$3:A$200))+1), ROW(137:335))),"")</f>
        <v/>
      </c>
      <c r="B139" s="4" t="str">
        <f t="array" ref="B139">IFERROR(INDEX('Temp Hisfa'!B$3:B$200, SMALL(IF(ISERROR('Temp Hisfa'!B$3:B$200), "", ROW('Temp Hisfa'!B$3:B$200)-MIN(ROW('Temp Hisfa'!B$3:B$200))+1), ROW(137:335))),"")</f>
        <v/>
      </c>
      <c r="C139" s="3" t="str">
        <f t="array" ref="C139">IFERROR(INDEX('Temp Hisfa'!C$3:C$200, SMALL(IF(ISERROR('Temp Hisfa'!C$3:C$200), "", ROW('Temp Hisfa'!C$3:C$200)-MIN(ROW('Temp Hisfa'!C$3:C$200))+1), ROW(137:335))),"")</f>
        <v/>
      </c>
      <c r="D139" s="3" t="str">
        <f t="array" ref="D139">IFERROR(INDEX('Temp Hisfa'!D$3:D$200, SMALL(IF(ISERROR('Temp Hisfa'!D$3:D$200), "", ROW('Temp Hisfa'!D$3:D$200)-MIN(ROW('Temp Hisfa'!D$3:D$200))+1), ROW(137:335))),"")</f>
        <v/>
      </c>
      <c r="E139" s="29" t="str">
        <f t="array" ref="E139">IFERROR(INDEX('Temp Hisfa'!E$3:E$200, SMALL(IF(ISERROR('Temp Hisfa'!E$3:E$200), "", ROW('Temp Hisfa'!E$3:E$200)-MIN(ROW('Temp Hisfa'!E$3:E$200))+1), ROW(137:336))),"")</f>
        <v/>
      </c>
      <c r="F139" s="22" t="str">
        <f t="array" ref="F139">IFERROR(INDEX('Temp Hisfa'!F$3:F$200, SMALL(IF(ISERROR('Temp Hisfa'!F$3:F$200), "", ROW('Temp Hisfa'!F$3:F$200)-MIN(ROW('Temp Hisfa'!F$3:F$200))+1), ROW(137:336))),"")</f>
        <v/>
      </c>
      <c r="G139" s="30" t="str">
        <f t="array" ref="G139">IFERROR(INDEX('Temp Hisfa'!G$3:G$200, SMALL(IF(ISERROR('Temp Hisfa'!G$3:G$200), "", ROW('Temp Hisfa'!G$3:G$200)-MIN(ROW('Temp Hisfa'!G$3:G$200))+1), ROW(137:336))),"")</f>
        <v/>
      </c>
      <c r="H139" s="22" t="str">
        <f t="array" ref="H139">IFERROR(INDEX('Temp Hisfa'!H$3:H$200, SMALL(IF(ISERROR('Temp Hisfa'!H$3:H$200), "", ROW('Temp Hisfa'!H$3:H$200)-MIN(ROW('Temp Hisfa'!H$3:H$200))+1), ROW(137:336))),"")</f>
        <v/>
      </c>
      <c r="I139" s="22" t="str">
        <f t="array" ref="I139">IFERROR(INDEX('Temp Hisfa'!I$3:I$200, SMALL(IF(ISERROR('Temp Hisfa'!I$3:I$200), "", ROW('Temp Hisfa'!I$3:I$200)-MIN(ROW('Temp Hisfa'!I$3:I$200))+1), ROW(137:336))),"")</f>
        <v/>
      </c>
      <c r="J139" s="22" t="str">
        <f t="array" ref="J139">IFERROR(INDEX('Temp Hisfa'!J$3:J$200, SMALL(IF(ISERROR('Temp Hisfa'!J$3:J$200), "", ROW('Temp Hisfa'!J$3:J$200)-MIN(ROW('Temp Hisfa'!J$3:J$200))+1), ROW(137:336))),"")</f>
        <v/>
      </c>
      <c r="K139" s="30" t="str">
        <f t="array" ref="K139">IFERROR(INDEX('Temp Hisfa'!K$3:K$200, SMALL(IF(ISERROR('Temp Hisfa'!K$3:K$200), "", ROW('Temp Hisfa'!K$3:K$200)-MIN(ROW('Temp Hisfa'!K$3:K$200))+1), ROW(137:336))),"")</f>
        <v/>
      </c>
      <c r="L139" s="22" t="str">
        <f t="array" ref="L139">IFERROR(INDEX('Temp Hisfa'!L$3:L$200, SMALL(IF(ISERROR('Temp Hisfa'!L$3:L$200), "", ROW('Temp Hisfa'!L$3:L$200)-MIN(ROW('Temp Hisfa'!L$3:L$200))+1), ROW(137:336))),"")</f>
        <v/>
      </c>
      <c r="M139" s="22" t="str">
        <f t="array" ref="M139">IFERROR(INDEX('Temp Hisfa'!M$3:M$200, SMALL(IF(ISERROR('Temp Hisfa'!M$3:M$200), "", ROW('Temp Hisfa'!M$3:M$200)-MIN(ROW('Temp Hisfa'!M$3:M$200))+1), ROW(137:336))),"")</f>
        <v/>
      </c>
      <c r="N139" s="22" t="str">
        <f t="array" ref="N139">IFERROR(INDEX('Temp Hisfa'!N$3:N$200, SMALL(IF(ISERROR('Temp Hisfa'!N$3:N$200), "", ROW('Temp Hisfa'!N$3:N$200)-MIN(ROW('Temp Hisfa'!N$3:N$200))+1), ROW(137:336))),"")</f>
        <v/>
      </c>
      <c r="O139" s="22" t="str">
        <f t="array" ref="O139">IFERROR(INDEX('Temp Hisfa'!O$3:O$200, SMALL(IF(ISERROR('Temp Hisfa'!O$3:O$200), "", ROW('Temp Hisfa'!O$3:O$200)-MIN(ROW('Temp Hisfa'!O$3:O$200))+1), ROW(137:336))),"")</f>
        <v/>
      </c>
      <c r="P139" s="22" t="str">
        <f t="array" ref="P139">IFERROR(INDEX('Temp Hisfa'!P$3:P$200, SMALL(IF(ISERROR('Temp Hisfa'!P$3:P$200), "", ROW('Temp Hisfa'!P$3:P$200)-MIN(ROW('Temp Hisfa'!P$3:P$200))+1), ROW(137:336))),"")</f>
        <v/>
      </c>
      <c r="Q139" s="22" t="str">
        <f t="array" ref="Q139">IFERROR(INDEX('Temp Hisfa'!Q$3:Q$200, SMALL(IF(ISERROR('Temp Hisfa'!Q$3:Q$200), "", ROW('Temp Hisfa'!Q$3:Q$200)-MIN(ROW('Temp Hisfa'!Q$3:Q$200))+1), ROW(137:336))),"")</f>
        <v/>
      </c>
      <c r="R139" s="22" t="str">
        <f t="array" ref="R139">IFERROR(INDEX('Temp Hisfa'!R$3:R$200, SMALL(IF(ISERROR('Temp Hisfa'!R$3:R$200), "", ROW('Temp Hisfa'!R$3:R$200)-MIN(ROW('Temp Hisfa'!R$3:R$200))+1), ROW(137:336))),"")</f>
        <v/>
      </c>
      <c r="S139" s="22" t="str">
        <f t="array" ref="S139">IFERROR(INDEX('Temp Hisfa'!S$3:S$200, SMALL(IF(ISERROR('Temp Hisfa'!S$3:S$200), "", ROW('Temp Hisfa'!S$3:S$200)-MIN(ROW('Temp Hisfa'!S$3:S$200))+1), ROW(137:336))),"")</f>
        <v/>
      </c>
      <c r="T139" s="22" t="str">
        <f t="array" ref="T139">IFERROR(INDEX('Temp Hisfa'!T$3:T$200, SMALL(IF(ISERROR('Temp Hisfa'!T$3:T$200), "", ROW('Temp Hisfa'!T$3:T$200)-MIN(ROW('Temp Hisfa'!T$3:T$200))+1), ROW(137:336))),"")</f>
        <v/>
      </c>
      <c r="U139" s="22" t="str">
        <f t="array" ref="U139">IFERROR(INDEX('Temp Hisfa'!U$3:U$200, SMALL(IF(ISERROR('Temp Hisfa'!U$3:U$200), "", ROW('Temp Hisfa'!U$3:U$200)-MIN(ROW('Temp Hisfa'!U$3:U$200))+1), ROW(137:336))),"")</f>
        <v/>
      </c>
      <c r="V139" s="22" t="str">
        <f t="array" ref="V139">IFERROR(INDEX('Temp Hisfa'!V$3:V$200, SMALL(IF(ISERROR('Temp Hisfa'!V$3:V$200), "", ROW('Temp Hisfa'!V$3:V$200)-MIN(ROW('Temp Hisfa'!V$3:V$200))+1), ROW(137:336))),"")</f>
        <v/>
      </c>
      <c r="W139" s="22" t="str">
        <f t="array" ref="W139">IFERROR(INDEX('Temp Hisfa'!W$3:W$200, SMALL(IF(ISERROR('Temp Hisfa'!W$3:W$200), "", ROW('Temp Hisfa'!W$3:W$200)-MIN(ROW('Temp Hisfa'!W$3:W$200))+1), ROW(137:336))),"")</f>
        <v/>
      </c>
      <c r="X139" s="22" t="str">
        <f t="array" ref="X139">IFERROR(INDEX('Temp Hisfa'!X$3:X$200, SMALL(IF(ISERROR('Temp Hisfa'!X$3:X$200), "", ROW('Temp Hisfa'!X$3:X$200)-MIN(ROW('Temp Hisfa'!X$3:X$200))+1), ROW(137:336))),"")</f>
        <v/>
      </c>
      <c r="Y139" s="22" t="str">
        <f t="array" ref="Y139">IFERROR(INDEX('Temp Hisfa'!Y$3:Y$200, SMALL(IF(ISERROR('Temp Hisfa'!Y$3:Y$200), "", ROW('Temp Hisfa'!Y$3:Y$200)-MIN(ROW('Temp Hisfa'!Y$3:Y$200))+1), ROW(137:336))),"")</f>
        <v/>
      </c>
      <c r="Z139" s="22" t="str">
        <f t="array" ref="Z139">IFERROR(INDEX('Temp Hisfa'!Z$3:Z$200, SMALL(IF(ISERROR('Temp Hisfa'!Z$3:Z$200), "", ROW('Temp Hisfa'!Z$3:Z$200)-MIN(ROW('Temp Hisfa'!Z$3:Z$200))+1), ROW(137:336))),"")</f>
        <v/>
      </c>
      <c r="AA139" s="22" t="str">
        <f t="array" ref="AA139">IFERROR(INDEX('Temp Hisfa'!AA$3:AA$200, SMALL(IF(ISERROR('Temp Hisfa'!AA$3:AA$200), "", ROW('Temp Hisfa'!AA$3:AA$200)-MIN(ROW('Temp Hisfa'!AA$3:AA$200))+1), ROW(137:336))),"")</f>
        <v/>
      </c>
      <c r="AB139" s="22" t="str">
        <f t="array" ref="AB139">IFERROR(INDEX('Temp Hisfa'!AB$3:AB$200, SMALL(IF(ISERROR('Temp Hisfa'!AB$3:AB$200), "", ROW('Temp Hisfa'!AB$3:AB$200)-MIN(ROW('Temp Hisfa'!AB$3:AB$200))+1), ROW(137:336))),"")</f>
        <v/>
      </c>
    </row>
    <row r="140" spans="1:28" x14ac:dyDescent="0.3">
      <c r="A140" s="4" t="str">
        <f t="array" ref="A140">IFERROR(INDEX('Temp Hisfa'!A$3:A$200, SMALL(IF(ISERROR('Temp Hisfa'!A$3:A$200), "", ROW('Temp Hisfa'!A$3:A$200)-MIN(ROW('Temp Hisfa'!A$3:A$200))+1), ROW(138:336))),"")</f>
        <v/>
      </c>
      <c r="B140" s="4" t="str">
        <f t="array" ref="B140">IFERROR(INDEX('Temp Hisfa'!B$3:B$200, SMALL(IF(ISERROR('Temp Hisfa'!B$3:B$200), "", ROW('Temp Hisfa'!B$3:B$200)-MIN(ROW('Temp Hisfa'!B$3:B$200))+1), ROW(138:336))),"")</f>
        <v/>
      </c>
      <c r="C140" s="3" t="str">
        <f t="array" ref="C140">IFERROR(INDEX('Temp Hisfa'!C$3:C$200, SMALL(IF(ISERROR('Temp Hisfa'!C$3:C$200), "", ROW('Temp Hisfa'!C$3:C$200)-MIN(ROW('Temp Hisfa'!C$3:C$200))+1), ROW(138:336))),"")</f>
        <v/>
      </c>
      <c r="D140" s="3" t="str">
        <f t="array" ref="D140">IFERROR(INDEX('Temp Hisfa'!D$3:D$200, SMALL(IF(ISERROR('Temp Hisfa'!D$3:D$200), "", ROW('Temp Hisfa'!D$3:D$200)-MIN(ROW('Temp Hisfa'!D$3:D$200))+1), ROW(138:336))),"")</f>
        <v/>
      </c>
      <c r="E140" s="29" t="str">
        <f t="array" ref="E140">IFERROR(INDEX('Temp Hisfa'!E$3:E$200, SMALL(IF(ISERROR('Temp Hisfa'!E$3:E$200), "", ROW('Temp Hisfa'!E$3:E$200)-MIN(ROW('Temp Hisfa'!E$3:E$200))+1), ROW(138:337))),"")</f>
        <v/>
      </c>
      <c r="F140" s="22" t="str">
        <f t="array" ref="F140">IFERROR(INDEX('Temp Hisfa'!F$3:F$200, SMALL(IF(ISERROR('Temp Hisfa'!F$3:F$200), "", ROW('Temp Hisfa'!F$3:F$200)-MIN(ROW('Temp Hisfa'!F$3:F$200))+1), ROW(138:337))),"")</f>
        <v/>
      </c>
      <c r="G140" s="30" t="str">
        <f t="array" ref="G140">IFERROR(INDEX('Temp Hisfa'!G$3:G$200, SMALL(IF(ISERROR('Temp Hisfa'!G$3:G$200), "", ROW('Temp Hisfa'!G$3:G$200)-MIN(ROW('Temp Hisfa'!G$3:G$200))+1), ROW(138:337))),"")</f>
        <v/>
      </c>
      <c r="H140" s="22" t="str">
        <f t="array" ref="H140">IFERROR(INDEX('Temp Hisfa'!H$3:H$200, SMALL(IF(ISERROR('Temp Hisfa'!H$3:H$200), "", ROW('Temp Hisfa'!H$3:H$200)-MIN(ROW('Temp Hisfa'!H$3:H$200))+1), ROW(138:337))),"")</f>
        <v/>
      </c>
      <c r="I140" s="22" t="str">
        <f t="array" ref="I140">IFERROR(INDEX('Temp Hisfa'!I$3:I$200, SMALL(IF(ISERROR('Temp Hisfa'!I$3:I$200), "", ROW('Temp Hisfa'!I$3:I$200)-MIN(ROW('Temp Hisfa'!I$3:I$200))+1), ROW(138:337))),"")</f>
        <v/>
      </c>
      <c r="J140" s="22" t="str">
        <f t="array" ref="J140">IFERROR(INDEX('Temp Hisfa'!J$3:J$200, SMALL(IF(ISERROR('Temp Hisfa'!J$3:J$200), "", ROW('Temp Hisfa'!J$3:J$200)-MIN(ROW('Temp Hisfa'!J$3:J$200))+1), ROW(138:337))),"")</f>
        <v/>
      </c>
      <c r="K140" s="30" t="str">
        <f t="array" ref="K140">IFERROR(INDEX('Temp Hisfa'!K$3:K$200, SMALL(IF(ISERROR('Temp Hisfa'!K$3:K$200), "", ROW('Temp Hisfa'!K$3:K$200)-MIN(ROW('Temp Hisfa'!K$3:K$200))+1), ROW(138:337))),"")</f>
        <v/>
      </c>
      <c r="L140" s="22" t="str">
        <f t="array" ref="L140">IFERROR(INDEX('Temp Hisfa'!L$3:L$200, SMALL(IF(ISERROR('Temp Hisfa'!L$3:L$200), "", ROW('Temp Hisfa'!L$3:L$200)-MIN(ROW('Temp Hisfa'!L$3:L$200))+1), ROW(138:337))),"")</f>
        <v/>
      </c>
      <c r="M140" s="22" t="str">
        <f t="array" ref="M140">IFERROR(INDEX('Temp Hisfa'!M$3:M$200, SMALL(IF(ISERROR('Temp Hisfa'!M$3:M$200), "", ROW('Temp Hisfa'!M$3:M$200)-MIN(ROW('Temp Hisfa'!M$3:M$200))+1), ROW(138:337))),"")</f>
        <v/>
      </c>
      <c r="N140" s="22" t="str">
        <f t="array" ref="N140">IFERROR(INDEX('Temp Hisfa'!N$3:N$200, SMALL(IF(ISERROR('Temp Hisfa'!N$3:N$200), "", ROW('Temp Hisfa'!N$3:N$200)-MIN(ROW('Temp Hisfa'!N$3:N$200))+1), ROW(138:337))),"")</f>
        <v/>
      </c>
      <c r="O140" s="22" t="str">
        <f t="array" ref="O140">IFERROR(INDEX('Temp Hisfa'!O$3:O$200, SMALL(IF(ISERROR('Temp Hisfa'!O$3:O$200), "", ROW('Temp Hisfa'!O$3:O$200)-MIN(ROW('Temp Hisfa'!O$3:O$200))+1), ROW(138:337))),"")</f>
        <v/>
      </c>
      <c r="P140" s="22" t="str">
        <f t="array" ref="P140">IFERROR(INDEX('Temp Hisfa'!P$3:P$200, SMALL(IF(ISERROR('Temp Hisfa'!P$3:P$200), "", ROW('Temp Hisfa'!P$3:P$200)-MIN(ROW('Temp Hisfa'!P$3:P$200))+1), ROW(138:337))),"")</f>
        <v/>
      </c>
      <c r="Q140" s="22" t="str">
        <f t="array" ref="Q140">IFERROR(INDEX('Temp Hisfa'!Q$3:Q$200, SMALL(IF(ISERROR('Temp Hisfa'!Q$3:Q$200), "", ROW('Temp Hisfa'!Q$3:Q$200)-MIN(ROW('Temp Hisfa'!Q$3:Q$200))+1), ROW(138:337))),"")</f>
        <v/>
      </c>
      <c r="R140" s="22" t="str">
        <f t="array" ref="R140">IFERROR(INDEX('Temp Hisfa'!R$3:R$200, SMALL(IF(ISERROR('Temp Hisfa'!R$3:R$200), "", ROW('Temp Hisfa'!R$3:R$200)-MIN(ROW('Temp Hisfa'!R$3:R$200))+1), ROW(138:337))),"")</f>
        <v/>
      </c>
      <c r="S140" s="22" t="str">
        <f t="array" ref="S140">IFERROR(INDEX('Temp Hisfa'!S$3:S$200, SMALL(IF(ISERROR('Temp Hisfa'!S$3:S$200), "", ROW('Temp Hisfa'!S$3:S$200)-MIN(ROW('Temp Hisfa'!S$3:S$200))+1), ROW(138:337))),"")</f>
        <v/>
      </c>
      <c r="T140" s="22" t="str">
        <f t="array" ref="T140">IFERROR(INDEX('Temp Hisfa'!T$3:T$200, SMALL(IF(ISERROR('Temp Hisfa'!T$3:T$200), "", ROW('Temp Hisfa'!T$3:T$200)-MIN(ROW('Temp Hisfa'!T$3:T$200))+1), ROW(138:337))),"")</f>
        <v/>
      </c>
      <c r="U140" s="22" t="str">
        <f t="array" ref="U140">IFERROR(INDEX('Temp Hisfa'!U$3:U$200, SMALL(IF(ISERROR('Temp Hisfa'!U$3:U$200), "", ROW('Temp Hisfa'!U$3:U$200)-MIN(ROW('Temp Hisfa'!U$3:U$200))+1), ROW(138:337))),"")</f>
        <v/>
      </c>
      <c r="V140" s="22" t="str">
        <f t="array" ref="V140">IFERROR(INDEX('Temp Hisfa'!V$3:V$200, SMALL(IF(ISERROR('Temp Hisfa'!V$3:V$200), "", ROW('Temp Hisfa'!V$3:V$200)-MIN(ROW('Temp Hisfa'!V$3:V$200))+1), ROW(138:337))),"")</f>
        <v/>
      </c>
      <c r="W140" s="22" t="str">
        <f t="array" ref="W140">IFERROR(INDEX('Temp Hisfa'!W$3:W$200, SMALL(IF(ISERROR('Temp Hisfa'!W$3:W$200), "", ROW('Temp Hisfa'!W$3:W$200)-MIN(ROW('Temp Hisfa'!W$3:W$200))+1), ROW(138:337))),"")</f>
        <v/>
      </c>
      <c r="X140" s="22" t="str">
        <f t="array" ref="X140">IFERROR(INDEX('Temp Hisfa'!X$3:X$200, SMALL(IF(ISERROR('Temp Hisfa'!X$3:X$200), "", ROW('Temp Hisfa'!X$3:X$200)-MIN(ROW('Temp Hisfa'!X$3:X$200))+1), ROW(138:337))),"")</f>
        <v/>
      </c>
      <c r="Y140" s="22" t="str">
        <f t="array" ref="Y140">IFERROR(INDEX('Temp Hisfa'!Y$3:Y$200, SMALL(IF(ISERROR('Temp Hisfa'!Y$3:Y$200), "", ROW('Temp Hisfa'!Y$3:Y$200)-MIN(ROW('Temp Hisfa'!Y$3:Y$200))+1), ROW(138:337))),"")</f>
        <v/>
      </c>
      <c r="Z140" s="22" t="str">
        <f t="array" ref="Z140">IFERROR(INDEX('Temp Hisfa'!Z$3:Z$200, SMALL(IF(ISERROR('Temp Hisfa'!Z$3:Z$200), "", ROW('Temp Hisfa'!Z$3:Z$200)-MIN(ROW('Temp Hisfa'!Z$3:Z$200))+1), ROW(138:337))),"")</f>
        <v/>
      </c>
      <c r="AA140" s="22" t="str">
        <f t="array" ref="AA140">IFERROR(INDEX('Temp Hisfa'!AA$3:AA$200, SMALL(IF(ISERROR('Temp Hisfa'!AA$3:AA$200), "", ROW('Temp Hisfa'!AA$3:AA$200)-MIN(ROW('Temp Hisfa'!AA$3:AA$200))+1), ROW(138:337))),"")</f>
        <v/>
      </c>
      <c r="AB140" s="22" t="str">
        <f t="array" ref="AB140">IFERROR(INDEX('Temp Hisfa'!AB$3:AB$200, SMALL(IF(ISERROR('Temp Hisfa'!AB$3:AB$200), "", ROW('Temp Hisfa'!AB$3:AB$200)-MIN(ROW('Temp Hisfa'!AB$3:AB$200))+1), ROW(138:337))),"")</f>
        <v/>
      </c>
    </row>
    <row r="141" spans="1:28" x14ac:dyDescent="0.3">
      <c r="A141" s="4" t="str">
        <f t="array" ref="A141">IFERROR(INDEX('Temp Hisfa'!A$3:A$200, SMALL(IF(ISERROR('Temp Hisfa'!A$3:A$200), "", ROW('Temp Hisfa'!A$3:A$200)-MIN(ROW('Temp Hisfa'!A$3:A$200))+1), ROW(139:337))),"")</f>
        <v/>
      </c>
      <c r="B141" s="4" t="str">
        <f t="array" ref="B141">IFERROR(INDEX('Temp Hisfa'!B$3:B$200, SMALL(IF(ISERROR('Temp Hisfa'!B$3:B$200), "", ROW('Temp Hisfa'!B$3:B$200)-MIN(ROW('Temp Hisfa'!B$3:B$200))+1), ROW(139:337))),"")</f>
        <v/>
      </c>
      <c r="C141" s="3" t="str">
        <f t="array" ref="C141">IFERROR(INDEX('Temp Hisfa'!C$3:C$200, SMALL(IF(ISERROR('Temp Hisfa'!C$3:C$200), "", ROW('Temp Hisfa'!C$3:C$200)-MIN(ROW('Temp Hisfa'!C$3:C$200))+1), ROW(139:337))),"")</f>
        <v/>
      </c>
      <c r="D141" s="3" t="str">
        <f t="array" ref="D141">IFERROR(INDEX('Temp Hisfa'!D$3:D$200, SMALL(IF(ISERROR('Temp Hisfa'!D$3:D$200), "", ROW('Temp Hisfa'!D$3:D$200)-MIN(ROW('Temp Hisfa'!D$3:D$200))+1), ROW(139:337))),"")</f>
        <v/>
      </c>
      <c r="E141" s="29" t="str">
        <f t="array" ref="E141">IFERROR(INDEX('Temp Hisfa'!E$3:E$200, SMALL(IF(ISERROR('Temp Hisfa'!E$3:E$200), "", ROW('Temp Hisfa'!E$3:E$200)-MIN(ROW('Temp Hisfa'!E$3:E$200))+1), ROW(139:338))),"")</f>
        <v/>
      </c>
      <c r="F141" s="22" t="str">
        <f t="array" ref="F141">IFERROR(INDEX('Temp Hisfa'!F$3:F$200, SMALL(IF(ISERROR('Temp Hisfa'!F$3:F$200), "", ROW('Temp Hisfa'!F$3:F$200)-MIN(ROW('Temp Hisfa'!F$3:F$200))+1), ROW(139:338))),"")</f>
        <v/>
      </c>
      <c r="G141" s="30" t="str">
        <f t="array" ref="G141">IFERROR(INDEX('Temp Hisfa'!G$3:G$200, SMALL(IF(ISERROR('Temp Hisfa'!G$3:G$200), "", ROW('Temp Hisfa'!G$3:G$200)-MIN(ROW('Temp Hisfa'!G$3:G$200))+1), ROW(139:338))),"")</f>
        <v/>
      </c>
      <c r="H141" s="22" t="str">
        <f t="array" ref="H141">IFERROR(INDEX('Temp Hisfa'!H$3:H$200, SMALL(IF(ISERROR('Temp Hisfa'!H$3:H$200), "", ROW('Temp Hisfa'!H$3:H$200)-MIN(ROW('Temp Hisfa'!H$3:H$200))+1), ROW(139:338))),"")</f>
        <v/>
      </c>
      <c r="I141" s="22" t="str">
        <f t="array" ref="I141">IFERROR(INDEX('Temp Hisfa'!I$3:I$200, SMALL(IF(ISERROR('Temp Hisfa'!I$3:I$200), "", ROW('Temp Hisfa'!I$3:I$200)-MIN(ROW('Temp Hisfa'!I$3:I$200))+1), ROW(139:338))),"")</f>
        <v/>
      </c>
      <c r="J141" s="22" t="str">
        <f t="array" ref="J141">IFERROR(INDEX('Temp Hisfa'!J$3:J$200, SMALL(IF(ISERROR('Temp Hisfa'!J$3:J$200), "", ROW('Temp Hisfa'!J$3:J$200)-MIN(ROW('Temp Hisfa'!J$3:J$200))+1), ROW(139:338))),"")</f>
        <v/>
      </c>
      <c r="K141" s="30" t="str">
        <f t="array" ref="K141">IFERROR(INDEX('Temp Hisfa'!K$3:K$200, SMALL(IF(ISERROR('Temp Hisfa'!K$3:K$200), "", ROW('Temp Hisfa'!K$3:K$200)-MIN(ROW('Temp Hisfa'!K$3:K$200))+1), ROW(139:338))),"")</f>
        <v/>
      </c>
      <c r="L141" s="22" t="str">
        <f t="array" ref="L141">IFERROR(INDEX('Temp Hisfa'!L$3:L$200, SMALL(IF(ISERROR('Temp Hisfa'!L$3:L$200), "", ROW('Temp Hisfa'!L$3:L$200)-MIN(ROW('Temp Hisfa'!L$3:L$200))+1), ROW(139:338))),"")</f>
        <v/>
      </c>
      <c r="M141" s="22" t="str">
        <f t="array" ref="M141">IFERROR(INDEX('Temp Hisfa'!M$3:M$200, SMALL(IF(ISERROR('Temp Hisfa'!M$3:M$200), "", ROW('Temp Hisfa'!M$3:M$200)-MIN(ROW('Temp Hisfa'!M$3:M$200))+1), ROW(139:338))),"")</f>
        <v/>
      </c>
      <c r="N141" s="22" t="str">
        <f t="array" ref="N141">IFERROR(INDEX('Temp Hisfa'!N$3:N$200, SMALL(IF(ISERROR('Temp Hisfa'!N$3:N$200), "", ROW('Temp Hisfa'!N$3:N$200)-MIN(ROW('Temp Hisfa'!N$3:N$200))+1), ROW(139:338))),"")</f>
        <v/>
      </c>
      <c r="O141" s="22" t="str">
        <f t="array" ref="O141">IFERROR(INDEX('Temp Hisfa'!O$3:O$200, SMALL(IF(ISERROR('Temp Hisfa'!O$3:O$200), "", ROW('Temp Hisfa'!O$3:O$200)-MIN(ROW('Temp Hisfa'!O$3:O$200))+1), ROW(139:338))),"")</f>
        <v/>
      </c>
      <c r="P141" s="22" t="str">
        <f t="array" ref="P141">IFERROR(INDEX('Temp Hisfa'!P$3:P$200, SMALL(IF(ISERROR('Temp Hisfa'!P$3:P$200), "", ROW('Temp Hisfa'!P$3:P$200)-MIN(ROW('Temp Hisfa'!P$3:P$200))+1), ROW(139:338))),"")</f>
        <v/>
      </c>
      <c r="Q141" s="22" t="str">
        <f t="array" ref="Q141">IFERROR(INDEX('Temp Hisfa'!Q$3:Q$200, SMALL(IF(ISERROR('Temp Hisfa'!Q$3:Q$200), "", ROW('Temp Hisfa'!Q$3:Q$200)-MIN(ROW('Temp Hisfa'!Q$3:Q$200))+1), ROW(139:338))),"")</f>
        <v/>
      </c>
      <c r="R141" s="22" t="str">
        <f t="array" ref="R141">IFERROR(INDEX('Temp Hisfa'!R$3:R$200, SMALL(IF(ISERROR('Temp Hisfa'!R$3:R$200), "", ROW('Temp Hisfa'!R$3:R$200)-MIN(ROW('Temp Hisfa'!R$3:R$200))+1), ROW(139:338))),"")</f>
        <v/>
      </c>
      <c r="S141" s="22" t="str">
        <f t="array" ref="S141">IFERROR(INDEX('Temp Hisfa'!S$3:S$200, SMALL(IF(ISERROR('Temp Hisfa'!S$3:S$200), "", ROW('Temp Hisfa'!S$3:S$200)-MIN(ROW('Temp Hisfa'!S$3:S$200))+1), ROW(139:338))),"")</f>
        <v/>
      </c>
      <c r="T141" s="22" t="str">
        <f t="array" ref="T141">IFERROR(INDEX('Temp Hisfa'!T$3:T$200, SMALL(IF(ISERROR('Temp Hisfa'!T$3:T$200), "", ROW('Temp Hisfa'!T$3:T$200)-MIN(ROW('Temp Hisfa'!T$3:T$200))+1), ROW(139:338))),"")</f>
        <v/>
      </c>
      <c r="U141" s="22" t="str">
        <f t="array" ref="U141">IFERROR(INDEX('Temp Hisfa'!U$3:U$200, SMALL(IF(ISERROR('Temp Hisfa'!U$3:U$200), "", ROW('Temp Hisfa'!U$3:U$200)-MIN(ROW('Temp Hisfa'!U$3:U$200))+1), ROW(139:338))),"")</f>
        <v/>
      </c>
      <c r="V141" s="22" t="str">
        <f t="array" ref="V141">IFERROR(INDEX('Temp Hisfa'!V$3:V$200, SMALL(IF(ISERROR('Temp Hisfa'!V$3:V$200), "", ROW('Temp Hisfa'!V$3:V$200)-MIN(ROW('Temp Hisfa'!V$3:V$200))+1), ROW(139:338))),"")</f>
        <v/>
      </c>
      <c r="W141" s="22" t="str">
        <f t="array" ref="W141">IFERROR(INDEX('Temp Hisfa'!W$3:W$200, SMALL(IF(ISERROR('Temp Hisfa'!W$3:W$200), "", ROW('Temp Hisfa'!W$3:W$200)-MIN(ROW('Temp Hisfa'!W$3:W$200))+1), ROW(139:338))),"")</f>
        <v/>
      </c>
      <c r="X141" s="22" t="str">
        <f t="array" ref="X141">IFERROR(INDEX('Temp Hisfa'!X$3:X$200, SMALL(IF(ISERROR('Temp Hisfa'!X$3:X$200), "", ROW('Temp Hisfa'!X$3:X$200)-MIN(ROW('Temp Hisfa'!X$3:X$200))+1), ROW(139:338))),"")</f>
        <v/>
      </c>
      <c r="Y141" s="22" t="str">
        <f t="array" ref="Y141">IFERROR(INDEX('Temp Hisfa'!Y$3:Y$200, SMALL(IF(ISERROR('Temp Hisfa'!Y$3:Y$200), "", ROW('Temp Hisfa'!Y$3:Y$200)-MIN(ROW('Temp Hisfa'!Y$3:Y$200))+1), ROW(139:338))),"")</f>
        <v/>
      </c>
      <c r="Z141" s="22" t="str">
        <f t="array" ref="Z141">IFERROR(INDEX('Temp Hisfa'!Z$3:Z$200, SMALL(IF(ISERROR('Temp Hisfa'!Z$3:Z$200), "", ROW('Temp Hisfa'!Z$3:Z$200)-MIN(ROW('Temp Hisfa'!Z$3:Z$200))+1), ROW(139:338))),"")</f>
        <v/>
      </c>
      <c r="AA141" s="22" t="str">
        <f t="array" ref="AA141">IFERROR(INDEX('Temp Hisfa'!AA$3:AA$200, SMALL(IF(ISERROR('Temp Hisfa'!AA$3:AA$200), "", ROW('Temp Hisfa'!AA$3:AA$200)-MIN(ROW('Temp Hisfa'!AA$3:AA$200))+1), ROW(139:338))),"")</f>
        <v/>
      </c>
      <c r="AB141" s="22" t="str">
        <f t="array" ref="AB141">IFERROR(INDEX('Temp Hisfa'!AB$3:AB$200, SMALL(IF(ISERROR('Temp Hisfa'!AB$3:AB$200), "", ROW('Temp Hisfa'!AB$3:AB$200)-MIN(ROW('Temp Hisfa'!AB$3:AB$200))+1), ROW(139:338))),"")</f>
        <v/>
      </c>
    </row>
    <row r="142" spans="1:28" x14ac:dyDescent="0.3">
      <c r="A142" s="4" t="str">
        <f t="array" ref="A142">IFERROR(INDEX('Temp Hisfa'!A$3:A$200, SMALL(IF(ISERROR('Temp Hisfa'!A$3:A$200), "", ROW('Temp Hisfa'!A$3:A$200)-MIN(ROW('Temp Hisfa'!A$3:A$200))+1), ROW(140:338))),"")</f>
        <v/>
      </c>
      <c r="B142" s="4" t="str">
        <f t="array" ref="B142">IFERROR(INDEX('Temp Hisfa'!B$3:B$200, SMALL(IF(ISERROR('Temp Hisfa'!B$3:B$200), "", ROW('Temp Hisfa'!B$3:B$200)-MIN(ROW('Temp Hisfa'!B$3:B$200))+1), ROW(140:338))),"")</f>
        <v/>
      </c>
      <c r="C142" s="3" t="str">
        <f t="array" ref="C142">IFERROR(INDEX('Temp Hisfa'!C$3:C$200, SMALL(IF(ISERROR('Temp Hisfa'!C$3:C$200), "", ROW('Temp Hisfa'!C$3:C$200)-MIN(ROW('Temp Hisfa'!C$3:C$200))+1), ROW(140:338))),"")</f>
        <v/>
      </c>
      <c r="D142" s="3" t="str">
        <f t="array" ref="D142">IFERROR(INDEX('Temp Hisfa'!D$3:D$200, SMALL(IF(ISERROR('Temp Hisfa'!D$3:D$200), "", ROW('Temp Hisfa'!D$3:D$200)-MIN(ROW('Temp Hisfa'!D$3:D$200))+1), ROW(140:338))),"")</f>
        <v/>
      </c>
      <c r="E142" s="29" t="str">
        <f t="array" ref="E142">IFERROR(INDEX('Temp Hisfa'!E$3:E$200, SMALL(IF(ISERROR('Temp Hisfa'!E$3:E$200), "", ROW('Temp Hisfa'!E$3:E$200)-MIN(ROW('Temp Hisfa'!E$3:E$200))+1), ROW(140:339))),"")</f>
        <v/>
      </c>
      <c r="F142" s="22" t="str">
        <f t="array" ref="F142">IFERROR(INDEX('Temp Hisfa'!F$3:F$200, SMALL(IF(ISERROR('Temp Hisfa'!F$3:F$200), "", ROW('Temp Hisfa'!F$3:F$200)-MIN(ROW('Temp Hisfa'!F$3:F$200))+1), ROW(140:339))),"")</f>
        <v/>
      </c>
      <c r="G142" s="30" t="str">
        <f t="array" ref="G142">IFERROR(INDEX('Temp Hisfa'!G$3:G$200, SMALL(IF(ISERROR('Temp Hisfa'!G$3:G$200), "", ROW('Temp Hisfa'!G$3:G$200)-MIN(ROW('Temp Hisfa'!G$3:G$200))+1), ROW(140:339))),"")</f>
        <v/>
      </c>
      <c r="H142" s="22" t="str">
        <f t="array" ref="H142">IFERROR(INDEX('Temp Hisfa'!H$3:H$200, SMALL(IF(ISERROR('Temp Hisfa'!H$3:H$200), "", ROW('Temp Hisfa'!H$3:H$200)-MIN(ROW('Temp Hisfa'!H$3:H$200))+1), ROW(140:339))),"")</f>
        <v/>
      </c>
      <c r="I142" s="22" t="str">
        <f t="array" ref="I142">IFERROR(INDEX('Temp Hisfa'!I$3:I$200, SMALL(IF(ISERROR('Temp Hisfa'!I$3:I$200), "", ROW('Temp Hisfa'!I$3:I$200)-MIN(ROW('Temp Hisfa'!I$3:I$200))+1), ROW(140:339))),"")</f>
        <v/>
      </c>
      <c r="J142" s="22" t="str">
        <f t="array" ref="J142">IFERROR(INDEX('Temp Hisfa'!J$3:J$200, SMALL(IF(ISERROR('Temp Hisfa'!J$3:J$200), "", ROW('Temp Hisfa'!J$3:J$200)-MIN(ROW('Temp Hisfa'!J$3:J$200))+1), ROW(140:339))),"")</f>
        <v/>
      </c>
      <c r="K142" s="30" t="str">
        <f t="array" ref="K142">IFERROR(INDEX('Temp Hisfa'!K$3:K$200, SMALL(IF(ISERROR('Temp Hisfa'!K$3:K$200), "", ROW('Temp Hisfa'!K$3:K$200)-MIN(ROW('Temp Hisfa'!K$3:K$200))+1), ROW(140:339))),"")</f>
        <v/>
      </c>
      <c r="L142" s="22" t="str">
        <f t="array" ref="L142">IFERROR(INDEX('Temp Hisfa'!L$3:L$200, SMALL(IF(ISERROR('Temp Hisfa'!L$3:L$200), "", ROW('Temp Hisfa'!L$3:L$200)-MIN(ROW('Temp Hisfa'!L$3:L$200))+1), ROW(140:339))),"")</f>
        <v/>
      </c>
      <c r="M142" s="22" t="str">
        <f t="array" ref="M142">IFERROR(INDEX('Temp Hisfa'!M$3:M$200, SMALL(IF(ISERROR('Temp Hisfa'!M$3:M$200), "", ROW('Temp Hisfa'!M$3:M$200)-MIN(ROW('Temp Hisfa'!M$3:M$200))+1), ROW(140:339))),"")</f>
        <v/>
      </c>
      <c r="N142" s="22" t="str">
        <f t="array" ref="N142">IFERROR(INDEX('Temp Hisfa'!N$3:N$200, SMALL(IF(ISERROR('Temp Hisfa'!N$3:N$200), "", ROW('Temp Hisfa'!N$3:N$200)-MIN(ROW('Temp Hisfa'!N$3:N$200))+1), ROW(140:339))),"")</f>
        <v/>
      </c>
      <c r="O142" s="22" t="str">
        <f t="array" ref="O142">IFERROR(INDEX('Temp Hisfa'!O$3:O$200, SMALL(IF(ISERROR('Temp Hisfa'!O$3:O$200), "", ROW('Temp Hisfa'!O$3:O$200)-MIN(ROW('Temp Hisfa'!O$3:O$200))+1), ROW(140:339))),"")</f>
        <v/>
      </c>
      <c r="P142" s="22" t="str">
        <f t="array" ref="P142">IFERROR(INDEX('Temp Hisfa'!P$3:P$200, SMALL(IF(ISERROR('Temp Hisfa'!P$3:P$200), "", ROW('Temp Hisfa'!P$3:P$200)-MIN(ROW('Temp Hisfa'!P$3:P$200))+1), ROW(140:339))),"")</f>
        <v/>
      </c>
      <c r="Q142" s="22" t="str">
        <f t="array" ref="Q142">IFERROR(INDEX('Temp Hisfa'!Q$3:Q$200, SMALL(IF(ISERROR('Temp Hisfa'!Q$3:Q$200), "", ROW('Temp Hisfa'!Q$3:Q$200)-MIN(ROW('Temp Hisfa'!Q$3:Q$200))+1), ROW(140:339))),"")</f>
        <v/>
      </c>
      <c r="R142" s="22" t="str">
        <f t="array" ref="R142">IFERROR(INDEX('Temp Hisfa'!R$3:R$200, SMALL(IF(ISERROR('Temp Hisfa'!R$3:R$200), "", ROW('Temp Hisfa'!R$3:R$200)-MIN(ROW('Temp Hisfa'!R$3:R$200))+1), ROW(140:339))),"")</f>
        <v/>
      </c>
      <c r="S142" s="22" t="str">
        <f t="array" ref="S142">IFERROR(INDEX('Temp Hisfa'!S$3:S$200, SMALL(IF(ISERROR('Temp Hisfa'!S$3:S$200), "", ROW('Temp Hisfa'!S$3:S$200)-MIN(ROW('Temp Hisfa'!S$3:S$200))+1), ROW(140:339))),"")</f>
        <v/>
      </c>
      <c r="T142" s="22" t="str">
        <f t="array" ref="T142">IFERROR(INDEX('Temp Hisfa'!T$3:T$200, SMALL(IF(ISERROR('Temp Hisfa'!T$3:T$200), "", ROW('Temp Hisfa'!T$3:T$200)-MIN(ROW('Temp Hisfa'!T$3:T$200))+1), ROW(140:339))),"")</f>
        <v/>
      </c>
      <c r="U142" s="22" t="str">
        <f t="array" ref="U142">IFERROR(INDEX('Temp Hisfa'!U$3:U$200, SMALL(IF(ISERROR('Temp Hisfa'!U$3:U$200), "", ROW('Temp Hisfa'!U$3:U$200)-MIN(ROW('Temp Hisfa'!U$3:U$200))+1), ROW(140:339))),"")</f>
        <v/>
      </c>
      <c r="V142" s="22" t="str">
        <f t="array" ref="V142">IFERROR(INDEX('Temp Hisfa'!V$3:V$200, SMALL(IF(ISERROR('Temp Hisfa'!V$3:V$200), "", ROW('Temp Hisfa'!V$3:V$200)-MIN(ROW('Temp Hisfa'!V$3:V$200))+1), ROW(140:339))),"")</f>
        <v/>
      </c>
      <c r="W142" s="22" t="str">
        <f t="array" ref="W142">IFERROR(INDEX('Temp Hisfa'!W$3:W$200, SMALL(IF(ISERROR('Temp Hisfa'!W$3:W$200), "", ROW('Temp Hisfa'!W$3:W$200)-MIN(ROW('Temp Hisfa'!W$3:W$200))+1), ROW(140:339))),"")</f>
        <v/>
      </c>
      <c r="X142" s="22" t="str">
        <f t="array" ref="X142">IFERROR(INDEX('Temp Hisfa'!X$3:X$200, SMALL(IF(ISERROR('Temp Hisfa'!X$3:X$200), "", ROW('Temp Hisfa'!X$3:X$200)-MIN(ROW('Temp Hisfa'!X$3:X$200))+1), ROW(140:339))),"")</f>
        <v/>
      </c>
      <c r="Y142" s="22" t="str">
        <f t="array" ref="Y142">IFERROR(INDEX('Temp Hisfa'!Y$3:Y$200, SMALL(IF(ISERROR('Temp Hisfa'!Y$3:Y$200), "", ROW('Temp Hisfa'!Y$3:Y$200)-MIN(ROW('Temp Hisfa'!Y$3:Y$200))+1), ROW(140:339))),"")</f>
        <v/>
      </c>
      <c r="Z142" s="22" t="str">
        <f t="array" ref="Z142">IFERROR(INDEX('Temp Hisfa'!Z$3:Z$200, SMALL(IF(ISERROR('Temp Hisfa'!Z$3:Z$200), "", ROW('Temp Hisfa'!Z$3:Z$200)-MIN(ROW('Temp Hisfa'!Z$3:Z$200))+1), ROW(140:339))),"")</f>
        <v/>
      </c>
      <c r="AA142" s="22" t="str">
        <f t="array" ref="AA142">IFERROR(INDEX('Temp Hisfa'!AA$3:AA$200, SMALL(IF(ISERROR('Temp Hisfa'!AA$3:AA$200), "", ROW('Temp Hisfa'!AA$3:AA$200)-MIN(ROW('Temp Hisfa'!AA$3:AA$200))+1), ROW(140:339))),"")</f>
        <v/>
      </c>
      <c r="AB142" s="22" t="str">
        <f t="array" ref="AB142">IFERROR(INDEX('Temp Hisfa'!AB$3:AB$200, SMALL(IF(ISERROR('Temp Hisfa'!AB$3:AB$200), "", ROW('Temp Hisfa'!AB$3:AB$200)-MIN(ROW('Temp Hisfa'!AB$3:AB$200))+1), ROW(140:339))),"")</f>
        <v/>
      </c>
    </row>
    <row r="143" spans="1:28" x14ac:dyDescent="0.3">
      <c r="A143" s="4" t="str">
        <f t="array" ref="A143">IFERROR(INDEX('Temp Hisfa'!A$3:A$200, SMALL(IF(ISERROR('Temp Hisfa'!A$3:A$200), "", ROW('Temp Hisfa'!A$3:A$200)-MIN(ROW('Temp Hisfa'!A$3:A$200))+1), ROW(141:339))),"")</f>
        <v/>
      </c>
      <c r="B143" s="4" t="str">
        <f t="array" ref="B143">IFERROR(INDEX('Temp Hisfa'!B$3:B$200, SMALL(IF(ISERROR('Temp Hisfa'!B$3:B$200), "", ROW('Temp Hisfa'!B$3:B$200)-MIN(ROW('Temp Hisfa'!B$3:B$200))+1), ROW(141:339))),"")</f>
        <v/>
      </c>
      <c r="C143" s="3" t="str">
        <f t="array" ref="C143">IFERROR(INDEX('Temp Hisfa'!C$3:C$200, SMALL(IF(ISERROR('Temp Hisfa'!C$3:C$200), "", ROW('Temp Hisfa'!C$3:C$200)-MIN(ROW('Temp Hisfa'!C$3:C$200))+1), ROW(141:339))),"")</f>
        <v/>
      </c>
      <c r="D143" s="3" t="str">
        <f t="array" ref="D143">IFERROR(INDEX('Temp Hisfa'!D$3:D$200, SMALL(IF(ISERROR('Temp Hisfa'!D$3:D$200), "", ROW('Temp Hisfa'!D$3:D$200)-MIN(ROW('Temp Hisfa'!D$3:D$200))+1), ROW(141:339))),"")</f>
        <v/>
      </c>
      <c r="E143" s="29" t="str">
        <f t="array" ref="E143">IFERROR(INDEX('Temp Hisfa'!E$3:E$200, SMALL(IF(ISERROR('Temp Hisfa'!E$3:E$200), "", ROW('Temp Hisfa'!E$3:E$200)-MIN(ROW('Temp Hisfa'!E$3:E$200))+1), ROW(141:340))),"")</f>
        <v/>
      </c>
      <c r="F143" s="22" t="str">
        <f t="array" ref="F143">IFERROR(INDEX('Temp Hisfa'!F$3:F$200, SMALL(IF(ISERROR('Temp Hisfa'!F$3:F$200), "", ROW('Temp Hisfa'!F$3:F$200)-MIN(ROW('Temp Hisfa'!F$3:F$200))+1), ROW(141:340))),"")</f>
        <v/>
      </c>
      <c r="G143" s="30" t="str">
        <f t="array" ref="G143">IFERROR(INDEX('Temp Hisfa'!G$3:G$200, SMALL(IF(ISERROR('Temp Hisfa'!G$3:G$200), "", ROW('Temp Hisfa'!G$3:G$200)-MIN(ROW('Temp Hisfa'!G$3:G$200))+1), ROW(141:340))),"")</f>
        <v/>
      </c>
      <c r="H143" s="22" t="str">
        <f t="array" ref="H143">IFERROR(INDEX('Temp Hisfa'!H$3:H$200, SMALL(IF(ISERROR('Temp Hisfa'!H$3:H$200), "", ROW('Temp Hisfa'!H$3:H$200)-MIN(ROW('Temp Hisfa'!H$3:H$200))+1), ROW(141:340))),"")</f>
        <v/>
      </c>
      <c r="I143" s="22" t="str">
        <f t="array" ref="I143">IFERROR(INDEX('Temp Hisfa'!I$3:I$200, SMALL(IF(ISERROR('Temp Hisfa'!I$3:I$200), "", ROW('Temp Hisfa'!I$3:I$200)-MIN(ROW('Temp Hisfa'!I$3:I$200))+1), ROW(141:340))),"")</f>
        <v/>
      </c>
      <c r="J143" s="22" t="str">
        <f t="array" ref="J143">IFERROR(INDEX('Temp Hisfa'!J$3:J$200, SMALL(IF(ISERROR('Temp Hisfa'!J$3:J$200), "", ROW('Temp Hisfa'!J$3:J$200)-MIN(ROW('Temp Hisfa'!J$3:J$200))+1), ROW(141:340))),"")</f>
        <v/>
      </c>
      <c r="K143" s="30" t="str">
        <f t="array" ref="K143">IFERROR(INDEX('Temp Hisfa'!K$3:K$200, SMALL(IF(ISERROR('Temp Hisfa'!K$3:K$200), "", ROW('Temp Hisfa'!K$3:K$200)-MIN(ROW('Temp Hisfa'!K$3:K$200))+1), ROW(141:340))),"")</f>
        <v/>
      </c>
      <c r="L143" s="22" t="str">
        <f t="array" ref="L143">IFERROR(INDEX('Temp Hisfa'!L$3:L$200, SMALL(IF(ISERROR('Temp Hisfa'!L$3:L$200), "", ROW('Temp Hisfa'!L$3:L$200)-MIN(ROW('Temp Hisfa'!L$3:L$200))+1), ROW(141:340))),"")</f>
        <v/>
      </c>
      <c r="M143" s="22" t="str">
        <f t="array" ref="M143">IFERROR(INDEX('Temp Hisfa'!M$3:M$200, SMALL(IF(ISERROR('Temp Hisfa'!M$3:M$200), "", ROW('Temp Hisfa'!M$3:M$200)-MIN(ROW('Temp Hisfa'!M$3:M$200))+1), ROW(141:340))),"")</f>
        <v/>
      </c>
      <c r="N143" s="22" t="str">
        <f t="array" ref="N143">IFERROR(INDEX('Temp Hisfa'!N$3:N$200, SMALL(IF(ISERROR('Temp Hisfa'!N$3:N$200), "", ROW('Temp Hisfa'!N$3:N$200)-MIN(ROW('Temp Hisfa'!N$3:N$200))+1), ROW(141:340))),"")</f>
        <v/>
      </c>
      <c r="O143" s="22" t="str">
        <f t="array" ref="O143">IFERROR(INDEX('Temp Hisfa'!O$3:O$200, SMALL(IF(ISERROR('Temp Hisfa'!O$3:O$200), "", ROW('Temp Hisfa'!O$3:O$200)-MIN(ROW('Temp Hisfa'!O$3:O$200))+1), ROW(141:340))),"")</f>
        <v/>
      </c>
      <c r="P143" s="22" t="str">
        <f t="array" ref="P143">IFERROR(INDEX('Temp Hisfa'!P$3:P$200, SMALL(IF(ISERROR('Temp Hisfa'!P$3:P$200), "", ROW('Temp Hisfa'!P$3:P$200)-MIN(ROW('Temp Hisfa'!P$3:P$200))+1), ROW(141:340))),"")</f>
        <v/>
      </c>
      <c r="Q143" s="22" t="str">
        <f t="array" ref="Q143">IFERROR(INDEX('Temp Hisfa'!Q$3:Q$200, SMALL(IF(ISERROR('Temp Hisfa'!Q$3:Q$200), "", ROW('Temp Hisfa'!Q$3:Q$200)-MIN(ROW('Temp Hisfa'!Q$3:Q$200))+1), ROW(141:340))),"")</f>
        <v/>
      </c>
      <c r="R143" s="22" t="str">
        <f t="array" ref="R143">IFERROR(INDEX('Temp Hisfa'!R$3:R$200, SMALL(IF(ISERROR('Temp Hisfa'!R$3:R$200), "", ROW('Temp Hisfa'!R$3:R$200)-MIN(ROW('Temp Hisfa'!R$3:R$200))+1), ROW(141:340))),"")</f>
        <v/>
      </c>
      <c r="S143" s="22" t="str">
        <f t="array" ref="S143">IFERROR(INDEX('Temp Hisfa'!S$3:S$200, SMALL(IF(ISERROR('Temp Hisfa'!S$3:S$200), "", ROW('Temp Hisfa'!S$3:S$200)-MIN(ROW('Temp Hisfa'!S$3:S$200))+1), ROW(141:340))),"")</f>
        <v/>
      </c>
      <c r="T143" s="22" t="str">
        <f t="array" ref="T143">IFERROR(INDEX('Temp Hisfa'!T$3:T$200, SMALL(IF(ISERROR('Temp Hisfa'!T$3:T$200), "", ROW('Temp Hisfa'!T$3:T$200)-MIN(ROW('Temp Hisfa'!T$3:T$200))+1), ROW(141:340))),"")</f>
        <v/>
      </c>
      <c r="U143" s="22" t="str">
        <f t="array" ref="U143">IFERROR(INDEX('Temp Hisfa'!U$3:U$200, SMALL(IF(ISERROR('Temp Hisfa'!U$3:U$200), "", ROW('Temp Hisfa'!U$3:U$200)-MIN(ROW('Temp Hisfa'!U$3:U$200))+1), ROW(141:340))),"")</f>
        <v/>
      </c>
      <c r="V143" s="22" t="str">
        <f t="array" ref="V143">IFERROR(INDEX('Temp Hisfa'!V$3:V$200, SMALL(IF(ISERROR('Temp Hisfa'!V$3:V$200), "", ROW('Temp Hisfa'!V$3:V$200)-MIN(ROW('Temp Hisfa'!V$3:V$200))+1), ROW(141:340))),"")</f>
        <v/>
      </c>
      <c r="W143" s="22" t="str">
        <f t="array" ref="W143">IFERROR(INDEX('Temp Hisfa'!W$3:W$200, SMALL(IF(ISERROR('Temp Hisfa'!W$3:W$200), "", ROW('Temp Hisfa'!W$3:W$200)-MIN(ROW('Temp Hisfa'!W$3:W$200))+1), ROW(141:340))),"")</f>
        <v/>
      </c>
      <c r="X143" s="22" t="str">
        <f t="array" ref="X143">IFERROR(INDEX('Temp Hisfa'!X$3:X$200, SMALL(IF(ISERROR('Temp Hisfa'!X$3:X$200), "", ROW('Temp Hisfa'!X$3:X$200)-MIN(ROW('Temp Hisfa'!X$3:X$200))+1), ROW(141:340))),"")</f>
        <v/>
      </c>
      <c r="Y143" s="22" t="str">
        <f t="array" ref="Y143">IFERROR(INDEX('Temp Hisfa'!Y$3:Y$200, SMALL(IF(ISERROR('Temp Hisfa'!Y$3:Y$200), "", ROW('Temp Hisfa'!Y$3:Y$200)-MIN(ROW('Temp Hisfa'!Y$3:Y$200))+1), ROW(141:340))),"")</f>
        <v/>
      </c>
      <c r="Z143" s="22" t="str">
        <f t="array" ref="Z143">IFERROR(INDEX('Temp Hisfa'!Z$3:Z$200, SMALL(IF(ISERROR('Temp Hisfa'!Z$3:Z$200), "", ROW('Temp Hisfa'!Z$3:Z$200)-MIN(ROW('Temp Hisfa'!Z$3:Z$200))+1), ROW(141:340))),"")</f>
        <v/>
      </c>
      <c r="AA143" s="22" t="str">
        <f t="array" ref="AA143">IFERROR(INDEX('Temp Hisfa'!AA$3:AA$200, SMALL(IF(ISERROR('Temp Hisfa'!AA$3:AA$200), "", ROW('Temp Hisfa'!AA$3:AA$200)-MIN(ROW('Temp Hisfa'!AA$3:AA$200))+1), ROW(141:340))),"")</f>
        <v/>
      </c>
      <c r="AB143" s="22" t="str">
        <f t="array" ref="AB143">IFERROR(INDEX('Temp Hisfa'!AB$3:AB$200, SMALL(IF(ISERROR('Temp Hisfa'!AB$3:AB$200), "", ROW('Temp Hisfa'!AB$3:AB$200)-MIN(ROW('Temp Hisfa'!AB$3:AB$200))+1), ROW(141:340))),"")</f>
        <v/>
      </c>
    </row>
    <row r="144" spans="1:28" x14ac:dyDescent="0.3">
      <c r="A144" s="4" t="str">
        <f t="array" ref="A144">IFERROR(INDEX('Temp Hisfa'!A$3:A$200, SMALL(IF(ISERROR('Temp Hisfa'!A$3:A$200), "", ROW('Temp Hisfa'!A$3:A$200)-MIN(ROW('Temp Hisfa'!A$3:A$200))+1), ROW(142:340))),"")</f>
        <v/>
      </c>
      <c r="B144" s="4" t="str">
        <f t="array" ref="B144">IFERROR(INDEX('Temp Hisfa'!B$3:B$200, SMALL(IF(ISERROR('Temp Hisfa'!B$3:B$200), "", ROW('Temp Hisfa'!B$3:B$200)-MIN(ROW('Temp Hisfa'!B$3:B$200))+1), ROW(142:340))),"")</f>
        <v/>
      </c>
      <c r="C144" s="3" t="str">
        <f t="array" ref="C144">IFERROR(INDEX('Temp Hisfa'!C$3:C$200, SMALL(IF(ISERROR('Temp Hisfa'!C$3:C$200), "", ROW('Temp Hisfa'!C$3:C$200)-MIN(ROW('Temp Hisfa'!C$3:C$200))+1), ROW(142:340))),"")</f>
        <v/>
      </c>
      <c r="D144" s="3" t="str">
        <f t="array" ref="D144">IFERROR(INDEX('Temp Hisfa'!D$3:D$200, SMALL(IF(ISERROR('Temp Hisfa'!D$3:D$200), "", ROW('Temp Hisfa'!D$3:D$200)-MIN(ROW('Temp Hisfa'!D$3:D$200))+1), ROW(142:340))),"")</f>
        <v/>
      </c>
      <c r="E144" s="29" t="str">
        <f t="array" ref="E144">IFERROR(INDEX('Temp Hisfa'!E$3:E$200, SMALL(IF(ISERROR('Temp Hisfa'!E$3:E$200), "", ROW('Temp Hisfa'!E$3:E$200)-MIN(ROW('Temp Hisfa'!E$3:E$200))+1), ROW(142:341))),"")</f>
        <v/>
      </c>
      <c r="F144" s="22" t="str">
        <f t="array" ref="F144">IFERROR(INDEX('Temp Hisfa'!F$3:F$200, SMALL(IF(ISERROR('Temp Hisfa'!F$3:F$200), "", ROW('Temp Hisfa'!F$3:F$200)-MIN(ROW('Temp Hisfa'!F$3:F$200))+1), ROW(142:341))),"")</f>
        <v/>
      </c>
      <c r="G144" s="30" t="str">
        <f t="array" ref="G144">IFERROR(INDEX('Temp Hisfa'!G$3:G$200, SMALL(IF(ISERROR('Temp Hisfa'!G$3:G$200), "", ROW('Temp Hisfa'!G$3:G$200)-MIN(ROW('Temp Hisfa'!G$3:G$200))+1), ROW(142:341))),"")</f>
        <v/>
      </c>
      <c r="H144" s="22" t="str">
        <f t="array" ref="H144">IFERROR(INDEX('Temp Hisfa'!H$3:H$200, SMALL(IF(ISERROR('Temp Hisfa'!H$3:H$200), "", ROW('Temp Hisfa'!H$3:H$200)-MIN(ROW('Temp Hisfa'!H$3:H$200))+1), ROW(142:341))),"")</f>
        <v/>
      </c>
      <c r="I144" s="22" t="str">
        <f t="array" ref="I144">IFERROR(INDEX('Temp Hisfa'!I$3:I$200, SMALL(IF(ISERROR('Temp Hisfa'!I$3:I$200), "", ROW('Temp Hisfa'!I$3:I$200)-MIN(ROW('Temp Hisfa'!I$3:I$200))+1), ROW(142:341))),"")</f>
        <v/>
      </c>
      <c r="J144" s="22" t="str">
        <f t="array" ref="J144">IFERROR(INDEX('Temp Hisfa'!J$3:J$200, SMALL(IF(ISERROR('Temp Hisfa'!J$3:J$200), "", ROW('Temp Hisfa'!J$3:J$200)-MIN(ROW('Temp Hisfa'!J$3:J$200))+1), ROW(142:341))),"")</f>
        <v/>
      </c>
      <c r="K144" s="30" t="str">
        <f t="array" ref="K144">IFERROR(INDEX('Temp Hisfa'!K$3:K$200, SMALL(IF(ISERROR('Temp Hisfa'!K$3:K$200), "", ROW('Temp Hisfa'!K$3:K$200)-MIN(ROW('Temp Hisfa'!K$3:K$200))+1), ROW(142:341))),"")</f>
        <v/>
      </c>
      <c r="L144" s="22" t="str">
        <f t="array" ref="L144">IFERROR(INDEX('Temp Hisfa'!L$3:L$200, SMALL(IF(ISERROR('Temp Hisfa'!L$3:L$200), "", ROW('Temp Hisfa'!L$3:L$200)-MIN(ROW('Temp Hisfa'!L$3:L$200))+1), ROW(142:341))),"")</f>
        <v/>
      </c>
      <c r="M144" s="22" t="str">
        <f t="array" ref="M144">IFERROR(INDEX('Temp Hisfa'!M$3:M$200, SMALL(IF(ISERROR('Temp Hisfa'!M$3:M$200), "", ROW('Temp Hisfa'!M$3:M$200)-MIN(ROW('Temp Hisfa'!M$3:M$200))+1), ROW(142:341))),"")</f>
        <v/>
      </c>
      <c r="N144" s="22" t="str">
        <f t="array" ref="N144">IFERROR(INDEX('Temp Hisfa'!N$3:N$200, SMALL(IF(ISERROR('Temp Hisfa'!N$3:N$200), "", ROW('Temp Hisfa'!N$3:N$200)-MIN(ROW('Temp Hisfa'!N$3:N$200))+1), ROW(142:341))),"")</f>
        <v/>
      </c>
      <c r="O144" s="22" t="str">
        <f t="array" ref="O144">IFERROR(INDEX('Temp Hisfa'!O$3:O$200, SMALL(IF(ISERROR('Temp Hisfa'!O$3:O$200), "", ROW('Temp Hisfa'!O$3:O$200)-MIN(ROW('Temp Hisfa'!O$3:O$200))+1), ROW(142:341))),"")</f>
        <v/>
      </c>
      <c r="P144" s="22" t="str">
        <f t="array" ref="P144">IFERROR(INDEX('Temp Hisfa'!P$3:P$200, SMALL(IF(ISERROR('Temp Hisfa'!P$3:P$200), "", ROW('Temp Hisfa'!P$3:P$200)-MIN(ROW('Temp Hisfa'!P$3:P$200))+1), ROW(142:341))),"")</f>
        <v/>
      </c>
      <c r="Q144" s="22" t="str">
        <f t="array" ref="Q144">IFERROR(INDEX('Temp Hisfa'!Q$3:Q$200, SMALL(IF(ISERROR('Temp Hisfa'!Q$3:Q$200), "", ROW('Temp Hisfa'!Q$3:Q$200)-MIN(ROW('Temp Hisfa'!Q$3:Q$200))+1), ROW(142:341))),"")</f>
        <v/>
      </c>
      <c r="R144" s="22" t="str">
        <f t="array" ref="R144">IFERROR(INDEX('Temp Hisfa'!R$3:R$200, SMALL(IF(ISERROR('Temp Hisfa'!R$3:R$200), "", ROW('Temp Hisfa'!R$3:R$200)-MIN(ROW('Temp Hisfa'!R$3:R$200))+1), ROW(142:341))),"")</f>
        <v/>
      </c>
      <c r="S144" s="22" t="str">
        <f t="array" ref="S144">IFERROR(INDEX('Temp Hisfa'!S$3:S$200, SMALL(IF(ISERROR('Temp Hisfa'!S$3:S$200), "", ROW('Temp Hisfa'!S$3:S$200)-MIN(ROW('Temp Hisfa'!S$3:S$200))+1), ROW(142:341))),"")</f>
        <v/>
      </c>
      <c r="T144" s="22" t="str">
        <f t="array" ref="T144">IFERROR(INDEX('Temp Hisfa'!T$3:T$200, SMALL(IF(ISERROR('Temp Hisfa'!T$3:T$200), "", ROW('Temp Hisfa'!T$3:T$200)-MIN(ROW('Temp Hisfa'!T$3:T$200))+1), ROW(142:341))),"")</f>
        <v/>
      </c>
      <c r="U144" s="22" t="str">
        <f t="array" ref="U144">IFERROR(INDEX('Temp Hisfa'!U$3:U$200, SMALL(IF(ISERROR('Temp Hisfa'!U$3:U$200), "", ROW('Temp Hisfa'!U$3:U$200)-MIN(ROW('Temp Hisfa'!U$3:U$200))+1), ROW(142:341))),"")</f>
        <v/>
      </c>
      <c r="V144" s="22" t="str">
        <f t="array" ref="V144">IFERROR(INDEX('Temp Hisfa'!V$3:V$200, SMALL(IF(ISERROR('Temp Hisfa'!V$3:V$200), "", ROW('Temp Hisfa'!V$3:V$200)-MIN(ROW('Temp Hisfa'!V$3:V$200))+1), ROW(142:341))),"")</f>
        <v/>
      </c>
      <c r="W144" s="22" t="str">
        <f t="array" ref="W144">IFERROR(INDEX('Temp Hisfa'!W$3:W$200, SMALL(IF(ISERROR('Temp Hisfa'!W$3:W$200), "", ROW('Temp Hisfa'!W$3:W$200)-MIN(ROW('Temp Hisfa'!W$3:W$200))+1), ROW(142:341))),"")</f>
        <v/>
      </c>
      <c r="X144" s="22" t="str">
        <f t="array" ref="X144">IFERROR(INDEX('Temp Hisfa'!X$3:X$200, SMALL(IF(ISERROR('Temp Hisfa'!X$3:X$200), "", ROW('Temp Hisfa'!X$3:X$200)-MIN(ROW('Temp Hisfa'!X$3:X$200))+1), ROW(142:341))),"")</f>
        <v/>
      </c>
      <c r="Y144" s="22" t="str">
        <f t="array" ref="Y144">IFERROR(INDEX('Temp Hisfa'!Y$3:Y$200, SMALL(IF(ISERROR('Temp Hisfa'!Y$3:Y$200), "", ROW('Temp Hisfa'!Y$3:Y$200)-MIN(ROW('Temp Hisfa'!Y$3:Y$200))+1), ROW(142:341))),"")</f>
        <v/>
      </c>
      <c r="Z144" s="22" t="str">
        <f t="array" ref="Z144">IFERROR(INDEX('Temp Hisfa'!Z$3:Z$200, SMALL(IF(ISERROR('Temp Hisfa'!Z$3:Z$200), "", ROW('Temp Hisfa'!Z$3:Z$200)-MIN(ROW('Temp Hisfa'!Z$3:Z$200))+1), ROW(142:341))),"")</f>
        <v/>
      </c>
      <c r="AA144" s="22" t="str">
        <f t="array" ref="AA144">IFERROR(INDEX('Temp Hisfa'!AA$3:AA$200, SMALL(IF(ISERROR('Temp Hisfa'!AA$3:AA$200), "", ROW('Temp Hisfa'!AA$3:AA$200)-MIN(ROW('Temp Hisfa'!AA$3:AA$200))+1), ROW(142:341))),"")</f>
        <v/>
      </c>
      <c r="AB144" s="22" t="str">
        <f t="array" ref="AB144">IFERROR(INDEX('Temp Hisfa'!AB$3:AB$200, SMALL(IF(ISERROR('Temp Hisfa'!AB$3:AB$200), "", ROW('Temp Hisfa'!AB$3:AB$200)-MIN(ROW('Temp Hisfa'!AB$3:AB$200))+1), ROW(142:341))),"")</f>
        <v/>
      </c>
    </row>
    <row r="145" spans="1:28" x14ac:dyDescent="0.3">
      <c r="A145" s="4" t="str">
        <f t="array" ref="A145">IFERROR(INDEX('Temp Hisfa'!A$3:A$200, SMALL(IF(ISERROR('Temp Hisfa'!A$3:A$200), "", ROW('Temp Hisfa'!A$3:A$200)-MIN(ROW('Temp Hisfa'!A$3:A$200))+1), ROW(143:341))),"")</f>
        <v/>
      </c>
      <c r="B145" s="4" t="str">
        <f t="array" ref="B145">IFERROR(INDEX('Temp Hisfa'!B$3:B$200, SMALL(IF(ISERROR('Temp Hisfa'!B$3:B$200), "", ROW('Temp Hisfa'!B$3:B$200)-MIN(ROW('Temp Hisfa'!B$3:B$200))+1), ROW(143:341))),"")</f>
        <v/>
      </c>
      <c r="C145" s="3" t="str">
        <f t="array" ref="C145">IFERROR(INDEX('Temp Hisfa'!C$3:C$200, SMALL(IF(ISERROR('Temp Hisfa'!C$3:C$200), "", ROW('Temp Hisfa'!C$3:C$200)-MIN(ROW('Temp Hisfa'!C$3:C$200))+1), ROW(143:341))),"")</f>
        <v/>
      </c>
      <c r="D145" s="3" t="str">
        <f t="array" ref="D145">IFERROR(INDEX('Temp Hisfa'!D$3:D$200, SMALL(IF(ISERROR('Temp Hisfa'!D$3:D$200), "", ROW('Temp Hisfa'!D$3:D$200)-MIN(ROW('Temp Hisfa'!D$3:D$200))+1), ROW(143:341))),"")</f>
        <v/>
      </c>
      <c r="E145" s="29" t="str">
        <f t="array" ref="E145">IFERROR(INDEX('Temp Hisfa'!E$3:E$200, SMALL(IF(ISERROR('Temp Hisfa'!E$3:E$200), "", ROW('Temp Hisfa'!E$3:E$200)-MIN(ROW('Temp Hisfa'!E$3:E$200))+1), ROW(143:342))),"")</f>
        <v/>
      </c>
      <c r="F145" s="22" t="str">
        <f t="array" ref="F145">IFERROR(INDEX('Temp Hisfa'!F$3:F$200, SMALL(IF(ISERROR('Temp Hisfa'!F$3:F$200), "", ROW('Temp Hisfa'!F$3:F$200)-MIN(ROW('Temp Hisfa'!F$3:F$200))+1), ROW(143:342))),"")</f>
        <v/>
      </c>
      <c r="G145" s="30" t="str">
        <f t="array" ref="G145">IFERROR(INDEX('Temp Hisfa'!G$3:G$200, SMALL(IF(ISERROR('Temp Hisfa'!G$3:G$200), "", ROW('Temp Hisfa'!G$3:G$200)-MIN(ROW('Temp Hisfa'!G$3:G$200))+1), ROW(143:342))),"")</f>
        <v/>
      </c>
      <c r="H145" s="22" t="str">
        <f t="array" ref="H145">IFERROR(INDEX('Temp Hisfa'!H$3:H$200, SMALL(IF(ISERROR('Temp Hisfa'!H$3:H$200), "", ROW('Temp Hisfa'!H$3:H$200)-MIN(ROW('Temp Hisfa'!H$3:H$200))+1), ROW(143:342))),"")</f>
        <v/>
      </c>
      <c r="I145" s="22" t="str">
        <f t="array" ref="I145">IFERROR(INDEX('Temp Hisfa'!I$3:I$200, SMALL(IF(ISERROR('Temp Hisfa'!I$3:I$200), "", ROW('Temp Hisfa'!I$3:I$200)-MIN(ROW('Temp Hisfa'!I$3:I$200))+1), ROW(143:342))),"")</f>
        <v/>
      </c>
      <c r="J145" s="22" t="str">
        <f t="array" ref="J145">IFERROR(INDEX('Temp Hisfa'!J$3:J$200, SMALL(IF(ISERROR('Temp Hisfa'!J$3:J$200), "", ROW('Temp Hisfa'!J$3:J$200)-MIN(ROW('Temp Hisfa'!J$3:J$200))+1), ROW(143:342))),"")</f>
        <v/>
      </c>
      <c r="K145" s="30" t="str">
        <f t="array" ref="K145">IFERROR(INDEX('Temp Hisfa'!K$3:K$200, SMALL(IF(ISERROR('Temp Hisfa'!K$3:K$200), "", ROW('Temp Hisfa'!K$3:K$200)-MIN(ROW('Temp Hisfa'!K$3:K$200))+1), ROW(143:342))),"")</f>
        <v/>
      </c>
      <c r="L145" s="22" t="str">
        <f t="array" ref="L145">IFERROR(INDEX('Temp Hisfa'!L$3:L$200, SMALL(IF(ISERROR('Temp Hisfa'!L$3:L$200), "", ROW('Temp Hisfa'!L$3:L$200)-MIN(ROW('Temp Hisfa'!L$3:L$200))+1), ROW(143:342))),"")</f>
        <v/>
      </c>
      <c r="M145" s="22" t="str">
        <f t="array" ref="M145">IFERROR(INDEX('Temp Hisfa'!M$3:M$200, SMALL(IF(ISERROR('Temp Hisfa'!M$3:M$200), "", ROW('Temp Hisfa'!M$3:M$200)-MIN(ROW('Temp Hisfa'!M$3:M$200))+1), ROW(143:342))),"")</f>
        <v/>
      </c>
      <c r="N145" s="22" t="str">
        <f t="array" ref="N145">IFERROR(INDEX('Temp Hisfa'!N$3:N$200, SMALL(IF(ISERROR('Temp Hisfa'!N$3:N$200), "", ROW('Temp Hisfa'!N$3:N$200)-MIN(ROW('Temp Hisfa'!N$3:N$200))+1), ROW(143:342))),"")</f>
        <v/>
      </c>
      <c r="O145" s="22" t="str">
        <f t="array" ref="O145">IFERROR(INDEX('Temp Hisfa'!O$3:O$200, SMALL(IF(ISERROR('Temp Hisfa'!O$3:O$200), "", ROW('Temp Hisfa'!O$3:O$200)-MIN(ROW('Temp Hisfa'!O$3:O$200))+1), ROW(143:342))),"")</f>
        <v/>
      </c>
      <c r="P145" s="22" t="str">
        <f t="array" ref="P145">IFERROR(INDEX('Temp Hisfa'!P$3:P$200, SMALL(IF(ISERROR('Temp Hisfa'!P$3:P$200), "", ROW('Temp Hisfa'!P$3:P$200)-MIN(ROW('Temp Hisfa'!P$3:P$200))+1), ROW(143:342))),"")</f>
        <v/>
      </c>
      <c r="Q145" s="22" t="str">
        <f t="array" ref="Q145">IFERROR(INDEX('Temp Hisfa'!Q$3:Q$200, SMALL(IF(ISERROR('Temp Hisfa'!Q$3:Q$200), "", ROW('Temp Hisfa'!Q$3:Q$200)-MIN(ROW('Temp Hisfa'!Q$3:Q$200))+1), ROW(143:342))),"")</f>
        <v/>
      </c>
      <c r="R145" s="22" t="str">
        <f t="array" ref="R145">IFERROR(INDEX('Temp Hisfa'!R$3:R$200, SMALL(IF(ISERROR('Temp Hisfa'!R$3:R$200), "", ROW('Temp Hisfa'!R$3:R$200)-MIN(ROW('Temp Hisfa'!R$3:R$200))+1), ROW(143:342))),"")</f>
        <v/>
      </c>
      <c r="S145" s="22" t="str">
        <f t="array" ref="S145">IFERROR(INDEX('Temp Hisfa'!S$3:S$200, SMALL(IF(ISERROR('Temp Hisfa'!S$3:S$200), "", ROW('Temp Hisfa'!S$3:S$200)-MIN(ROW('Temp Hisfa'!S$3:S$200))+1), ROW(143:342))),"")</f>
        <v/>
      </c>
      <c r="T145" s="22" t="str">
        <f t="array" ref="T145">IFERROR(INDEX('Temp Hisfa'!T$3:T$200, SMALL(IF(ISERROR('Temp Hisfa'!T$3:T$200), "", ROW('Temp Hisfa'!T$3:T$200)-MIN(ROW('Temp Hisfa'!T$3:T$200))+1), ROW(143:342))),"")</f>
        <v/>
      </c>
      <c r="U145" s="22" t="str">
        <f t="array" ref="U145">IFERROR(INDEX('Temp Hisfa'!U$3:U$200, SMALL(IF(ISERROR('Temp Hisfa'!U$3:U$200), "", ROW('Temp Hisfa'!U$3:U$200)-MIN(ROW('Temp Hisfa'!U$3:U$200))+1), ROW(143:342))),"")</f>
        <v/>
      </c>
      <c r="V145" s="22" t="str">
        <f t="array" ref="V145">IFERROR(INDEX('Temp Hisfa'!V$3:V$200, SMALL(IF(ISERROR('Temp Hisfa'!V$3:V$200), "", ROW('Temp Hisfa'!V$3:V$200)-MIN(ROW('Temp Hisfa'!V$3:V$200))+1), ROW(143:342))),"")</f>
        <v/>
      </c>
      <c r="W145" s="22" t="str">
        <f t="array" ref="W145">IFERROR(INDEX('Temp Hisfa'!W$3:W$200, SMALL(IF(ISERROR('Temp Hisfa'!W$3:W$200), "", ROW('Temp Hisfa'!W$3:W$200)-MIN(ROW('Temp Hisfa'!W$3:W$200))+1), ROW(143:342))),"")</f>
        <v/>
      </c>
      <c r="X145" s="22" t="str">
        <f t="array" ref="X145">IFERROR(INDEX('Temp Hisfa'!X$3:X$200, SMALL(IF(ISERROR('Temp Hisfa'!X$3:X$200), "", ROW('Temp Hisfa'!X$3:X$200)-MIN(ROW('Temp Hisfa'!X$3:X$200))+1), ROW(143:342))),"")</f>
        <v/>
      </c>
      <c r="Y145" s="22" t="str">
        <f t="array" ref="Y145">IFERROR(INDEX('Temp Hisfa'!Y$3:Y$200, SMALL(IF(ISERROR('Temp Hisfa'!Y$3:Y$200), "", ROW('Temp Hisfa'!Y$3:Y$200)-MIN(ROW('Temp Hisfa'!Y$3:Y$200))+1), ROW(143:342))),"")</f>
        <v/>
      </c>
      <c r="Z145" s="22" t="str">
        <f t="array" ref="Z145">IFERROR(INDEX('Temp Hisfa'!Z$3:Z$200, SMALL(IF(ISERROR('Temp Hisfa'!Z$3:Z$200), "", ROW('Temp Hisfa'!Z$3:Z$200)-MIN(ROW('Temp Hisfa'!Z$3:Z$200))+1), ROW(143:342))),"")</f>
        <v/>
      </c>
      <c r="AA145" s="22" t="str">
        <f t="array" ref="AA145">IFERROR(INDEX('Temp Hisfa'!AA$3:AA$200, SMALL(IF(ISERROR('Temp Hisfa'!AA$3:AA$200), "", ROW('Temp Hisfa'!AA$3:AA$200)-MIN(ROW('Temp Hisfa'!AA$3:AA$200))+1), ROW(143:342))),"")</f>
        <v/>
      </c>
      <c r="AB145" s="22" t="str">
        <f t="array" ref="AB145">IFERROR(INDEX('Temp Hisfa'!AB$3:AB$200, SMALL(IF(ISERROR('Temp Hisfa'!AB$3:AB$200), "", ROW('Temp Hisfa'!AB$3:AB$200)-MIN(ROW('Temp Hisfa'!AB$3:AB$200))+1), ROW(143:342))),"")</f>
        <v/>
      </c>
    </row>
    <row r="146" spans="1:28" x14ac:dyDescent="0.3">
      <c r="A146" s="4" t="str">
        <f t="array" ref="A146">IFERROR(INDEX('Temp Hisfa'!A$3:A$200, SMALL(IF(ISERROR('Temp Hisfa'!A$3:A$200), "", ROW('Temp Hisfa'!A$3:A$200)-MIN(ROW('Temp Hisfa'!A$3:A$200))+1), ROW(144:342))),"")</f>
        <v/>
      </c>
      <c r="B146" s="4" t="str">
        <f t="array" ref="B146">IFERROR(INDEX('Temp Hisfa'!B$3:B$200, SMALL(IF(ISERROR('Temp Hisfa'!B$3:B$200), "", ROW('Temp Hisfa'!B$3:B$200)-MIN(ROW('Temp Hisfa'!B$3:B$200))+1), ROW(144:342))),"")</f>
        <v/>
      </c>
      <c r="C146" s="3" t="str">
        <f t="array" ref="C146">IFERROR(INDEX('Temp Hisfa'!C$3:C$200, SMALL(IF(ISERROR('Temp Hisfa'!C$3:C$200), "", ROW('Temp Hisfa'!C$3:C$200)-MIN(ROW('Temp Hisfa'!C$3:C$200))+1), ROW(144:342))),"")</f>
        <v/>
      </c>
      <c r="D146" s="3" t="str">
        <f t="array" ref="D146">IFERROR(INDEX('Temp Hisfa'!D$3:D$200, SMALL(IF(ISERROR('Temp Hisfa'!D$3:D$200), "", ROW('Temp Hisfa'!D$3:D$200)-MIN(ROW('Temp Hisfa'!D$3:D$200))+1), ROW(144:342))),"")</f>
        <v/>
      </c>
      <c r="E146" s="29" t="str">
        <f t="array" ref="E146">IFERROR(INDEX('Temp Hisfa'!E$3:E$200, SMALL(IF(ISERROR('Temp Hisfa'!E$3:E$200), "", ROW('Temp Hisfa'!E$3:E$200)-MIN(ROW('Temp Hisfa'!E$3:E$200))+1), ROW(144:343))),"")</f>
        <v/>
      </c>
      <c r="F146" s="22" t="str">
        <f t="array" ref="F146">IFERROR(INDEX('Temp Hisfa'!F$3:F$200, SMALL(IF(ISERROR('Temp Hisfa'!F$3:F$200), "", ROW('Temp Hisfa'!F$3:F$200)-MIN(ROW('Temp Hisfa'!F$3:F$200))+1), ROW(144:343))),"")</f>
        <v/>
      </c>
      <c r="G146" s="30" t="str">
        <f t="array" ref="G146">IFERROR(INDEX('Temp Hisfa'!G$3:G$200, SMALL(IF(ISERROR('Temp Hisfa'!G$3:G$200), "", ROW('Temp Hisfa'!G$3:G$200)-MIN(ROW('Temp Hisfa'!G$3:G$200))+1), ROW(144:343))),"")</f>
        <v/>
      </c>
      <c r="H146" s="22" t="str">
        <f t="array" ref="H146">IFERROR(INDEX('Temp Hisfa'!H$3:H$200, SMALL(IF(ISERROR('Temp Hisfa'!H$3:H$200), "", ROW('Temp Hisfa'!H$3:H$200)-MIN(ROW('Temp Hisfa'!H$3:H$200))+1), ROW(144:343))),"")</f>
        <v/>
      </c>
      <c r="I146" s="22" t="str">
        <f t="array" ref="I146">IFERROR(INDEX('Temp Hisfa'!I$3:I$200, SMALL(IF(ISERROR('Temp Hisfa'!I$3:I$200), "", ROW('Temp Hisfa'!I$3:I$200)-MIN(ROW('Temp Hisfa'!I$3:I$200))+1), ROW(144:343))),"")</f>
        <v/>
      </c>
      <c r="J146" s="22" t="str">
        <f t="array" ref="J146">IFERROR(INDEX('Temp Hisfa'!J$3:J$200, SMALL(IF(ISERROR('Temp Hisfa'!J$3:J$200), "", ROW('Temp Hisfa'!J$3:J$200)-MIN(ROW('Temp Hisfa'!J$3:J$200))+1), ROW(144:343))),"")</f>
        <v/>
      </c>
      <c r="K146" s="30" t="str">
        <f t="array" ref="K146">IFERROR(INDEX('Temp Hisfa'!K$3:K$200, SMALL(IF(ISERROR('Temp Hisfa'!K$3:K$200), "", ROW('Temp Hisfa'!K$3:K$200)-MIN(ROW('Temp Hisfa'!K$3:K$200))+1), ROW(144:343))),"")</f>
        <v/>
      </c>
      <c r="L146" s="22" t="str">
        <f t="array" ref="L146">IFERROR(INDEX('Temp Hisfa'!L$3:L$200, SMALL(IF(ISERROR('Temp Hisfa'!L$3:L$200), "", ROW('Temp Hisfa'!L$3:L$200)-MIN(ROW('Temp Hisfa'!L$3:L$200))+1), ROW(144:343))),"")</f>
        <v/>
      </c>
      <c r="M146" s="22" t="str">
        <f t="array" ref="M146">IFERROR(INDEX('Temp Hisfa'!M$3:M$200, SMALL(IF(ISERROR('Temp Hisfa'!M$3:M$200), "", ROW('Temp Hisfa'!M$3:M$200)-MIN(ROW('Temp Hisfa'!M$3:M$200))+1), ROW(144:343))),"")</f>
        <v/>
      </c>
      <c r="N146" s="22" t="str">
        <f t="array" ref="N146">IFERROR(INDEX('Temp Hisfa'!N$3:N$200, SMALL(IF(ISERROR('Temp Hisfa'!N$3:N$200), "", ROW('Temp Hisfa'!N$3:N$200)-MIN(ROW('Temp Hisfa'!N$3:N$200))+1), ROW(144:343))),"")</f>
        <v/>
      </c>
      <c r="O146" s="22" t="str">
        <f t="array" ref="O146">IFERROR(INDEX('Temp Hisfa'!O$3:O$200, SMALL(IF(ISERROR('Temp Hisfa'!O$3:O$200), "", ROW('Temp Hisfa'!O$3:O$200)-MIN(ROW('Temp Hisfa'!O$3:O$200))+1), ROW(144:343))),"")</f>
        <v/>
      </c>
      <c r="P146" s="22" t="str">
        <f t="array" ref="P146">IFERROR(INDEX('Temp Hisfa'!P$3:P$200, SMALL(IF(ISERROR('Temp Hisfa'!P$3:P$200), "", ROW('Temp Hisfa'!P$3:P$200)-MIN(ROW('Temp Hisfa'!P$3:P$200))+1), ROW(144:343))),"")</f>
        <v/>
      </c>
      <c r="Q146" s="22" t="str">
        <f t="array" ref="Q146">IFERROR(INDEX('Temp Hisfa'!Q$3:Q$200, SMALL(IF(ISERROR('Temp Hisfa'!Q$3:Q$200), "", ROW('Temp Hisfa'!Q$3:Q$200)-MIN(ROW('Temp Hisfa'!Q$3:Q$200))+1), ROW(144:343))),"")</f>
        <v/>
      </c>
      <c r="R146" s="22" t="str">
        <f t="array" ref="R146">IFERROR(INDEX('Temp Hisfa'!R$3:R$200, SMALL(IF(ISERROR('Temp Hisfa'!R$3:R$200), "", ROW('Temp Hisfa'!R$3:R$200)-MIN(ROW('Temp Hisfa'!R$3:R$200))+1), ROW(144:343))),"")</f>
        <v/>
      </c>
      <c r="S146" s="22" t="str">
        <f t="array" ref="S146">IFERROR(INDEX('Temp Hisfa'!S$3:S$200, SMALL(IF(ISERROR('Temp Hisfa'!S$3:S$200), "", ROW('Temp Hisfa'!S$3:S$200)-MIN(ROW('Temp Hisfa'!S$3:S$200))+1), ROW(144:343))),"")</f>
        <v/>
      </c>
      <c r="T146" s="22" t="str">
        <f t="array" ref="T146">IFERROR(INDEX('Temp Hisfa'!T$3:T$200, SMALL(IF(ISERROR('Temp Hisfa'!T$3:T$200), "", ROW('Temp Hisfa'!T$3:T$200)-MIN(ROW('Temp Hisfa'!T$3:T$200))+1), ROW(144:343))),"")</f>
        <v/>
      </c>
      <c r="U146" s="22" t="str">
        <f t="array" ref="U146">IFERROR(INDEX('Temp Hisfa'!U$3:U$200, SMALL(IF(ISERROR('Temp Hisfa'!U$3:U$200), "", ROW('Temp Hisfa'!U$3:U$200)-MIN(ROW('Temp Hisfa'!U$3:U$200))+1), ROW(144:343))),"")</f>
        <v/>
      </c>
      <c r="V146" s="22" t="str">
        <f t="array" ref="V146">IFERROR(INDEX('Temp Hisfa'!V$3:V$200, SMALL(IF(ISERROR('Temp Hisfa'!V$3:V$200), "", ROW('Temp Hisfa'!V$3:V$200)-MIN(ROW('Temp Hisfa'!V$3:V$200))+1), ROW(144:343))),"")</f>
        <v/>
      </c>
      <c r="W146" s="22" t="str">
        <f t="array" ref="W146">IFERROR(INDEX('Temp Hisfa'!W$3:W$200, SMALL(IF(ISERROR('Temp Hisfa'!W$3:W$200), "", ROW('Temp Hisfa'!W$3:W$200)-MIN(ROW('Temp Hisfa'!W$3:W$200))+1), ROW(144:343))),"")</f>
        <v/>
      </c>
      <c r="X146" s="22" t="str">
        <f t="array" ref="X146">IFERROR(INDEX('Temp Hisfa'!X$3:X$200, SMALL(IF(ISERROR('Temp Hisfa'!X$3:X$200), "", ROW('Temp Hisfa'!X$3:X$200)-MIN(ROW('Temp Hisfa'!X$3:X$200))+1), ROW(144:343))),"")</f>
        <v/>
      </c>
      <c r="Y146" s="22" t="str">
        <f t="array" ref="Y146">IFERROR(INDEX('Temp Hisfa'!Y$3:Y$200, SMALL(IF(ISERROR('Temp Hisfa'!Y$3:Y$200), "", ROW('Temp Hisfa'!Y$3:Y$200)-MIN(ROW('Temp Hisfa'!Y$3:Y$200))+1), ROW(144:343))),"")</f>
        <v/>
      </c>
      <c r="Z146" s="22" t="str">
        <f t="array" ref="Z146">IFERROR(INDEX('Temp Hisfa'!Z$3:Z$200, SMALL(IF(ISERROR('Temp Hisfa'!Z$3:Z$200), "", ROW('Temp Hisfa'!Z$3:Z$200)-MIN(ROW('Temp Hisfa'!Z$3:Z$200))+1), ROW(144:343))),"")</f>
        <v/>
      </c>
      <c r="AA146" s="22" t="str">
        <f t="array" ref="AA146">IFERROR(INDEX('Temp Hisfa'!AA$3:AA$200, SMALL(IF(ISERROR('Temp Hisfa'!AA$3:AA$200), "", ROW('Temp Hisfa'!AA$3:AA$200)-MIN(ROW('Temp Hisfa'!AA$3:AA$200))+1), ROW(144:343))),"")</f>
        <v/>
      </c>
      <c r="AB146" s="22" t="str">
        <f t="array" ref="AB146">IFERROR(INDEX('Temp Hisfa'!AB$3:AB$200, SMALL(IF(ISERROR('Temp Hisfa'!AB$3:AB$200), "", ROW('Temp Hisfa'!AB$3:AB$200)-MIN(ROW('Temp Hisfa'!AB$3:AB$200))+1), ROW(144:343))),"")</f>
        <v/>
      </c>
    </row>
    <row r="147" spans="1:28" x14ac:dyDescent="0.3">
      <c r="A147" s="4" t="str">
        <f t="array" ref="A147">IFERROR(INDEX('Temp Hisfa'!A$3:A$200, SMALL(IF(ISERROR('Temp Hisfa'!A$3:A$200), "", ROW('Temp Hisfa'!A$3:A$200)-MIN(ROW('Temp Hisfa'!A$3:A$200))+1), ROW(145:343))),"")</f>
        <v/>
      </c>
      <c r="B147" s="4" t="str">
        <f t="array" ref="B147">IFERROR(INDEX('Temp Hisfa'!B$3:B$200, SMALL(IF(ISERROR('Temp Hisfa'!B$3:B$200), "", ROW('Temp Hisfa'!B$3:B$200)-MIN(ROW('Temp Hisfa'!B$3:B$200))+1), ROW(145:343))),"")</f>
        <v/>
      </c>
      <c r="C147" s="3" t="str">
        <f t="array" ref="C147">IFERROR(INDEX('Temp Hisfa'!C$3:C$200, SMALL(IF(ISERROR('Temp Hisfa'!C$3:C$200), "", ROW('Temp Hisfa'!C$3:C$200)-MIN(ROW('Temp Hisfa'!C$3:C$200))+1), ROW(145:343))),"")</f>
        <v/>
      </c>
      <c r="D147" s="3" t="str">
        <f t="array" ref="D147">IFERROR(INDEX('Temp Hisfa'!D$3:D$200, SMALL(IF(ISERROR('Temp Hisfa'!D$3:D$200), "", ROW('Temp Hisfa'!D$3:D$200)-MIN(ROW('Temp Hisfa'!D$3:D$200))+1), ROW(145:343))),"")</f>
        <v/>
      </c>
      <c r="E147" s="29" t="str">
        <f t="array" ref="E147">IFERROR(INDEX('Temp Hisfa'!E$3:E$200, SMALL(IF(ISERROR('Temp Hisfa'!E$3:E$200), "", ROW('Temp Hisfa'!E$3:E$200)-MIN(ROW('Temp Hisfa'!E$3:E$200))+1), ROW(145:344))),"")</f>
        <v/>
      </c>
      <c r="F147" s="22" t="str">
        <f t="array" ref="F147">IFERROR(INDEX('Temp Hisfa'!F$3:F$200, SMALL(IF(ISERROR('Temp Hisfa'!F$3:F$200), "", ROW('Temp Hisfa'!F$3:F$200)-MIN(ROW('Temp Hisfa'!F$3:F$200))+1), ROW(145:344))),"")</f>
        <v/>
      </c>
      <c r="G147" s="30" t="str">
        <f t="array" ref="G147">IFERROR(INDEX('Temp Hisfa'!G$3:G$200, SMALL(IF(ISERROR('Temp Hisfa'!G$3:G$200), "", ROW('Temp Hisfa'!G$3:G$200)-MIN(ROW('Temp Hisfa'!G$3:G$200))+1), ROW(145:344))),"")</f>
        <v/>
      </c>
      <c r="H147" s="22" t="str">
        <f t="array" ref="H147">IFERROR(INDEX('Temp Hisfa'!H$3:H$200, SMALL(IF(ISERROR('Temp Hisfa'!H$3:H$200), "", ROW('Temp Hisfa'!H$3:H$200)-MIN(ROW('Temp Hisfa'!H$3:H$200))+1), ROW(145:344))),"")</f>
        <v/>
      </c>
      <c r="I147" s="22" t="str">
        <f t="array" ref="I147">IFERROR(INDEX('Temp Hisfa'!I$3:I$200, SMALL(IF(ISERROR('Temp Hisfa'!I$3:I$200), "", ROW('Temp Hisfa'!I$3:I$200)-MIN(ROW('Temp Hisfa'!I$3:I$200))+1), ROW(145:344))),"")</f>
        <v/>
      </c>
      <c r="J147" s="22" t="str">
        <f t="array" ref="J147">IFERROR(INDEX('Temp Hisfa'!J$3:J$200, SMALL(IF(ISERROR('Temp Hisfa'!J$3:J$200), "", ROW('Temp Hisfa'!J$3:J$200)-MIN(ROW('Temp Hisfa'!J$3:J$200))+1), ROW(145:344))),"")</f>
        <v/>
      </c>
      <c r="K147" s="30" t="str">
        <f t="array" ref="K147">IFERROR(INDEX('Temp Hisfa'!K$3:K$200, SMALL(IF(ISERROR('Temp Hisfa'!K$3:K$200), "", ROW('Temp Hisfa'!K$3:K$200)-MIN(ROW('Temp Hisfa'!K$3:K$200))+1), ROW(145:344))),"")</f>
        <v/>
      </c>
      <c r="L147" s="22" t="str">
        <f t="array" ref="L147">IFERROR(INDEX('Temp Hisfa'!L$3:L$200, SMALL(IF(ISERROR('Temp Hisfa'!L$3:L$200), "", ROW('Temp Hisfa'!L$3:L$200)-MIN(ROW('Temp Hisfa'!L$3:L$200))+1), ROW(145:344))),"")</f>
        <v/>
      </c>
      <c r="M147" s="22" t="str">
        <f t="array" ref="M147">IFERROR(INDEX('Temp Hisfa'!M$3:M$200, SMALL(IF(ISERROR('Temp Hisfa'!M$3:M$200), "", ROW('Temp Hisfa'!M$3:M$200)-MIN(ROW('Temp Hisfa'!M$3:M$200))+1), ROW(145:344))),"")</f>
        <v/>
      </c>
      <c r="N147" s="22" t="str">
        <f t="array" ref="N147">IFERROR(INDEX('Temp Hisfa'!N$3:N$200, SMALL(IF(ISERROR('Temp Hisfa'!N$3:N$200), "", ROW('Temp Hisfa'!N$3:N$200)-MIN(ROW('Temp Hisfa'!N$3:N$200))+1), ROW(145:344))),"")</f>
        <v/>
      </c>
      <c r="O147" s="22" t="str">
        <f t="array" ref="O147">IFERROR(INDEX('Temp Hisfa'!O$3:O$200, SMALL(IF(ISERROR('Temp Hisfa'!O$3:O$200), "", ROW('Temp Hisfa'!O$3:O$200)-MIN(ROW('Temp Hisfa'!O$3:O$200))+1), ROW(145:344))),"")</f>
        <v/>
      </c>
      <c r="P147" s="22" t="str">
        <f t="array" ref="P147">IFERROR(INDEX('Temp Hisfa'!P$3:P$200, SMALL(IF(ISERROR('Temp Hisfa'!P$3:P$200), "", ROW('Temp Hisfa'!P$3:P$200)-MIN(ROW('Temp Hisfa'!P$3:P$200))+1), ROW(145:344))),"")</f>
        <v/>
      </c>
      <c r="Q147" s="22" t="str">
        <f t="array" ref="Q147">IFERROR(INDEX('Temp Hisfa'!Q$3:Q$200, SMALL(IF(ISERROR('Temp Hisfa'!Q$3:Q$200), "", ROW('Temp Hisfa'!Q$3:Q$200)-MIN(ROW('Temp Hisfa'!Q$3:Q$200))+1), ROW(145:344))),"")</f>
        <v/>
      </c>
      <c r="R147" s="22" t="str">
        <f t="array" ref="R147">IFERROR(INDEX('Temp Hisfa'!R$3:R$200, SMALL(IF(ISERROR('Temp Hisfa'!R$3:R$200), "", ROW('Temp Hisfa'!R$3:R$200)-MIN(ROW('Temp Hisfa'!R$3:R$200))+1), ROW(145:344))),"")</f>
        <v/>
      </c>
      <c r="S147" s="22" t="str">
        <f t="array" ref="S147">IFERROR(INDEX('Temp Hisfa'!S$3:S$200, SMALL(IF(ISERROR('Temp Hisfa'!S$3:S$200), "", ROW('Temp Hisfa'!S$3:S$200)-MIN(ROW('Temp Hisfa'!S$3:S$200))+1), ROW(145:344))),"")</f>
        <v/>
      </c>
      <c r="T147" s="22" t="str">
        <f t="array" ref="T147">IFERROR(INDEX('Temp Hisfa'!T$3:T$200, SMALL(IF(ISERROR('Temp Hisfa'!T$3:T$200), "", ROW('Temp Hisfa'!T$3:T$200)-MIN(ROW('Temp Hisfa'!T$3:T$200))+1), ROW(145:344))),"")</f>
        <v/>
      </c>
      <c r="U147" s="22" t="str">
        <f t="array" ref="U147">IFERROR(INDEX('Temp Hisfa'!U$3:U$200, SMALL(IF(ISERROR('Temp Hisfa'!U$3:U$200), "", ROW('Temp Hisfa'!U$3:U$200)-MIN(ROW('Temp Hisfa'!U$3:U$200))+1), ROW(145:344))),"")</f>
        <v/>
      </c>
      <c r="V147" s="22" t="str">
        <f t="array" ref="V147">IFERROR(INDEX('Temp Hisfa'!V$3:V$200, SMALL(IF(ISERROR('Temp Hisfa'!V$3:V$200), "", ROW('Temp Hisfa'!V$3:V$200)-MIN(ROW('Temp Hisfa'!V$3:V$200))+1), ROW(145:344))),"")</f>
        <v/>
      </c>
      <c r="W147" s="22" t="str">
        <f t="array" ref="W147">IFERROR(INDEX('Temp Hisfa'!W$3:W$200, SMALL(IF(ISERROR('Temp Hisfa'!W$3:W$200), "", ROW('Temp Hisfa'!W$3:W$200)-MIN(ROW('Temp Hisfa'!W$3:W$200))+1), ROW(145:344))),"")</f>
        <v/>
      </c>
      <c r="X147" s="22" t="str">
        <f t="array" ref="X147">IFERROR(INDEX('Temp Hisfa'!X$3:X$200, SMALL(IF(ISERROR('Temp Hisfa'!X$3:X$200), "", ROW('Temp Hisfa'!X$3:X$200)-MIN(ROW('Temp Hisfa'!X$3:X$200))+1), ROW(145:344))),"")</f>
        <v/>
      </c>
      <c r="Y147" s="22" t="str">
        <f t="array" ref="Y147">IFERROR(INDEX('Temp Hisfa'!Y$3:Y$200, SMALL(IF(ISERROR('Temp Hisfa'!Y$3:Y$200), "", ROW('Temp Hisfa'!Y$3:Y$200)-MIN(ROW('Temp Hisfa'!Y$3:Y$200))+1), ROW(145:344))),"")</f>
        <v/>
      </c>
      <c r="Z147" s="22" t="str">
        <f t="array" ref="Z147">IFERROR(INDEX('Temp Hisfa'!Z$3:Z$200, SMALL(IF(ISERROR('Temp Hisfa'!Z$3:Z$200), "", ROW('Temp Hisfa'!Z$3:Z$200)-MIN(ROW('Temp Hisfa'!Z$3:Z$200))+1), ROW(145:344))),"")</f>
        <v/>
      </c>
      <c r="AA147" s="22" t="str">
        <f t="array" ref="AA147">IFERROR(INDEX('Temp Hisfa'!AA$3:AA$200, SMALL(IF(ISERROR('Temp Hisfa'!AA$3:AA$200), "", ROW('Temp Hisfa'!AA$3:AA$200)-MIN(ROW('Temp Hisfa'!AA$3:AA$200))+1), ROW(145:344))),"")</f>
        <v/>
      </c>
      <c r="AB147" s="22" t="str">
        <f t="array" ref="AB147">IFERROR(INDEX('Temp Hisfa'!AB$3:AB$200, SMALL(IF(ISERROR('Temp Hisfa'!AB$3:AB$200), "", ROW('Temp Hisfa'!AB$3:AB$200)-MIN(ROW('Temp Hisfa'!AB$3:AB$200))+1), ROW(145:344))),"")</f>
        <v/>
      </c>
    </row>
    <row r="148" spans="1:28" x14ac:dyDescent="0.3">
      <c r="A148" s="4" t="str">
        <f t="array" ref="A148">IFERROR(INDEX('Temp Hisfa'!A$3:A$200, SMALL(IF(ISERROR('Temp Hisfa'!A$3:A$200), "", ROW('Temp Hisfa'!A$3:A$200)-MIN(ROW('Temp Hisfa'!A$3:A$200))+1), ROW(146:344))),"")</f>
        <v/>
      </c>
      <c r="B148" s="4" t="str">
        <f t="array" ref="B148">IFERROR(INDEX('Temp Hisfa'!B$3:B$200, SMALL(IF(ISERROR('Temp Hisfa'!B$3:B$200), "", ROW('Temp Hisfa'!B$3:B$200)-MIN(ROW('Temp Hisfa'!B$3:B$200))+1), ROW(146:344))),"")</f>
        <v/>
      </c>
      <c r="C148" s="3" t="str">
        <f t="array" ref="C148">IFERROR(INDEX('Temp Hisfa'!C$3:C$200, SMALL(IF(ISERROR('Temp Hisfa'!C$3:C$200), "", ROW('Temp Hisfa'!C$3:C$200)-MIN(ROW('Temp Hisfa'!C$3:C$200))+1), ROW(146:344))),"")</f>
        <v/>
      </c>
      <c r="D148" s="3" t="str">
        <f t="array" ref="D148">IFERROR(INDEX('Temp Hisfa'!D$3:D$200, SMALL(IF(ISERROR('Temp Hisfa'!D$3:D$200), "", ROW('Temp Hisfa'!D$3:D$200)-MIN(ROW('Temp Hisfa'!D$3:D$200))+1), ROW(146:344))),"")</f>
        <v/>
      </c>
      <c r="E148" s="29" t="str">
        <f t="array" ref="E148">IFERROR(INDEX('Temp Hisfa'!E$3:E$200, SMALL(IF(ISERROR('Temp Hisfa'!E$3:E$200), "", ROW('Temp Hisfa'!E$3:E$200)-MIN(ROW('Temp Hisfa'!E$3:E$200))+1), ROW(146:345))),"")</f>
        <v/>
      </c>
      <c r="F148" s="22" t="str">
        <f t="array" ref="F148">IFERROR(INDEX('Temp Hisfa'!F$3:F$200, SMALL(IF(ISERROR('Temp Hisfa'!F$3:F$200), "", ROW('Temp Hisfa'!F$3:F$200)-MIN(ROW('Temp Hisfa'!F$3:F$200))+1), ROW(146:345))),"")</f>
        <v/>
      </c>
      <c r="G148" s="30" t="str">
        <f t="array" ref="G148">IFERROR(INDEX('Temp Hisfa'!G$3:G$200, SMALL(IF(ISERROR('Temp Hisfa'!G$3:G$200), "", ROW('Temp Hisfa'!G$3:G$200)-MIN(ROW('Temp Hisfa'!G$3:G$200))+1), ROW(146:345))),"")</f>
        <v/>
      </c>
      <c r="H148" s="22" t="str">
        <f t="array" ref="H148">IFERROR(INDEX('Temp Hisfa'!H$3:H$200, SMALL(IF(ISERROR('Temp Hisfa'!H$3:H$200), "", ROW('Temp Hisfa'!H$3:H$200)-MIN(ROW('Temp Hisfa'!H$3:H$200))+1), ROW(146:345))),"")</f>
        <v/>
      </c>
      <c r="I148" s="22" t="str">
        <f t="array" ref="I148">IFERROR(INDEX('Temp Hisfa'!I$3:I$200, SMALL(IF(ISERROR('Temp Hisfa'!I$3:I$200), "", ROW('Temp Hisfa'!I$3:I$200)-MIN(ROW('Temp Hisfa'!I$3:I$200))+1), ROW(146:345))),"")</f>
        <v/>
      </c>
      <c r="J148" s="22" t="str">
        <f t="array" ref="J148">IFERROR(INDEX('Temp Hisfa'!J$3:J$200, SMALL(IF(ISERROR('Temp Hisfa'!J$3:J$200), "", ROW('Temp Hisfa'!J$3:J$200)-MIN(ROW('Temp Hisfa'!J$3:J$200))+1), ROW(146:345))),"")</f>
        <v/>
      </c>
      <c r="K148" s="30" t="str">
        <f t="array" ref="K148">IFERROR(INDEX('Temp Hisfa'!K$3:K$200, SMALL(IF(ISERROR('Temp Hisfa'!K$3:K$200), "", ROW('Temp Hisfa'!K$3:K$200)-MIN(ROW('Temp Hisfa'!K$3:K$200))+1), ROW(146:345))),"")</f>
        <v/>
      </c>
      <c r="L148" s="22" t="str">
        <f t="array" ref="L148">IFERROR(INDEX('Temp Hisfa'!L$3:L$200, SMALL(IF(ISERROR('Temp Hisfa'!L$3:L$200), "", ROW('Temp Hisfa'!L$3:L$200)-MIN(ROW('Temp Hisfa'!L$3:L$200))+1), ROW(146:345))),"")</f>
        <v/>
      </c>
      <c r="M148" s="22" t="str">
        <f t="array" ref="M148">IFERROR(INDEX('Temp Hisfa'!M$3:M$200, SMALL(IF(ISERROR('Temp Hisfa'!M$3:M$200), "", ROW('Temp Hisfa'!M$3:M$200)-MIN(ROW('Temp Hisfa'!M$3:M$200))+1), ROW(146:345))),"")</f>
        <v/>
      </c>
      <c r="N148" s="22" t="str">
        <f t="array" ref="N148">IFERROR(INDEX('Temp Hisfa'!N$3:N$200, SMALL(IF(ISERROR('Temp Hisfa'!N$3:N$200), "", ROW('Temp Hisfa'!N$3:N$200)-MIN(ROW('Temp Hisfa'!N$3:N$200))+1), ROW(146:345))),"")</f>
        <v/>
      </c>
      <c r="O148" s="22" t="str">
        <f t="array" ref="O148">IFERROR(INDEX('Temp Hisfa'!O$3:O$200, SMALL(IF(ISERROR('Temp Hisfa'!O$3:O$200), "", ROW('Temp Hisfa'!O$3:O$200)-MIN(ROW('Temp Hisfa'!O$3:O$200))+1), ROW(146:345))),"")</f>
        <v/>
      </c>
      <c r="P148" s="22" t="str">
        <f t="array" ref="P148">IFERROR(INDEX('Temp Hisfa'!P$3:P$200, SMALL(IF(ISERROR('Temp Hisfa'!P$3:P$200), "", ROW('Temp Hisfa'!P$3:P$200)-MIN(ROW('Temp Hisfa'!P$3:P$200))+1), ROW(146:345))),"")</f>
        <v/>
      </c>
      <c r="Q148" s="22" t="str">
        <f t="array" ref="Q148">IFERROR(INDEX('Temp Hisfa'!Q$3:Q$200, SMALL(IF(ISERROR('Temp Hisfa'!Q$3:Q$200), "", ROW('Temp Hisfa'!Q$3:Q$200)-MIN(ROW('Temp Hisfa'!Q$3:Q$200))+1), ROW(146:345))),"")</f>
        <v/>
      </c>
      <c r="R148" s="22" t="str">
        <f t="array" ref="R148">IFERROR(INDEX('Temp Hisfa'!R$3:R$200, SMALL(IF(ISERROR('Temp Hisfa'!R$3:R$200), "", ROW('Temp Hisfa'!R$3:R$200)-MIN(ROW('Temp Hisfa'!R$3:R$200))+1), ROW(146:345))),"")</f>
        <v/>
      </c>
      <c r="S148" s="22" t="str">
        <f t="array" ref="S148">IFERROR(INDEX('Temp Hisfa'!S$3:S$200, SMALL(IF(ISERROR('Temp Hisfa'!S$3:S$200), "", ROW('Temp Hisfa'!S$3:S$200)-MIN(ROW('Temp Hisfa'!S$3:S$200))+1), ROW(146:345))),"")</f>
        <v/>
      </c>
      <c r="T148" s="22" t="str">
        <f t="array" ref="T148">IFERROR(INDEX('Temp Hisfa'!T$3:T$200, SMALL(IF(ISERROR('Temp Hisfa'!T$3:T$200), "", ROW('Temp Hisfa'!T$3:T$200)-MIN(ROW('Temp Hisfa'!T$3:T$200))+1), ROW(146:345))),"")</f>
        <v/>
      </c>
      <c r="U148" s="22" t="str">
        <f t="array" ref="U148">IFERROR(INDEX('Temp Hisfa'!U$3:U$200, SMALL(IF(ISERROR('Temp Hisfa'!U$3:U$200), "", ROW('Temp Hisfa'!U$3:U$200)-MIN(ROW('Temp Hisfa'!U$3:U$200))+1), ROW(146:345))),"")</f>
        <v/>
      </c>
      <c r="V148" s="22" t="str">
        <f t="array" ref="V148">IFERROR(INDEX('Temp Hisfa'!V$3:V$200, SMALL(IF(ISERROR('Temp Hisfa'!V$3:V$200), "", ROW('Temp Hisfa'!V$3:V$200)-MIN(ROW('Temp Hisfa'!V$3:V$200))+1), ROW(146:345))),"")</f>
        <v/>
      </c>
      <c r="W148" s="22" t="str">
        <f t="array" ref="W148">IFERROR(INDEX('Temp Hisfa'!W$3:W$200, SMALL(IF(ISERROR('Temp Hisfa'!W$3:W$200), "", ROW('Temp Hisfa'!W$3:W$200)-MIN(ROW('Temp Hisfa'!W$3:W$200))+1), ROW(146:345))),"")</f>
        <v/>
      </c>
      <c r="X148" s="22" t="str">
        <f t="array" ref="X148">IFERROR(INDEX('Temp Hisfa'!X$3:X$200, SMALL(IF(ISERROR('Temp Hisfa'!X$3:X$200), "", ROW('Temp Hisfa'!X$3:X$200)-MIN(ROW('Temp Hisfa'!X$3:X$200))+1), ROW(146:345))),"")</f>
        <v/>
      </c>
      <c r="Y148" s="22" t="str">
        <f t="array" ref="Y148">IFERROR(INDEX('Temp Hisfa'!Y$3:Y$200, SMALL(IF(ISERROR('Temp Hisfa'!Y$3:Y$200), "", ROW('Temp Hisfa'!Y$3:Y$200)-MIN(ROW('Temp Hisfa'!Y$3:Y$200))+1), ROW(146:345))),"")</f>
        <v/>
      </c>
      <c r="Z148" s="22" t="str">
        <f t="array" ref="Z148">IFERROR(INDEX('Temp Hisfa'!Z$3:Z$200, SMALL(IF(ISERROR('Temp Hisfa'!Z$3:Z$200), "", ROW('Temp Hisfa'!Z$3:Z$200)-MIN(ROW('Temp Hisfa'!Z$3:Z$200))+1), ROW(146:345))),"")</f>
        <v/>
      </c>
      <c r="AA148" s="22" t="str">
        <f t="array" ref="AA148">IFERROR(INDEX('Temp Hisfa'!AA$3:AA$200, SMALL(IF(ISERROR('Temp Hisfa'!AA$3:AA$200), "", ROW('Temp Hisfa'!AA$3:AA$200)-MIN(ROW('Temp Hisfa'!AA$3:AA$200))+1), ROW(146:345))),"")</f>
        <v/>
      </c>
      <c r="AB148" s="22" t="str">
        <f t="array" ref="AB148">IFERROR(INDEX('Temp Hisfa'!AB$3:AB$200, SMALL(IF(ISERROR('Temp Hisfa'!AB$3:AB$200), "", ROW('Temp Hisfa'!AB$3:AB$200)-MIN(ROW('Temp Hisfa'!AB$3:AB$200))+1), ROW(146:345))),"")</f>
        <v/>
      </c>
    </row>
    <row r="149" spans="1:28" x14ac:dyDescent="0.3">
      <c r="A149" s="4" t="str">
        <f t="array" ref="A149">IFERROR(INDEX('Temp Hisfa'!A$3:A$200, SMALL(IF(ISERROR('Temp Hisfa'!A$3:A$200), "", ROW('Temp Hisfa'!A$3:A$200)-MIN(ROW('Temp Hisfa'!A$3:A$200))+1), ROW(147:345))),"")</f>
        <v/>
      </c>
      <c r="B149" s="4" t="str">
        <f t="array" ref="B149">IFERROR(INDEX('Temp Hisfa'!B$3:B$200, SMALL(IF(ISERROR('Temp Hisfa'!B$3:B$200), "", ROW('Temp Hisfa'!B$3:B$200)-MIN(ROW('Temp Hisfa'!B$3:B$200))+1), ROW(147:345))),"")</f>
        <v/>
      </c>
      <c r="C149" s="3" t="str">
        <f t="array" ref="C149">IFERROR(INDEX('Temp Hisfa'!C$3:C$200, SMALL(IF(ISERROR('Temp Hisfa'!C$3:C$200), "", ROW('Temp Hisfa'!C$3:C$200)-MIN(ROW('Temp Hisfa'!C$3:C$200))+1), ROW(147:345))),"")</f>
        <v/>
      </c>
      <c r="D149" s="3" t="str">
        <f t="array" ref="D149">IFERROR(INDEX('Temp Hisfa'!D$3:D$200, SMALL(IF(ISERROR('Temp Hisfa'!D$3:D$200), "", ROW('Temp Hisfa'!D$3:D$200)-MIN(ROW('Temp Hisfa'!D$3:D$200))+1), ROW(147:345))),"")</f>
        <v/>
      </c>
      <c r="E149" s="29" t="str">
        <f t="array" ref="E149">IFERROR(INDEX('Temp Hisfa'!E$3:E$200, SMALL(IF(ISERROR('Temp Hisfa'!E$3:E$200), "", ROW('Temp Hisfa'!E$3:E$200)-MIN(ROW('Temp Hisfa'!E$3:E$200))+1), ROW(147:346))),"")</f>
        <v/>
      </c>
      <c r="F149" s="22" t="str">
        <f t="array" ref="F149">IFERROR(INDEX('Temp Hisfa'!F$3:F$200, SMALL(IF(ISERROR('Temp Hisfa'!F$3:F$200), "", ROW('Temp Hisfa'!F$3:F$200)-MIN(ROW('Temp Hisfa'!F$3:F$200))+1), ROW(147:346))),"")</f>
        <v/>
      </c>
      <c r="G149" s="30" t="str">
        <f t="array" ref="G149">IFERROR(INDEX('Temp Hisfa'!G$3:G$200, SMALL(IF(ISERROR('Temp Hisfa'!G$3:G$200), "", ROW('Temp Hisfa'!G$3:G$200)-MIN(ROW('Temp Hisfa'!G$3:G$200))+1), ROW(147:346))),"")</f>
        <v/>
      </c>
      <c r="H149" s="22" t="str">
        <f t="array" ref="H149">IFERROR(INDEX('Temp Hisfa'!H$3:H$200, SMALL(IF(ISERROR('Temp Hisfa'!H$3:H$200), "", ROW('Temp Hisfa'!H$3:H$200)-MIN(ROW('Temp Hisfa'!H$3:H$200))+1), ROW(147:346))),"")</f>
        <v/>
      </c>
      <c r="I149" s="22" t="str">
        <f t="array" ref="I149">IFERROR(INDEX('Temp Hisfa'!I$3:I$200, SMALL(IF(ISERROR('Temp Hisfa'!I$3:I$200), "", ROW('Temp Hisfa'!I$3:I$200)-MIN(ROW('Temp Hisfa'!I$3:I$200))+1), ROW(147:346))),"")</f>
        <v/>
      </c>
      <c r="J149" s="22" t="str">
        <f t="array" ref="J149">IFERROR(INDEX('Temp Hisfa'!J$3:J$200, SMALL(IF(ISERROR('Temp Hisfa'!J$3:J$200), "", ROW('Temp Hisfa'!J$3:J$200)-MIN(ROW('Temp Hisfa'!J$3:J$200))+1), ROW(147:346))),"")</f>
        <v/>
      </c>
      <c r="K149" s="30" t="str">
        <f t="array" ref="K149">IFERROR(INDEX('Temp Hisfa'!K$3:K$200, SMALL(IF(ISERROR('Temp Hisfa'!K$3:K$200), "", ROW('Temp Hisfa'!K$3:K$200)-MIN(ROW('Temp Hisfa'!K$3:K$200))+1), ROW(147:346))),"")</f>
        <v/>
      </c>
      <c r="L149" s="22" t="str">
        <f t="array" ref="L149">IFERROR(INDEX('Temp Hisfa'!L$3:L$200, SMALL(IF(ISERROR('Temp Hisfa'!L$3:L$200), "", ROW('Temp Hisfa'!L$3:L$200)-MIN(ROW('Temp Hisfa'!L$3:L$200))+1), ROW(147:346))),"")</f>
        <v/>
      </c>
      <c r="M149" s="22" t="str">
        <f t="array" ref="M149">IFERROR(INDEX('Temp Hisfa'!M$3:M$200, SMALL(IF(ISERROR('Temp Hisfa'!M$3:M$200), "", ROW('Temp Hisfa'!M$3:M$200)-MIN(ROW('Temp Hisfa'!M$3:M$200))+1), ROW(147:346))),"")</f>
        <v/>
      </c>
      <c r="N149" s="22" t="str">
        <f t="array" ref="N149">IFERROR(INDEX('Temp Hisfa'!N$3:N$200, SMALL(IF(ISERROR('Temp Hisfa'!N$3:N$200), "", ROW('Temp Hisfa'!N$3:N$200)-MIN(ROW('Temp Hisfa'!N$3:N$200))+1), ROW(147:346))),"")</f>
        <v/>
      </c>
      <c r="O149" s="22" t="str">
        <f t="array" ref="O149">IFERROR(INDEX('Temp Hisfa'!O$3:O$200, SMALL(IF(ISERROR('Temp Hisfa'!O$3:O$200), "", ROW('Temp Hisfa'!O$3:O$200)-MIN(ROW('Temp Hisfa'!O$3:O$200))+1), ROW(147:346))),"")</f>
        <v/>
      </c>
      <c r="P149" s="22" t="str">
        <f t="array" ref="P149">IFERROR(INDEX('Temp Hisfa'!P$3:P$200, SMALL(IF(ISERROR('Temp Hisfa'!P$3:P$200), "", ROW('Temp Hisfa'!P$3:P$200)-MIN(ROW('Temp Hisfa'!P$3:P$200))+1), ROW(147:346))),"")</f>
        <v/>
      </c>
      <c r="Q149" s="22" t="str">
        <f t="array" ref="Q149">IFERROR(INDEX('Temp Hisfa'!Q$3:Q$200, SMALL(IF(ISERROR('Temp Hisfa'!Q$3:Q$200), "", ROW('Temp Hisfa'!Q$3:Q$200)-MIN(ROW('Temp Hisfa'!Q$3:Q$200))+1), ROW(147:346))),"")</f>
        <v/>
      </c>
      <c r="R149" s="22" t="str">
        <f t="array" ref="R149">IFERROR(INDEX('Temp Hisfa'!R$3:R$200, SMALL(IF(ISERROR('Temp Hisfa'!R$3:R$200), "", ROW('Temp Hisfa'!R$3:R$200)-MIN(ROW('Temp Hisfa'!R$3:R$200))+1), ROW(147:346))),"")</f>
        <v/>
      </c>
      <c r="S149" s="22" t="str">
        <f t="array" ref="S149">IFERROR(INDEX('Temp Hisfa'!S$3:S$200, SMALL(IF(ISERROR('Temp Hisfa'!S$3:S$200), "", ROW('Temp Hisfa'!S$3:S$200)-MIN(ROW('Temp Hisfa'!S$3:S$200))+1), ROW(147:346))),"")</f>
        <v/>
      </c>
      <c r="T149" s="22" t="str">
        <f t="array" ref="T149">IFERROR(INDEX('Temp Hisfa'!T$3:T$200, SMALL(IF(ISERROR('Temp Hisfa'!T$3:T$200), "", ROW('Temp Hisfa'!T$3:T$200)-MIN(ROW('Temp Hisfa'!T$3:T$200))+1), ROW(147:346))),"")</f>
        <v/>
      </c>
      <c r="U149" s="22" t="str">
        <f t="array" ref="U149">IFERROR(INDEX('Temp Hisfa'!U$3:U$200, SMALL(IF(ISERROR('Temp Hisfa'!U$3:U$200), "", ROW('Temp Hisfa'!U$3:U$200)-MIN(ROW('Temp Hisfa'!U$3:U$200))+1), ROW(147:346))),"")</f>
        <v/>
      </c>
      <c r="V149" s="22" t="str">
        <f t="array" ref="V149">IFERROR(INDEX('Temp Hisfa'!V$3:V$200, SMALL(IF(ISERROR('Temp Hisfa'!V$3:V$200), "", ROW('Temp Hisfa'!V$3:V$200)-MIN(ROW('Temp Hisfa'!V$3:V$200))+1), ROW(147:346))),"")</f>
        <v/>
      </c>
      <c r="W149" s="22" t="str">
        <f t="array" ref="W149">IFERROR(INDEX('Temp Hisfa'!W$3:W$200, SMALL(IF(ISERROR('Temp Hisfa'!W$3:W$200), "", ROW('Temp Hisfa'!W$3:W$200)-MIN(ROW('Temp Hisfa'!W$3:W$200))+1), ROW(147:346))),"")</f>
        <v/>
      </c>
      <c r="X149" s="22" t="str">
        <f t="array" ref="X149">IFERROR(INDEX('Temp Hisfa'!X$3:X$200, SMALL(IF(ISERROR('Temp Hisfa'!X$3:X$200), "", ROW('Temp Hisfa'!X$3:X$200)-MIN(ROW('Temp Hisfa'!X$3:X$200))+1), ROW(147:346))),"")</f>
        <v/>
      </c>
      <c r="Y149" s="22" t="str">
        <f t="array" ref="Y149">IFERROR(INDEX('Temp Hisfa'!Y$3:Y$200, SMALL(IF(ISERROR('Temp Hisfa'!Y$3:Y$200), "", ROW('Temp Hisfa'!Y$3:Y$200)-MIN(ROW('Temp Hisfa'!Y$3:Y$200))+1), ROW(147:346))),"")</f>
        <v/>
      </c>
      <c r="Z149" s="22" t="str">
        <f t="array" ref="Z149">IFERROR(INDEX('Temp Hisfa'!Z$3:Z$200, SMALL(IF(ISERROR('Temp Hisfa'!Z$3:Z$200), "", ROW('Temp Hisfa'!Z$3:Z$200)-MIN(ROW('Temp Hisfa'!Z$3:Z$200))+1), ROW(147:346))),"")</f>
        <v/>
      </c>
      <c r="AA149" s="22" t="str">
        <f t="array" ref="AA149">IFERROR(INDEX('Temp Hisfa'!AA$3:AA$200, SMALL(IF(ISERROR('Temp Hisfa'!AA$3:AA$200), "", ROW('Temp Hisfa'!AA$3:AA$200)-MIN(ROW('Temp Hisfa'!AA$3:AA$200))+1), ROW(147:346))),"")</f>
        <v/>
      </c>
      <c r="AB149" s="22" t="str">
        <f t="array" ref="AB149">IFERROR(INDEX('Temp Hisfa'!AB$3:AB$200, SMALL(IF(ISERROR('Temp Hisfa'!AB$3:AB$200), "", ROW('Temp Hisfa'!AB$3:AB$200)-MIN(ROW('Temp Hisfa'!AB$3:AB$200))+1), ROW(147:346))),"")</f>
        <v/>
      </c>
    </row>
    <row r="150" spans="1:28" x14ac:dyDescent="0.3">
      <c r="A150" s="4" t="str">
        <f t="array" ref="A150">IFERROR(INDEX('Temp Hisfa'!A$3:A$200, SMALL(IF(ISERROR('Temp Hisfa'!A$3:A$200), "", ROW('Temp Hisfa'!A$3:A$200)-MIN(ROW('Temp Hisfa'!A$3:A$200))+1), ROW(148:346))),"")</f>
        <v/>
      </c>
      <c r="B150" s="4" t="str">
        <f t="array" ref="B150">IFERROR(INDEX('Temp Hisfa'!B$3:B$200, SMALL(IF(ISERROR('Temp Hisfa'!B$3:B$200), "", ROW('Temp Hisfa'!B$3:B$200)-MIN(ROW('Temp Hisfa'!B$3:B$200))+1), ROW(148:346))),"")</f>
        <v/>
      </c>
      <c r="C150" s="3" t="str">
        <f t="array" ref="C150">IFERROR(INDEX('Temp Hisfa'!C$3:C$200, SMALL(IF(ISERROR('Temp Hisfa'!C$3:C$200), "", ROW('Temp Hisfa'!C$3:C$200)-MIN(ROW('Temp Hisfa'!C$3:C$200))+1), ROW(148:346))),"")</f>
        <v/>
      </c>
      <c r="D150" s="3" t="str">
        <f t="array" ref="D150">IFERROR(INDEX('Temp Hisfa'!D$3:D$200, SMALL(IF(ISERROR('Temp Hisfa'!D$3:D$200), "", ROW('Temp Hisfa'!D$3:D$200)-MIN(ROW('Temp Hisfa'!D$3:D$200))+1), ROW(148:346))),"")</f>
        <v/>
      </c>
      <c r="E150" s="29" t="str">
        <f t="array" ref="E150">IFERROR(INDEX('Temp Hisfa'!E$3:E$200, SMALL(IF(ISERROR('Temp Hisfa'!E$3:E$200), "", ROW('Temp Hisfa'!E$3:E$200)-MIN(ROW('Temp Hisfa'!E$3:E$200))+1), ROW(148:347))),"")</f>
        <v/>
      </c>
      <c r="F150" s="22" t="str">
        <f t="array" ref="F150">IFERROR(INDEX('Temp Hisfa'!F$3:F$200, SMALL(IF(ISERROR('Temp Hisfa'!F$3:F$200), "", ROW('Temp Hisfa'!F$3:F$200)-MIN(ROW('Temp Hisfa'!F$3:F$200))+1), ROW(148:347))),"")</f>
        <v/>
      </c>
      <c r="G150" s="30" t="str">
        <f t="array" ref="G150">IFERROR(INDEX('Temp Hisfa'!G$3:G$200, SMALL(IF(ISERROR('Temp Hisfa'!G$3:G$200), "", ROW('Temp Hisfa'!G$3:G$200)-MIN(ROW('Temp Hisfa'!G$3:G$200))+1), ROW(148:347))),"")</f>
        <v/>
      </c>
      <c r="H150" s="22" t="str">
        <f t="array" ref="H150">IFERROR(INDEX('Temp Hisfa'!H$3:H$200, SMALL(IF(ISERROR('Temp Hisfa'!H$3:H$200), "", ROW('Temp Hisfa'!H$3:H$200)-MIN(ROW('Temp Hisfa'!H$3:H$200))+1), ROW(148:347))),"")</f>
        <v/>
      </c>
      <c r="I150" s="22" t="str">
        <f t="array" ref="I150">IFERROR(INDEX('Temp Hisfa'!I$3:I$200, SMALL(IF(ISERROR('Temp Hisfa'!I$3:I$200), "", ROW('Temp Hisfa'!I$3:I$200)-MIN(ROW('Temp Hisfa'!I$3:I$200))+1), ROW(148:347))),"")</f>
        <v/>
      </c>
      <c r="J150" s="22" t="str">
        <f t="array" ref="J150">IFERROR(INDEX('Temp Hisfa'!J$3:J$200, SMALL(IF(ISERROR('Temp Hisfa'!J$3:J$200), "", ROW('Temp Hisfa'!J$3:J$200)-MIN(ROW('Temp Hisfa'!J$3:J$200))+1), ROW(148:347))),"")</f>
        <v/>
      </c>
      <c r="K150" s="30" t="str">
        <f t="array" ref="K150">IFERROR(INDEX('Temp Hisfa'!K$3:K$200, SMALL(IF(ISERROR('Temp Hisfa'!K$3:K$200), "", ROW('Temp Hisfa'!K$3:K$200)-MIN(ROW('Temp Hisfa'!K$3:K$200))+1), ROW(148:347))),"")</f>
        <v/>
      </c>
      <c r="L150" s="22" t="str">
        <f t="array" ref="L150">IFERROR(INDEX('Temp Hisfa'!L$3:L$200, SMALL(IF(ISERROR('Temp Hisfa'!L$3:L$200), "", ROW('Temp Hisfa'!L$3:L$200)-MIN(ROW('Temp Hisfa'!L$3:L$200))+1), ROW(148:347))),"")</f>
        <v/>
      </c>
      <c r="M150" s="22" t="str">
        <f t="array" ref="M150">IFERROR(INDEX('Temp Hisfa'!M$3:M$200, SMALL(IF(ISERROR('Temp Hisfa'!M$3:M$200), "", ROW('Temp Hisfa'!M$3:M$200)-MIN(ROW('Temp Hisfa'!M$3:M$200))+1), ROW(148:347))),"")</f>
        <v/>
      </c>
      <c r="N150" s="22" t="str">
        <f t="array" ref="N150">IFERROR(INDEX('Temp Hisfa'!N$3:N$200, SMALL(IF(ISERROR('Temp Hisfa'!N$3:N$200), "", ROW('Temp Hisfa'!N$3:N$200)-MIN(ROW('Temp Hisfa'!N$3:N$200))+1), ROW(148:347))),"")</f>
        <v/>
      </c>
      <c r="O150" s="22" t="str">
        <f t="array" ref="O150">IFERROR(INDEX('Temp Hisfa'!O$3:O$200, SMALL(IF(ISERROR('Temp Hisfa'!O$3:O$200), "", ROW('Temp Hisfa'!O$3:O$200)-MIN(ROW('Temp Hisfa'!O$3:O$200))+1), ROW(148:347))),"")</f>
        <v/>
      </c>
      <c r="P150" s="22" t="str">
        <f t="array" ref="P150">IFERROR(INDEX('Temp Hisfa'!P$3:P$200, SMALL(IF(ISERROR('Temp Hisfa'!P$3:P$200), "", ROW('Temp Hisfa'!P$3:P$200)-MIN(ROW('Temp Hisfa'!P$3:P$200))+1), ROW(148:347))),"")</f>
        <v/>
      </c>
      <c r="Q150" s="22" t="str">
        <f t="array" ref="Q150">IFERROR(INDEX('Temp Hisfa'!Q$3:Q$200, SMALL(IF(ISERROR('Temp Hisfa'!Q$3:Q$200), "", ROW('Temp Hisfa'!Q$3:Q$200)-MIN(ROW('Temp Hisfa'!Q$3:Q$200))+1), ROW(148:347))),"")</f>
        <v/>
      </c>
      <c r="R150" s="22" t="str">
        <f t="array" ref="R150">IFERROR(INDEX('Temp Hisfa'!R$3:R$200, SMALL(IF(ISERROR('Temp Hisfa'!R$3:R$200), "", ROW('Temp Hisfa'!R$3:R$200)-MIN(ROW('Temp Hisfa'!R$3:R$200))+1), ROW(148:347))),"")</f>
        <v/>
      </c>
      <c r="S150" s="22" t="str">
        <f t="array" ref="S150">IFERROR(INDEX('Temp Hisfa'!S$3:S$200, SMALL(IF(ISERROR('Temp Hisfa'!S$3:S$200), "", ROW('Temp Hisfa'!S$3:S$200)-MIN(ROW('Temp Hisfa'!S$3:S$200))+1), ROW(148:347))),"")</f>
        <v/>
      </c>
      <c r="T150" s="22" t="str">
        <f t="array" ref="T150">IFERROR(INDEX('Temp Hisfa'!T$3:T$200, SMALL(IF(ISERROR('Temp Hisfa'!T$3:T$200), "", ROW('Temp Hisfa'!T$3:T$200)-MIN(ROW('Temp Hisfa'!T$3:T$200))+1), ROW(148:347))),"")</f>
        <v/>
      </c>
      <c r="U150" s="22" t="str">
        <f t="array" ref="U150">IFERROR(INDEX('Temp Hisfa'!U$3:U$200, SMALL(IF(ISERROR('Temp Hisfa'!U$3:U$200), "", ROW('Temp Hisfa'!U$3:U$200)-MIN(ROW('Temp Hisfa'!U$3:U$200))+1), ROW(148:347))),"")</f>
        <v/>
      </c>
      <c r="V150" s="22" t="str">
        <f t="array" ref="V150">IFERROR(INDEX('Temp Hisfa'!V$3:V$200, SMALL(IF(ISERROR('Temp Hisfa'!V$3:V$200), "", ROW('Temp Hisfa'!V$3:V$200)-MIN(ROW('Temp Hisfa'!V$3:V$200))+1), ROW(148:347))),"")</f>
        <v/>
      </c>
      <c r="W150" s="22" t="str">
        <f t="array" ref="W150">IFERROR(INDEX('Temp Hisfa'!W$3:W$200, SMALL(IF(ISERROR('Temp Hisfa'!W$3:W$200), "", ROW('Temp Hisfa'!W$3:W$200)-MIN(ROW('Temp Hisfa'!W$3:W$200))+1), ROW(148:347))),"")</f>
        <v/>
      </c>
      <c r="X150" s="22" t="str">
        <f t="array" ref="X150">IFERROR(INDEX('Temp Hisfa'!X$3:X$200, SMALL(IF(ISERROR('Temp Hisfa'!X$3:X$200), "", ROW('Temp Hisfa'!X$3:X$200)-MIN(ROW('Temp Hisfa'!X$3:X$200))+1), ROW(148:347))),"")</f>
        <v/>
      </c>
      <c r="Y150" s="22" t="str">
        <f t="array" ref="Y150">IFERROR(INDEX('Temp Hisfa'!Y$3:Y$200, SMALL(IF(ISERROR('Temp Hisfa'!Y$3:Y$200), "", ROW('Temp Hisfa'!Y$3:Y$200)-MIN(ROW('Temp Hisfa'!Y$3:Y$200))+1), ROW(148:347))),"")</f>
        <v/>
      </c>
      <c r="Z150" s="22" t="str">
        <f t="array" ref="Z150">IFERROR(INDEX('Temp Hisfa'!Z$3:Z$200, SMALL(IF(ISERROR('Temp Hisfa'!Z$3:Z$200), "", ROW('Temp Hisfa'!Z$3:Z$200)-MIN(ROW('Temp Hisfa'!Z$3:Z$200))+1), ROW(148:347))),"")</f>
        <v/>
      </c>
      <c r="AA150" s="22" t="str">
        <f t="array" ref="AA150">IFERROR(INDEX('Temp Hisfa'!AA$3:AA$200, SMALL(IF(ISERROR('Temp Hisfa'!AA$3:AA$200), "", ROW('Temp Hisfa'!AA$3:AA$200)-MIN(ROW('Temp Hisfa'!AA$3:AA$200))+1), ROW(148:347))),"")</f>
        <v/>
      </c>
      <c r="AB150" s="22" t="str">
        <f t="array" ref="AB150">IFERROR(INDEX('Temp Hisfa'!AB$3:AB$200, SMALL(IF(ISERROR('Temp Hisfa'!AB$3:AB$200), "", ROW('Temp Hisfa'!AB$3:AB$200)-MIN(ROW('Temp Hisfa'!AB$3:AB$200))+1), ROW(148:347))),"")</f>
        <v/>
      </c>
    </row>
    <row r="151" spans="1:28" x14ac:dyDescent="0.3">
      <c r="A151" s="4" t="str">
        <f t="array" ref="A151">IFERROR(INDEX('Temp Hisfa'!A$3:A$200, SMALL(IF(ISERROR('Temp Hisfa'!A$3:A$200), "", ROW('Temp Hisfa'!A$3:A$200)-MIN(ROW('Temp Hisfa'!A$3:A$200))+1), ROW(149:347))),"")</f>
        <v/>
      </c>
      <c r="B151" s="4" t="str">
        <f t="array" ref="B151">IFERROR(INDEX('Temp Hisfa'!B$3:B$200, SMALL(IF(ISERROR('Temp Hisfa'!B$3:B$200), "", ROW('Temp Hisfa'!B$3:B$200)-MIN(ROW('Temp Hisfa'!B$3:B$200))+1), ROW(149:347))),"")</f>
        <v/>
      </c>
      <c r="C151" s="3" t="str">
        <f t="array" ref="C151">IFERROR(INDEX('Temp Hisfa'!C$3:C$200, SMALL(IF(ISERROR('Temp Hisfa'!C$3:C$200), "", ROW('Temp Hisfa'!C$3:C$200)-MIN(ROW('Temp Hisfa'!C$3:C$200))+1), ROW(149:347))),"")</f>
        <v/>
      </c>
      <c r="D151" s="3" t="str">
        <f t="array" ref="D151">IFERROR(INDEX('Temp Hisfa'!D$3:D$200, SMALL(IF(ISERROR('Temp Hisfa'!D$3:D$200), "", ROW('Temp Hisfa'!D$3:D$200)-MIN(ROW('Temp Hisfa'!D$3:D$200))+1), ROW(149:347))),"")</f>
        <v/>
      </c>
      <c r="E151" s="29" t="str">
        <f t="array" ref="E151">IFERROR(INDEX('Temp Hisfa'!E$3:E$200, SMALL(IF(ISERROR('Temp Hisfa'!E$3:E$200), "", ROW('Temp Hisfa'!E$3:E$200)-MIN(ROW('Temp Hisfa'!E$3:E$200))+1), ROW(149:348))),"")</f>
        <v/>
      </c>
      <c r="F151" s="22" t="str">
        <f t="array" ref="F151">IFERROR(INDEX('Temp Hisfa'!F$3:F$200, SMALL(IF(ISERROR('Temp Hisfa'!F$3:F$200), "", ROW('Temp Hisfa'!F$3:F$200)-MIN(ROW('Temp Hisfa'!F$3:F$200))+1), ROW(149:348))),"")</f>
        <v/>
      </c>
      <c r="G151" s="30" t="str">
        <f t="array" ref="G151">IFERROR(INDEX('Temp Hisfa'!G$3:G$200, SMALL(IF(ISERROR('Temp Hisfa'!G$3:G$200), "", ROW('Temp Hisfa'!G$3:G$200)-MIN(ROW('Temp Hisfa'!G$3:G$200))+1), ROW(149:348))),"")</f>
        <v/>
      </c>
      <c r="H151" s="22" t="str">
        <f t="array" ref="H151">IFERROR(INDEX('Temp Hisfa'!H$3:H$200, SMALL(IF(ISERROR('Temp Hisfa'!H$3:H$200), "", ROW('Temp Hisfa'!H$3:H$200)-MIN(ROW('Temp Hisfa'!H$3:H$200))+1), ROW(149:348))),"")</f>
        <v/>
      </c>
      <c r="I151" s="22" t="str">
        <f t="array" ref="I151">IFERROR(INDEX('Temp Hisfa'!I$3:I$200, SMALL(IF(ISERROR('Temp Hisfa'!I$3:I$200), "", ROW('Temp Hisfa'!I$3:I$200)-MIN(ROW('Temp Hisfa'!I$3:I$200))+1), ROW(149:348))),"")</f>
        <v/>
      </c>
      <c r="J151" s="22" t="str">
        <f t="array" ref="J151">IFERROR(INDEX('Temp Hisfa'!J$3:J$200, SMALL(IF(ISERROR('Temp Hisfa'!J$3:J$200), "", ROW('Temp Hisfa'!J$3:J$200)-MIN(ROW('Temp Hisfa'!J$3:J$200))+1), ROW(149:348))),"")</f>
        <v/>
      </c>
      <c r="K151" s="30" t="str">
        <f t="array" ref="K151">IFERROR(INDEX('Temp Hisfa'!K$3:K$200, SMALL(IF(ISERROR('Temp Hisfa'!K$3:K$200), "", ROW('Temp Hisfa'!K$3:K$200)-MIN(ROW('Temp Hisfa'!K$3:K$200))+1), ROW(149:348))),"")</f>
        <v/>
      </c>
      <c r="L151" s="22" t="str">
        <f t="array" ref="L151">IFERROR(INDEX('Temp Hisfa'!L$3:L$200, SMALL(IF(ISERROR('Temp Hisfa'!L$3:L$200), "", ROW('Temp Hisfa'!L$3:L$200)-MIN(ROW('Temp Hisfa'!L$3:L$200))+1), ROW(149:348))),"")</f>
        <v/>
      </c>
      <c r="M151" s="22" t="str">
        <f t="array" ref="M151">IFERROR(INDEX('Temp Hisfa'!M$3:M$200, SMALL(IF(ISERROR('Temp Hisfa'!M$3:M$200), "", ROW('Temp Hisfa'!M$3:M$200)-MIN(ROW('Temp Hisfa'!M$3:M$200))+1), ROW(149:348))),"")</f>
        <v/>
      </c>
      <c r="N151" s="22" t="str">
        <f t="array" ref="N151">IFERROR(INDEX('Temp Hisfa'!N$3:N$200, SMALL(IF(ISERROR('Temp Hisfa'!N$3:N$200), "", ROW('Temp Hisfa'!N$3:N$200)-MIN(ROW('Temp Hisfa'!N$3:N$200))+1), ROW(149:348))),"")</f>
        <v/>
      </c>
      <c r="O151" s="22" t="str">
        <f t="array" ref="O151">IFERROR(INDEX('Temp Hisfa'!O$3:O$200, SMALL(IF(ISERROR('Temp Hisfa'!O$3:O$200), "", ROW('Temp Hisfa'!O$3:O$200)-MIN(ROW('Temp Hisfa'!O$3:O$200))+1), ROW(149:348))),"")</f>
        <v/>
      </c>
      <c r="P151" s="22" t="str">
        <f t="array" ref="P151">IFERROR(INDEX('Temp Hisfa'!P$3:P$200, SMALL(IF(ISERROR('Temp Hisfa'!P$3:P$200), "", ROW('Temp Hisfa'!P$3:P$200)-MIN(ROW('Temp Hisfa'!P$3:P$200))+1), ROW(149:348))),"")</f>
        <v/>
      </c>
      <c r="Q151" s="22" t="str">
        <f t="array" ref="Q151">IFERROR(INDEX('Temp Hisfa'!Q$3:Q$200, SMALL(IF(ISERROR('Temp Hisfa'!Q$3:Q$200), "", ROW('Temp Hisfa'!Q$3:Q$200)-MIN(ROW('Temp Hisfa'!Q$3:Q$200))+1), ROW(149:348))),"")</f>
        <v/>
      </c>
      <c r="R151" s="22" t="str">
        <f t="array" ref="R151">IFERROR(INDEX('Temp Hisfa'!R$3:R$200, SMALL(IF(ISERROR('Temp Hisfa'!R$3:R$200), "", ROW('Temp Hisfa'!R$3:R$200)-MIN(ROW('Temp Hisfa'!R$3:R$200))+1), ROW(149:348))),"")</f>
        <v/>
      </c>
      <c r="S151" s="22" t="str">
        <f t="array" ref="S151">IFERROR(INDEX('Temp Hisfa'!S$3:S$200, SMALL(IF(ISERROR('Temp Hisfa'!S$3:S$200), "", ROW('Temp Hisfa'!S$3:S$200)-MIN(ROW('Temp Hisfa'!S$3:S$200))+1), ROW(149:348))),"")</f>
        <v/>
      </c>
      <c r="T151" s="22" t="str">
        <f t="array" ref="T151">IFERROR(INDEX('Temp Hisfa'!T$3:T$200, SMALL(IF(ISERROR('Temp Hisfa'!T$3:T$200), "", ROW('Temp Hisfa'!T$3:T$200)-MIN(ROW('Temp Hisfa'!T$3:T$200))+1), ROW(149:348))),"")</f>
        <v/>
      </c>
      <c r="U151" s="22" t="str">
        <f t="array" ref="U151">IFERROR(INDEX('Temp Hisfa'!U$3:U$200, SMALL(IF(ISERROR('Temp Hisfa'!U$3:U$200), "", ROW('Temp Hisfa'!U$3:U$200)-MIN(ROW('Temp Hisfa'!U$3:U$200))+1), ROW(149:348))),"")</f>
        <v/>
      </c>
      <c r="V151" s="22" t="str">
        <f t="array" ref="V151">IFERROR(INDEX('Temp Hisfa'!V$3:V$200, SMALL(IF(ISERROR('Temp Hisfa'!V$3:V$200), "", ROW('Temp Hisfa'!V$3:V$200)-MIN(ROW('Temp Hisfa'!V$3:V$200))+1), ROW(149:348))),"")</f>
        <v/>
      </c>
      <c r="W151" s="22" t="str">
        <f t="array" ref="W151">IFERROR(INDEX('Temp Hisfa'!W$3:W$200, SMALL(IF(ISERROR('Temp Hisfa'!W$3:W$200), "", ROW('Temp Hisfa'!W$3:W$200)-MIN(ROW('Temp Hisfa'!W$3:W$200))+1), ROW(149:348))),"")</f>
        <v/>
      </c>
      <c r="X151" s="22" t="str">
        <f t="array" ref="X151">IFERROR(INDEX('Temp Hisfa'!X$3:X$200, SMALL(IF(ISERROR('Temp Hisfa'!X$3:X$200), "", ROW('Temp Hisfa'!X$3:X$200)-MIN(ROW('Temp Hisfa'!X$3:X$200))+1), ROW(149:348))),"")</f>
        <v/>
      </c>
      <c r="Y151" s="22" t="str">
        <f t="array" ref="Y151">IFERROR(INDEX('Temp Hisfa'!Y$3:Y$200, SMALL(IF(ISERROR('Temp Hisfa'!Y$3:Y$200), "", ROW('Temp Hisfa'!Y$3:Y$200)-MIN(ROW('Temp Hisfa'!Y$3:Y$200))+1), ROW(149:348))),"")</f>
        <v/>
      </c>
      <c r="Z151" s="22" t="str">
        <f t="array" ref="Z151">IFERROR(INDEX('Temp Hisfa'!Z$3:Z$200, SMALL(IF(ISERROR('Temp Hisfa'!Z$3:Z$200), "", ROW('Temp Hisfa'!Z$3:Z$200)-MIN(ROW('Temp Hisfa'!Z$3:Z$200))+1), ROW(149:348))),"")</f>
        <v/>
      </c>
      <c r="AA151" s="22" t="str">
        <f t="array" ref="AA151">IFERROR(INDEX('Temp Hisfa'!AA$3:AA$200, SMALL(IF(ISERROR('Temp Hisfa'!AA$3:AA$200), "", ROW('Temp Hisfa'!AA$3:AA$200)-MIN(ROW('Temp Hisfa'!AA$3:AA$200))+1), ROW(149:348))),"")</f>
        <v/>
      </c>
      <c r="AB151" s="22" t="str">
        <f t="array" ref="AB151">IFERROR(INDEX('Temp Hisfa'!AB$3:AB$200, SMALL(IF(ISERROR('Temp Hisfa'!AB$3:AB$200), "", ROW('Temp Hisfa'!AB$3:AB$200)-MIN(ROW('Temp Hisfa'!AB$3:AB$200))+1), ROW(149:348))),"")</f>
        <v/>
      </c>
    </row>
    <row r="152" spans="1:28" x14ac:dyDescent="0.3">
      <c r="A152" s="4" t="str">
        <f t="array" ref="A152">IFERROR(INDEX('Temp Hisfa'!A$3:A$200, SMALL(IF(ISERROR('Temp Hisfa'!A$3:A$200), "", ROW('Temp Hisfa'!A$3:A$200)-MIN(ROW('Temp Hisfa'!A$3:A$200))+1), ROW(150:348))),"")</f>
        <v/>
      </c>
      <c r="B152" s="4" t="str">
        <f t="array" ref="B152">IFERROR(INDEX('Temp Hisfa'!B$3:B$200, SMALL(IF(ISERROR('Temp Hisfa'!B$3:B$200), "", ROW('Temp Hisfa'!B$3:B$200)-MIN(ROW('Temp Hisfa'!B$3:B$200))+1), ROW(150:348))),"")</f>
        <v/>
      </c>
      <c r="C152" s="3" t="str">
        <f t="array" ref="C152">IFERROR(INDEX('Temp Hisfa'!C$3:C$200, SMALL(IF(ISERROR('Temp Hisfa'!C$3:C$200), "", ROW('Temp Hisfa'!C$3:C$200)-MIN(ROW('Temp Hisfa'!C$3:C$200))+1), ROW(150:348))),"")</f>
        <v/>
      </c>
      <c r="D152" s="3" t="str">
        <f t="array" ref="D152">IFERROR(INDEX('Temp Hisfa'!D$3:D$200, SMALL(IF(ISERROR('Temp Hisfa'!D$3:D$200), "", ROW('Temp Hisfa'!D$3:D$200)-MIN(ROW('Temp Hisfa'!D$3:D$200))+1), ROW(150:348))),"")</f>
        <v/>
      </c>
      <c r="E152" s="29" t="str">
        <f t="array" ref="E152">IFERROR(INDEX('Temp Hisfa'!E$3:E$200, SMALL(IF(ISERROR('Temp Hisfa'!E$3:E$200), "", ROW('Temp Hisfa'!E$3:E$200)-MIN(ROW('Temp Hisfa'!E$3:E$200))+1), ROW(150:349))),"")</f>
        <v/>
      </c>
      <c r="F152" s="22" t="str">
        <f t="array" ref="F152">IFERROR(INDEX('Temp Hisfa'!F$3:F$200, SMALL(IF(ISERROR('Temp Hisfa'!F$3:F$200), "", ROW('Temp Hisfa'!F$3:F$200)-MIN(ROW('Temp Hisfa'!F$3:F$200))+1), ROW(150:349))),"")</f>
        <v/>
      </c>
      <c r="G152" s="30" t="str">
        <f t="array" ref="G152">IFERROR(INDEX('Temp Hisfa'!G$3:G$200, SMALL(IF(ISERROR('Temp Hisfa'!G$3:G$200), "", ROW('Temp Hisfa'!G$3:G$200)-MIN(ROW('Temp Hisfa'!G$3:G$200))+1), ROW(150:349))),"")</f>
        <v/>
      </c>
      <c r="H152" s="22" t="str">
        <f t="array" ref="H152">IFERROR(INDEX('Temp Hisfa'!H$3:H$200, SMALL(IF(ISERROR('Temp Hisfa'!H$3:H$200), "", ROW('Temp Hisfa'!H$3:H$200)-MIN(ROW('Temp Hisfa'!H$3:H$200))+1), ROW(150:349))),"")</f>
        <v/>
      </c>
      <c r="I152" s="22" t="str">
        <f t="array" ref="I152">IFERROR(INDEX('Temp Hisfa'!I$3:I$200, SMALL(IF(ISERROR('Temp Hisfa'!I$3:I$200), "", ROW('Temp Hisfa'!I$3:I$200)-MIN(ROW('Temp Hisfa'!I$3:I$200))+1), ROW(150:349))),"")</f>
        <v/>
      </c>
      <c r="J152" s="22" t="str">
        <f t="array" ref="J152">IFERROR(INDEX('Temp Hisfa'!J$3:J$200, SMALL(IF(ISERROR('Temp Hisfa'!J$3:J$200), "", ROW('Temp Hisfa'!J$3:J$200)-MIN(ROW('Temp Hisfa'!J$3:J$200))+1), ROW(150:349))),"")</f>
        <v/>
      </c>
      <c r="K152" s="30" t="str">
        <f t="array" ref="K152">IFERROR(INDEX('Temp Hisfa'!K$3:K$200, SMALL(IF(ISERROR('Temp Hisfa'!K$3:K$200), "", ROW('Temp Hisfa'!K$3:K$200)-MIN(ROW('Temp Hisfa'!K$3:K$200))+1), ROW(150:349))),"")</f>
        <v/>
      </c>
      <c r="L152" s="22" t="str">
        <f t="array" ref="L152">IFERROR(INDEX('Temp Hisfa'!L$3:L$200, SMALL(IF(ISERROR('Temp Hisfa'!L$3:L$200), "", ROW('Temp Hisfa'!L$3:L$200)-MIN(ROW('Temp Hisfa'!L$3:L$200))+1), ROW(150:349))),"")</f>
        <v/>
      </c>
      <c r="M152" s="22" t="str">
        <f t="array" ref="M152">IFERROR(INDEX('Temp Hisfa'!M$3:M$200, SMALL(IF(ISERROR('Temp Hisfa'!M$3:M$200), "", ROW('Temp Hisfa'!M$3:M$200)-MIN(ROW('Temp Hisfa'!M$3:M$200))+1), ROW(150:349))),"")</f>
        <v/>
      </c>
      <c r="N152" s="22" t="str">
        <f t="array" ref="N152">IFERROR(INDEX('Temp Hisfa'!N$3:N$200, SMALL(IF(ISERROR('Temp Hisfa'!N$3:N$200), "", ROW('Temp Hisfa'!N$3:N$200)-MIN(ROW('Temp Hisfa'!N$3:N$200))+1), ROW(150:349))),"")</f>
        <v/>
      </c>
      <c r="O152" s="22" t="str">
        <f t="array" ref="O152">IFERROR(INDEX('Temp Hisfa'!O$3:O$200, SMALL(IF(ISERROR('Temp Hisfa'!O$3:O$200), "", ROW('Temp Hisfa'!O$3:O$200)-MIN(ROW('Temp Hisfa'!O$3:O$200))+1), ROW(150:349))),"")</f>
        <v/>
      </c>
      <c r="P152" s="22" t="str">
        <f t="array" ref="P152">IFERROR(INDEX('Temp Hisfa'!P$3:P$200, SMALL(IF(ISERROR('Temp Hisfa'!P$3:P$200), "", ROW('Temp Hisfa'!P$3:P$200)-MIN(ROW('Temp Hisfa'!P$3:P$200))+1), ROW(150:349))),"")</f>
        <v/>
      </c>
      <c r="Q152" s="22" t="str">
        <f t="array" ref="Q152">IFERROR(INDEX('Temp Hisfa'!Q$3:Q$200, SMALL(IF(ISERROR('Temp Hisfa'!Q$3:Q$200), "", ROW('Temp Hisfa'!Q$3:Q$200)-MIN(ROW('Temp Hisfa'!Q$3:Q$200))+1), ROW(150:349))),"")</f>
        <v/>
      </c>
      <c r="R152" s="22" t="str">
        <f t="array" ref="R152">IFERROR(INDEX('Temp Hisfa'!R$3:R$200, SMALL(IF(ISERROR('Temp Hisfa'!R$3:R$200), "", ROW('Temp Hisfa'!R$3:R$200)-MIN(ROW('Temp Hisfa'!R$3:R$200))+1), ROW(150:349))),"")</f>
        <v/>
      </c>
      <c r="S152" s="22" t="str">
        <f t="array" ref="S152">IFERROR(INDEX('Temp Hisfa'!S$3:S$200, SMALL(IF(ISERROR('Temp Hisfa'!S$3:S$200), "", ROW('Temp Hisfa'!S$3:S$200)-MIN(ROW('Temp Hisfa'!S$3:S$200))+1), ROW(150:349))),"")</f>
        <v/>
      </c>
      <c r="T152" s="22" t="str">
        <f t="array" ref="T152">IFERROR(INDEX('Temp Hisfa'!T$3:T$200, SMALL(IF(ISERROR('Temp Hisfa'!T$3:T$200), "", ROW('Temp Hisfa'!T$3:T$200)-MIN(ROW('Temp Hisfa'!T$3:T$200))+1), ROW(150:349))),"")</f>
        <v/>
      </c>
      <c r="U152" s="22" t="str">
        <f t="array" ref="U152">IFERROR(INDEX('Temp Hisfa'!U$3:U$200, SMALL(IF(ISERROR('Temp Hisfa'!U$3:U$200), "", ROW('Temp Hisfa'!U$3:U$200)-MIN(ROW('Temp Hisfa'!U$3:U$200))+1), ROW(150:349))),"")</f>
        <v/>
      </c>
      <c r="V152" s="22" t="str">
        <f t="array" ref="V152">IFERROR(INDEX('Temp Hisfa'!V$3:V$200, SMALL(IF(ISERROR('Temp Hisfa'!V$3:V$200), "", ROW('Temp Hisfa'!V$3:V$200)-MIN(ROW('Temp Hisfa'!V$3:V$200))+1), ROW(150:349))),"")</f>
        <v/>
      </c>
      <c r="W152" s="22" t="str">
        <f t="array" ref="W152">IFERROR(INDEX('Temp Hisfa'!W$3:W$200, SMALL(IF(ISERROR('Temp Hisfa'!W$3:W$200), "", ROW('Temp Hisfa'!W$3:W$200)-MIN(ROW('Temp Hisfa'!W$3:W$200))+1), ROW(150:349))),"")</f>
        <v/>
      </c>
      <c r="X152" s="22" t="str">
        <f t="array" ref="X152">IFERROR(INDEX('Temp Hisfa'!X$3:X$200, SMALL(IF(ISERROR('Temp Hisfa'!X$3:X$200), "", ROW('Temp Hisfa'!X$3:X$200)-MIN(ROW('Temp Hisfa'!X$3:X$200))+1), ROW(150:349))),"")</f>
        <v/>
      </c>
      <c r="Y152" s="22" t="str">
        <f t="array" ref="Y152">IFERROR(INDEX('Temp Hisfa'!Y$3:Y$200, SMALL(IF(ISERROR('Temp Hisfa'!Y$3:Y$200), "", ROW('Temp Hisfa'!Y$3:Y$200)-MIN(ROW('Temp Hisfa'!Y$3:Y$200))+1), ROW(150:349))),"")</f>
        <v/>
      </c>
      <c r="Z152" s="22" t="str">
        <f t="array" ref="Z152">IFERROR(INDEX('Temp Hisfa'!Z$3:Z$200, SMALL(IF(ISERROR('Temp Hisfa'!Z$3:Z$200), "", ROW('Temp Hisfa'!Z$3:Z$200)-MIN(ROW('Temp Hisfa'!Z$3:Z$200))+1), ROW(150:349))),"")</f>
        <v/>
      </c>
      <c r="AA152" s="22" t="str">
        <f t="array" ref="AA152">IFERROR(INDEX('Temp Hisfa'!AA$3:AA$200, SMALL(IF(ISERROR('Temp Hisfa'!AA$3:AA$200), "", ROW('Temp Hisfa'!AA$3:AA$200)-MIN(ROW('Temp Hisfa'!AA$3:AA$200))+1), ROW(150:349))),"")</f>
        <v/>
      </c>
      <c r="AB152" s="22" t="str">
        <f t="array" ref="AB152">IFERROR(INDEX('Temp Hisfa'!AB$3:AB$200, SMALL(IF(ISERROR('Temp Hisfa'!AB$3:AB$200), "", ROW('Temp Hisfa'!AB$3:AB$200)-MIN(ROW('Temp Hisfa'!AB$3:AB$200))+1), ROW(150:349))),"")</f>
        <v/>
      </c>
    </row>
    <row r="153" spans="1:28" x14ac:dyDescent="0.3">
      <c r="A153" s="4" t="str">
        <f t="array" ref="A153">IFERROR(INDEX('Temp Hisfa'!A$3:A$200, SMALL(IF(ISERROR('Temp Hisfa'!A$3:A$200), "", ROW('Temp Hisfa'!A$3:A$200)-MIN(ROW('Temp Hisfa'!A$3:A$200))+1), ROW(151:349))),"")</f>
        <v/>
      </c>
      <c r="B153" s="4" t="str">
        <f t="array" ref="B153">IFERROR(INDEX('Temp Hisfa'!B$3:B$200, SMALL(IF(ISERROR('Temp Hisfa'!B$3:B$200), "", ROW('Temp Hisfa'!B$3:B$200)-MIN(ROW('Temp Hisfa'!B$3:B$200))+1), ROW(151:349))),"")</f>
        <v/>
      </c>
      <c r="C153" s="3" t="str">
        <f t="array" ref="C153">IFERROR(INDEX('Temp Hisfa'!C$3:C$200, SMALL(IF(ISERROR('Temp Hisfa'!C$3:C$200), "", ROW('Temp Hisfa'!C$3:C$200)-MIN(ROW('Temp Hisfa'!C$3:C$200))+1), ROW(151:349))),"")</f>
        <v/>
      </c>
      <c r="D153" s="3" t="str">
        <f t="array" ref="D153">IFERROR(INDEX('Temp Hisfa'!D$3:D$200, SMALL(IF(ISERROR('Temp Hisfa'!D$3:D$200), "", ROW('Temp Hisfa'!D$3:D$200)-MIN(ROW('Temp Hisfa'!D$3:D$200))+1), ROW(151:349))),"")</f>
        <v/>
      </c>
      <c r="E153" s="29" t="str">
        <f t="array" ref="E153">IFERROR(INDEX('Temp Hisfa'!E$3:E$200, SMALL(IF(ISERROR('Temp Hisfa'!E$3:E$200), "", ROW('Temp Hisfa'!E$3:E$200)-MIN(ROW('Temp Hisfa'!E$3:E$200))+1), ROW(151:350))),"")</f>
        <v/>
      </c>
      <c r="F153" s="22" t="str">
        <f t="array" ref="F153">IFERROR(INDEX('Temp Hisfa'!F$3:F$200, SMALL(IF(ISERROR('Temp Hisfa'!F$3:F$200), "", ROW('Temp Hisfa'!F$3:F$200)-MIN(ROW('Temp Hisfa'!F$3:F$200))+1), ROW(151:350))),"")</f>
        <v/>
      </c>
      <c r="G153" s="30" t="str">
        <f t="array" ref="G153">IFERROR(INDEX('Temp Hisfa'!G$3:G$200, SMALL(IF(ISERROR('Temp Hisfa'!G$3:G$200), "", ROW('Temp Hisfa'!G$3:G$200)-MIN(ROW('Temp Hisfa'!G$3:G$200))+1), ROW(151:350))),"")</f>
        <v/>
      </c>
      <c r="H153" s="22" t="str">
        <f t="array" ref="H153">IFERROR(INDEX('Temp Hisfa'!H$3:H$200, SMALL(IF(ISERROR('Temp Hisfa'!H$3:H$200), "", ROW('Temp Hisfa'!H$3:H$200)-MIN(ROW('Temp Hisfa'!H$3:H$200))+1), ROW(151:350))),"")</f>
        <v/>
      </c>
      <c r="I153" s="22" t="str">
        <f t="array" ref="I153">IFERROR(INDEX('Temp Hisfa'!I$3:I$200, SMALL(IF(ISERROR('Temp Hisfa'!I$3:I$200), "", ROW('Temp Hisfa'!I$3:I$200)-MIN(ROW('Temp Hisfa'!I$3:I$200))+1), ROW(151:350))),"")</f>
        <v/>
      </c>
      <c r="J153" s="22" t="str">
        <f t="array" ref="J153">IFERROR(INDEX('Temp Hisfa'!J$3:J$200, SMALL(IF(ISERROR('Temp Hisfa'!J$3:J$200), "", ROW('Temp Hisfa'!J$3:J$200)-MIN(ROW('Temp Hisfa'!J$3:J$200))+1), ROW(151:350))),"")</f>
        <v/>
      </c>
      <c r="K153" s="30" t="str">
        <f t="array" ref="K153">IFERROR(INDEX('Temp Hisfa'!K$3:K$200, SMALL(IF(ISERROR('Temp Hisfa'!K$3:K$200), "", ROW('Temp Hisfa'!K$3:K$200)-MIN(ROW('Temp Hisfa'!K$3:K$200))+1), ROW(151:350))),"")</f>
        <v/>
      </c>
      <c r="L153" s="22" t="str">
        <f t="array" ref="L153">IFERROR(INDEX('Temp Hisfa'!L$3:L$200, SMALL(IF(ISERROR('Temp Hisfa'!L$3:L$200), "", ROW('Temp Hisfa'!L$3:L$200)-MIN(ROW('Temp Hisfa'!L$3:L$200))+1), ROW(151:350))),"")</f>
        <v/>
      </c>
      <c r="M153" s="22" t="str">
        <f t="array" ref="M153">IFERROR(INDEX('Temp Hisfa'!M$3:M$200, SMALL(IF(ISERROR('Temp Hisfa'!M$3:M$200), "", ROW('Temp Hisfa'!M$3:M$200)-MIN(ROW('Temp Hisfa'!M$3:M$200))+1), ROW(151:350))),"")</f>
        <v/>
      </c>
      <c r="N153" s="22" t="str">
        <f t="array" ref="N153">IFERROR(INDEX('Temp Hisfa'!N$3:N$200, SMALL(IF(ISERROR('Temp Hisfa'!N$3:N$200), "", ROW('Temp Hisfa'!N$3:N$200)-MIN(ROW('Temp Hisfa'!N$3:N$200))+1), ROW(151:350))),"")</f>
        <v/>
      </c>
      <c r="O153" s="22" t="str">
        <f t="array" ref="O153">IFERROR(INDEX('Temp Hisfa'!O$3:O$200, SMALL(IF(ISERROR('Temp Hisfa'!O$3:O$200), "", ROW('Temp Hisfa'!O$3:O$200)-MIN(ROW('Temp Hisfa'!O$3:O$200))+1), ROW(151:350))),"")</f>
        <v/>
      </c>
      <c r="P153" s="22" t="str">
        <f t="array" ref="P153">IFERROR(INDEX('Temp Hisfa'!P$3:P$200, SMALL(IF(ISERROR('Temp Hisfa'!P$3:P$200), "", ROW('Temp Hisfa'!P$3:P$200)-MIN(ROW('Temp Hisfa'!P$3:P$200))+1), ROW(151:350))),"")</f>
        <v/>
      </c>
      <c r="Q153" s="22" t="str">
        <f t="array" ref="Q153">IFERROR(INDEX('Temp Hisfa'!Q$3:Q$200, SMALL(IF(ISERROR('Temp Hisfa'!Q$3:Q$200), "", ROW('Temp Hisfa'!Q$3:Q$200)-MIN(ROW('Temp Hisfa'!Q$3:Q$200))+1), ROW(151:350))),"")</f>
        <v/>
      </c>
      <c r="R153" s="22" t="str">
        <f t="array" ref="R153">IFERROR(INDEX('Temp Hisfa'!R$3:R$200, SMALL(IF(ISERROR('Temp Hisfa'!R$3:R$200), "", ROW('Temp Hisfa'!R$3:R$200)-MIN(ROW('Temp Hisfa'!R$3:R$200))+1), ROW(151:350))),"")</f>
        <v/>
      </c>
      <c r="S153" s="22" t="str">
        <f t="array" ref="S153">IFERROR(INDEX('Temp Hisfa'!S$3:S$200, SMALL(IF(ISERROR('Temp Hisfa'!S$3:S$200), "", ROW('Temp Hisfa'!S$3:S$200)-MIN(ROW('Temp Hisfa'!S$3:S$200))+1), ROW(151:350))),"")</f>
        <v/>
      </c>
      <c r="T153" s="22" t="str">
        <f t="array" ref="T153">IFERROR(INDEX('Temp Hisfa'!T$3:T$200, SMALL(IF(ISERROR('Temp Hisfa'!T$3:T$200), "", ROW('Temp Hisfa'!T$3:T$200)-MIN(ROW('Temp Hisfa'!T$3:T$200))+1), ROW(151:350))),"")</f>
        <v/>
      </c>
      <c r="U153" s="22" t="str">
        <f t="array" ref="U153">IFERROR(INDEX('Temp Hisfa'!U$3:U$200, SMALL(IF(ISERROR('Temp Hisfa'!U$3:U$200), "", ROW('Temp Hisfa'!U$3:U$200)-MIN(ROW('Temp Hisfa'!U$3:U$200))+1), ROW(151:350))),"")</f>
        <v/>
      </c>
      <c r="V153" s="22" t="str">
        <f t="array" ref="V153">IFERROR(INDEX('Temp Hisfa'!V$3:V$200, SMALL(IF(ISERROR('Temp Hisfa'!V$3:V$200), "", ROW('Temp Hisfa'!V$3:V$200)-MIN(ROW('Temp Hisfa'!V$3:V$200))+1), ROW(151:350))),"")</f>
        <v/>
      </c>
      <c r="W153" s="22" t="str">
        <f t="array" ref="W153">IFERROR(INDEX('Temp Hisfa'!W$3:W$200, SMALL(IF(ISERROR('Temp Hisfa'!W$3:W$200), "", ROW('Temp Hisfa'!W$3:W$200)-MIN(ROW('Temp Hisfa'!W$3:W$200))+1), ROW(151:350))),"")</f>
        <v/>
      </c>
      <c r="X153" s="22" t="str">
        <f t="array" ref="X153">IFERROR(INDEX('Temp Hisfa'!X$3:X$200, SMALL(IF(ISERROR('Temp Hisfa'!X$3:X$200), "", ROW('Temp Hisfa'!X$3:X$200)-MIN(ROW('Temp Hisfa'!X$3:X$200))+1), ROW(151:350))),"")</f>
        <v/>
      </c>
      <c r="Y153" s="22" t="str">
        <f t="array" ref="Y153">IFERROR(INDEX('Temp Hisfa'!Y$3:Y$200, SMALL(IF(ISERROR('Temp Hisfa'!Y$3:Y$200), "", ROW('Temp Hisfa'!Y$3:Y$200)-MIN(ROW('Temp Hisfa'!Y$3:Y$200))+1), ROW(151:350))),"")</f>
        <v/>
      </c>
      <c r="Z153" s="22" t="str">
        <f t="array" ref="Z153">IFERROR(INDEX('Temp Hisfa'!Z$3:Z$200, SMALL(IF(ISERROR('Temp Hisfa'!Z$3:Z$200), "", ROW('Temp Hisfa'!Z$3:Z$200)-MIN(ROW('Temp Hisfa'!Z$3:Z$200))+1), ROW(151:350))),"")</f>
        <v/>
      </c>
      <c r="AA153" s="22" t="str">
        <f t="array" ref="AA153">IFERROR(INDEX('Temp Hisfa'!AA$3:AA$200, SMALL(IF(ISERROR('Temp Hisfa'!AA$3:AA$200), "", ROW('Temp Hisfa'!AA$3:AA$200)-MIN(ROW('Temp Hisfa'!AA$3:AA$200))+1), ROW(151:350))),"")</f>
        <v/>
      </c>
      <c r="AB153" s="22" t="str">
        <f t="array" ref="AB153">IFERROR(INDEX('Temp Hisfa'!AB$3:AB$200, SMALL(IF(ISERROR('Temp Hisfa'!AB$3:AB$200), "", ROW('Temp Hisfa'!AB$3:AB$200)-MIN(ROW('Temp Hisfa'!AB$3:AB$200))+1), ROW(151:350))),"")</f>
        <v/>
      </c>
    </row>
    <row r="154" spans="1:28" x14ac:dyDescent="0.3">
      <c r="A154" s="4" t="str">
        <f t="array" ref="A154">IFERROR(INDEX('Temp Hisfa'!A$3:A$200, SMALL(IF(ISERROR('Temp Hisfa'!A$3:A$200), "", ROW('Temp Hisfa'!A$3:A$200)-MIN(ROW('Temp Hisfa'!A$3:A$200))+1), ROW(152:350))),"")</f>
        <v/>
      </c>
      <c r="B154" s="4" t="str">
        <f t="array" ref="B154">IFERROR(INDEX('Temp Hisfa'!B$3:B$200, SMALL(IF(ISERROR('Temp Hisfa'!B$3:B$200), "", ROW('Temp Hisfa'!B$3:B$200)-MIN(ROW('Temp Hisfa'!B$3:B$200))+1), ROW(152:350))),"")</f>
        <v/>
      </c>
      <c r="C154" s="3" t="str">
        <f t="array" ref="C154">IFERROR(INDEX('Temp Hisfa'!C$3:C$200, SMALL(IF(ISERROR('Temp Hisfa'!C$3:C$200), "", ROW('Temp Hisfa'!C$3:C$200)-MIN(ROW('Temp Hisfa'!C$3:C$200))+1), ROW(152:350))),"")</f>
        <v/>
      </c>
      <c r="D154" s="3" t="str">
        <f t="array" ref="D154">IFERROR(INDEX('Temp Hisfa'!D$3:D$200, SMALL(IF(ISERROR('Temp Hisfa'!D$3:D$200), "", ROW('Temp Hisfa'!D$3:D$200)-MIN(ROW('Temp Hisfa'!D$3:D$200))+1), ROW(152:350))),"")</f>
        <v/>
      </c>
      <c r="E154" s="29" t="str">
        <f t="array" ref="E154">IFERROR(INDEX('Temp Hisfa'!E$3:E$200, SMALL(IF(ISERROR('Temp Hisfa'!E$3:E$200), "", ROW('Temp Hisfa'!E$3:E$200)-MIN(ROW('Temp Hisfa'!E$3:E$200))+1), ROW(152:351))),"")</f>
        <v/>
      </c>
      <c r="F154" s="22" t="str">
        <f t="array" ref="F154">IFERROR(INDEX('Temp Hisfa'!F$3:F$200, SMALL(IF(ISERROR('Temp Hisfa'!F$3:F$200), "", ROW('Temp Hisfa'!F$3:F$200)-MIN(ROW('Temp Hisfa'!F$3:F$200))+1), ROW(152:351))),"")</f>
        <v/>
      </c>
      <c r="G154" s="30" t="str">
        <f t="array" ref="G154">IFERROR(INDEX('Temp Hisfa'!G$3:G$200, SMALL(IF(ISERROR('Temp Hisfa'!G$3:G$200), "", ROW('Temp Hisfa'!G$3:G$200)-MIN(ROW('Temp Hisfa'!G$3:G$200))+1), ROW(152:351))),"")</f>
        <v/>
      </c>
      <c r="H154" s="22" t="str">
        <f t="array" ref="H154">IFERROR(INDEX('Temp Hisfa'!H$3:H$200, SMALL(IF(ISERROR('Temp Hisfa'!H$3:H$200), "", ROW('Temp Hisfa'!H$3:H$200)-MIN(ROW('Temp Hisfa'!H$3:H$200))+1), ROW(152:351))),"")</f>
        <v/>
      </c>
      <c r="I154" s="22" t="str">
        <f t="array" ref="I154">IFERROR(INDEX('Temp Hisfa'!I$3:I$200, SMALL(IF(ISERROR('Temp Hisfa'!I$3:I$200), "", ROW('Temp Hisfa'!I$3:I$200)-MIN(ROW('Temp Hisfa'!I$3:I$200))+1), ROW(152:351))),"")</f>
        <v/>
      </c>
      <c r="J154" s="22" t="str">
        <f t="array" ref="J154">IFERROR(INDEX('Temp Hisfa'!J$3:J$200, SMALL(IF(ISERROR('Temp Hisfa'!J$3:J$200), "", ROW('Temp Hisfa'!J$3:J$200)-MIN(ROW('Temp Hisfa'!J$3:J$200))+1), ROW(152:351))),"")</f>
        <v/>
      </c>
      <c r="K154" s="30" t="str">
        <f t="array" ref="K154">IFERROR(INDEX('Temp Hisfa'!K$3:K$200, SMALL(IF(ISERROR('Temp Hisfa'!K$3:K$200), "", ROW('Temp Hisfa'!K$3:K$200)-MIN(ROW('Temp Hisfa'!K$3:K$200))+1), ROW(152:351))),"")</f>
        <v/>
      </c>
      <c r="L154" s="22" t="str">
        <f t="array" ref="L154">IFERROR(INDEX('Temp Hisfa'!L$3:L$200, SMALL(IF(ISERROR('Temp Hisfa'!L$3:L$200), "", ROW('Temp Hisfa'!L$3:L$200)-MIN(ROW('Temp Hisfa'!L$3:L$200))+1), ROW(152:351))),"")</f>
        <v/>
      </c>
      <c r="M154" s="22" t="str">
        <f t="array" ref="M154">IFERROR(INDEX('Temp Hisfa'!M$3:M$200, SMALL(IF(ISERROR('Temp Hisfa'!M$3:M$200), "", ROW('Temp Hisfa'!M$3:M$200)-MIN(ROW('Temp Hisfa'!M$3:M$200))+1), ROW(152:351))),"")</f>
        <v/>
      </c>
      <c r="N154" s="22" t="str">
        <f t="array" ref="N154">IFERROR(INDEX('Temp Hisfa'!N$3:N$200, SMALL(IF(ISERROR('Temp Hisfa'!N$3:N$200), "", ROW('Temp Hisfa'!N$3:N$200)-MIN(ROW('Temp Hisfa'!N$3:N$200))+1), ROW(152:351))),"")</f>
        <v/>
      </c>
      <c r="O154" s="22" t="str">
        <f t="array" ref="O154">IFERROR(INDEX('Temp Hisfa'!O$3:O$200, SMALL(IF(ISERROR('Temp Hisfa'!O$3:O$200), "", ROW('Temp Hisfa'!O$3:O$200)-MIN(ROW('Temp Hisfa'!O$3:O$200))+1), ROW(152:351))),"")</f>
        <v/>
      </c>
      <c r="P154" s="22" t="str">
        <f t="array" ref="P154">IFERROR(INDEX('Temp Hisfa'!P$3:P$200, SMALL(IF(ISERROR('Temp Hisfa'!P$3:P$200), "", ROW('Temp Hisfa'!P$3:P$200)-MIN(ROW('Temp Hisfa'!P$3:P$200))+1), ROW(152:351))),"")</f>
        <v/>
      </c>
      <c r="Q154" s="22" t="str">
        <f t="array" ref="Q154">IFERROR(INDEX('Temp Hisfa'!Q$3:Q$200, SMALL(IF(ISERROR('Temp Hisfa'!Q$3:Q$200), "", ROW('Temp Hisfa'!Q$3:Q$200)-MIN(ROW('Temp Hisfa'!Q$3:Q$200))+1), ROW(152:351))),"")</f>
        <v/>
      </c>
      <c r="R154" s="22" t="str">
        <f t="array" ref="R154">IFERROR(INDEX('Temp Hisfa'!R$3:R$200, SMALL(IF(ISERROR('Temp Hisfa'!R$3:R$200), "", ROW('Temp Hisfa'!R$3:R$200)-MIN(ROW('Temp Hisfa'!R$3:R$200))+1), ROW(152:351))),"")</f>
        <v/>
      </c>
      <c r="S154" s="22" t="str">
        <f t="array" ref="S154">IFERROR(INDEX('Temp Hisfa'!S$3:S$200, SMALL(IF(ISERROR('Temp Hisfa'!S$3:S$200), "", ROW('Temp Hisfa'!S$3:S$200)-MIN(ROW('Temp Hisfa'!S$3:S$200))+1), ROW(152:351))),"")</f>
        <v/>
      </c>
      <c r="T154" s="22" t="str">
        <f t="array" ref="T154">IFERROR(INDEX('Temp Hisfa'!T$3:T$200, SMALL(IF(ISERROR('Temp Hisfa'!T$3:T$200), "", ROW('Temp Hisfa'!T$3:T$200)-MIN(ROW('Temp Hisfa'!T$3:T$200))+1), ROW(152:351))),"")</f>
        <v/>
      </c>
      <c r="U154" s="22" t="str">
        <f t="array" ref="U154">IFERROR(INDEX('Temp Hisfa'!U$3:U$200, SMALL(IF(ISERROR('Temp Hisfa'!U$3:U$200), "", ROW('Temp Hisfa'!U$3:U$200)-MIN(ROW('Temp Hisfa'!U$3:U$200))+1), ROW(152:351))),"")</f>
        <v/>
      </c>
      <c r="V154" s="22" t="str">
        <f t="array" ref="V154">IFERROR(INDEX('Temp Hisfa'!V$3:V$200, SMALL(IF(ISERROR('Temp Hisfa'!V$3:V$200), "", ROW('Temp Hisfa'!V$3:V$200)-MIN(ROW('Temp Hisfa'!V$3:V$200))+1), ROW(152:351))),"")</f>
        <v/>
      </c>
      <c r="W154" s="22" t="str">
        <f t="array" ref="W154">IFERROR(INDEX('Temp Hisfa'!W$3:W$200, SMALL(IF(ISERROR('Temp Hisfa'!W$3:W$200), "", ROW('Temp Hisfa'!W$3:W$200)-MIN(ROW('Temp Hisfa'!W$3:W$200))+1), ROW(152:351))),"")</f>
        <v/>
      </c>
      <c r="X154" s="22" t="str">
        <f t="array" ref="X154">IFERROR(INDEX('Temp Hisfa'!X$3:X$200, SMALL(IF(ISERROR('Temp Hisfa'!X$3:X$200), "", ROW('Temp Hisfa'!X$3:X$200)-MIN(ROW('Temp Hisfa'!X$3:X$200))+1), ROW(152:351))),"")</f>
        <v/>
      </c>
      <c r="Y154" s="22" t="str">
        <f t="array" ref="Y154">IFERROR(INDEX('Temp Hisfa'!Y$3:Y$200, SMALL(IF(ISERROR('Temp Hisfa'!Y$3:Y$200), "", ROW('Temp Hisfa'!Y$3:Y$200)-MIN(ROW('Temp Hisfa'!Y$3:Y$200))+1), ROW(152:351))),"")</f>
        <v/>
      </c>
      <c r="Z154" s="22" t="str">
        <f t="array" ref="Z154">IFERROR(INDEX('Temp Hisfa'!Z$3:Z$200, SMALL(IF(ISERROR('Temp Hisfa'!Z$3:Z$200), "", ROW('Temp Hisfa'!Z$3:Z$200)-MIN(ROW('Temp Hisfa'!Z$3:Z$200))+1), ROW(152:351))),"")</f>
        <v/>
      </c>
      <c r="AA154" s="22" t="str">
        <f t="array" ref="AA154">IFERROR(INDEX('Temp Hisfa'!AA$3:AA$200, SMALL(IF(ISERROR('Temp Hisfa'!AA$3:AA$200), "", ROW('Temp Hisfa'!AA$3:AA$200)-MIN(ROW('Temp Hisfa'!AA$3:AA$200))+1), ROW(152:351))),"")</f>
        <v/>
      </c>
      <c r="AB154" s="22" t="str">
        <f t="array" ref="AB154">IFERROR(INDEX('Temp Hisfa'!AB$3:AB$200, SMALL(IF(ISERROR('Temp Hisfa'!AB$3:AB$200), "", ROW('Temp Hisfa'!AB$3:AB$200)-MIN(ROW('Temp Hisfa'!AB$3:AB$200))+1), ROW(152:351))),"")</f>
        <v/>
      </c>
    </row>
    <row r="155" spans="1:28" x14ac:dyDescent="0.3">
      <c r="A155" s="4" t="str">
        <f t="array" ref="A155">IFERROR(INDEX('Temp Hisfa'!A$3:A$200, SMALL(IF(ISERROR('Temp Hisfa'!A$3:A$200), "", ROW('Temp Hisfa'!A$3:A$200)-MIN(ROW('Temp Hisfa'!A$3:A$200))+1), ROW(153:351))),"")</f>
        <v/>
      </c>
      <c r="B155" s="4" t="str">
        <f t="array" ref="B155">IFERROR(INDEX('Temp Hisfa'!B$3:B$200, SMALL(IF(ISERROR('Temp Hisfa'!B$3:B$200), "", ROW('Temp Hisfa'!B$3:B$200)-MIN(ROW('Temp Hisfa'!B$3:B$200))+1), ROW(153:351))),"")</f>
        <v/>
      </c>
      <c r="C155" s="3" t="str">
        <f t="array" ref="C155">IFERROR(INDEX('Temp Hisfa'!C$3:C$200, SMALL(IF(ISERROR('Temp Hisfa'!C$3:C$200), "", ROW('Temp Hisfa'!C$3:C$200)-MIN(ROW('Temp Hisfa'!C$3:C$200))+1), ROW(153:351))),"")</f>
        <v/>
      </c>
      <c r="D155" s="3" t="str">
        <f t="array" ref="D155">IFERROR(INDEX('Temp Hisfa'!D$3:D$200, SMALL(IF(ISERROR('Temp Hisfa'!D$3:D$200), "", ROW('Temp Hisfa'!D$3:D$200)-MIN(ROW('Temp Hisfa'!D$3:D$200))+1), ROW(153:351))),"")</f>
        <v/>
      </c>
      <c r="E155" s="29" t="str">
        <f t="array" ref="E155">IFERROR(INDEX('Temp Hisfa'!E$3:E$200, SMALL(IF(ISERROR('Temp Hisfa'!E$3:E$200), "", ROW('Temp Hisfa'!E$3:E$200)-MIN(ROW('Temp Hisfa'!E$3:E$200))+1), ROW(153:352))),"")</f>
        <v/>
      </c>
      <c r="F155" s="22" t="str">
        <f t="array" ref="F155">IFERROR(INDEX('Temp Hisfa'!F$3:F$200, SMALL(IF(ISERROR('Temp Hisfa'!F$3:F$200), "", ROW('Temp Hisfa'!F$3:F$200)-MIN(ROW('Temp Hisfa'!F$3:F$200))+1), ROW(153:352))),"")</f>
        <v/>
      </c>
      <c r="G155" s="30" t="str">
        <f t="array" ref="G155">IFERROR(INDEX('Temp Hisfa'!G$3:G$200, SMALL(IF(ISERROR('Temp Hisfa'!G$3:G$200), "", ROW('Temp Hisfa'!G$3:G$200)-MIN(ROW('Temp Hisfa'!G$3:G$200))+1), ROW(153:352))),"")</f>
        <v/>
      </c>
      <c r="H155" s="22" t="str">
        <f t="array" ref="H155">IFERROR(INDEX('Temp Hisfa'!H$3:H$200, SMALL(IF(ISERROR('Temp Hisfa'!H$3:H$200), "", ROW('Temp Hisfa'!H$3:H$200)-MIN(ROW('Temp Hisfa'!H$3:H$200))+1), ROW(153:352))),"")</f>
        <v/>
      </c>
      <c r="I155" s="22" t="str">
        <f t="array" ref="I155">IFERROR(INDEX('Temp Hisfa'!I$3:I$200, SMALL(IF(ISERROR('Temp Hisfa'!I$3:I$200), "", ROW('Temp Hisfa'!I$3:I$200)-MIN(ROW('Temp Hisfa'!I$3:I$200))+1), ROW(153:352))),"")</f>
        <v/>
      </c>
      <c r="J155" s="22" t="str">
        <f t="array" ref="J155">IFERROR(INDEX('Temp Hisfa'!J$3:J$200, SMALL(IF(ISERROR('Temp Hisfa'!J$3:J$200), "", ROW('Temp Hisfa'!J$3:J$200)-MIN(ROW('Temp Hisfa'!J$3:J$200))+1), ROW(153:352))),"")</f>
        <v/>
      </c>
      <c r="K155" s="30" t="str">
        <f t="array" ref="K155">IFERROR(INDEX('Temp Hisfa'!K$3:K$200, SMALL(IF(ISERROR('Temp Hisfa'!K$3:K$200), "", ROW('Temp Hisfa'!K$3:K$200)-MIN(ROW('Temp Hisfa'!K$3:K$200))+1), ROW(153:352))),"")</f>
        <v/>
      </c>
      <c r="L155" s="22" t="str">
        <f t="array" ref="L155">IFERROR(INDEX('Temp Hisfa'!L$3:L$200, SMALL(IF(ISERROR('Temp Hisfa'!L$3:L$200), "", ROW('Temp Hisfa'!L$3:L$200)-MIN(ROW('Temp Hisfa'!L$3:L$200))+1), ROW(153:352))),"")</f>
        <v/>
      </c>
      <c r="M155" s="22" t="str">
        <f t="array" ref="M155">IFERROR(INDEX('Temp Hisfa'!M$3:M$200, SMALL(IF(ISERROR('Temp Hisfa'!M$3:M$200), "", ROW('Temp Hisfa'!M$3:M$200)-MIN(ROW('Temp Hisfa'!M$3:M$200))+1), ROW(153:352))),"")</f>
        <v/>
      </c>
      <c r="N155" s="22" t="str">
        <f t="array" ref="N155">IFERROR(INDEX('Temp Hisfa'!N$3:N$200, SMALL(IF(ISERROR('Temp Hisfa'!N$3:N$200), "", ROW('Temp Hisfa'!N$3:N$200)-MIN(ROW('Temp Hisfa'!N$3:N$200))+1), ROW(153:352))),"")</f>
        <v/>
      </c>
      <c r="O155" s="22" t="str">
        <f t="array" ref="O155">IFERROR(INDEX('Temp Hisfa'!O$3:O$200, SMALL(IF(ISERROR('Temp Hisfa'!O$3:O$200), "", ROW('Temp Hisfa'!O$3:O$200)-MIN(ROW('Temp Hisfa'!O$3:O$200))+1), ROW(153:352))),"")</f>
        <v/>
      </c>
      <c r="P155" s="22" t="str">
        <f t="array" ref="P155">IFERROR(INDEX('Temp Hisfa'!P$3:P$200, SMALL(IF(ISERROR('Temp Hisfa'!P$3:P$200), "", ROW('Temp Hisfa'!P$3:P$200)-MIN(ROW('Temp Hisfa'!P$3:P$200))+1), ROW(153:352))),"")</f>
        <v/>
      </c>
      <c r="Q155" s="22" t="str">
        <f t="array" ref="Q155">IFERROR(INDEX('Temp Hisfa'!Q$3:Q$200, SMALL(IF(ISERROR('Temp Hisfa'!Q$3:Q$200), "", ROW('Temp Hisfa'!Q$3:Q$200)-MIN(ROW('Temp Hisfa'!Q$3:Q$200))+1), ROW(153:352))),"")</f>
        <v/>
      </c>
      <c r="R155" s="22" t="str">
        <f t="array" ref="R155">IFERROR(INDEX('Temp Hisfa'!R$3:R$200, SMALL(IF(ISERROR('Temp Hisfa'!R$3:R$200), "", ROW('Temp Hisfa'!R$3:R$200)-MIN(ROW('Temp Hisfa'!R$3:R$200))+1), ROW(153:352))),"")</f>
        <v/>
      </c>
      <c r="S155" s="22" t="str">
        <f t="array" ref="S155">IFERROR(INDEX('Temp Hisfa'!S$3:S$200, SMALL(IF(ISERROR('Temp Hisfa'!S$3:S$200), "", ROW('Temp Hisfa'!S$3:S$200)-MIN(ROW('Temp Hisfa'!S$3:S$200))+1), ROW(153:352))),"")</f>
        <v/>
      </c>
      <c r="T155" s="22" t="str">
        <f t="array" ref="T155">IFERROR(INDEX('Temp Hisfa'!T$3:T$200, SMALL(IF(ISERROR('Temp Hisfa'!T$3:T$200), "", ROW('Temp Hisfa'!T$3:T$200)-MIN(ROW('Temp Hisfa'!T$3:T$200))+1), ROW(153:352))),"")</f>
        <v/>
      </c>
      <c r="U155" s="22" t="str">
        <f t="array" ref="U155">IFERROR(INDEX('Temp Hisfa'!U$3:U$200, SMALL(IF(ISERROR('Temp Hisfa'!U$3:U$200), "", ROW('Temp Hisfa'!U$3:U$200)-MIN(ROW('Temp Hisfa'!U$3:U$200))+1), ROW(153:352))),"")</f>
        <v/>
      </c>
      <c r="V155" s="22" t="str">
        <f t="array" ref="V155">IFERROR(INDEX('Temp Hisfa'!V$3:V$200, SMALL(IF(ISERROR('Temp Hisfa'!V$3:V$200), "", ROW('Temp Hisfa'!V$3:V$200)-MIN(ROW('Temp Hisfa'!V$3:V$200))+1), ROW(153:352))),"")</f>
        <v/>
      </c>
      <c r="W155" s="22" t="str">
        <f t="array" ref="W155">IFERROR(INDEX('Temp Hisfa'!W$3:W$200, SMALL(IF(ISERROR('Temp Hisfa'!W$3:W$200), "", ROW('Temp Hisfa'!W$3:W$200)-MIN(ROW('Temp Hisfa'!W$3:W$200))+1), ROW(153:352))),"")</f>
        <v/>
      </c>
      <c r="X155" s="22" t="str">
        <f t="array" ref="X155">IFERROR(INDEX('Temp Hisfa'!X$3:X$200, SMALL(IF(ISERROR('Temp Hisfa'!X$3:X$200), "", ROW('Temp Hisfa'!X$3:X$200)-MIN(ROW('Temp Hisfa'!X$3:X$200))+1), ROW(153:352))),"")</f>
        <v/>
      </c>
      <c r="Y155" s="22" t="str">
        <f t="array" ref="Y155">IFERROR(INDEX('Temp Hisfa'!Y$3:Y$200, SMALL(IF(ISERROR('Temp Hisfa'!Y$3:Y$200), "", ROW('Temp Hisfa'!Y$3:Y$200)-MIN(ROW('Temp Hisfa'!Y$3:Y$200))+1), ROW(153:352))),"")</f>
        <v/>
      </c>
      <c r="Z155" s="22" t="str">
        <f t="array" ref="Z155">IFERROR(INDEX('Temp Hisfa'!Z$3:Z$200, SMALL(IF(ISERROR('Temp Hisfa'!Z$3:Z$200), "", ROW('Temp Hisfa'!Z$3:Z$200)-MIN(ROW('Temp Hisfa'!Z$3:Z$200))+1), ROW(153:352))),"")</f>
        <v/>
      </c>
      <c r="AA155" s="22" t="str">
        <f t="array" ref="AA155">IFERROR(INDEX('Temp Hisfa'!AA$3:AA$200, SMALL(IF(ISERROR('Temp Hisfa'!AA$3:AA$200), "", ROW('Temp Hisfa'!AA$3:AA$200)-MIN(ROW('Temp Hisfa'!AA$3:AA$200))+1), ROW(153:352))),"")</f>
        <v/>
      </c>
      <c r="AB155" s="22" t="str">
        <f t="array" ref="AB155">IFERROR(INDEX('Temp Hisfa'!AB$3:AB$200, SMALL(IF(ISERROR('Temp Hisfa'!AB$3:AB$200), "", ROW('Temp Hisfa'!AB$3:AB$200)-MIN(ROW('Temp Hisfa'!AB$3:AB$200))+1), ROW(153:352))),"")</f>
        <v/>
      </c>
    </row>
    <row r="156" spans="1:28" x14ac:dyDescent="0.3">
      <c r="A156" s="4" t="str">
        <f t="array" ref="A156">IFERROR(INDEX('Temp Hisfa'!A$3:A$200, SMALL(IF(ISERROR('Temp Hisfa'!A$3:A$200), "", ROW('Temp Hisfa'!A$3:A$200)-MIN(ROW('Temp Hisfa'!A$3:A$200))+1), ROW(154:352))),"")</f>
        <v/>
      </c>
      <c r="B156" s="4" t="str">
        <f t="array" ref="B156">IFERROR(INDEX('Temp Hisfa'!B$3:B$200, SMALL(IF(ISERROR('Temp Hisfa'!B$3:B$200), "", ROW('Temp Hisfa'!B$3:B$200)-MIN(ROW('Temp Hisfa'!B$3:B$200))+1), ROW(154:352))),"")</f>
        <v/>
      </c>
      <c r="C156" s="3" t="str">
        <f t="array" ref="C156">IFERROR(INDEX('Temp Hisfa'!C$3:C$200, SMALL(IF(ISERROR('Temp Hisfa'!C$3:C$200), "", ROW('Temp Hisfa'!C$3:C$200)-MIN(ROW('Temp Hisfa'!C$3:C$200))+1), ROW(154:352))),"")</f>
        <v/>
      </c>
      <c r="D156" s="3" t="str">
        <f t="array" ref="D156">IFERROR(INDEX('Temp Hisfa'!D$3:D$200, SMALL(IF(ISERROR('Temp Hisfa'!D$3:D$200), "", ROW('Temp Hisfa'!D$3:D$200)-MIN(ROW('Temp Hisfa'!D$3:D$200))+1), ROW(154:352))),"")</f>
        <v/>
      </c>
      <c r="E156" s="29" t="str">
        <f t="array" ref="E156">IFERROR(INDEX('Temp Hisfa'!E$3:E$200, SMALL(IF(ISERROR('Temp Hisfa'!E$3:E$200), "", ROW('Temp Hisfa'!E$3:E$200)-MIN(ROW('Temp Hisfa'!E$3:E$200))+1), ROW(154:353))),"")</f>
        <v/>
      </c>
      <c r="F156" s="22" t="str">
        <f t="array" ref="F156">IFERROR(INDEX('Temp Hisfa'!F$3:F$200, SMALL(IF(ISERROR('Temp Hisfa'!F$3:F$200), "", ROW('Temp Hisfa'!F$3:F$200)-MIN(ROW('Temp Hisfa'!F$3:F$200))+1), ROW(154:353))),"")</f>
        <v/>
      </c>
      <c r="G156" s="30" t="str">
        <f t="array" ref="G156">IFERROR(INDEX('Temp Hisfa'!G$3:G$200, SMALL(IF(ISERROR('Temp Hisfa'!G$3:G$200), "", ROW('Temp Hisfa'!G$3:G$200)-MIN(ROW('Temp Hisfa'!G$3:G$200))+1), ROW(154:353))),"")</f>
        <v/>
      </c>
      <c r="H156" s="22" t="str">
        <f t="array" ref="H156">IFERROR(INDEX('Temp Hisfa'!H$3:H$200, SMALL(IF(ISERROR('Temp Hisfa'!H$3:H$200), "", ROW('Temp Hisfa'!H$3:H$200)-MIN(ROW('Temp Hisfa'!H$3:H$200))+1), ROW(154:353))),"")</f>
        <v/>
      </c>
      <c r="I156" s="22" t="str">
        <f t="array" ref="I156">IFERROR(INDEX('Temp Hisfa'!I$3:I$200, SMALL(IF(ISERROR('Temp Hisfa'!I$3:I$200), "", ROW('Temp Hisfa'!I$3:I$200)-MIN(ROW('Temp Hisfa'!I$3:I$200))+1), ROW(154:353))),"")</f>
        <v/>
      </c>
      <c r="J156" s="22" t="str">
        <f t="array" ref="J156">IFERROR(INDEX('Temp Hisfa'!J$3:J$200, SMALL(IF(ISERROR('Temp Hisfa'!J$3:J$200), "", ROW('Temp Hisfa'!J$3:J$200)-MIN(ROW('Temp Hisfa'!J$3:J$200))+1), ROW(154:353))),"")</f>
        <v/>
      </c>
      <c r="K156" s="30" t="str">
        <f t="array" ref="K156">IFERROR(INDEX('Temp Hisfa'!K$3:K$200, SMALL(IF(ISERROR('Temp Hisfa'!K$3:K$200), "", ROW('Temp Hisfa'!K$3:K$200)-MIN(ROW('Temp Hisfa'!K$3:K$200))+1), ROW(154:353))),"")</f>
        <v/>
      </c>
      <c r="L156" s="22" t="str">
        <f t="array" ref="L156">IFERROR(INDEX('Temp Hisfa'!L$3:L$200, SMALL(IF(ISERROR('Temp Hisfa'!L$3:L$200), "", ROW('Temp Hisfa'!L$3:L$200)-MIN(ROW('Temp Hisfa'!L$3:L$200))+1), ROW(154:353))),"")</f>
        <v/>
      </c>
      <c r="M156" s="22" t="str">
        <f t="array" ref="M156">IFERROR(INDEX('Temp Hisfa'!M$3:M$200, SMALL(IF(ISERROR('Temp Hisfa'!M$3:M$200), "", ROW('Temp Hisfa'!M$3:M$200)-MIN(ROW('Temp Hisfa'!M$3:M$200))+1), ROW(154:353))),"")</f>
        <v/>
      </c>
      <c r="N156" s="22" t="str">
        <f t="array" ref="N156">IFERROR(INDEX('Temp Hisfa'!N$3:N$200, SMALL(IF(ISERROR('Temp Hisfa'!N$3:N$200), "", ROW('Temp Hisfa'!N$3:N$200)-MIN(ROW('Temp Hisfa'!N$3:N$200))+1), ROW(154:353))),"")</f>
        <v/>
      </c>
      <c r="O156" s="22" t="str">
        <f t="array" ref="O156">IFERROR(INDEX('Temp Hisfa'!O$3:O$200, SMALL(IF(ISERROR('Temp Hisfa'!O$3:O$200), "", ROW('Temp Hisfa'!O$3:O$200)-MIN(ROW('Temp Hisfa'!O$3:O$200))+1), ROW(154:353))),"")</f>
        <v/>
      </c>
      <c r="P156" s="22" t="str">
        <f t="array" ref="P156">IFERROR(INDEX('Temp Hisfa'!P$3:P$200, SMALL(IF(ISERROR('Temp Hisfa'!P$3:P$200), "", ROW('Temp Hisfa'!P$3:P$200)-MIN(ROW('Temp Hisfa'!P$3:P$200))+1), ROW(154:353))),"")</f>
        <v/>
      </c>
      <c r="Q156" s="22" t="str">
        <f t="array" ref="Q156">IFERROR(INDEX('Temp Hisfa'!Q$3:Q$200, SMALL(IF(ISERROR('Temp Hisfa'!Q$3:Q$200), "", ROW('Temp Hisfa'!Q$3:Q$200)-MIN(ROW('Temp Hisfa'!Q$3:Q$200))+1), ROW(154:353))),"")</f>
        <v/>
      </c>
      <c r="R156" s="22" t="str">
        <f t="array" ref="R156">IFERROR(INDEX('Temp Hisfa'!R$3:R$200, SMALL(IF(ISERROR('Temp Hisfa'!R$3:R$200), "", ROW('Temp Hisfa'!R$3:R$200)-MIN(ROW('Temp Hisfa'!R$3:R$200))+1), ROW(154:353))),"")</f>
        <v/>
      </c>
      <c r="S156" s="22" t="str">
        <f t="array" ref="S156">IFERROR(INDEX('Temp Hisfa'!S$3:S$200, SMALL(IF(ISERROR('Temp Hisfa'!S$3:S$200), "", ROW('Temp Hisfa'!S$3:S$200)-MIN(ROW('Temp Hisfa'!S$3:S$200))+1), ROW(154:353))),"")</f>
        <v/>
      </c>
      <c r="T156" s="22" t="str">
        <f t="array" ref="T156">IFERROR(INDEX('Temp Hisfa'!T$3:T$200, SMALL(IF(ISERROR('Temp Hisfa'!T$3:T$200), "", ROW('Temp Hisfa'!T$3:T$200)-MIN(ROW('Temp Hisfa'!T$3:T$200))+1), ROW(154:353))),"")</f>
        <v/>
      </c>
      <c r="U156" s="22" t="str">
        <f t="array" ref="U156">IFERROR(INDEX('Temp Hisfa'!U$3:U$200, SMALL(IF(ISERROR('Temp Hisfa'!U$3:U$200), "", ROW('Temp Hisfa'!U$3:U$200)-MIN(ROW('Temp Hisfa'!U$3:U$200))+1), ROW(154:353))),"")</f>
        <v/>
      </c>
      <c r="V156" s="22" t="str">
        <f t="array" ref="V156">IFERROR(INDEX('Temp Hisfa'!V$3:V$200, SMALL(IF(ISERROR('Temp Hisfa'!V$3:V$200), "", ROW('Temp Hisfa'!V$3:V$200)-MIN(ROW('Temp Hisfa'!V$3:V$200))+1), ROW(154:353))),"")</f>
        <v/>
      </c>
      <c r="W156" s="22" t="str">
        <f t="array" ref="W156">IFERROR(INDEX('Temp Hisfa'!W$3:W$200, SMALL(IF(ISERROR('Temp Hisfa'!W$3:W$200), "", ROW('Temp Hisfa'!W$3:W$200)-MIN(ROW('Temp Hisfa'!W$3:W$200))+1), ROW(154:353))),"")</f>
        <v/>
      </c>
      <c r="X156" s="22" t="str">
        <f t="array" ref="X156">IFERROR(INDEX('Temp Hisfa'!X$3:X$200, SMALL(IF(ISERROR('Temp Hisfa'!X$3:X$200), "", ROW('Temp Hisfa'!X$3:X$200)-MIN(ROW('Temp Hisfa'!X$3:X$200))+1), ROW(154:353))),"")</f>
        <v/>
      </c>
      <c r="Y156" s="22" t="str">
        <f t="array" ref="Y156">IFERROR(INDEX('Temp Hisfa'!Y$3:Y$200, SMALL(IF(ISERROR('Temp Hisfa'!Y$3:Y$200), "", ROW('Temp Hisfa'!Y$3:Y$200)-MIN(ROW('Temp Hisfa'!Y$3:Y$200))+1), ROW(154:353))),"")</f>
        <v/>
      </c>
      <c r="Z156" s="22" t="str">
        <f t="array" ref="Z156">IFERROR(INDEX('Temp Hisfa'!Z$3:Z$200, SMALL(IF(ISERROR('Temp Hisfa'!Z$3:Z$200), "", ROW('Temp Hisfa'!Z$3:Z$200)-MIN(ROW('Temp Hisfa'!Z$3:Z$200))+1), ROW(154:353))),"")</f>
        <v/>
      </c>
      <c r="AA156" s="22" t="str">
        <f t="array" ref="AA156">IFERROR(INDEX('Temp Hisfa'!AA$3:AA$200, SMALL(IF(ISERROR('Temp Hisfa'!AA$3:AA$200), "", ROW('Temp Hisfa'!AA$3:AA$200)-MIN(ROW('Temp Hisfa'!AA$3:AA$200))+1), ROW(154:353))),"")</f>
        <v/>
      </c>
      <c r="AB156" s="22" t="str">
        <f t="array" ref="AB156">IFERROR(INDEX('Temp Hisfa'!AB$3:AB$200, SMALL(IF(ISERROR('Temp Hisfa'!AB$3:AB$200), "", ROW('Temp Hisfa'!AB$3:AB$200)-MIN(ROW('Temp Hisfa'!AB$3:AB$200))+1), ROW(154:353))),"")</f>
        <v/>
      </c>
    </row>
    <row r="157" spans="1:28" x14ac:dyDescent="0.3">
      <c r="A157" s="4" t="str">
        <f t="array" ref="A157">IFERROR(INDEX('Temp Hisfa'!A$3:A$200, SMALL(IF(ISERROR('Temp Hisfa'!A$3:A$200), "", ROW('Temp Hisfa'!A$3:A$200)-MIN(ROW('Temp Hisfa'!A$3:A$200))+1), ROW(155:353))),"")</f>
        <v/>
      </c>
      <c r="B157" s="4" t="str">
        <f t="array" ref="B157">IFERROR(INDEX('Temp Hisfa'!B$3:B$200, SMALL(IF(ISERROR('Temp Hisfa'!B$3:B$200), "", ROW('Temp Hisfa'!B$3:B$200)-MIN(ROW('Temp Hisfa'!B$3:B$200))+1), ROW(155:353))),"")</f>
        <v/>
      </c>
      <c r="C157" s="3" t="str">
        <f t="array" ref="C157">IFERROR(INDEX('Temp Hisfa'!C$3:C$200, SMALL(IF(ISERROR('Temp Hisfa'!C$3:C$200), "", ROW('Temp Hisfa'!C$3:C$200)-MIN(ROW('Temp Hisfa'!C$3:C$200))+1), ROW(155:353))),"")</f>
        <v/>
      </c>
      <c r="D157" s="3" t="str">
        <f t="array" ref="D157">IFERROR(INDEX('Temp Hisfa'!D$3:D$200, SMALL(IF(ISERROR('Temp Hisfa'!D$3:D$200), "", ROW('Temp Hisfa'!D$3:D$200)-MIN(ROW('Temp Hisfa'!D$3:D$200))+1), ROW(155:353))),"")</f>
        <v/>
      </c>
      <c r="E157" s="29" t="str">
        <f t="array" ref="E157">IFERROR(INDEX('Temp Hisfa'!E$3:E$200, SMALL(IF(ISERROR('Temp Hisfa'!E$3:E$200), "", ROW('Temp Hisfa'!E$3:E$200)-MIN(ROW('Temp Hisfa'!E$3:E$200))+1), ROW(155:354))),"")</f>
        <v/>
      </c>
      <c r="F157" s="22" t="str">
        <f t="array" ref="F157">IFERROR(INDEX('Temp Hisfa'!F$3:F$200, SMALL(IF(ISERROR('Temp Hisfa'!F$3:F$200), "", ROW('Temp Hisfa'!F$3:F$200)-MIN(ROW('Temp Hisfa'!F$3:F$200))+1), ROW(155:354))),"")</f>
        <v/>
      </c>
      <c r="G157" s="30" t="str">
        <f t="array" ref="G157">IFERROR(INDEX('Temp Hisfa'!G$3:G$200, SMALL(IF(ISERROR('Temp Hisfa'!G$3:G$200), "", ROW('Temp Hisfa'!G$3:G$200)-MIN(ROW('Temp Hisfa'!G$3:G$200))+1), ROW(155:354))),"")</f>
        <v/>
      </c>
      <c r="H157" s="22" t="str">
        <f t="array" ref="H157">IFERROR(INDEX('Temp Hisfa'!H$3:H$200, SMALL(IF(ISERROR('Temp Hisfa'!H$3:H$200), "", ROW('Temp Hisfa'!H$3:H$200)-MIN(ROW('Temp Hisfa'!H$3:H$200))+1), ROW(155:354))),"")</f>
        <v/>
      </c>
      <c r="I157" s="22" t="str">
        <f t="array" ref="I157">IFERROR(INDEX('Temp Hisfa'!I$3:I$200, SMALL(IF(ISERROR('Temp Hisfa'!I$3:I$200), "", ROW('Temp Hisfa'!I$3:I$200)-MIN(ROW('Temp Hisfa'!I$3:I$200))+1), ROW(155:354))),"")</f>
        <v/>
      </c>
      <c r="J157" s="22" t="str">
        <f t="array" ref="J157">IFERROR(INDEX('Temp Hisfa'!J$3:J$200, SMALL(IF(ISERROR('Temp Hisfa'!J$3:J$200), "", ROW('Temp Hisfa'!J$3:J$200)-MIN(ROW('Temp Hisfa'!J$3:J$200))+1), ROW(155:354))),"")</f>
        <v/>
      </c>
      <c r="K157" s="30" t="str">
        <f t="array" ref="K157">IFERROR(INDEX('Temp Hisfa'!K$3:K$200, SMALL(IF(ISERROR('Temp Hisfa'!K$3:K$200), "", ROW('Temp Hisfa'!K$3:K$200)-MIN(ROW('Temp Hisfa'!K$3:K$200))+1), ROW(155:354))),"")</f>
        <v/>
      </c>
      <c r="L157" s="22" t="str">
        <f t="array" ref="L157">IFERROR(INDEX('Temp Hisfa'!L$3:L$200, SMALL(IF(ISERROR('Temp Hisfa'!L$3:L$200), "", ROW('Temp Hisfa'!L$3:L$200)-MIN(ROW('Temp Hisfa'!L$3:L$200))+1), ROW(155:354))),"")</f>
        <v/>
      </c>
      <c r="M157" s="22" t="str">
        <f t="array" ref="M157">IFERROR(INDEX('Temp Hisfa'!M$3:M$200, SMALL(IF(ISERROR('Temp Hisfa'!M$3:M$200), "", ROW('Temp Hisfa'!M$3:M$200)-MIN(ROW('Temp Hisfa'!M$3:M$200))+1), ROW(155:354))),"")</f>
        <v/>
      </c>
      <c r="N157" s="22" t="str">
        <f t="array" ref="N157">IFERROR(INDEX('Temp Hisfa'!N$3:N$200, SMALL(IF(ISERROR('Temp Hisfa'!N$3:N$200), "", ROW('Temp Hisfa'!N$3:N$200)-MIN(ROW('Temp Hisfa'!N$3:N$200))+1), ROW(155:354))),"")</f>
        <v/>
      </c>
      <c r="O157" s="22" t="str">
        <f t="array" ref="O157">IFERROR(INDEX('Temp Hisfa'!O$3:O$200, SMALL(IF(ISERROR('Temp Hisfa'!O$3:O$200), "", ROW('Temp Hisfa'!O$3:O$200)-MIN(ROW('Temp Hisfa'!O$3:O$200))+1), ROW(155:354))),"")</f>
        <v/>
      </c>
      <c r="P157" s="22" t="str">
        <f t="array" ref="P157">IFERROR(INDEX('Temp Hisfa'!P$3:P$200, SMALL(IF(ISERROR('Temp Hisfa'!P$3:P$200), "", ROW('Temp Hisfa'!P$3:P$200)-MIN(ROW('Temp Hisfa'!P$3:P$200))+1), ROW(155:354))),"")</f>
        <v/>
      </c>
      <c r="Q157" s="22" t="str">
        <f t="array" ref="Q157">IFERROR(INDEX('Temp Hisfa'!Q$3:Q$200, SMALL(IF(ISERROR('Temp Hisfa'!Q$3:Q$200), "", ROW('Temp Hisfa'!Q$3:Q$200)-MIN(ROW('Temp Hisfa'!Q$3:Q$200))+1), ROW(155:354))),"")</f>
        <v/>
      </c>
      <c r="R157" s="22" t="str">
        <f t="array" ref="R157">IFERROR(INDEX('Temp Hisfa'!R$3:R$200, SMALL(IF(ISERROR('Temp Hisfa'!R$3:R$200), "", ROW('Temp Hisfa'!R$3:R$200)-MIN(ROW('Temp Hisfa'!R$3:R$200))+1), ROW(155:354))),"")</f>
        <v/>
      </c>
      <c r="S157" s="22" t="str">
        <f t="array" ref="S157">IFERROR(INDEX('Temp Hisfa'!S$3:S$200, SMALL(IF(ISERROR('Temp Hisfa'!S$3:S$200), "", ROW('Temp Hisfa'!S$3:S$200)-MIN(ROW('Temp Hisfa'!S$3:S$200))+1), ROW(155:354))),"")</f>
        <v/>
      </c>
      <c r="T157" s="22" t="str">
        <f t="array" ref="T157">IFERROR(INDEX('Temp Hisfa'!T$3:T$200, SMALL(IF(ISERROR('Temp Hisfa'!T$3:T$200), "", ROW('Temp Hisfa'!T$3:T$200)-MIN(ROW('Temp Hisfa'!T$3:T$200))+1), ROW(155:354))),"")</f>
        <v/>
      </c>
      <c r="U157" s="22" t="str">
        <f t="array" ref="U157">IFERROR(INDEX('Temp Hisfa'!U$3:U$200, SMALL(IF(ISERROR('Temp Hisfa'!U$3:U$200), "", ROW('Temp Hisfa'!U$3:U$200)-MIN(ROW('Temp Hisfa'!U$3:U$200))+1), ROW(155:354))),"")</f>
        <v/>
      </c>
      <c r="V157" s="22" t="str">
        <f t="array" ref="V157">IFERROR(INDEX('Temp Hisfa'!V$3:V$200, SMALL(IF(ISERROR('Temp Hisfa'!V$3:V$200), "", ROW('Temp Hisfa'!V$3:V$200)-MIN(ROW('Temp Hisfa'!V$3:V$200))+1), ROW(155:354))),"")</f>
        <v/>
      </c>
      <c r="W157" s="22" t="str">
        <f t="array" ref="W157">IFERROR(INDEX('Temp Hisfa'!W$3:W$200, SMALL(IF(ISERROR('Temp Hisfa'!W$3:W$200), "", ROW('Temp Hisfa'!W$3:W$200)-MIN(ROW('Temp Hisfa'!W$3:W$200))+1), ROW(155:354))),"")</f>
        <v/>
      </c>
      <c r="X157" s="22" t="str">
        <f t="array" ref="X157">IFERROR(INDEX('Temp Hisfa'!X$3:X$200, SMALL(IF(ISERROR('Temp Hisfa'!X$3:X$200), "", ROW('Temp Hisfa'!X$3:X$200)-MIN(ROW('Temp Hisfa'!X$3:X$200))+1), ROW(155:354))),"")</f>
        <v/>
      </c>
      <c r="Y157" s="22" t="str">
        <f t="array" ref="Y157">IFERROR(INDEX('Temp Hisfa'!Y$3:Y$200, SMALL(IF(ISERROR('Temp Hisfa'!Y$3:Y$200), "", ROW('Temp Hisfa'!Y$3:Y$200)-MIN(ROW('Temp Hisfa'!Y$3:Y$200))+1), ROW(155:354))),"")</f>
        <v/>
      </c>
      <c r="Z157" s="22" t="str">
        <f t="array" ref="Z157">IFERROR(INDEX('Temp Hisfa'!Z$3:Z$200, SMALL(IF(ISERROR('Temp Hisfa'!Z$3:Z$200), "", ROW('Temp Hisfa'!Z$3:Z$200)-MIN(ROW('Temp Hisfa'!Z$3:Z$200))+1), ROW(155:354))),"")</f>
        <v/>
      </c>
      <c r="AA157" s="22" t="str">
        <f t="array" ref="AA157">IFERROR(INDEX('Temp Hisfa'!AA$3:AA$200, SMALL(IF(ISERROR('Temp Hisfa'!AA$3:AA$200), "", ROW('Temp Hisfa'!AA$3:AA$200)-MIN(ROW('Temp Hisfa'!AA$3:AA$200))+1), ROW(155:354))),"")</f>
        <v/>
      </c>
      <c r="AB157" s="22" t="str">
        <f t="array" ref="AB157">IFERROR(INDEX('Temp Hisfa'!AB$3:AB$200, SMALL(IF(ISERROR('Temp Hisfa'!AB$3:AB$200), "", ROW('Temp Hisfa'!AB$3:AB$200)-MIN(ROW('Temp Hisfa'!AB$3:AB$200))+1), ROW(155:354))),"")</f>
        <v/>
      </c>
    </row>
    <row r="158" spans="1:28" x14ac:dyDescent="0.3">
      <c r="A158" s="4" t="str">
        <f t="array" ref="A158">IFERROR(INDEX('Temp Hisfa'!A$3:A$200, SMALL(IF(ISERROR('Temp Hisfa'!A$3:A$200), "", ROW('Temp Hisfa'!A$3:A$200)-MIN(ROW('Temp Hisfa'!A$3:A$200))+1), ROW(156:354))),"")</f>
        <v/>
      </c>
      <c r="B158" s="4" t="str">
        <f t="array" ref="B158">IFERROR(INDEX('Temp Hisfa'!B$3:B$200, SMALL(IF(ISERROR('Temp Hisfa'!B$3:B$200), "", ROW('Temp Hisfa'!B$3:B$200)-MIN(ROW('Temp Hisfa'!B$3:B$200))+1), ROW(156:354))),"")</f>
        <v/>
      </c>
      <c r="C158" s="3" t="str">
        <f t="array" ref="C158">IFERROR(INDEX('Temp Hisfa'!C$3:C$200, SMALL(IF(ISERROR('Temp Hisfa'!C$3:C$200), "", ROW('Temp Hisfa'!C$3:C$200)-MIN(ROW('Temp Hisfa'!C$3:C$200))+1), ROW(156:354))),"")</f>
        <v/>
      </c>
      <c r="D158" s="3" t="str">
        <f t="array" ref="D158">IFERROR(INDEX('Temp Hisfa'!D$3:D$200, SMALL(IF(ISERROR('Temp Hisfa'!D$3:D$200), "", ROW('Temp Hisfa'!D$3:D$200)-MIN(ROW('Temp Hisfa'!D$3:D$200))+1), ROW(156:354))),"")</f>
        <v/>
      </c>
      <c r="E158" s="29" t="str">
        <f t="array" ref="E158">IFERROR(INDEX('Temp Hisfa'!E$3:E$200, SMALL(IF(ISERROR('Temp Hisfa'!E$3:E$200), "", ROW('Temp Hisfa'!E$3:E$200)-MIN(ROW('Temp Hisfa'!E$3:E$200))+1), ROW(156:355))),"")</f>
        <v/>
      </c>
      <c r="F158" s="22" t="str">
        <f t="array" ref="F158">IFERROR(INDEX('Temp Hisfa'!F$3:F$200, SMALL(IF(ISERROR('Temp Hisfa'!F$3:F$200), "", ROW('Temp Hisfa'!F$3:F$200)-MIN(ROW('Temp Hisfa'!F$3:F$200))+1), ROW(156:355))),"")</f>
        <v/>
      </c>
      <c r="G158" s="30" t="str">
        <f t="array" ref="G158">IFERROR(INDEX('Temp Hisfa'!G$3:G$200, SMALL(IF(ISERROR('Temp Hisfa'!G$3:G$200), "", ROW('Temp Hisfa'!G$3:G$200)-MIN(ROW('Temp Hisfa'!G$3:G$200))+1), ROW(156:355))),"")</f>
        <v/>
      </c>
      <c r="H158" s="22" t="str">
        <f t="array" ref="H158">IFERROR(INDEX('Temp Hisfa'!H$3:H$200, SMALL(IF(ISERROR('Temp Hisfa'!H$3:H$200), "", ROW('Temp Hisfa'!H$3:H$200)-MIN(ROW('Temp Hisfa'!H$3:H$200))+1), ROW(156:355))),"")</f>
        <v/>
      </c>
      <c r="I158" s="22" t="str">
        <f t="array" ref="I158">IFERROR(INDEX('Temp Hisfa'!I$3:I$200, SMALL(IF(ISERROR('Temp Hisfa'!I$3:I$200), "", ROW('Temp Hisfa'!I$3:I$200)-MIN(ROW('Temp Hisfa'!I$3:I$200))+1), ROW(156:355))),"")</f>
        <v/>
      </c>
      <c r="J158" s="22" t="str">
        <f t="array" ref="J158">IFERROR(INDEX('Temp Hisfa'!J$3:J$200, SMALL(IF(ISERROR('Temp Hisfa'!J$3:J$200), "", ROW('Temp Hisfa'!J$3:J$200)-MIN(ROW('Temp Hisfa'!J$3:J$200))+1), ROW(156:355))),"")</f>
        <v/>
      </c>
      <c r="K158" s="30" t="str">
        <f t="array" ref="K158">IFERROR(INDEX('Temp Hisfa'!K$3:K$200, SMALL(IF(ISERROR('Temp Hisfa'!K$3:K$200), "", ROW('Temp Hisfa'!K$3:K$200)-MIN(ROW('Temp Hisfa'!K$3:K$200))+1), ROW(156:355))),"")</f>
        <v/>
      </c>
      <c r="L158" s="22" t="str">
        <f t="array" ref="L158">IFERROR(INDEX('Temp Hisfa'!L$3:L$200, SMALL(IF(ISERROR('Temp Hisfa'!L$3:L$200), "", ROW('Temp Hisfa'!L$3:L$200)-MIN(ROW('Temp Hisfa'!L$3:L$200))+1), ROW(156:355))),"")</f>
        <v/>
      </c>
      <c r="M158" s="22" t="str">
        <f t="array" ref="M158">IFERROR(INDEX('Temp Hisfa'!M$3:M$200, SMALL(IF(ISERROR('Temp Hisfa'!M$3:M$200), "", ROW('Temp Hisfa'!M$3:M$200)-MIN(ROW('Temp Hisfa'!M$3:M$200))+1), ROW(156:355))),"")</f>
        <v/>
      </c>
      <c r="N158" s="22" t="str">
        <f t="array" ref="N158">IFERROR(INDEX('Temp Hisfa'!N$3:N$200, SMALL(IF(ISERROR('Temp Hisfa'!N$3:N$200), "", ROW('Temp Hisfa'!N$3:N$200)-MIN(ROW('Temp Hisfa'!N$3:N$200))+1), ROW(156:355))),"")</f>
        <v/>
      </c>
      <c r="O158" s="22" t="str">
        <f t="array" ref="O158">IFERROR(INDEX('Temp Hisfa'!O$3:O$200, SMALL(IF(ISERROR('Temp Hisfa'!O$3:O$200), "", ROW('Temp Hisfa'!O$3:O$200)-MIN(ROW('Temp Hisfa'!O$3:O$200))+1), ROW(156:355))),"")</f>
        <v/>
      </c>
      <c r="P158" s="22" t="str">
        <f t="array" ref="P158">IFERROR(INDEX('Temp Hisfa'!P$3:P$200, SMALL(IF(ISERROR('Temp Hisfa'!P$3:P$200), "", ROW('Temp Hisfa'!P$3:P$200)-MIN(ROW('Temp Hisfa'!P$3:P$200))+1), ROW(156:355))),"")</f>
        <v/>
      </c>
      <c r="Q158" s="22" t="str">
        <f t="array" ref="Q158">IFERROR(INDEX('Temp Hisfa'!Q$3:Q$200, SMALL(IF(ISERROR('Temp Hisfa'!Q$3:Q$200), "", ROW('Temp Hisfa'!Q$3:Q$200)-MIN(ROW('Temp Hisfa'!Q$3:Q$200))+1), ROW(156:355))),"")</f>
        <v/>
      </c>
      <c r="R158" s="22" t="str">
        <f t="array" ref="R158">IFERROR(INDEX('Temp Hisfa'!R$3:R$200, SMALL(IF(ISERROR('Temp Hisfa'!R$3:R$200), "", ROW('Temp Hisfa'!R$3:R$200)-MIN(ROW('Temp Hisfa'!R$3:R$200))+1), ROW(156:355))),"")</f>
        <v/>
      </c>
      <c r="S158" s="22" t="str">
        <f t="array" ref="S158">IFERROR(INDEX('Temp Hisfa'!S$3:S$200, SMALL(IF(ISERROR('Temp Hisfa'!S$3:S$200), "", ROW('Temp Hisfa'!S$3:S$200)-MIN(ROW('Temp Hisfa'!S$3:S$200))+1), ROW(156:355))),"")</f>
        <v/>
      </c>
      <c r="T158" s="22" t="str">
        <f t="array" ref="T158">IFERROR(INDEX('Temp Hisfa'!T$3:T$200, SMALL(IF(ISERROR('Temp Hisfa'!T$3:T$200), "", ROW('Temp Hisfa'!T$3:T$200)-MIN(ROW('Temp Hisfa'!T$3:T$200))+1), ROW(156:355))),"")</f>
        <v/>
      </c>
      <c r="U158" s="22" t="str">
        <f t="array" ref="U158">IFERROR(INDEX('Temp Hisfa'!U$3:U$200, SMALL(IF(ISERROR('Temp Hisfa'!U$3:U$200), "", ROW('Temp Hisfa'!U$3:U$200)-MIN(ROW('Temp Hisfa'!U$3:U$200))+1), ROW(156:355))),"")</f>
        <v/>
      </c>
      <c r="V158" s="22" t="str">
        <f t="array" ref="V158">IFERROR(INDEX('Temp Hisfa'!V$3:V$200, SMALL(IF(ISERROR('Temp Hisfa'!V$3:V$200), "", ROW('Temp Hisfa'!V$3:V$200)-MIN(ROW('Temp Hisfa'!V$3:V$200))+1), ROW(156:355))),"")</f>
        <v/>
      </c>
      <c r="W158" s="22" t="str">
        <f t="array" ref="W158">IFERROR(INDEX('Temp Hisfa'!W$3:W$200, SMALL(IF(ISERROR('Temp Hisfa'!W$3:W$200), "", ROW('Temp Hisfa'!W$3:W$200)-MIN(ROW('Temp Hisfa'!W$3:W$200))+1), ROW(156:355))),"")</f>
        <v/>
      </c>
      <c r="X158" s="22" t="str">
        <f t="array" ref="X158">IFERROR(INDEX('Temp Hisfa'!X$3:X$200, SMALL(IF(ISERROR('Temp Hisfa'!X$3:X$200), "", ROW('Temp Hisfa'!X$3:X$200)-MIN(ROW('Temp Hisfa'!X$3:X$200))+1), ROW(156:355))),"")</f>
        <v/>
      </c>
      <c r="Y158" s="22" t="str">
        <f t="array" ref="Y158">IFERROR(INDEX('Temp Hisfa'!Y$3:Y$200, SMALL(IF(ISERROR('Temp Hisfa'!Y$3:Y$200), "", ROW('Temp Hisfa'!Y$3:Y$200)-MIN(ROW('Temp Hisfa'!Y$3:Y$200))+1), ROW(156:355))),"")</f>
        <v/>
      </c>
      <c r="Z158" s="22" t="str">
        <f t="array" ref="Z158">IFERROR(INDEX('Temp Hisfa'!Z$3:Z$200, SMALL(IF(ISERROR('Temp Hisfa'!Z$3:Z$200), "", ROW('Temp Hisfa'!Z$3:Z$200)-MIN(ROW('Temp Hisfa'!Z$3:Z$200))+1), ROW(156:355))),"")</f>
        <v/>
      </c>
      <c r="AA158" s="22" t="str">
        <f t="array" ref="AA158">IFERROR(INDEX('Temp Hisfa'!AA$3:AA$200, SMALL(IF(ISERROR('Temp Hisfa'!AA$3:AA$200), "", ROW('Temp Hisfa'!AA$3:AA$200)-MIN(ROW('Temp Hisfa'!AA$3:AA$200))+1), ROW(156:355))),"")</f>
        <v/>
      </c>
      <c r="AB158" s="22" t="str">
        <f t="array" ref="AB158">IFERROR(INDEX('Temp Hisfa'!AB$3:AB$200, SMALL(IF(ISERROR('Temp Hisfa'!AB$3:AB$200), "", ROW('Temp Hisfa'!AB$3:AB$200)-MIN(ROW('Temp Hisfa'!AB$3:AB$200))+1), ROW(156:355))),"")</f>
        <v/>
      </c>
    </row>
    <row r="159" spans="1:28" x14ac:dyDescent="0.3">
      <c r="A159" s="4" t="str">
        <f t="array" ref="A159">IFERROR(INDEX('Temp Hisfa'!A$3:A$200, SMALL(IF(ISERROR('Temp Hisfa'!A$3:A$200), "", ROW('Temp Hisfa'!A$3:A$200)-MIN(ROW('Temp Hisfa'!A$3:A$200))+1), ROW(157:355))),"")</f>
        <v/>
      </c>
      <c r="B159" s="4" t="str">
        <f t="array" ref="B159">IFERROR(INDEX('Temp Hisfa'!B$3:B$200, SMALL(IF(ISERROR('Temp Hisfa'!B$3:B$200), "", ROW('Temp Hisfa'!B$3:B$200)-MIN(ROW('Temp Hisfa'!B$3:B$200))+1), ROW(157:355))),"")</f>
        <v/>
      </c>
      <c r="C159" s="3" t="str">
        <f t="array" ref="C159">IFERROR(INDEX('Temp Hisfa'!C$3:C$200, SMALL(IF(ISERROR('Temp Hisfa'!C$3:C$200), "", ROW('Temp Hisfa'!C$3:C$200)-MIN(ROW('Temp Hisfa'!C$3:C$200))+1), ROW(157:355))),"")</f>
        <v/>
      </c>
      <c r="D159" s="3" t="str">
        <f t="array" ref="D159">IFERROR(INDEX('Temp Hisfa'!D$3:D$200, SMALL(IF(ISERROR('Temp Hisfa'!D$3:D$200), "", ROW('Temp Hisfa'!D$3:D$200)-MIN(ROW('Temp Hisfa'!D$3:D$200))+1), ROW(157:355))),"")</f>
        <v/>
      </c>
      <c r="E159" s="29" t="str">
        <f t="array" ref="E159">IFERROR(INDEX('Temp Hisfa'!E$3:E$200, SMALL(IF(ISERROR('Temp Hisfa'!E$3:E$200), "", ROW('Temp Hisfa'!E$3:E$200)-MIN(ROW('Temp Hisfa'!E$3:E$200))+1), ROW(157:356))),"")</f>
        <v/>
      </c>
      <c r="F159" s="22" t="str">
        <f t="array" ref="F159">IFERROR(INDEX('Temp Hisfa'!F$3:F$200, SMALL(IF(ISERROR('Temp Hisfa'!F$3:F$200), "", ROW('Temp Hisfa'!F$3:F$200)-MIN(ROW('Temp Hisfa'!F$3:F$200))+1), ROW(157:356))),"")</f>
        <v/>
      </c>
      <c r="G159" s="30" t="str">
        <f t="array" ref="G159">IFERROR(INDEX('Temp Hisfa'!G$3:G$200, SMALL(IF(ISERROR('Temp Hisfa'!G$3:G$200), "", ROW('Temp Hisfa'!G$3:G$200)-MIN(ROW('Temp Hisfa'!G$3:G$200))+1), ROW(157:356))),"")</f>
        <v/>
      </c>
      <c r="H159" s="22" t="str">
        <f t="array" ref="H159">IFERROR(INDEX('Temp Hisfa'!H$3:H$200, SMALL(IF(ISERROR('Temp Hisfa'!H$3:H$200), "", ROW('Temp Hisfa'!H$3:H$200)-MIN(ROW('Temp Hisfa'!H$3:H$200))+1), ROW(157:356))),"")</f>
        <v/>
      </c>
      <c r="I159" s="22" t="str">
        <f t="array" ref="I159">IFERROR(INDEX('Temp Hisfa'!I$3:I$200, SMALL(IF(ISERROR('Temp Hisfa'!I$3:I$200), "", ROW('Temp Hisfa'!I$3:I$200)-MIN(ROW('Temp Hisfa'!I$3:I$200))+1), ROW(157:356))),"")</f>
        <v/>
      </c>
      <c r="J159" s="22" t="str">
        <f t="array" ref="J159">IFERROR(INDEX('Temp Hisfa'!J$3:J$200, SMALL(IF(ISERROR('Temp Hisfa'!J$3:J$200), "", ROW('Temp Hisfa'!J$3:J$200)-MIN(ROW('Temp Hisfa'!J$3:J$200))+1), ROW(157:356))),"")</f>
        <v/>
      </c>
      <c r="K159" s="30" t="str">
        <f t="array" ref="K159">IFERROR(INDEX('Temp Hisfa'!K$3:K$200, SMALL(IF(ISERROR('Temp Hisfa'!K$3:K$200), "", ROW('Temp Hisfa'!K$3:K$200)-MIN(ROW('Temp Hisfa'!K$3:K$200))+1), ROW(157:356))),"")</f>
        <v/>
      </c>
      <c r="L159" s="22" t="str">
        <f t="array" ref="L159">IFERROR(INDEX('Temp Hisfa'!L$3:L$200, SMALL(IF(ISERROR('Temp Hisfa'!L$3:L$200), "", ROW('Temp Hisfa'!L$3:L$200)-MIN(ROW('Temp Hisfa'!L$3:L$200))+1), ROW(157:356))),"")</f>
        <v/>
      </c>
      <c r="M159" s="22" t="str">
        <f t="array" ref="M159">IFERROR(INDEX('Temp Hisfa'!M$3:M$200, SMALL(IF(ISERROR('Temp Hisfa'!M$3:M$200), "", ROW('Temp Hisfa'!M$3:M$200)-MIN(ROW('Temp Hisfa'!M$3:M$200))+1), ROW(157:356))),"")</f>
        <v/>
      </c>
      <c r="N159" s="22" t="str">
        <f t="array" ref="N159">IFERROR(INDEX('Temp Hisfa'!N$3:N$200, SMALL(IF(ISERROR('Temp Hisfa'!N$3:N$200), "", ROW('Temp Hisfa'!N$3:N$200)-MIN(ROW('Temp Hisfa'!N$3:N$200))+1), ROW(157:356))),"")</f>
        <v/>
      </c>
      <c r="O159" s="22" t="str">
        <f t="array" ref="O159">IFERROR(INDEX('Temp Hisfa'!O$3:O$200, SMALL(IF(ISERROR('Temp Hisfa'!O$3:O$200), "", ROW('Temp Hisfa'!O$3:O$200)-MIN(ROW('Temp Hisfa'!O$3:O$200))+1), ROW(157:356))),"")</f>
        <v/>
      </c>
      <c r="P159" s="22" t="str">
        <f t="array" ref="P159">IFERROR(INDEX('Temp Hisfa'!P$3:P$200, SMALL(IF(ISERROR('Temp Hisfa'!P$3:P$200), "", ROW('Temp Hisfa'!P$3:P$200)-MIN(ROW('Temp Hisfa'!P$3:P$200))+1), ROW(157:356))),"")</f>
        <v/>
      </c>
      <c r="Q159" s="22" t="str">
        <f t="array" ref="Q159">IFERROR(INDEX('Temp Hisfa'!Q$3:Q$200, SMALL(IF(ISERROR('Temp Hisfa'!Q$3:Q$200), "", ROW('Temp Hisfa'!Q$3:Q$200)-MIN(ROW('Temp Hisfa'!Q$3:Q$200))+1), ROW(157:356))),"")</f>
        <v/>
      </c>
      <c r="R159" s="22" t="str">
        <f t="array" ref="R159">IFERROR(INDEX('Temp Hisfa'!R$3:R$200, SMALL(IF(ISERROR('Temp Hisfa'!R$3:R$200), "", ROW('Temp Hisfa'!R$3:R$200)-MIN(ROW('Temp Hisfa'!R$3:R$200))+1), ROW(157:356))),"")</f>
        <v/>
      </c>
      <c r="S159" s="22" t="str">
        <f t="array" ref="S159">IFERROR(INDEX('Temp Hisfa'!S$3:S$200, SMALL(IF(ISERROR('Temp Hisfa'!S$3:S$200), "", ROW('Temp Hisfa'!S$3:S$200)-MIN(ROW('Temp Hisfa'!S$3:S$200))+1), ROW(157:356))),"")</f>
        <v/>
      </c>
      <c r="T159" s="22" t="str">
        <f t="array" ref="T159">IFERROR(INDEX('Temp Hisfa'!T$3:T$200, SMALL(IF(ISERROR('Temp Hisfa'!T$3:T$200), "", ROW('Temp Hisfa'!T$3:T$200)-MIN(ROW('Temp Hisfa'!T$3:T$200))+1), ROW(157:356))),"")</f>
        <v/>
      </c>
      <c r="U159" s="22" t="str">
        <f t="array" ref="U159">IFERROR(INDEX('Temp Hisfa'!U$3:U$200, SMALL(IF(ISERROR('Temp Hisfa'!U$3:U$200), "", ROW('Temp Hisfa'!U$3:U$200)-MIN(ROW('Temp Hisfa'!U$3:U$200))+1), ROW(157:356))),"")</f>
        <v/>
      </c>
      <c r="V159" s="22" t="str">
        <f t="array" ref="V159">IFERROR(INDEX('Temp Hisfa'!V$3:V$200, SMALL(IF(ISERROR('Temp Hisfa'!V$3:V$200), "", ROW('Temp Hisfa'!V$3:V$200)-MIN(ROW('Temp Hisfa'!V$3:V$200))+1), ROW(157:356))),"")</f>
        <v/>
      </c>
      <c r="W159" s="22" t="str">
        <f t="array" ref="W159">IFERROR(INDEX('Temp Hisfa'!W$3:W$200, SMALL(IF(ISERROR('Temp Hisfa'!W$3:W$200), "", ROW('Temp Hisfa'!W$3:W$200)-MIN(ROW('Temp Hisfa'!W$3:W$200))+1), ROW(157:356))),"")</f>
        <v/>
      </c>
      <c r="X159" s="22" t="str">
        <f t="array" ref="X159">IFERROR(INDEX('Temp Hisfa'!X$3:X$200, SMALL(IF(ISERROR('Temp Hisfa'!X$3:X$200), "", ROW('Temp Hisfa'!X$3:X$200)-MIN(ROW('Temp Hisfa'!X$3:X$200))+1), ROW(157:356))),"")</f>
        <v/>
      </c>
      <c r="Y159" s="22" t="str">
        <f t="array" ref="Y159">IFERROR(INDEX('Temp Hisfa'!Y$3:Y$200, SMALL(IF(ISERROR('Temp Hisfa'!Y$3:Y$200), "", ROW('Temp Hisfa'!Y$3:Y$200)-MIN(ROW('Temp Hisfa'!Y$3:Y$200))+1), ROW(157:356))),"")</f>
        <v/>
      </c>
      <c r="Z159" s="22" t="str">
        <f t="array" ref="Z159">IFERROR(INDEX('Temp Hisfa'!Z$3:Z$200, SMALL(IF(ISERROR('Temp Hisfa'!Z$3:Z$200), "", ROW('Temp Hisfa'!Z$3:Z$200)-MIN(ROW('Temp Hisfa'!Z$3:Z$200))+1), ROW(157:356))),"")</f>
        <v/>
      </c>
      <c r="AA159" s="22" t="str">
        <f t="array" ref="AA159">IFERROR(INDEX('Temp Hisfa'!AA$3:AA$200, SMALL(IF(ISERROR('Temp Hisfa'!AA$3:AA$200), "", ROW('Temp Hisfa'!AA$3:AA$200)-MIN(ROW('Temp Hisfa'!AA$3:AA$200))+1), ROW(157:356))),"")</f>
        <v/>
      </c>
      <c r="AB159" s="22" t="str">
        <f t="array" ref="AB159">IFERROR(INDEX('Temp Hisfa'!AB$3:AB$200, SMALL(IF(ISERROR('Temp Hisfa'!AB$3:AB$200), "", ROW('Temp Hisfa'!AB$3:AB$200)-MIN(ROW('Temp Hisfa'!AB$3:AB$200))+1), ROW(157:356))),"")</f>
        <v/>
      </c>
    </row>
    <row r="160" spans="1:28" x14ac:dyDescent="0.3">
      <c r="A160" s="4" t="str">
        <f t="array" ref="A160">IFERROR(INDEX('Temp Hisfa'!A$3:A$200, SMALL(IF(ISERROR('Temp Hisfa'!A$3:A$200), "", ROW('Temp Hisfa'!A$3:A$200)-MIN(ROW('Temp Hisfa'!A$3:A$200))+1), ROW(158:356))),"")</f>
        <v/>
      </c>
      <c r="B160" s="4" t="str">
        <f t="array" ref="B160">IFERROR(INDEX('Temp Hisfa'!B$3:B$200, SMALL(IF(ISERROR('Temp Hisfa'!B$3:B$200), "", ROW('Temp Hisfa'!B$3:B$200)-MIN(ROW('Temp Hisfa'!B$3:B$200))+1), ROW(158:356))),"")</f>
        <v/>
      </c>
      <c r="C160" s="3" t="str">
        <f t="array" ref="C160">IFERROR(INDEX('Temp Hisfa'!C$3:C$200, SMALL(IF(ISERROR('Temp Hisfa'!C$3:C$200), "", ROW('Temp Hisfa'!C$3:C$200)-MIN(ROW('Temp Hisfa'!C$3:C$200))+1), ROW(158:356))),"")</f>
        <v/>
      </c>
      <c r="D160" s="3" t="str">
        <f t="array" ref="D160">IFERROR(INDEX('Temp Hisfa'!D$3:D$200, SMALL(IF(ISERROR('Temp Hisfa'!D$3:D$200), "", ROW('Temp Hisfa'!D$3:D$200)-MIN(ROW('Temp Hisfa'!D$3:D$200))+1), ROW(158:356))),"")</f>
        <v/>
      </c>
      <c r="E160" s="29" t="str">
        <f t="array" ref="E160">IFERROR(INDEX('Temp Hisfa'!E$3:E$200, SMALL(IF(ISERROR('Temp Hisfa'!E$3:E$200), "", ROW('Temp Hisfa'!E$3:E$200)-MIN(ROW('Temp Hisfa'!E$3:E$200))+1), ROW(158:357))),"")</f>
        <v/>
      </c>
      <c r="F160" s="22" t="str">
        <f t="array" ref="F160">IFERROR(INDEX('Temp Hisfa'!F$3:F$200, SMALL(IF(ISERROR('Temp Hisfa'!F$3:F$200), "", ROW('Temp Hisfa'!F$3:F$200)-MIN(ROW('Temp Hisfa'!F$3:F$200))+1), ROW(158:357))),"")</f>
        <v/>
      </c>
      <c r="G160" s="30" t="str">
        <f t="array" ref="G160">IFERROR(INDEX('Temp Hisfa'!G$3:G$200, SMALL(IF(ISERROR('Temp Hisfa'!G$3:G$200), "", ROW('Temp Hisfa'!G$3:G$200)-MIN(ROW('Temp Hisfa'!G$3:G$200))+1), ROW(158:357))),"")</f>
        <v/>
      </c>
      <c r="H160" s="22" t="str">
        <f t="array" ref="H160">IFERROR(INDEX('Temp Hisfa'!H$3:H$200, SMALL(IF(ISERROR('Temp Hisfa'!H$3:H$200), "", ROW('Temp Hisfa'!H$3:H$200)-MIN(ROW('Temp Hisfa'!H$3:H$200))+1), ROW(158:357))),"")</f>
        <v/>
      </c>
      <c r="I160" s="22" t="str">
        <f t="array" ref="I160">IFERROR(INDEX('Temp Hisfa'!I$3:I$200, SMALL(IF(ISERROR('Temp Hisfa'!I$3:I$200), "", ROW('Temp Hisfa'!I$3:I$200)-MIN(ROW('Temp Hisfa'!I$3:I$200))+1), ROW(158:357))),"")</f>
        <v/>
      </c>
      <c r="J160" s="22" t="str">
        <f t="array" ref="J160">IFERROR(INDEX('Temp Hisfa'!J$3:J$200, SMALL(IF(ISERROR('Temp Hisfa'!J$3:J$200), "", ROW('Temp Hisfa'!J$3:J$200)-MIN(ROW('Temp Hisfa'!J$3:J$200))+1), ROW(158:357))),"")</f>
        <v/>
      </c>
      <c r="K160" s="30" t="str">
        <f t="array" ref="K160">IFERROR(INDEX('Temp Hisfa'!K$3:K$200, SMALL(IF(ISERROR('Temp Hisfa'!K$3:K$200), "", ROW('Temp Hisfa'!K$3:K$200)-MIN(ROW('Temp Hisfa'!K$3:K$200))+1), ROW(158:357))),"")</f>
        <v/>
      </c>
      <c r="L160" s="22" t="str">
        <f t="array" ref="L160">IFERROR(INDEX('Temp Hisfa'!L$3:L$200, SMALL(IF(ISERROR('Temp Hisfa'!L$3:L$200), "", ROW('Temp Hisfa'!L$3:L$200)-MIN(ROW('Temp Hisfa'!L$3:L$200))+1), ROW(158:357))),"")</f>
        <v/>
      </c>
      <c r="M160" s="22" t="str">
        <f t="array" ref="M160">IFERROR(INDEX('Temp Hisfa'!M$3:M$200, SMALL(IF(ISERROR('Temp Hisfa'!M$3:M$200), "", ROW('Temp Hisfa'!M$3:M$200)-MIN(ROW('Temp Hisfa'!M$3:M$200))+1), ROW(158:357))),"")</f>
        <v/>
      </c>
      <c r="N160" s="22" t="str">
        <f t="array" ref="N160">IFERROR(INDEX('Temp Hisfa'!N$3:N$200, SMALL(IF(ISERROR('Temp Hisfa'!N$3:N$200), "", ROW('Temp Hisfa'!N$3:N$200)-MIN(ROW('Temp Hisfa'!N$3:N$200))+1), ROW(158:357))),"")</f>
        <v/>
      </c>
      <c r="O160" s="22" t="str">
        <f t="array" ref="O160">IFERROR(INDEX('Temp Hisfa'!O$3:O$200, SMALL(IF(ISERROR('Temp Hisfa'!O$3:O$200), "", ROW('Temp Hisfa'!O$3:O$200)-MIN(ROW('Temp Hisfa'!O$3:O$200))+1), ROW(158:357))),"")</f>
        <v/>
      </c>
      <c r="P160" s="22" t="str">
        <f t="array" ref="P160">IFERROR(INDEX('Temp Hisfa'!P$3:P$200, SMALL(IF(ISERROR('Temp Hisfa'!P$3:P$200), "", ROW('Temp Hisfa'!P$3:P$200)-MIN(ROW('Temp Hisfa'!P$3:P$200))+1), ROW(158:357))),"")</f>
        <v/>
      </c>
      <c r="Q160" s="22" t="str">
        <f t="array" ref="Q160">IFERROR(INDEX('Temp Hisfa'!Q$3:Q$200, SMALL(IF(ISERROR('Temp Hisfa'!Q$3:Q$200), "", ROW('Temp Hisfa'!Q$3:Q$200)-MIN(ROW('Temp Hisfa'!Q$3:Q$200))+1), ROW(158:357))),"")</f>
        <v/>
      </c>
      <c r="R160" s="22" t="str">
        <f t="array" ref="R160">IFERROR(INDEX('Temp Hisfa'!R$3:R$200, SMALL(IF(ISERROR('Temp Hisfa'!R$3:R$200), "", ROW('Temp Hisfa'!R$3:R$200)-MIN(ROW('Temp Hisfa'!R$3:R$200))+1), ROW(158:357))),"")</f>
        <v/>
      </c>
      <c r="S160" s="22" t="str">
        <f t="array" ref="S160">IFERROR(INDEX('Temp Hisfa'!S$3:S$200, SMALL(IF(ISERROR('Temp Hisfa'!S$3:S$200), "", ROW('Temp Hisfa'!S$3:S$200)-MIN(ROW('Temp Hisfa'!S$3:S$200))+1), ROW(158:357))),"")</f>
        <v/>
      </c>
      <c r="T160" s="22" t="str">
        <f t="array" ref="T160">IFERROR(INDEX('Temp Hisfa'!T$3:T$200, SMALL(IF(ISERROR('Temp Hisfa'!T$3:T$200), "", ROW('Temp Hisfa'!T$3:T$200)-MIN(ROW('Temp Hisfa'!T$3:T$200))+1), ROW(158:357))),"")</f>
        <v/>
      </c>
      <c r="U160" s="22" t="str">
        <f t="array" ref="U160">IFERROR(INDEX('Temp Hisfa'!U$3:U$200, SMALL(IF(ISERROR('Temp Hisfa'!U$3:U$200), "", ROW('Temp Hisfa'!U$3:U$200)-MIN(ROW('Temp Hisfa'!U$3:U$200))+1), ROW(158:357))),"")</f>
        <v/>
      </c>
      <c r="V160" s="22" t="str">
        <f t="array" ref="V160">IFERROR(INDEX('Temp Hisfa'!V$3:V$200, SMALL(IF(ISERROR('Temp Hisfa'!V$3:V$200), "", ROW('Temp Hisfa'!V$3:V$200)-MIN(ROW('Temp Hisfa'!V$3:V$200))+1), ROW(158:357))),"")</f>
        <v/>
      </c>
      <c r="W160" s="22" t="str">
        <f t="array" ref="W160">IFERROR(INDEX('Temp Hisfa'!W$3:W$200, SMALL(IF(ISERROR('Temp Hisfa'!W$3:W$200), "", ROW('Temp Hisfa'!W$3:W$200)-MIN(ROW('Temp Hisfa'!W$3:W$200))+1), ROW(158:357))),"")</f>
        <v/>
      </c>
      <c r="X160" s="22" t="str">
        <f t="array" ref="X160">IFERROR(INDEX('Temp Hisfa'!X$3:X$200, SMALL(IF(ISERROR('Temp Hisfa'!X$3:X$200), "", ROW('Temp Hisfa'!X$3:X$200)-MIN(ROW('Temp Hisfa'!X$3:X$200))+1), ROW(158:357))),"")</f>
        <v/>
      </c>
      <c r="Y160" s="22" t="str">
        <f t="array" ref="Y160">IFERROR(INDEX('Temp Hisfa'!Y$3:Y$200, SMALL(IF(ISERROR('Temp Hisfa'!Y$3:Y$200), "", ROW('Temp Hisfa'!Y$3:Y$200)-MIN(ROW('Temp Hisfa'!Y$3:Y$200))+1), ROW(158:357))),"")</f>
        <v/>
      </c>
      <c r="Z160" s="22" t="str">
        <f t="array" ref="Z160">IFERROR(INDEX('Temp Hisfa'!Z$3:Z$200, SMALL(IF(ISERROR('Temp Hisfa'!Z$3:Z$200), "", ROW('Temp Hisfa'!Z$3:Z$200)-MIN(ROW('Temp Hisfa'!Z$3:Z$200))+1), ROW(158:357))),"")</f>
        <v/>
      </c>
      <c r="AA160" s="22" t="str">
        <f t="array" ref="AA160">IFERROR(INDEX('Temp Hisfa'!AA$3:AA$200, SMALL(IF(ISERROR('Temp Hisfa'!AA$3:AA$200), "", ROW('Temp Hisfa'!AA$3:AA$200)-MIN(ROW('Temp Hisfa'!AA$3:AA$200))+1), ROW(158:357))),"")</f>
        <v/>
      </c>
      <c r="AB160" s="22" t="str">
        <f t="array" ref="AB160">IFERROR(INDEX('Temp Hisfa'!AB$3:AB$200, SMALL(IF(ISERROR('Temp Hisfa'!AB$3:AB$200), "", ROW('Temp Hisfa'!AB$3:AB$200)-MIN(ROW('Temp Hisfa'!AB$3:AB$200))+1), ROW(158:357))),"")</f>
        <v/>
      </c>
    </row>
    <row r="161" spans="1:28" x14ac:dyDescent="0.3">
      <c r="A161" s="4" t="str">
        <f t="array" ref="A161">IFERROR(INDEX('Temp Hisfa'!A$3:A$200, SMALL(IF(ISERROR('Temp Hisfa'!A$3:A$200), "", ROW('Temp Hisfa'!A$3:A$200)-MIN(ROW('Temp Hisfa'!A$3:A$200))+1), ROW(159:357))),"")</f>
        <v/>
      </c>
      <c r="B161" s="4" t="str">
        <f t="array" ref="B161">IFERROR(INDEX('Temp Hisfa'!B$3:B$200, SMALL(IF(ISERROR('Temp Hisfa'!B$3:B$200), "", ROW('Temp Hisfa'!B$3:B$200)-MIN(ROW('Temp Hisfa'!B$3:B$200))+1), ROW(159:357))),"")</f>
        <v/>
      </c>
      <c r="C161" s="3" t="str">
        <f t="array" ref="C161">IFERROR(INDEX('Temp Hisfa'!C$3:C$200, SMALL(IF(ISERROR('Temp Hisfa'!C$3:C$200), "", ROW('Temp Hisfa'!C$3:C$200)-MIN(ROW('Temp Hisfa'!C$3:C$200))+1), ROW(159:357))),"")</f>
        <v/>
      </c>
      <c r="D161" s="3" t="str">
        <f t="array" ref="D161">IFERROR(INDEX('Temp Hisfa'!D$3:D$200, SMALL(IF(ISERROR('Temp Hisfa'!D$3:D$200), "", ROW('Temp Hisfa'!D$3:D$200)-MIN(ROW('Temp Hisfa'!D$3:D$200))+1), ROW(159:357))),"")</f>
        <v/>
      </c>
      <c r="E161" s="29" t="str">
        <f t="array" ref="E161">IFERROR(INDEX('Temp Hisfa'!E$3:E$200, SMALL(IF(ISERROR('Temp Hisfa'!E$3:E$200), "", ROW('Temp Hisfa'!E$3:E$200)-MIN(ROW('Temp Hisfa'!E$3:E$200))+1), ROW(159:358))),"")</f>
        <v/>
      </c>
      <c r="F161" s="22" t="str">
        <f t="array" ref="F161">IFERROR(INDEX('Temp Hisfa'!F$3:F$200, SMALL(IF(ISERROR('Temp Hisfa'!F$3:F$200), "", ROW('Temp Hisfa'!F$3:F$200)-MIN(ROW('Temp Hisfa'!F$3:F$200))+1), ROW(159:358))),"")</f>
        <v/>
      </c>
      <c r="G161" s="30" t="str">
        <f t="array" ref="G161">IFERROR(INDEX('Temp Hisfa'!G$3:G$200, SMALL(IF(ISERROR('Temp Hisfa'!G$3:G$200), "", ROW('Temp Hisfa'!G$3:G$200)-MIN(ROW('Temp Hisfa'!G$3:G$200))+1), ROW(159:358))),"")</f>
        <v/>
      </c>
      <c r="H161" s="22" t="str">
        <f t="array" ref="H161">IFERROR(INDEX('Temp Hisfa'!H$3:H$200, SMALL(IF(ISERROR('Temp Hisfa'!H$3:H$200), "", ROW('Temp Hisfa'!H$3:H$200)-MIN(ROW('Temp Hisfa'!H$3:H$200))+1), ROW(159:358))),"")</f>
        <v/>
      </c>
      <c r="I161" s="22" t="str">
        <f t="array" ref="I161">IFERROR(INDEX('Temp Hisfa'!I$3:I$200, SMALL(IF(ISERROR('Temp Hisfa'!I$3:I$200), "", ROW('Temp Hisfa'!I$3:I$200)-MIN(ROW('Temp Hisfa'!I$3:I$200))+1), ROW(159:358))),"")</f>
        <v/>
      </c>
      <c r="J161" s="22" t="str">
        <f t="array" ref="J161">IFERROR(INDEX('Temp Hisfa'!J$3:J$200, SMALL(IF(ISERROR('Temp Hisfa'!J$3:J$200), "", ROW('Temp Hisfa'!J$3:J$200)-MIN(ROW('Temp Hisfa'!J$3:J$200))+1), ROW(159:358))),"")</f>
        <v/>
      </c>
      <c r="K161" s="30" t="str">
        <f t="array" ref="K161">IFERROR(INDEX('Temp Hisfa'!K$3:K$200, SMALL(IF(ISERROR('Temp Hisfa'!K$3:K$200), "", ROW('Temp Hisfa'!K$3:K$200)-MIN(ROW('Temp Hisfa'!K$3:K$200))+1), ROW(159:358))),"")</f>
        <v/>
      </c>
      <c r="L161" s="22" t="str">
        <f t="array" ref="L161">IFERROR(INDEX('Temp Hisfa'!L$3:L$200, SMALL(IF(ISERROR('Temp Hisfa'!L$3:L$200), "", ROW('Temp Hisfa'!L$3:L$200)-MIN(ROW('Temp Hisfa'!L$3:L$200))+1), ROW(159:358))),"")</f>
        <v/>
      </c>
      <c r="M161" s="22" t="str">
        <f t="array" ref="M161">IFERROR(INDEX('Temp Hisfa'!M$3:M$200, SMALL(IF(ISERROR('Temp Hisfa'!M$3:M$200), "", ROW('Temp Hisfa'!M$3:M$200)-MIN(ROW('Temp Hisfa'!M$3:M$200))+1), ROW(159:358))),"")</f>
        <v/>
      </c>
      <c r="N161" s="22" t="str">
        <f t="array" ref="N161">IFERROR(INDEX('Temp Hisfa'!N$3:N$200, SMALL(IF(ISERROR('Temp Hisfa'!N$3:N$200), "", ROW('Temp Hisfa'!N$3:N$200)-MIN(ROW('Temp Hisfa'!N$3:N$200))+1), ROW(159:358))),"")</f>
        <v/>
      </c>
      <c r="O161" s="22" t="str">
        <f t="array" ref="O161">IFERROR(INDEX('Temp Hisfa'!O$3:O$200, SMALL(IF(ISERROR('Temp Hisfa'!O$3:O$200), "", ROW('Temp Hisfa'!O$3:O$200)-MIN(ROW('Temp Hisfa'!O$3:O$200))+1), ROW(159:358))),"")</f>
        <v/>
      </c>
      <c r="P161" s="22" t="str">
        <f t="array" ref="P161">IFERROR(INDEX('Temp Hisfa'!P$3:P$200, SMALL(IF(ISERROR('Temp Hisfa'!P$3:P$200), "", ROW('Temp Hisfa'!P$3:P$200)-MIN(ROW('Temp Hisfa'!P$3:P$200))+1), ROW(159:358))),"")</f>
        <v/>
      </c>
      <c r="Q161" s="22" t="str">
        <f t="array" ref="Q161">IFERROR(INDEX('Temp Hisfa'!Q$3:Q$200, SMALL(IF(ISERROR('Temp Hisfa'!Q$3:Q$200), "", ROW('Temp Hisfa'!Q$3:Q$200)-MIN(ROW('Temp Hisfa'!Q$3:Q$200))+1), ROW(159:358))),"")</f>
        <v/>
      </c>
      <c r="R161" s="22" t="str">
        <f t="array" ref="R161">IFERROR(INDEX('Temp Hisfa'!R$3:R$200, SMALL(IF(ISERROR('Temp Hisfa'!R$3:R$200), "", ROW('Temp Hisfa'!R$3:R$200)-MIN(ROW('Temp Hisfa'!R$3:R$200))+1), ROW(159:358))),"")</f>
        <v/>
      </c>
      <c r="S161" s="22" t="str">
        <f t="array" ref="S161">IFERROR(INDEX('Temp Hisfa'!S$3:S$200, SMALL(IF(ISERROR('Temp Hisfa'!S$3:S$200), "", ROW('Temp Hisfa'!S$3:S$200)-MIN(ROW('Temp Hisfa'!S$3:S$200))+1), ROW(159:358))),"")</f>
        <v/>
      </c>
      <c r="T161" s="22" t="str">
        <f t="array" ref="T161">IFERROR(INDEX('Temp Hisfa'!T$3:T$200, SMALL(IF(ISERROR('Temp Hisfa'!T$3:T$200), "", ROW('Temp Hisfa'!T$3:T$200)-MIN(ROW('Temp Hisfa'!T$3:T$200))+1), ROW(159:358))),"")</f>
        <v/>
      </c>
      <c r="U161" s="22" t="str">
        <f t="array" ref="U161">IFERROR(INDEX('Temp Hisfa'!U$3:U$200, SMALL(IF(ISERROR('Temp Hisfa'!U$3:U$200), "", ROW('Temp Hisfa'!U$3:U$200)-MIN(ROW('Temp Hisfa'!U$3:U$200))+1), ROW(159:358))),"")</f>
        <v/>
      </c>
      <c r="V161" s="22" t="str">
        <f t="array" ref="V161">IFERROR(INDEX('Temp Hisfa'!V$3:V$200, SMALL(IF(ISERROR('Temp Hisfa'!V$3:V$200), "", ROW('Temp Hisfa'!V$3:V$200)-MIN(ROW('Temp Hisfa'!V$3:V$200))+1), ROW(159:358))),"")</f>
        <v/>
      </c>
      <c r="W161" s="22" t="str">
        <f t="array" ref="W161">IFERROR(INDEX('Temp Hisfa'!W$3:W$200, SMALL(IF(ISERROR('Temp Hisfa'!W$3:W$200), "", ROW('Temp Hisfa'!W$3:W$200)-MIN(ROW('Temp Hisfa'!W$3:W$200))+1), ROW(159:358))),"")</f>
        <v/>
      </c>
      <c r="X161" s="22" t="str">
        <f t="array" ref="X161">IFERROR(INDEX('Temp Hisfa'!X$3:X$200, SMALL(IF(ISERROR('Temp Hisfa'!X$3:X$200), "", ROW('Temp Hisfa'!X$3:X$200)-MIN(ROW('Temp Hisfa'!X$3:X$200))+1), ROW(159:358))),"")</f>
        <v/>
      </c>
      <c r="Y161" s="22" t="str">
        <f t="array" ref="Y161">IFERROR(INDEX('Temp Hisfa'!Y$3:Y$200, SMALL(IF(ISERROR('Temp Hisfa'!Y$3:Y$200), "", ROW('Temp Hisfa'!Y$3:Y$200)-MIN(ROW('Temp Hisfa'!Y$3:Y$200))+1), ROW(159:358))),"")</f>
        <v/>
      </c>
      <c r="Z161" s="22" t="str">
        <f t="array" ref="Z161">IFERROR(INDEX('Temp Hisfa'!Z$3:Z$200, SMALL(IF(ISERROR('Temp Hisfa'!Z$3:Z$200), "", ROW('Temp Hisfa'!Z$3:Z$200)-MIN(ROW('Temp Hisfa'!Z$3:Z$200))+1), ROW(159:358))),"")</f>
        <v/>
      </c>
      <c r="AA161" s="22" t="str">
        <f t="array" ref="AA161">IFERROR(INDEX('Temp Hisfa'!AA$3:AA$200, SMALL(IF(ISERROR('Temp Hisfa'!AA$3:AA$200), "", ROW('Temp Hisfa'!AA$3:AA$200)-MIN(ROW('Temp Hisfa'!AA$3:AA$200))+1), ROW(159:358))),"")</f>
        <v/>
      </c>
      <c r="AB161" s="22" t="str">
        <f t="array" ref="AB161">IFERROR(INDEX('Temp Hisfa'!AB$3:AB$200, SMALL(IF(ISERROR('Temp Hisfa'!AB$3:AB$200), "", ROW('Temp Hisfa'!AB$3:AB$200)-MIN(ROW('Temp Hisfa'!AB$3:AB$200))+1), ROW(159:358))),"")</f>
        <v/>
      </c>
    </row>
    <row r="162" spans="1:28" x14ac:dyDescent="0.3">
      <c r="A162" s="4" t="str">
        <f t="array" ref="A162">IFERROR(INDEX('Temp Hisfa'!A$3:A$200, SMALL(IF(ISERROR('Temp Hisfa'!A$3:A$200), "", ROW('Temp Hisfa'!A$3:A$200)-MIN(ROW('Temp Hisfa'!A$3:A$200))+1), ROW(160:358))),"")</f>
        <v/>
      </c>
      <c r="B162" s="4" t="str">
        <f t="array" ref="B162">IFERROR(INDEX('Temp Hisfa'!B$3:B$200, SMALL(IF(ISERROR('Temp Hisfa'!B$3:B$200), "", ROW('Temp Hisfa'!B$3:B$200)-MIN(ROW('Temp Hisfa'!B$3:B$200))+1), ROW(160:358))),"")</f>
        <v/>
      </c>
      <c r="C162" s="3" t="str">
        <f t="array" ref="C162">IFERROR(INDEX('Temp Hisfa'!C$3:C$200, SMALL(IF(ISERROR('Temp Hisfa'!C$3:C$200), "", ROW('Temp Hisfa'!C$3:C$200)-MIN(ROW('Temp Hisfa'!C$3:C$200))+1), ROW(160:358))),"")</f>
        <v/>
      </c>
      <c r="D162" s="3" t="str">
        <f t="array" ref="D162">IFERROR(INDEX('Temp Hisfa'!D$3:D$200, SMALL(IF(ISERROR('Temp Hisfa'!D$3:D$200), "", ROW('Temp Hisfa'!D$3:D$200)-MIN(ROW('Temp Hisfa'!D$3:D$200))+1), ROW(160:358))),"")</f>
        <v/>
      </c>
      <c r="E162" s="29" t="str">
        <f t="array" ref="E162">IFERROR(INDEX('Temp Hisfa'!E$3:E$200, SMALL(IF(ISERROR('Temp Hisfa'!E$3:E$200), "", ROW('Temp Hisfa'!E$3:E$200)-MIN(ROW('Temp Hisfa'!E$3:E$200))+1), ROW(160:359))),"")</f>
        <v/>
      </c>
      <c r="F162" s="22" t="str">
        <f t="array" ref="F162">IFERROR(INDEX('Temp Hisfa'!F$3:F$200, SMALL(IF(ISERROR('Temp Hisfa'!F$3:F$200), "", ROW('Temp Hisfa'!F$3:F$200)-MIN(ROW('Temp Hisfa'!F$3:F$200))+1), ROW(160:359))),"")</f>
        <v/>
      </c>
      <c r="G162" s="30" t="str">
        <f t="array" ref="G162">IFERROR(INDEX('Temp Hisfa'!G$3:G$200, SMALL(IF(ISERROR('Temp Hisfa'!G$3:G$200), "", ROW('Temp Hisfa'!G$3:G$200)-MIN(ROW('Temp Hisfa'!G$3:G$200))+1), ROW(160:359))),"")</f>
        <v/>
      </c>
      <c r="H162" s="22" t="str">
        <f t="array" ref="H162">IFERROR(INDEX('Temp Hisfa'!H$3:H$200, SMALL(IF(ISERROR('Temp Hisfa'!H$3:H$200), "", ROW('Temp Hisfa'!H$3:H$200)-MIN(ROW('Temp Hisfa'!H$3:H$200))+1), ROW(160:359))),"")</f>
        <v/>
      </c>
      <c r="I162" s="22" t="str">
        <f t="array" ref="I162">IFERROR(INDEX('Temp Hisfa'!I$3:I$200, SMALL(IF(ISERROR('Temp Hisfa'!I$3:I$200), "", ROW('Temp Hisfa'!I$3:I$200)-MIN(ROW('Temp Hisfa'!I$3:I$200))+1), ROW(160:359))),"")</f>
        <v/>
      </c>
      <c r="J162" s="22" t="str">
        <f t="array" ref="J162">IFERROR(INDEX('Temp Hisfa'!J$3:J$200, SMALL(IF(ISERROR('Temp Hisfa'!J$3:J$200), "", ROW('Temp Hisfa'!J$3:J$200)-MIN(ROW('Temp Hisfa'!J$3:J$200))+1), ROW(160:359))),"")</f>
        <v/>
      </c>
      <c r="K162" s="30" t="str">
        <f t="array" ref="K162">IFERROR(INDEX('Temp Hisfa'!K$3:K$200, SMALL(IF(ISERROR('Temp Hisfa'!K$3:K$200), "", ROW('Temp Hisfa'!K$3:K$200)-MIN(ROW('Temp Hisfa'!K$3:K$200))+1), ROW(160:359))),"")</f>
        <v/>
      </c>
      <c r="L162" s="22" t="str">
        <f t="array" ref="L162">IFERROR(INDEX('Temp Hisfa'!L$3:L$200, SMALL(IF(ISERROR('Temp Hisfa'!L$3:L$200), "", ROW('Temp Hisfa'!L$3:L$200)-MIN(ROW('Temp Hisfa'!L$3:L$200))+1), ROW(160:359))),"")</f>
        <v/>
      </c>
      <c r="M162" s="22" t="str">
        <f t="array" ref="M162">IFERROR(INDEX('Temp Hisfa'!M$3:M$200, SMALL(IF(ISERROR('Temp Hisfa'!M$3:M$200), "", ROW('Temp Hisfa'!M$3:M$200)-MIN(ROW('Temp Hisfa'!M$3:M$200))+1), ROW(160:359))),"")</f>
        <v/>
      </c>
      <c r="N162" s="22" t="str">
        <f t="array" ref="N162">IFERROR(INDEX('Temp Hisfa'!N$3:N$200, SMALL(IF(ISERROR('Temp Hisfa'!N$3:N$200), "", ROW('Temp Hisfa'!N$3:N$200)-MIN(ROW('Temp Hisfa'!N$3:N$200))+1), ROW(160:359))),"")</f>
        <v/>
      </c>
      <c r="O162" s="22" t="str">
        <f t="array" ref="O162">IFERROR(INDEX('Temp Hisfa'!O$3:O$200, SMALL(IF(ISERROR('Temp Hisfa'!O$3:O$200), "", ROW('Temp Hisfa'!O$3:O$200)-MIN(ROW('Temp Hisfa'!O$3:O$200))+1), ROW(160:359))),"")</f>
        <v/>
      </c>
      <c r="P162" s="22" t="str">
        <f t="array" ref="P162">IFERROR(INDEX('Temp Hisfa'!P$3:P$200, SMALL(IF(ISERROR('Temp Hisfa'!P$3:P$200), "", ROW('Temp Hisfa'!P$3:P$200)-MIN(ROW('Temp Hisfa'!P$3:P$200))+1), ROW(160:359))),"")</f>
        <v/>
      </c>
      <c r="Q162" s="22" t="str">
        <f t="array" ref="Q162">IFERROR(INDEX('Temp Hisfa'!Q$3:Q$200, SMALL(IF(ISERROR('Temp Hisfa'!Q$3:Q$200), "", ROW('Temp Hisfa'!Q$3:Q$200)-MIN(ROW('Temp Hisfa'!Q$3:Q$200))+1), ROW(160:359))),"")</f>
        <v/>
      </c>
      <c r="R162" s="22" t="str">
        <f t="array" ref="R162">IFERROR(INDEX('Temp Hisfa'!R$3:R$200, SMALL(IF(ISERROR('Temp Hisfa'!R$3:R$200), "", ROW('Temp Hisfa'!R$3:R$200)-MIN(ROW('Temp Hisfa'!R$3:R$200))+1), ROW(160:359))),"")</f>
        <v/>
      </c>
      <c r="S162" s="22" t="str">
        <f t="array" ref="S162">IFERROR(INDEX('Temp Hisfa'!S$3:S$200, SMALL(IF(ISERROR('Temp Hisfa'!S$3:S$200), "", ROW('Temp Hisfa'!S$3:S$200)-MIN(ROW('Temp Hisfa'!S$3:S$200))+1), ROW(160:359))),"")</f>
        <v/>
      </c>
      <c r="T162" s="22" t="str">
        <f t="array" ref="T162">IFERROR(INDEX('Temp Hisfa'!T$3:T$200, SMALL(IF(ISERROR('Temp Hisfa'!T$3:T$200), "", ROW('Temp Hisfa'!T$3:T$200)-MIN(ROW('Temp Hisfa'!T$3:T$200))+1), ROW(160:359))),"")</f>
        <v/>
      </c>
      <c r="U162" s="22" t="str">
        <f t="array" ref="U162">IFERROR(INDEX('Temp Hisfa'!U$3:U$200, SMALL(IF(ISERROR('Temp Hisfa'!U$3:U$200), "", ROW('Temp Hisfa'!U$3:U$200)-MIN(ROW('Temp Hisfa'!U$3:U$200))+1), ROW(160:359))),"")</f>
        <v/>
      </c>
      <c r="V162" s="22" t="str">
        <f t="array" ref="V162">IFERROR(INDEX('Temp Hisfa'!V$3:V$200, SMALL(IF(ISERROR('Temp Hisfa'!V$3:V$200), "", ROW('Temp Hisfa'!V$3:V$200)-MIN(ROW('Temp Hisfa'!V$3:V$200))+1), ROW(160:359))),"")</f>
        <v/>
      </c>
      <c r="W162" s="22" t="str">
        <f t="array" ref="W162">IFERROR(INDEX('Temp Hisfa'!W$3:W$200, SMALL(IF(ISERROR('Temp Hisfa'!W$3:W$200), "", ROW('Temp Hisfa'!W$3:W$200)-MIN(ROW('Temp Hisfa'!W$3:W$200))+1), ROW(160:359))),"")</f>
        <v/>
      </c>
      <c r="X162" s="22" t="str">
        <f t="array" ref="X162">IFERROR(INDEX('Temp Hisfa'!X$3:X$200, SMALL(IF(ISERROR('Temp Hisfa'!X$3:X$200), "", ROW('Temp Hisfa'!X$3:X$200)-MIN(ROW('Temp Hisfa'!X$3:X$200))+1), ROW(160:359))),"")</f>
        <v/>
      </c>
      <c r="Y162" s="22" t="str">
        <f t="array" ref="Y162">IFERROR(INDEX('Temp Hisfa'!Y$3:Y$200, SMALL(IF(ISERROR('Temp Hisfa'!Y$3:Y$200), "", ROW('Temp Hisfa'!Y$3:Y$200)-MIN(ROW('Temp Hisfa'!Y$3:Y$200))+1), ROW(160:359))),"")</f>
        <v/>
      </c>
      <c r="Z162" s="22" t="str">
        <f t="array" ref="Z162">IFERROR(INDEX('Temp Hisfa'!Z$3:Z$200, SMALL(IF(ISERROR('Temp Hisfa'!Z$3:Z$200), "", ROW('Temp Hisfa'!Z$3:Z$200)-MIN(ROW('Temp Hisfa'!Z$3:Z$200))+1), ROW(160:359))),"")</f>
        <v/>
      </c>
      <c r="AA162" s="22" t="str">
        <f t="array" ref="AA162">IFERROR(INDEX('Temp Hisfa'!AA$3:AA$200, SMALL(IF(ISERROR('Temp Hisfa'!AA$3:AA$200), "", ROW('Temp Hisfa'!AA$3:AA$200)-MIN(ROW('Temp Hisfa'!AA$3:AA$200))+1), ROW(160:359))),"")</f>
        <v/>
      </c>
      <c r="AB162" s="22" t="str">
        <f t="array" ref="AB162">IFERROR(INDEX('Temp Hisfa'!AB$3:AB$200, SMALL(IF(ISERROR('Temp Hisfa'!AB$3:AB$200), "", ROW('Temp Hisfa'!AB$3:AB$200)-MIN(ROW('Temp Hisfa'!AB$3:AB$200))+1), ROW(160:359))),"")</f>
        <v/>
      </c>
    </row>
    <row r="163" spans="1:28" x14ac:dyDescent="0.3">
      <c r="A163" s="4" t="str">
        <f t="array" ref="A163">IFERROR(INDEX('Temp Hisfa'!A$3:A$200, SMALL(IF(ISERROR('Temp Hisfa'!A$3:A$200), "", ROW('Temp Hisfa'!A$3:A$200)-MIN(ROW('Temp Hisfa'!A$3:A$200))+1), ROW(161:359))),"")</f>
        <v/>
      </c>
      <c r="B163" s="4" t="str">
        <f t="array" ref="B163">IFERROR(INDEX('Temp Hisfa'!B$3:B$200, SMALL(IF(ISERROR('Temp Hisfa'!B$3:B$200), "", ROW('Temp Hisfa'!B$3:B$200)-MIN(ROW('Temp Hisfa'!B$3:B$200))+1), ROW(161:359))),"")</f>
        <v/>
      </c>
      <c r="C163" s="3" t="str">
        <f t="array" ref="C163">IFERROR(INDEX('Temp Hisfa'!C$3:C$200, SMALL(IF(ISERROR('Temp Hisfa'!C$3:C$200), "", ROW('Temp Hisfa'!C$3:C$200)-MIN(ROW('Temp Hisfa'!C$3:C$200))+1), ROW(161:359))),"")</f>
        <v/>
      </c>
      <c r="D163" s="3" t="str">
        <f t="array" ref="D163">IFERROR(INDEX('Temp Hisfa'!D$3:D$200, SMALL(IF(ISERROR('Temp Hisfa'!D$3:D$200), "", ROW('Temp Hisfa'!D$3:D$200)-MIN(ROW('Temp Hisfa'!D$3:D$200))+1), ROW(161:359))),"")</f>
        <v/>
      </c>
      <c r="E163" s="29" t="str">
        <f t="array" ref="E163">IFERROR(INDEX('Temp Hisfa'!E$3:E$200, SMALL(IF(ISERROR('Temp Hisfa'!E$3:E$200), "", ROW('Temp Hisfa'!E$3:E$200)-MIN(ROW('Temp Hisfa'!E$3:E$200))+1), ROW(161:360))),"")</f>
        <v/>
      </c>
      <c r="F163" s="22" t="str">
        <f t="array" ref="F163">IFERROR(INDEX('Temp Hisfa'!F$3:F$200, SMALL(IF(ISERROR('Temp Hisfa'!F$3:F$200), "", ROW('Temp Hisfa'!F$3:F$200)-MIN(ROW('Temp Hisfa'!F$3:F$200))+1), ROW(161:360))),"")</f>
        <v/>
      </c>
      <c r="G163" s="30" t="str">
        <f t="array" ref="G163">IFERROR(INDEX('Temp Hisfa'!G$3:G$200, SMALL(IF(ISERROR('Temp Hisfa'!G$3:G$200), "", ROW('Temp Hisfa'!G$3:G$200)-MIN(ROW('Temp Hisfa'!G$3:G$200))+1), ROW(161:360))),"")</f>
        <v/>
      </c>
      <c r="H163" s="22" t="str">
        <f t="array" ref="H163">IFERROR(INDEX('Temp Hisfa'!H$3:H$200, SMALL(IF(ISERROR('Temp Hisfa'!H$3:H$200), "", ROW('Temp Hisfa'!H$3:H$200)-MIN(ROW('Temp Hisfa'!H$3:H$200))+1), ROW(161:360))),"")</f>
        <v/>
      </c>
      <c r="I163" s="22" t="str">
        <f t="array" ref="I163">IFERROR(INDEX('Temp Hisfa'!I$3:I$200, SMALL(IF(ISERROR('Temp Hisfa'!I$3:I$200), "", ROW('Temp Hisfa'!I$3:I$200)-MIN(ROW('Temp Hisfa'!I$3:I$200))+1), ROW(161:360))),"")</f>
        <v/>
      </c>
      <c r="J163" s="22" t="str">
        <f t="array" ref="J163">IFERROR(INDEX('Temp Hisfa'!J$3:J$200, SMALL(IF(ISERROR('Temp Hisfa'!J$3:J$200), "", ROW('Temp Hisfa'!J$3:J$200)-MIN(ROW('Temp Hisfa'!J$3:J$200))+1), ROW(161:360))),"")</f>
        <v/>
      </c>
      <c r="K163" s="30" t="str">
        <f t="array" ref="K163">IFERROR(INDEX('Temp Hisfa'!K$3:K$200, SMALL(IF(ISERROR('Temp Hisfa'!K$3:K$200), "", ROW('Temp Hisfa'!K$3:K$200)-MIN(ROW('Temp Hisfa'!K$3:K$200))+1), ROW(161:360))),"")</f>
        <v/>
      </c>
      <c r="L163" s="22" t="str">
        <f t="array" ref="L163">IFERROR(INDEX('Temp Hisfa'!L$3:L$200, SMALL(IF(ISERROR('Temp Hisfa'!L$3:L$200), "", ROW('Temp Hisfa'!L$3:L$200)-MIN(ROW('Temp Hisfa'!L$3:L$200))+1), ROW(161:360))),"")</f>
        <v/>
      </c>
      <c r="M163" s="22" t="str">
        <f t="array" ref="M163">IFERROR(INDEX('Temp Hisfa'!M$3:M$200, SMALL(IF(ISERROR('Temp Hisfa'!M$3:M$200), "", ROW('Temp Hisfa'!M$3:M$200)-MIN(ROW('Temp Hisfa'!M$3:M$200))+1), ROW(161:360))),"")</f>
        <v/>
      </c>
      <c r="N163" s="22" t="str">
        <f t="array" ref="N163">IFERROR(INDEX('Temp Hisfa'!N$3:N$200, SMALL(IF(ISERROR('Temp Hisfa'!N$3:N$200), "", ROW('Temp Hisfa'!N$3:N$200)-MIN(ROW('Temp Hisfa'!N$3:N$200))+1), ROW(161:360))),"")</f>
        <v/>
      </c>
      <c r="O163" s="22" t="str">
        <f t="array" ref="O163">IFERROR(INDEX('Temp Hisfa'!O$3:O$200, SMALL(IF(ISERROR('Temp Hisfa'!O$3:O$200), "", ROW('Temp Hisfa'!O$3:O$200)-MIN(ROW('Temp Hisfa'!O$3:O$200))+1), ROW(161:360))),"")</f>
        <v/>
      </c>
      <c r="P163" s="22" t="str">
        <f t="array" ref="P163">IFERROR(INDEX('Temp Hisfa'!P$3:P$200, SMALL(IF(ISERROR('Temp Hisfa'!P$3:P$200), "", ROW('Temp Hisfa'!P$3:P$200)-MIN(ROW('Temp Hisfa'!P$3:P$200))+1), ROW(161:360))),"")</f>
        <v/>
      </c>
      <c r="Q163" s="22" t="str">
        <f t="array" ref="Q163">IFERROR(INDEX('Temp Hisfa'!Q$3:Q$200, SMALL(IF(ISERROR('Temp Hisfa'!Q$3:Q$200), "", ROW('Temp Hisfa'!Q$3:Q$200)-MIN(ROW('Temp Hisfa'!Q$3:Q$200))+1), ROW(161:360))),"")</f>
        <v/>
      </c>
      <c r="R163" s="22" t="str">
        <f t="array" ref="R163">IFERROR(INDEX('Temp Hisfa'!R$3:R$200, SMALL(IF(ISERROR('Temp Hisfa'!R$3:R$200), "", ROW('Temp Hisfa'!R$3:R$200)-MIN(ROW('Temp Hisfa'!R$3:R$200))+1), ROW(161:360))),"")</f>
        <v/>
      </c>
      <c r="S163" s="22" t="str">
        <f t="array" ref="S163">IFERROR(INDEX('Temp Hisfa'!S$3:S$200, SMALL(IF(ISERROR('Temp Hisfa'!S$3:S$200), "", ROW('Temp Hisfa'!S$3:S$200)-MIN(ROW('Temp Hisfa'!S$3:S$200))+1), ROW(161:360))),"")</f>
        <v/>
      </c>
      <c r="T163" s="22" t="str">
        <f t="array" ref="T163">IFERROR(INDEX('Temp Hisfa'!T$3:T$200, SMALL(IF(ISERROR('Temp Hisfa'!T$3:T$200), "", ROW('Temp Hisfa'!T$3:T$200)-MIN(ROW('Temp Hisfa'!T$3:T$200))+1), ROW(161:360))),"")</f>
        <v/>
      </c>
      <c r="U163" s="22" t="str">
        <f t="array" ref="U163">IFERROR(INDEX('Temp Hisfa'!U$3:U$200, SMALL(IF(ISERROR('Temp Hisfa'!U$3:U$200), "", ROW('Temp Hisfa'!U$3:U$200)-MIN(ROW('Temp Hisfa'!U$3:U$200))+1), ROW(161:360))),"")</f>
        <v/>
      </c>
      <c r="V163" s="22" t="str">
        <f t="array" ref="V163">IFERROR(INDEX('Temp Hisfa'!V$3:V$200, SMALL(IF(ISERROR('Temp Hisfa'!V$3:V$200), "", ROW('Temp Hisfa'!V$3:V$200)-MIN(ROW('Temp Hisfa'!V$3:V$200))+1), ROW(161:360))),"")</f>
        <v/>
      </c>
      <c r="W163" s="22" t="str">
        <f t="array" ref="W163">IFERROR(INDEX('Temp Hisfa'!W$3:W$200, SMALL(IF(ISERROR('Temp Hisfa'!W$3:W$200), "", ROW('Temp Hisfa'!W$3:W$200)-MIN(ROW('Temp Hisfa'!W$3:W$200))+1), ROW(161:360))),"")</f>
        <v/>
      </c>
      <c r="X163" s="22" t="str">
        <f t="array" ref="X163">IFERROR(INDEX('Temp Hisfa'!X$3:X$200, SMALL(IF(ISERROR('Temp Hisfa'!X$3:X$200), "", ROW('Temp Hisfa'!X$3:X$200)-MIN(ROW('Temp Hisfa'!X$3:X$200))+1), ROW(161:360))),"")</f>
        <v/>
      </c>
      <c r="Y163" s="22" t="str">
        <f t="array" ref="Y163">IFERROR(INDEX('Temp Hisfa'!Y$3:Y$200, SMALL(IF(ISERROR('Temp Hisfa'!Y$3:Y$200), "", ROW('Temp Hisfa'!Y$3:Y$200)-MIN(ROW('Temp Hisfa'!Y$3:Y$200))+1), ROW(161:360))),"")</f>
        <v/>
      </c>
      <c r="Z163" s="22" t="str">
        <f t="array" ref="Z163">IFERROR(INDEX('Temp Hisfa'!Z$3:Z$200, SMALL(IF(ISERROR('Temp Hisfa'!Z$3:Z$200), "", ROW('Temp Hisfa'!Z$3:Z$200)-MIN(ROW('Temp Hisfa'!Z$3:Z$200))+1), ROW(161:360))),"")</f>
        <v/>
      </c>
      <c r="AA163" s="22" t="str">
        <f t="array" ref="AA163">IFERROR(INDEX('Temp Hisfa'!AA$3:AA$200, SMALL(IF(ISERROR('Temp Hisfa'!AA$3:AA$200), "", ROW('Temp Hisfa'!AA$3:AA$200)-MIN(ROW('Temp Hisfa'!AA$3:AA$200))+1), ROW(161:360))),"")</f>
        <v/>
      </c>
      <c r="AB163" s="22" t="str">
        <f t="array" ref="AB163">IFERROR(INDEX('Temp Hisfa'!AB$3:AB$200, SMALL(IF(ISERROR('Temp Hisfa'!AB$3:AB$200), "", ROW('Temp Hisfa'!AB$3:AB$200)-MIN(ROW('Temp Hisfa'!AB$3:AB$200))+1), ROW(161:360))),"")</f>
        <v/>
      </c>
    </row>
    <row r="164" spans="1:28" x14ac:dyDescent="0.3">
      <c r="A164" s="4" t="str">
        <f t="array" ref="A164">IFERROR(INDEX('Temp Hisfa'!A$3:A$200, SMALL(IF(ISERROR('Temp Hisfa'!A$3:A$200), "", ROW('Temp Hisfa'!A$3:A$200)-MIN(ROW('Temp Hisfa'!A$3:A$200))+1), ROW(162:360))),"")</f>
        <v/>
      </c>
      <c r="B164" s="4" t="str">
        <f t="array" ref="B164">IFERROR(INDEX('Temp Hisfa'!B$3:B$200, SMALL(IF(ISERROR('Temp Hisfa'!B$3:B$200), "", ROW('Temp Hisfa'!B$3:B$200)-MIN(ROW('Temp Hisfa'!B$3:B$200))+1), ROW(162:360))),"")</f>
        <v/>
      </c>
      <c r="C164" s="3" t="str">
        <f t="array" ref="C164">IFERROR(INDEX('Temp Hisfa'!C$3:C$200, SMALL(IF(ISERROR('Temp Hisfa'!C$3:C$200), "", ROW('Temp Hisfa'!C$3:C$200)-MIN(ROW('Temp Hisfa'!C$3:C$200))+1), ROW(162:360))),"")</f>
        <v/>
      </c>
      <c r="D164" s="3" t="str">
        <f t="array" ref="D164">IFERROR(INDEX('Temp Hisfa'!D$3:D$200, SMALL(IF(ISERROR('Temp Hisfa'!D$3:D$200), "", ROW('Temp Hisfa'!D$3:D$200)-MIN(ROW('Temp Hisfa'!D$3:D$200))+1), ROW(162:360))),"")</f>
        <v/>
      </c>
      <c r="E164" s="29" t="str">
        <f t="array" ref="E164">IFERROR(INDEX('Temp Hisfa'!E$3:E$200, SMALL(IF(ISERROR('Temp Hisfa'!E$3:E$200), "", ROW('Temp Hisfa'!E$3:E$200)-MIN(ROW('Temp Hisfa'!E$3:E$200))+1), ROW(162:361))),"")</f>
        <v/>
      </c>
      <c r="F164" s="22" t="str">
        <f t="array" ref="F164">IFERROR(INDEX('Temp Hisfa'!F$3:F$200, SMALL(IF(ISERROR('Temp Hisfa'!F$3:F$200), "", ROW('Temp Hisfa'!F$3:F$200)-MIN(ROW('Temp Hisfa'!F$3:F$200))+1), ROW(162:361))),"")</f>
        <v/>
      </c>
      <c r="G164" s="30" t="str">
        <f t="array" ref="G164">IFERROR(INDEX('Temp Hisfa'!G$3:G$200, SMALL(IF(ISERROR('Temp Hisfa'!G$3:G$200), "", ROW('Temp Hisfa'!G$3:G$200)-MIN(ROW('Temp Hisfa'!G$3:G$200))+1), ROW(162:361))),"")</f>
        <v/>
      </c>
      <c r="H164" s="22" t="str">
        <f t="array" ref="H164">IFERROR(INDEX('Temp Hisfa'!H$3:H$200, SMALL(IF(ISERROR('Temp Hisfa'!H$3:H$200), "", ROW('Temp Hisfa'!H$3:H$200)-MIN(ROW('Temp Hisfa'!H$3:H$200))+1), ROW(162:361))),"")</f>
        <v/>
      </c>
      <c r="I164" s="22" t="str">
        <f t="array" ref="I164">IFERROR(INDEX('Temp Hisfa'!I$3:I$200, SMALL(IF(ISERROR('Temp Hisfa'!I$3:I$200), "", ROW('Temp Hisfa'!I$3:I$200)-MIN(ROW('Temp Hisfa'!I$3:I$200))+1), ROW(162:361))),"")</f>
        <v/>
      </c>
      <c r="J164" s="22" t="str">
        <f t="array" ref="J164">IFERROR(INDEX('Temp Hisfa'!J$3:J$200, SMALL(IF(ISERROR('Temp Hisfa'!J$3:J$200), "", ROW('Temp Hisfa'!J$3:J$200)-MIN(ROW('Temp Hisfa'!J$3:J$200))+1), ROW(162:361))),"")</f>
        <v/>
      </c>
      <c r="K164" s="30" t="str">
        <f t="array" ref="K164">IFERROR(INDEX('Temp Hisfa'!K$3:K$200, SMALL(IF(ISERROR('Temp Hisfa'!K$3:K$200), "", ROW('Temp Hisfa'!K$3:K$200)-MIN(ROW('Temp Hisfa'!K$3:K$200))+1), ROW(162:361))),"")</f>
        <v/>
      </c>
      <c r="L164" s="22" t="str">
        <f t="array" ref="L164">IFERROR(INDEX('Temp Hisfa'!L$3:L$200, SMALL(IF(ISERROR('Temp Hisfa'!L$3:L$200), "", ROW('Temp Hisfa'!L$3:L$200)-MIN(ROW('Temp Hisfa'!L$3:L$200))+1), ROW(162:361))),"")</f>
        <v/>
      </c>
      <c r="M164" s="22" t="str">
        <f t="array" ref="M164">IFERROR(INDEX('Temp Hisfa'!M$3:M$200, SMALL(IF(ISERROR('Temp Hisfa'!M$3:M$200), "", ROW('Temp Hisfa'!M$3:M$200)-MIN(ROW('Temp Hisfa'!M$3:M$200))+1), ROW(162:361))),"")</f>
        <v/>
      </c>
      <c r="N164" s="22" t="str">
        <f t="array" ref="N164">IFERROR(INDEX('Temp Hisfa'!N$3:N$200, SMALL(IF(ISERROR('Temp Hisfa'!N$3:N$200), "", ROW('Temp Hisfa'!N$3:N$200)-MIN(ROW('Temp Hisfa'!N$3:N$200))+1), ROW(162:361))),"")</f>
        <v/>
      </c>
      <c r="O164" s="22" t="str">
        <f t="array" ref="O164">IFERROR(INDEX('Temp Hisfa'!O$3:O$200, SMALL(IF(ISERROR('Temp Hisfa'!O$3:O$200), "", ROW('Temp Hisfa'!O$3:O$200)-MIN(ROW('Temp Hisfa'!O$3:O$200))+1), ROW(162:361))),"")</f>
        <v/>
      </c>
      <c r="P164" s="22" t="str">
        <f t="array" ref="P164">IFERROR(INDEX('Temp Hisfa'!P$3:P$200, SMALL(IF(ISERROR('Temp Hisfa'!P$3:P$200), "", ROW('Temp Hisfa'!P$3:P$200)-MIN(ROW('Temp Hisfa'!P$3:P$200))+1), ROW(162:361))),"")</f>
        <v/>
      </c>
      <c r="Q164" s="22" t="str">
        <f t="array" ref="Q164">IFERROR(INDEX('Temp Hisfa'!Q$3:Q$200, SMALL(IF(ISERROR('Temp Hisfa'!Q$3:Q$200), "", ROW('Temp Hisfa'!Q$3:Q$200)-MIN(ROW('Temp Hisfa'!Q$3:Q$200))+1), ROW(162:361))),"")</f>
        <v/>
      </c>
      <c r="R164" s="22" t="str">
        <f t="array" ref="R164">IFERROR(INDEX('Temp Hisfa'!R$3:R$200, SMALL(IF(ISERROR('Temp Hisfa'!R$3:R$200), "", ROW('Temp Hisfa'!R$3:R$200)-MIN(ROW('Temp Hisfa'!R$3:R$200))+1), ROW(162:361))),"")</f>
        <v/>
      </c>
      <c r="S164" s="22" t="str">
        <f t="array" ref="S164">IFERROR(INDEX('Temp Hisfa'!S$3:S$200, SMALL(IF(ISERROR('Temp Hisfa'!S$3:S$200), "", ROW('Temp Hisfa'!S$3:S$200)-MIN(ROW('Temp Hisfa'!S$3:S$200))+1), ROW(162:361))),"")</f>
        <v/>
      </c>
      <c r="T164" s="22" t="str">
        <f t="array" ref="T164">IFERROR(INDEX('Temp Hisfa'!T$3:T$200, SMALL(IF(ISERROR('Temp Hisfa'!T$3:T$200), "", ROW('Temp Hisfa'!T$3:T$200)-MIN(ROW('Temp Hisfa'!T$3:T$200))+1), ROW(162:361))),"")</f>
        <v/>
      </c>
      <c r="U164" s="22" t="str">
        <f t="array" ref="U164">IFERROR(INDEX('Temp Hisfa'!U$3:U$200, SMALL(IF(ISERROR('Temp Hisfa'!U$3:U$200), "", ROW('Temp Hisfa'!U$3:U$200)-MIN(ROW('Temp Hisfa'!U$3:U$200))+1), ROW(162:361))),"")</f>
        <v/>
      </c>
      <c r="V164" s="22" t="str">
        <f t="array" ref="V164">IFERROR(INDEX('Temp Hisfa'!V$3:V$200, SMALL(IF(ISERROR('Temp Hisfa'!V$3:V$200), "", ROW('Temp Hisfa'!V$3:V$200)-MIN(ROW('Temp Hisfa'!V$3:V$200))+1), ROW(162:361))),"")</f>
        <v/>
      </c>
      <c r="W164" s="22" t="str">
        <f t="array" ref="W164">IFERROR(INDEX('Temp Hisfa'!W$3:W$200, SMALL(IF(ISERROR('Temp Hisfa'!W$3:W$200), "", ROW('Temp Hisfa'!W$3:W$200)-MIN(ROW('Temp Hisfa'!W$3:W$200))+1), ROW(162:361))),"")</f>
        <v/>
      </c>
      <c r="X164" s="22" t="str">
        <f t="array" ref="X164">IFERROR(INDEX('Temp Hisfa'!X$3:X$200, SMALL(IF(ISERROR('Temp Hisfa'!X$3:X$200), "", ROW('Temp Hisfa'!X$3:X$200)-MIN(ROW('Temp Hisfa'!X$3:X$200))+1), ROW(162:361))),"")</f>
        <v/>
      </c>
      <c r="Y164" s="22" t="str">
        <f t="array" ref="Y164">IFERROR(INDEX('Temp Hisfa'!Y$3:Y$200, SMALL(IF(ISERROR('Temp Hisfa'!Y$3:Y$200), "", ROW('Temp Hisfa'!Y$3:Y$200)-MIN(ROW('Temp Hisfa'!Y$3:Y$200))+1), ROW(162:361))),"")</f>
        <v/>
      </c>
      <c r="Z164" s="22" t="str">
        <f t="array" ref="Z164">IFERROR(INDEX('Temp Hisfa'!Z$3:Z$200, SMALL(IF(ISERROR('Temp Hisfa'!Z$3:Z$200), "", ROW('Temp Hisfa'!Z$3:Z$200)-MIN(ROW('Temp Hisfa'!Z$3:Z$200))+1), ROW(162:361))),"")</f>
        <v/>
      </c>
      <c r="AA164" s="22" t="str">
        <f t="array" ref="AA164">IFERROR(INDEX('Temp Hisfa'!AA$3:AA$200, SMALL(IF(ISERROR('Temp Hisfa'!AA$3:AA$200), "", ROW('Temp Hisfa'!AA$3:AA$200)-MIN(ROW('Temp Hisfa'!AA$3:AA$200))+1), ROW(162:361))),"")</f>
        <v/>
      </c>
      <c r="AB164" s="22" t="str">
        <f t="array" ref="AB164">IFERROR(INDEX('Temp Hisfa'!AB$3:AB$200, SMALL(IF(ISERROR('Temp Hisfa'!AB$3:AB$200), "", ROW('Temp Hisfa'!AB$3:AB$200)-MIN(ROW('Temp Hisfa'!AB$3:AB$200))+1), ROW(162:361))),"")</f>
        <v/>
      </c>
    </row>
    <row r="165" spans="1:28" x14ac:dyDescent="0.3">
      <c r="A165" s="4" t="str">
        <f t="array" ref="A165">IFERROR(INDEX('Temp Hisfa'!A$3:A$200, SMALL(IF(ISERROR('Temp Hisfa'!A$3:A$200), "", ROW('Temp Hisfa'!A$3:A$200)-MIN(ROW('Temp Hisfa'!A$3:A$200))+1), ROW(163:361))),"")</f>
        <v/>
      </c>
      <c r="B165" s="4" t="str">
        <f t="array" ref="B165">IFERROR(INDEX('Temp Hisfa'!B$3:B$200, SMALL(IF(ISERROR('Temp Hisfa'!B$3:B$200), "", ROW('Temp Hisfa'!B$3:B$200)-MIN(ROW('Temp Hisfa'!B$3:B$200))+1), ROW(163:361))),"")</f>
        <v/>
      </c>
      <c r="C165" s="3" t="str">
        <f t="array" ref="C165">IFERROR(INDEX('Temp Hisfa'!C$3:C$200, SMALL(IF(ISERROR('Temp Hisfa'!C$3:C$200), "", ROW('Temp Hisfa'!C$3:C$200)-MIN(ROW('Temp Hisfa'!C$3:C$200))+1), ROW(163:361))),"")</f>
        <v/>
      </c>
      <c r="D165" s="3" t="str">
        <f t="array" ref="D165">IFERROR(INDEX('Temp Hisfa'!D$3:D$200, SMALL(IF(ISERROR('Temp Hisfa'!D$3:D$200), "", ROW('Temp Hisfa'!D$3:D$200)-MIN(ROW('Temp Hisfa'!D$3:D$200))+1), ROW(163:361))),"")</f>
        <v/>
      </c>
      <c r="E165" s="29" t="str">
        <f t="array" ref="E165">IFERROR(INDEX('Temp Hisfa'!E$3:E$200, SMALL(IF(ISERROR('Temp Hisfa'!E$3:E$200), "", ROW('Temp Hisfa'!E$3:E$200)-MIN(ROW('Temp Hisfa'!E$3:E$200))+1), ROW(163:362))),"")</f>
        <v/>
      </c>
      <c r="F165" s="22" t="str">
        <f t="array" ref="F165">IFERROR(INDEX('Temp Hisfa'!F$3:F$200, SMALL(IF(ISERROR('Temp Hisfa'!F$3:F$200), "", ROW('Temp Hisfa'!F$3:F$200)-MIN(ROW('Temp Hisfa'!F$3:F$200))+1), ROW(163:362))),"")</f>
        <v/>
      </c>
      <c r="G165" s="30" t="str">
        <f t="array" ref="G165">IFERROR(INDEX('Temp Hisfa'!G$3:G$200, SMALL(IF(ISERROR('Temp Hisfa'!G$3:G$200), "", ROW('Temp Hisfa'!G$3:G$200)-MIN(ROW('Temp Hisfa'!G$3:G$200))+1), ROW(163:362))),"")</f>
        <v/>
      </c>
      <c r="H165" s="22" t="str">
        <f t="array" ref="H165">IFERROR(INDEX('Temp Hisfa'!H$3:H$200, SMALL(IF(ISERROR('Temp Hisfa'!H$3:H$200), "", ROW('Temp Hisfa'!H$3:H$200)-MIN(ROW('Temp Hisfa'!H$3:H$200))+1), ROW(163:362))),"")</f>
        <v/>
      </c>
      <c r="I165" s="22" t="str">
        <f t="array" ref="I165">IFERROR(INDEX('Temp Hisfa'!I$3:I$200, SMALL(IF(ISERROR('Temp Hisfa'!I$3:I$200), "", ROW('Temp Hisfa'!I$3:I$200)-MIN(ROW('Temp Hisfa'!I$3:I$200))+1), ROW(163:362))),"")</f>
        <v/>
      </c>
      <c r="J165" s="22" t="str">
        <f t="array" ref="J165">IFERROR(INDEX('Temp Hisfa'!J$3:J$200, SMALL(IF(ISERROR('Temp Hisfa'!J$3:J$200), "", ROW('Temp Hisfa'!J$3:J$200)-MIN(ROW('Temp Hisfa'!J$3:J$200))+1), ROW(163:362))),"")</f>
        <v/>
      </c>
      <c r="K165" s="30" t="str">
        <f t="array" ref="K165">IFERROR(INDEX('Temp Hisfa'!K$3:K$200, SMALL(IF(ISERROR('Temp Hisfa'!K$3:K$200), "", ROW('Temp Hisfa'!K$3:K$200)-MIN(ROW('Temp Hisfa'!K$3:K$200))+1), ROW(163:362))),"")</f>
        <v/>
      </c>
      <c r="L165" s="22" t="str">
        <f t="array" ref="L165">IFERROR(INDEX('Temp Hisfa'!L$3:L$200, SMALL(IF(ISERROR('Temp Hisfa'!L$3:L$200), "", ROW('Temp Hisfa'!L$3:L$200)-MIN(ROW('Temp Hisfa'!L$3:L$200))+1), ROW(163:362))),"")</f>
        <v/>
      </c>
      <c r="M165" s="22" t="str">
        <f t="array" ref="M165">IFERROR(INDEX('Temp Hisfa'!M$3:M$200, SMALL(IF(ISERROR('Temp Hisfa'!M$3:M$200), "", ROW('Temp Hisfa'!M$3:M$200)-MIN(ROW('Temp Hisfa'!M$3:M$200))+1), ROW(163:362))),"")</f>
        <v/>
      </c>
      <c r="N165" s="22" t="str">
        <f t="array" ref="N165">IFERROR(INDEX('Temp Hisfa'!N$3:N$200, SMALL(IF(ISERROR('Temp Hisfa'!N$3:N$200), "", ROW('Temp Hisfa'!N$3:N$200)-MIN(ROW('Temp Hisfa'!N$3:N$200))+1), ROW(163:362))),"")</f>
        <v/>
      </c>
      <c r="O165" s="22" t="str">
        <f t="array" ref="O165">IFERROR(INDEX('Temp Hisfa'!O$3:O$200, SMALL(IF(ISERROR('Temp Hisfa'!O$3:O$200), "", ROW('Temp Hisfa'!O$3:O$200)-MIN(ROW('Temp Hisfa'!O$3:O$200))+1), ROW(163:362))),"")</f>
        <v/>
      </c>
      <c r="P165" s="22" t="str">
        <f t="array" ref="P165">IFERROR(INDEX('Temp Hisfa'!P$3:P$200, SMALL(IF(ISERROR('Temp Hisfa'!P$3:P$200), "", ROW('Temp Hisfa'!P$3:P$200)-MIN(ROW('Temp Hisfa'!P$3:P$200))+1), ROW(163:362))),"")</f>
        <v/>
      </c>
      <c r="Q165" s="22" t="str">
        <f t="array" ref="Q165">IFERROR(INDEX('Temp Hisfa'!Q$3:Q$200, SMALL(IF(ISERROR('Temp Hisfa'!Q$3:Q$200), "", ROW('Temp Hisfa'!Q$3:Q$200)-MIN(ROW('Temp Hisfa'!Q$3:Q$200))+1), ROW(163:362))),"")</f>
        <v/>
      </c>
      <c r="R165" s="22" t="str">
        <f t="array" ref="R165">IFERROR(INDEX('Temp Hisfa'!R$3:R$200, SMALL(IF(ISERROR('Temp Hisfa'!R$3:R$200), "", ROW('Temp Hisfa'!R$3:R$200)-MIN(ROW('Temp Hisfa'!R$3:R$200))+1), ROW(163:362))),"")</f>
        <v/>
      </c>
      <c r="S165" s="22" t="str">
        <f t="array" ref="S165">IFERROR(INDEX('Temp Hisfa'!S$3:S$200, SMALL(IF(ISERROR('Temp Hisfa'!S$3:S$200), "", ROW('Temp Hisfa'!S$3:S$200)-MIN(ROW('Temp Hisfa'!S$3:S$200))+1), ROW(163:362))),"")</f>
        <v/>
      </c>
      <c r="T165" s="22" t="str">
        <f t="array" ref="T165">IFERROR(INDEX('Temp Hisfa'!T$3:T$200, SMALL(IF(ISERROR('Temp Hisfa'!T$3:T$200), "", ROW('Temp Hisfa'!T$3:T$200)-MIN(ROW('Temp Hisfa'!T$3:T$200))+1), ROW(163:362))),"")</f>
        <v/>
      </c>
      <c r="U165" s="22" t="str">
        <f t="array" ref="U165">IFERROR(INDEX('Temp Hisfa'!U$3:U$200, SMALL(IF(ISERROR('Temp Hisfa'!U$3:U$200), "", ROW('Temp Hisfa'!U$3:U$200)-MIN(ROW('Temp Hisfa'!U$3:U$200))+1), ROW(163:362))),"")</f>
        <v/>
      </c>
      <c r="V165" s="22" t="str">
        <f t="array" ref="V165">IFERROR(INDEX('Temp Hisfa'!V$3:V$200, SMALL(IF(ISERROR('Temp Hisfa'!V$3:V$200), "", ROW('Temp Hisfa'!V$3:V$200)-MIN(ROW('Temp Hisfa'!V$3:V$200))+1), ROW(163:362))),"")</f>
        <v/>
      </c>
      <c r="W165" s="22" t="str">
        <f t="array" ref="W165">IFERROR(INDEX('Temp Hisfa'!W$3:W$200, SMALL(IF(ISERROR('Temp Hisfa'!W$3:W$200), "", ROW('Temp Hisfa'!W$3:W$200)-MIN(ROW('Temp Hisfa'!W$3:W$200))+1), ROW(163:362))),"")</f>
        <v/>
      </c>
      <c r="X165" s="22" t="str">
        <f t="array" ref="X165">IFERROR(INDEX('Temp Hisfa'!X$3:X$200, SMALL(IF(ISERROR('Temp Hisfa'!X$3:X$200), "", ROW('Temp Hisfa'!X$3:X$200)-MIN(ROW('Temp Hisfa'!X$3:X$200))+1), ROW(163:362))),"")</f>
        <v/>
      </c>
      <c r="Y165" s="22" t="str">
        <f t="array" ref="Y165">IFERROR(INDEX('Temp Hisfa'!Y$3:Y$200, SMALL(IF(ISERROR('Temp Hisfa'!Y$3:Y$200), "", ROW('Temp Hisfa'!Y$3:Y$200)-MIN(ROW('Temp Hisfa'!Y$3:Y$200))+1), ROW(163:362))),"")</f>
        <v/>
      </c>
      <c r="Z165" s="22" t="str">
        <f t="array" ref="Z165">IFERROR(INDEX('Temp Hisfa'!Z$3:Z$200, SMALL(IF(ISERROR('Temp Hisfa'!Z$3:Z$200), "", ROW('Temp Hisfa'!Z$3:Z$200)-MIN(ROW('Temp Hisfa'!Z$3:Z$200))+1), ROW(163:362))),"")</f>
        <v/>
      </c>
      <c r="AA165" s="22" t="str">
        <f t="array" ref="AA165">IFERROR(INDEX('Temp Hisfa'!AA$3:AA$200, SMALL(IF(ISERROR('Temp Hisfa'!AA$3:AA$200), "", ROW('Temp Hisfa'!AA$3:AA$200)-MIN(ROW('Temp Hisfa'!AA$3:AA$200))+1), ROW(163:362))),"")</f>
        <v/>
      </c>
      <c r="AB165" s="22" t="str">
        <f t="array" ref="AB165">IFERROR(INDEX('Temp Hisfa'!AB$3:AB$200, SMALL(IF(ISERROR('Temp Hisfa'!AB$3:AB$200), "", ROW('Temp Hisfa'!AB$3:AB$200)-MIN(ROW('Temp Hisfa'!AB$3:AB$200))+1), ROW(163:362))),"")</f>
        <v/>
      </c>
    </row>
    <row r="166" spans="1:28" x14ac:dyDescent="0.3">
      <c r="A166" s="4" t="str">
        <f t="array" ref="A166">IFERROR(INDEX('Temp Hisfa'!A$3:A$200, SMALL(IF(ISERROR('Temp Hisfa'!A$3:A$200), "", ROW('Temp Hisfa'!A$3:A$200)-MIN(ROW('Temp Hisfa'!A$3:A$200))+1), ROW(164:362))),"")</f>
        <v/>
      </c>
      <c r="B166" s="4" t="str">
        <f t="array" ref="B166">IFERROR(INDEX('Temp Hisfa'!B$3:B$200, SMALL(IF(ISERROR('Temp Hisfa'!B$3:B$200), "", ROW('Temp Hisfa'!B$3:B$200)-MIN(ROW('Temp Hisfa'!B$3:B$200))+1), ROW(164:362))),"")</f>
        <v/>
      </c>
      <c r="C166" s="3" t="str">
        <f t="array" ref="C166">IFERROR(INDEX('Temp Hisfa'!C$3:C$200, SMALL(IF(ISERROR('Temp Hisfa'!C$3:C$200), "", ROW('Temp Hisfa'!C$3:C$200)-MIN(ROW('Temp Hisfa'!C$3:C$200))+1), ROW(164:362))),"")</f>
        <v/>
      </c>
      <c r="D166" s="3" t="str">
        <f t="array" ref="D166">IFERROR(INDEX('Temp Hisfa'!D$3:D$200, SMALL(IF(ISERROR('Temp Hisfa'!D$3:D$200), "", ROW('Temp Hisfa'!D$3:D$200)-MIN(ROW('Temp Hisfa'!D$3:D$200))+1), ROW(164:362))),"")</f>
        <v/>
      </c>
      <c r="E166" s="29" t="str">
        <f t="array" ref="E166">IFERROR(INDEX('Temp Hisfa'!E$3:E$200, SMALL(IF(ISERROR('Temp Hisfa'!E$3:E$200), "", ROW('Temp Hisfa'!E$3:E$200)-MIN(ROW('Temp Hisfa'!E$3:E$200))+1), ROW(164:363))),"")</f>
        <v/>
      </c>
      <c r="F166" s="22" t="str">
        <f t="array" ref="F166">IFERROR(INDEX('Temp Hisfa'!F$3:F$200, SMALL(IF(ISERROR('Temp Hisfa'!F$3:F$200), "", ROW('Temp Hisfa'!F$3:F$200)-MIN(ROW('Temp Hisfa'!F$3:F$200))+1), ROW(164:363))),"")</f>
        <v/>
      </c>
      <c r="G166" s="30" t="str">
        <f t="array" ref="G166">IFERROR(INDEX('Temp Hisfa'!G$3:G$200, SMALL(IF(ISERROR('Temp Hisfa'!G$3:G$200), "", ROW('Temp Hisfa'!G$3:G$200)-MIN(ROW('Temp Hisfa'!G$3:G$200))+1), ROW(164:363))),"")</f>
        <v/>
      </c>
      <c r="H166" s="22" t="str">
        <f t="array" ref="H166">IFERROR(INDEX('Temp Hisfa'!H$3:H$200, SMALL(IF(ISERROR('Temp Hisfa'!H$3:H$200), "", ROW('Temp Hisfa'!H$3:H$200)-MIN(ROW('Temp Hisfa'!H$3:H$200))+1), ROW(164:363))),"")</f>
        <v/>
      </c>
      <c r="I166" s="22" t="str">
        <f t="array" ref="I166">IFERROR(INDEX('Temp Hisfa'!I$3:I$200, SMALL(IF(ISERROR('Temp Hisfa'!I$3:I$200), "", ROW('Temp Hisfa'!I$3:I$200)-MIN(ROW('Temp Hisfa'!I$3:I$200))+1), ROW(164:363))),"")</f>
        <v/>
      </c>
      <c r="J166" s="22" t="str">
        <f t="array" ref="J166">IFERROR(INDEX('Temp Hisfa'!J$3:J$200, SMALL(IF(ISERROR('Temp Hisfa'!J$3:J$200), "", ROW('Temp Hisfa'!J$3:J$200)-MIN(ROW('Temp Hisfa'!J$3:J$200))+1), ROW(164:363))),"")</f>
        <v/>
      </c>
      <c r="K166" s="30" t="str">
        <f t="array" ref="K166">IFERROR(INDEX('Temp Hisfa'!K$3:K$200, SMALL(IF(ISERROR('Temp Hisfa'!K$3:K$200), "", ROW('Temp Hisfa'!K$3:K$200)-MIN(ROW('Temp Hisfa'!K$3:K$200))+1), ROW(164:363))),"")</f>
        <v/>
      </c>
      <c r="L166" s="22" t="str">
        <f t="array" ref="L166">IFERROR(INDEX('Temp Hisfa'!L$3:L$200, SMALL(IF(ISERROR('Temp Hisfa'!L$3:L$200), "", ROW('Temp Hisfa'!L$3:L$200)-MIN(ROW('Temp Hisfa'!L$3:L$200))+1), ROW(164:363))),"")</f>
        <v/>
      </c>
      <c r="M166" s="22" t="str">
        <f t="array" ref="M166">IFERROR(INDEX('Temp Hisfa'!M$3:M$200, SMALL(IF(ISERROR('Temp Hisfa'!M$3:M$200), "", ROW('Temp Hisfa'!M$3:M$200)-MIN(ROW('Temp Hisfa'!M$3:M$200))+1), ROW(164:363))),"")</f>
        <v/>
      </c>
      <c r="N166" s="22" t="str">
        <f t="array" ref="N166">IFERROR(INDEX('Temp Hisfa'!N$3:N$200, SMALL(IF(ISERROR('Temp Hisfa'!N$3:N$200), "", ROW('Temp Hisfa'!N$3:N$200)-MIN(ROW('Temp Hisfa'!N$3:N$200))+1), ROW(164:363))),"")</f>
        <v/>
      </c>
      <c r="O166" s="22" t="str">
        <f t="array" ref="O166">IFERROR(INDEX('Temp Hisfa'!O$3:O$200, SMALL(IF(ISERROR('Temp Hisfa'!O$3:O$200), "", ROW('Temp Hisfa'!O$3:O$200)-MIN(ROW('Temp Hisfa'!O$3:O$200))+1), ROW(164:363))),"")</f>
        <v/>
      </c>
      <c r="P166" s="22" t="str">
        <f t="array" ref="P166">IFERROR(INDEX('Temp Hisfa'!P$3:P$200, SMALL(IF(ISERROR('Temp Hisfa'!P$3:P$200), "", ROW('Temp Hisfa'!P$3:P$200)-MIN(ROW('Temp Hisfa'!P$3:P$200))+1), ROW(164:363))),"")</f>
        <v/>
      </c>
      <c r="Q166" s="22" t="str">
        <f t="array" ref="Q166">IFERROR(INDEX('Temp Hisfa'!Q$3:Q$200, SMALL(IF(ISERROR('Temp Hisfa'!Q$3:Q$200), "", ROW('Temp Hisfa'!Q$3:Q$200)-MIN(ROW('Temp Hisfa'!Q$3:Q$200))+1), ROW(164:363))),"")</f>
        <v/>
      </c>
      <c r="R166" s="22" t="str">
        <f t="array" ref="R166">IFERROR(INDEX('Temp Hisfa'!R$3:R$200, SMALL(IF(ISERROR('Temp Hisfa'!R$3:R$200), "", ROW('Temp Hisfa'!R$3:R$200)-MIN(ROW('Temp Hisfa'!R$3:R$200))+1), ROW(164:363))),"")</f>
        <v/>
      </c>
      <c r="S166" s="22" t="str">
        <f t="array" ref="S166">IFERROR(INDEX('Temp Hisfa'!S$3:S$200, SMALL(IF(ISERROR('Temp Hisfa'!S$3:S$200), "", ROW('Temp Hisfa'!S$3:S$200)-MIN(ROW('Temp Hisfa'!S$3:S$200))+1), ROW(164:363))),"")</f>
        <v/>
      </c>
      <c r="T166" s="22" t="str">
        <f t="array" ref="T166">IFERROR(INDEX('Temp Hisfa'!T$3:T$200, SMALL(IF(ISERROR('Temp Hisfa'!T$3:T$200), "", ROW('Temp Hisfa'!T$3:T$200)-MIN(ROW('Temp Hisfa'!T$3:T$200))+1), ROW(164:363))),"")</f>
        <v/>
      </c>
      <c r="U166" s="22" t="str">
        <f t="array" ref="U166">IFERROR(INDEX('Temp Hisfa'!U$3:U$200, SMALL(IF(ISERROR('Temp Hisfa'!U$3:U$200), "", ROW('Temp Hisfa'!U$3:U$200)-MIN(ROW('Temp Hisfa'!U$3:U$200))+1), ROW(164:363))),"")</f>
        <v/>
      </c>
      <c r="V166" s="22" t="str">
        <f t="array" ref="V166">IFERROR(INDEX('Temp Hisfa'!V$3:V$200, SMALL(IF(ISERROR('Temp Hisfa'!V$3:V$200), "", ROW('Temp Hisfa'!V$3:V$200)-MIN(ROW('Temp Hisfa'!V$3:V$200))+1), ROW(164:363))),"")</f>
        <v/>
      </c>
      <c r="W166" s="22" t="str">
        <f t="array" ref="W166">IFERROR(INDEX('Temp Hisfa'!W$3:W$200, SMALL(IF(ISERROR('Temp Hisfa'!W$3:W$200), "", ROW('Temp Hisfa'!W$3:W$200)-MIN(ROW('Temp Hisfa'!W$3:W$200))+1), ROW(164:363))),"")</f>
        <v/>
      </c>
      <c r="X166" s="22" t="str">
        <f t="array" ref="X166">IFERROR(INDEX('Temp Hisfa'!X$3:X$200, SMALL(IF(ISERROR('Temp Hisfa'!X$3:X$200), "", ROW('Temp Hisfa'!X$3:X$200)-MIN(ROW('Temp Hisfa'!X$3:X$200))+1), ROW(164:363))),"")</f>
        <v/>
      </c>
      <c r="Y166" s="22" t="str">
        <f t="array" ref="Y166">IFERROR(INDEX('Temp Hisfa'!Y$3:Y$200, SMALL(IF(ISERROR('Temp Hisfa'!Y$3:Y$200), "", ROW('Temp Hisfa'!Y$3:Y$200)-MIN(ROW('Temp Hisfa'!Y$3:Y$200))+1), ROW(164:363))),"")</f>
        <v/>
      </c>
      <c r="Z166" s="22" t="str">
        <f t="array" ref="Z166">IFERROR(INDEX('Temp Hisfa'!Z$3:Z$200, SMALL(IF(ISERROR('Temp Hisfa'!Z$3:Z$200), "", ROW('Temp Hisfa'!Z$3:Z$200)-MIN(ROW('Temp Hisfa'!Z$3:Z$200))+1), ROW(164:363))),"")</f>
        <v/>
      </c>
      <c r="AA166" s="22" t="str">
        <f t="array" ref="AA166">IFERROR(INDEX('Temp Hisfa'!AA$3:AA$200, SMALL(IF(ISERROR('Temp Hisfa'!AA$3:AA$200), "", ROW('Temp Hisfa'!AA$3:AA$200)-MIN(ROW('Temp Hisfa'!AA$3:AA$200))+1), ROW(164:363))),"")</f>
        <v/>
      </c>
      <c r="AB166" s="22" t="str">
        <f t="array" ref="AB166">IFERROR(INDEX('Temp Hisfa'!AB$3:AB$200, SMALL(IF(ISERROR('Temp Hisfa'!AB$3:AB$200), "", ROW('Temp Hisfa'!AB$3:AB$200)-MIN(ROW('Temp Hisfa'!AB$3:AB$200))+1), ROW(164:363))),"")</f>
        <v/>
      </c>
    </row>
    <row r="167" spans="1:28" x14ac:dyDescent="0.3">
      <c r="A167" s="4" t="str">
        <f t="array" ref="A167">IFERROR(INDEX('Temp Hisfa'!A$3:A$200, SMALL(IF(ISERROR('Temp Hisfa'!A$3:A$200), "", ROW('Temp Hisfa'!A$3:A$200)-MIN(ROW('Temp Hisfa'!A$3:A$200))+1), ROW(165:363))),"")</f>
        <v/>
      </c>
      <c r="B167" s="4" t="str">
        <f t="array" ref="B167">IFERROR(INDEX('Temp Hisfa'!B$3:B$200, SMALL(IF(ISERROR('Temp Hisfa'!B$3:B$200), "", ROW('Temp Hisfa'!B$3:B$200)-MIN(ROW('Temp Hisfa'!B$3:B$200))+1), ROW(165:363))),"")</f>
        <v/>
      </c>
      <c r="C167" s="3" t="str">
        <f t="array" ref="C167">IFERROR(INDEX('Temp Hisfa'!C$3:C$200, SMALL(IF(ISERROR('Temp Hisfa'!C$3:C$200), "", ROW('Temp Hisfa'!C$3:C$200)-MIN(ROW('Temp Hisfa'!C$3:C$200))+1), ROW(165:363))),"")</f>
        <v/>
      </c>
      <c r="D167" s="3" t="str">
        <f t="array" ref="D167">IFERROR(INDEX('Temp Hisfa'!D$3:D$200, SMALL(IF(ISERROR('Temp Hisfa'!D$3:D$200), "", ROW('Temp Hisfa'!D$3:D$200)-MIN(ROW('Temp Hisfa'!D$3:D$200))+1), ROW(165:363))),"")</f>
        <v/>
      </c>
      <c r="E167" s="29" t="str">
        <f t="array" ref="E167">IFERROR(INDEX('Temp Hisfa'!E$3:E$200, SMALL(IF(ISERROR('Temp Hisfa'!E$3:E$200), "", ROW('Temp Hisfa'!E$3:E$200)-MIN(ROW('Temp Hisfa'!E$3:E$200))+1), ROW(165:364))),"")</f>
        <v/>
      </c>
      <c r="F167" s="22" t="str">
        <f t="array" ref="F167">IFERROR(INDEX('Temp Hisfa'!F$3:F$200, SMALL(IF(ISERROR('Temp Hisfa'!F$3:F$200), "", ROW('Temp Hisfa'!F$3:F$200)-MIN(ROW('Temp Hisfa'!F$3:F$200))+1), ROW(165:364))),"")</f>
        <v/>
      </c>
      <c r="G167" s="30" t="str">
        <f t="array" ref="G167">IFERROR(INDEX('Temp Hisfa'!G$3:G$200, SMALL(IF(ISERROR('Temp Hisfa'!G$3:G$200), "", ROW('Temp Hisfa'!G$3:G$200)-MIN(ROW('Temp Hisfa'!G$3:G$200))+1), ROW(165:364))),"")</f>
        <v/>
      </c>
      <c r="H167" s="22" t="str">
        <f t="array" ref="H167">IFERROR(INDEX('Temp Hisfa'!H$3:H$200, SMALL(IF(ISERROR('Temp Hisfa'!H$3:H$200), "", ROW('Temp Hisfa'!H$3:H$200)-MIN(ROW('Temp Hisfa'!H$3:H$200))+1), ROW(165:364))),"")</f>
        <v/>
      </c>
      <c r="I167" s="22" t="str">
        <f t="array" ref="I167">IFERROR(INDEX('Temp Hisfa'!I$3:I$200, SMALL(IF(ISERROR('Temp Hisfa'!I$3:I$200), "", ROW('Temp Hisfa'!I$3:I$200)-MIN(ROW('Temp Hisfa'!I$3:I$200))+1), ROW(165:364))),"")</f>
        <v/>
      </c>
      <c r="J167" s="22" t="str">
        <f t="array" ref="J167">IFERROR(INDEX('Temp Hisfa'!J$3:J$200, SMALL(IF(ISERROR('Temp Hisfa'!J$3:J$200), "", ROW('Temp Hisfa'!J$3:J$200)-MIN(ROW('Temp Hisfa'!J$3:J$200))+1), ROW(165:364))),"")</f>
        <v/>
      </c>
      <c r="K167" s="30" t="str">
        <f t="array" ref="K167">IFERROR(INDEX('Temp Hisfa'!K$3:K$200, SMALL(IF(ISERROR('Temp Hisfa'!K$3:K$200), "", ROW('Temp Hisfa'!K$3:K$200)-MIN(ROW('Temp Hisfa'!K$3:K$200))+1), ROW(165:364))),"")</f>
        <v/>
      </c>
      <c r="L167" s="22" t="str">
        <f t="array" ref="L167">IFERROR(INDEX('Temp Hisfa'!L$3:L$200, SMALL(IF(ISERROR('Temp Hisfa'!L$3:L$200), "", ROW('Temp Hisfa'!L$3:L$200)-MIN(ROW('Temp Hisfa'!L$3:L$200))+1), ROW(165:364))),"")</f>
        <v/>
      </c>
      <c r="M167" s="22" t="str">
        <f t="array" ref="M167">IFERROR(INDEX('Temp Hisfa'!M$3:M$200, SMALL(IF(ISERROR('Temp Hisfa'!M$3:M$200), "", ROW('Temp Hisfa'!M$3:M$200)-MIN(ROW('Temp Hisfa'!M$3:M$200))+1), ROW(165:364))),"")</f>
        <v/>
      </c>
      <c r="N167" s="22" t="str">
        <f t="array" ref="N167">IFERROR(INDEX('Temp Hisfa'!N$3:N$200, SMALL(IF(ISERROR('Temp Hisfa'!N$3:N$200), "", ROW('Temp Hisfa'!N$3:N$200)-MIN(ROW('Temp Hisfa'!N$3:N$200))+1), ROW(165:364))),"")</f>
        <v/>
      </c>
      <c r="O167" s="22" t="str">
        <f t="array" ref="O167">IFERROR(INDEX('Temp Hisfa'!O$3:O$200, SMALL(IF(ISERROR('Temp Hisfa'!O$3:O$200), "", ROW('Temp Hisfa'!O$3:O$200)-MIN(ROW('Temp Hisfa'!O$3:O$200))+1), ROW(165:364))),"")</f>
        <v/>
      </c>
      <c r="P167" s="22" t="str">
        <f t="array" ref="P167">IFERROR(INDEX('Temp Hisfa'!P$3:P$200, SMALL(IF(ISERROR('Temp Hisfa'!P$3:P$200), "", ROW('Temp Hisfa'!P$3:P$200)-MIN(ROW('Temp Hisfa'!P$3:P$200))+1), ROW(165:364))),"")</f>
        <v/>
      </c>
      <c r="Q167" s="22" t="str">
        <f t="array" ref="Q167">IFERROR(INDEX('Temp Hisfa'!Q$3:Q$200, SMALL(IF(ISERROR('Temp Hisfa'!Q$3:Q$200), "", ROW('Temp Hisfa'!Q$3:Q$200)-MIN(ROW('Temp Hisfa'!Q$3:Q$200))+1), ROW(165:364))),"")</f>
        <v/>
      </c>
      <c r="R167" s="22" t="str">
        <f t="array" ref="R167">IFERROR(INDEX('Temp Hisfa'!R$3:R$200, SMALL(IF(ISERROR('Temp Hisfa'!R$3:R$200), "", ROW('Temp Hisfa'!R$3:R$200)-MIN(ROW('Temp Hisfa'!R$3:R$200))+1), ROW(165:364))),"")</f>
        <v/>
      </c>
      <c r="S167" s="22" t="str">
        <f t="array" ref="S167">IFERROR(INDEX('Temp Hisfa'!S$3:S$200, SMALL(IF(ISERROR('Temp Hisfa'!S$3:S$200), "", ROW('Temp Hisfa'!S$3:S$200)-MIN(ROW('Temp Hisfa'!S$3:S$200))+1), ROW(165:364))),"")</f>
        <v/>
      </c>
      <c r="T167" s="22" t="str">
        <f t="array" ref="T167">IFERROR(INDEX('Temp Hisfa'!T$3:T$200, SMALL(IF(ISERROR('Temp Hisfa'!T$3:T$200), "", ROW('Temp Hisfa'!T$3:T$200)-MIN(ROW('Temp Hisfa'!T$3:T$200))+1), ROW(165:364))),"")</f>
        <v/>
      </c>
      <c r="U167" s="22" t="str">
        <f t="array" ref="U167">IFERROR(INDEX('Temp Hisfa'!U$3:U$200, SMALL(IF(ISERROR('Temp Hisfa'!U$3:U$200), "", ROW('Temp Hisfa'!U$3:U$200)-MIN(ROW('Temp Hisfa'!U$3:U$200))+1), ROW(165:364))),"")</f>
        <v/>
      </c>
      <c r="V167" s="22" t="str">
        <f t="array" ref="V167">IFERROR(INDEX('Temp Hisfa'!V$3:V$200, SMALL(IF(ISERROR('Temp Hisfa'!V$3:V$200), "", ROW('Temp Hisfa'!V$3:V$200)-MIN(ROW('Temp Hisfa'!V$3:V$200))+1), ROW(165:364))),"")</f>
        <v/>
      </c>
      <c r="W167" s="22" t="str">
        <f t="array" ref="W167">IFERROR(INDEX('Temp Hisfa'!W$3:W$200, SMALL(IF(ISERROR('Temp Hisfa'!W$3:W$200), "", ROW('Temp Hisfa'!W$3:W$200)-MIN(ROW('Temp Hisfa'!W$3:W$200))+1), ROW(165:364))),"")</f>
        <v/>
      </c>
      <c r="X167" s="22" t="str">
        <f t="array" ref="X167">IFERROR(INDEX('Temp Hisfa'!X$3:X$200, SMALL(IF(ISERROR('Temp Hisfa'!X$3:X$200), "", ROW('Temp Hisfa'!X$3:X$200)-MIN(ROW('Temp Hisfa'!X$3:X$200))+1), ROW(165:364))),"")</f>
        <v/>
      </c>
      <c r="Y167" s="22" t="str">
        <f t="array" ref="Y167">IFERROR(INDEX('Temp Hisfa'!Y$3:Y$200, SMALL(IF(ISERROR('Temp Hisfa'!Y$3:Y$200), "", ROW('Temp Hisfa'!Y$3:Y$200)-MIN(ROW('Temp Hisfa'!Y$3:Y$200))+1), ROW(165:364))),"")</f>
        <v/>
      </c>
      <c r="Z167" s="22" t="str">
        <f t="array" ref="Z167">IFERROR(INDEX('Temp Hisfa'!Z$3:Z$200, SMALL(IF(ISERROR('Temp Hisfa'!Z$3:Z$200), "", ROW('Temp Hisfa'!Z$3:Z$200)-MIN(ROW('Temp Hisfa'!Z$3:Z$200))+1), ROW(165:364))),"")</f>
        <v/>
      </c>
      <c r="AA167" s="22" t="str">
        <f t="array" ref="AA167">IFERROR(INDEX('Temp Hisfa'!AA$3:AA$200, SMALL(IF(ISERROR('Temp Hisfa'!AA$3:AA$200), "", ROW('Temp Hisfa'!AA$3:AA$200)-MIN(ROW('Temp Hisfa'!AA$3:AA$200))+1), ROW(165:364))),"")</f>
        <v/>
      </c>
      <c r="AB167" s="22" t="str">
        <f t="array" ref="AB167">IFERROR(INDEX('Temp Hisfa'!AB$3:AB$200, SMALL(IF(ISERROR('Temp Hisfa'!AB$3:AB$200), "", ROW('Temp Hisfa'!AB$3:AB$200)-MIN(ROW('Temp Hisfa'!AB$3:AB$200))+1), ROW(165:364))),"")</f>
        <v/>
      </c>
    </row>
    <row r="168" spans="1:28" x14ac:dyDescent="0.3">
      <c r="A168" s="4" t="str">
        <f t="array" ref="A168">IFERROR(INDEX('Temp Hisfa'!A$3:A$200, SMALL(IF(ISERROR('Temp Hisfa'!A$3:A$200), "", ROW('Temp Hisfa'!A$3:A$200)-MIN(ROW('Temp Hisfa'!A$3:A$200))+1), ROW(166:364))),"")</f>
        <v/>
      </c>
      <c r="B168" s="4" t="str">
        <f t="array" ref="B168">IFERROR(INDEX('Temp Hisfa'!B$3:B$200, SMALL(IF(ISERROR('Temp Hisfa'!B$3:B$200), "", ROW('Temp Hisfa'!B$3:B$200)-MIN(ROW('Temp Hisfa'!B$3:B$200))+1), ROW(166:364))),"")</f>
        <v/>
      </c>
      <c r="C168" s="3" t="str">
        <f t="array" ref="C168">IFERROR(INDEX('Temp Hisfa'!C$3:C$200, SMALL(IF(ISERROR('Temp Hisfa'!C$3:C$200), "", ROW('Temp Hisfa'!C$3:C$200)-MIN(ROW('Temp Hisfa'!C$3:C$200))+1), ROW(166:364))),"")</f>
        <v/>
      </c>
      <c r="D168" s="3" t="str">
        <f t="array" ref="D168">IFERROR(INDEX('Temp Hisfa'!D$3:D$200, SMALL(IF(ISERROR('Temp Hisfa'!D$3:D$200), "", ROW('Temp Hisfa'!D$3:D$200)-MIN(ROW('Temp Hisfa'!D$3:D$200))+1), ROW(166:364))),"")</f>
        <v/>
      </c>
      <c r="E168" s="29" t="str">
        <f t="array" ref="E168">IFERROR(INDEX('Temp Hisfa'!E$3:E$200, SMALL(IF(ISERROR('Temp Hisfa'!E$3:E$200), "", ROW('Temp Hisfa'!E$3:E$200)-MIN(ROW('Temp Hisfa'!E$3:E$200))+1), ROW(166:365))),"")</f>
        <v/>
      </c>
      <c r="F168" s="22" t="str">
        <f t="array" ref="F168">IFERROR(INDEX('Temp Hisfa'!F$3:F$200, SMALL(IF(ISERROR('Temp Hisfa'!F$3:F$200), "", ROW('Temp Hisfa'!F$3:F$200)-MIN(ROW('Temp Hisfa'!F$3:F$200))+1), ROW(166:365))),"")</f>
        <v/>
      </c>
      <c r="G168" s="30" t="str">
        <f t="array" ref="G168">IFERROR(INDEX('Temp Hisfa'!G$3:G$200, SMALL(IF(ISERROR('Temp Hisfa'!G$3:G$200), "", ROW('Temp Hisfa'!G$3:G$200)-MIN(ROW('Temp Hisfa'!G$3:G$200))+1), ROW(166:365))),"")</f>
        <v/>
      </c>
      <c r="H168" s="22" t="str">
        <f t="array" ref="H168">IFERROR(INDEX('Temp Hisfa'!H$3:H$200, SMALL(IF(ISERROR('Temp Hisfa'!H$3:H$200), "", ROW('Temp Hisfa'!H$3:H$200)-MIN(ROW('Temp Hisfa'!H$3:H$200))+1), ROW(166:365))),"")</f>
        <v/>
      </c>
      <c r="I168" s="22" t="str">
        <f t="array" ref="I168">IFERROR(INDEX('Temp Hisfa'!I$3:I$200, SMALL(IF(ISERROR('Temp Hisfa'!I$3:I$200), "", ROW('Temp Hisfa'!I$3:I$200)-MIN(ROW('Temp Hisfa'!I$3:I$200))+1), ROW(166:365))),"")</f>
        <v/>
      </c>
      <c r="J168" s="22" t="str">
        <f t="array" ref="J168">IFERROR(INDEX('Temp Hisfa'!J$3:J$200, SMALL(IF(ISERROR('Temp Hisfa'!J$3:J$200), "", ROW('Temp Hisfa'!J$3:J$200)-MIN(ROW('Temp Hisfa'!J$3:J$200))+1), ROW(166:365))),"")</f>
        <v/>
      </c>
      <c r="K168" s="30" t="str">
        <f t="array" ref="K168">IFERROR(INDEX('Temp Hisfa'!K$3:K$200, SMALL(IF(ISERROR('Temp Hisfa'!K$3:K$200), "", ROW('Temp Hisfa'!K$3:K$200)-MIN(ROW('Temp Hisfa'!K$3:K$200))+1), ROW(166:365))),"")</f>
        <v/>
      </c>
      <c r="L168" s="22" t="str">
        <f t="array" ref="L168">IFERROR(INDEX('Temp Hisfa'!L$3:L$200, SMALL(IF(ISERROR('Temp Hisfa'!L$3:L$200), "", ROW('Temp Hisfa'!L$3:L$200)-MIN(ROW('Temp Hisfa'!L$3:L$200))+1), ROW(166:365))),"")</f>
        <v/>
      </c>
      <c r="M168" s="22" t="str">
        <f t="array" ref="M168">IFERROR(INDEX('Temp Hisfa'!M$3:M$200, SMALL(IF(ISERROR('Temp Hisfa'!M$3:M$200), "", ROW('Temp Hisfa'!M$3:M$200)-MIN(ROW('Temp Hisfa'!M$3:M$200))+1), ROW(166:365))),"")</f>
        <v/>
      </c>
      <c r="N168" s="22" t="str">
        <f t="array" ref="N168">IFERROR(INDEX('Temp Hisfa'!N$3:N$200, SMALL(IF(ISERROR('Temp Hisfa'!N$3:N$200), "", ROW('Temp Hisfa'!N$3:N$200)-MIN(ROW('Temp Hisfa'!N$3:N$200))+1), ROW(166:365))),"")</f>
        <v/>
      </c>
      <c r="O168" s="22" t="str">
        <f t="array" ref="O168">IFERROR(INDEX('Temp Hisfa'!O$3:O$200, SMALL(IF(ISERROR('Temp Hisfa'!O$3:O$200), "", ROW('Temp Hisfa'!O$3:O$200)-MIN(ROW('Temp Hisfa'!O$3:O$200))+1), ROW(166:365))),"")</f>
        <v/>
      </c>
      <c r="P168" s="22" t="str">
        <f t="array" ref="P168">IFERROR(INDEX('Temp Hisfa'!P$3:P$200, SMALL(IF(ISERROR('Temp Hisfa'!P$3:P$200), "", ROW('Temp Hisfa'!P$3:P$200)-MIN(ROW('Temp Hisfa'!P$3:P$200))+1), ROW(166:365))),"")</f>
        <v/>
      </c>
      <c r="Q168" s="22" t="str">
        <f t="array" ref="Q168">IFERROR(INDEX('Temp Hisfa'!Q$3:Q$200, SMALL(IF(ISERROR('Temp Hisfa'!Q$3:Q$200), "", ROW('Temp Hisfa'!Q$3:Q$200)-MIN(ROW('Temp Hisfa'!Q$3:Q$200))+1), ROW(166:365))),"")</f>
        <v/>
      </c>
      <c r="R168" s="22" t="str">
        <f t="array" ref="R168">IFERROR(INDEX('Temp Hisfa'!R$3:R$200, SMALL(IF(ISERROR('Temp Hisfa'!R$3:R$200), "", ROW('Temp Hisfa'!R$3:R$200)-MIN(ROW('Temp Hisfa'!R$3:R$200))+1), ROW(166:365))),"")</f>
        <v/>
      </c>
      <c r="S168" s="22" t="str">
        <f t="array" ref="S168">IFERROR(INDEX('Temp Hisfa'!S$3:S$200, SMALL(IF(ISERROR('Temp Hisfa'!S$3:S$200), "", ROW('Temp Hisfa'!S$3:S$200)-MIN(ROW('Temp Hisfa'!S$3:S$200))+1), ROW(166:365))),"")</f>
        <v/>
      </c>
      <c r="T168" s="22" t="str">
        <f t="array" ref="T168">IFERROR(INDEX('Temp Hisfa'!T$3:T$200, SMALL(IF(ISERROR('Temp Hisfa'!T$3:T$200), "", ROW('Temp Hisfa'!T$3:T$200)-MIN(ROW('Temp Hisfa'!T$3:T$200))+1), ROW(166:365))),"")</f>
        <v/>
      </c>
      <c r="U168" s="22" t="str">
        <f t="array" ref="U168">IFERROR(INDEX('Temp Hisfa'!U$3:U$200, SMALL(IF(ISERROR('Temp Hisfa'!U$3:U$200), "", ROW('Temp Hisfa'!U$3:U$200)-MIN(ROW('Temp Hisfa'!U$3:U$200))+1), ROW(166:365))),"")</f>
        <v/>
      </c>
      <c r="V168" s="22" t="str">
        <f t="array" ref="V168">IFERROR(INDEX('Temp Hisfa'!V$3:V$200, SMALL(IF(ISERROR('Temp Hisfa'!V$3:V$200), "", ROW('Temp Hisfa'!V$3:V$200)-MIN(ROW('Temp Hisfa'!V$3:V$200))+1), ROW(166:365))),"")</f>
        <v/>
      </c>
      <c r="W168" s="22" t="str">
        <f t="array" ref="W168">IFERROR(INDEX('Temp Hisfa'!W$3:W$200, SMALL(IF(ISERROR('Temp Hisfa'!W$3:W$200), "", ROW('Temp Hisfa'!W$3:W$200)-MIN(ROW('Temp Hisfa'!W$3:W$200))+1), ROW(166:365))),"")</f>
        <v/>
      </c>
      <c r="X168" s="22" t="str">
        <f t="array" ref="X168">IFERROR(INDEX('Temp Hisfa'!X$3:X$200, SMALL(IF(ISERROR('Temp Hisfa'!X$3:X$200), "", ROW('Temp Hisfa'!X$3:X$200)-MIN(ROW('Temp Hisfa'!X$3:X$200))+1), ROW(166:365))),"")</f>
        <v/>
      </c>
      <c r="Y168" s="22" t="str">
        <f t="array" ref="Y168">IFERROR(INDEX('Temp Hisfa'!Y$3:Y$200, SMALL(IF(ISERROR('Temp Hisfa'!Y$3:Y$200), "", ROW('Temp Hisfa'!Y$3:Y$200)-MIN(ROW('Temp Hisfa'!Y$3:Y$200))+1), ROW(166:365))),"")</f>
        <v/>
      </c>
      <c r="Z168" s="22" t="str">
        <f t="array" ref="Z168">IFERROR(INDEX('Temp Hisfa'!Z$3:Z$200, SMALL(IF(ISERROR('Temp Hisfa'!Z$3:Z$200), "", ROW('Temp Hisfa'!Z$3:Z$200)-MIN(ROW('Temp Hisfa'!Z$3:Z$200))+1), ROW(166:365))),"")</f>
        <v/>
      </c>
      <c r="AA168" s="22" t="str">
        <f t="array" ref="AA168">IFERROR(INDEX('Temp Hisfa'!AA$3:AA$200, SMALL(IF(ISERROR('Temp Hisfa'!AA$3:AA$200), "", ROW('Temp Hisfa'!AA$3:AA$200)-MIN(ROW('Temp Hisfa'!AA$3:AA$200))+1), ROW(166:365))),"")</f>
        <v/>
      </c>
      <c r="AB168" s="22" t="str">
        <f t="array" ref="AB168">IFERROR(INDEX('Temp Hisfa'!AB$3:AB$200, SMALL(IF(ISERROR('Temp Hisfa'!AB$3:AB$200), "", ROW('Temp Hisfa'!AB$3:AB$200)-MIN(ROW('Temp Hisfa'!AB$3:AB$200))+1), ROW(166:365))),"")</f>
        <v/>
      </c>
    </row>
    <row r="169" spans="1:28" x14ac:dyDescent="0.3">
      <c r="A169" s="4" t="str">
        <f t="array" ref="A169">IFERROR(INDEX('Temp Hisfa'!A$3:A$200, SMALL(IF(ISERROR('Temp Hisfa'!A$3:A$200), "", ROW('Temp Hisfa'!A$3:A$200)-MIN(ROW('Temp Hisfa'!A$3:A$200))+1), ROW(167:365))),"")</f>
        <v/>
      </c>
      <c r="B169" s="4" t="str">
        <f t="array" ref="B169">IFERROR(INDEX('Temp Hisfa'!B$3:B$200, SMALL(IF(ISERROR('Temp Hisfa'!B$3:B$200), "", ROW('Temp Hisfa'!B$3:B$200)-MIN(ROW('Temp Hisfa'!B$3:B$200))+1), ROW(167:365))),"")</f>
        <v/>
      </c>
      <c r="C169" s="3" t="str">
        <f t="array" ref="C169">IFERROR(INDEX('Temp Hisfa'!C$3:C$200, SMALL(IF(ISERROR('Temp Hisfa'!C$3:C$200), "", ROW('Temp Hisfa'!C$3:C$200)-MIN(ROW('Temp Hisfa'!C$3:C$200))+1), ROW(167:365))),"")</f>
        <v/>
      </c>
      <c r="D169" s="3" t="str">
        <f t="array" ref="D169">IFERROR(INDEX('Temp Hisfa'!D$3:D$200, SMALL(IF(ISERROR('Temp Hisfa'!D$3:D$200), "", ROW('Temp Hisfa'!D$3:D$200)-MIN(ROW('Temp Hisfa'!D$3:D$200))+1), ROW(167:365))),"")</f>
        <v/>
      </c>
      <c r="E169" s="29" t="str">
        <f t="array" ref="E169">IFERROR(INDEX('Temp Hisfa'!E$3:E$200, SMALL(IF(ISERROR('Temp Hisfa'!E$3:E$200), "", ROW('Temp Hisfa'!E$3:E$200)-MIN(ROW('Temp Hisfa'!E$3:E$200))+1), ROW(167:366))),"")</f>
        <v/>
      </c>
      <c r="F169" s="22" t="str">
        <f t="array" ref="F169">IFERROR(INDEX('Temp Hisfa'!F$3:F$200, SMALL(IF(ISERROR('Temp Hisfa'!F$3:F$200), "", ROW('Temp Hisfa'!F$3:F$200)-MIN(ROW('Temp Hisfa'!F$3:F$200))+1), ROW(167:366))),"")</f>
        <v/>
      </c>
      <c r="G169" s="30" t="str">
        <f t="array" ref="G169">IFERROR(INDEX('Temp Hisfa'!G$3:G$200, SMALL(IF(ISERROR('Temp Hisfa'!G$3:G$200), "", ROW('Temp Hisfa'!G$3:G$200)-MIN(ROW('Temp Hisfa'!G$3:G$200))+1), ROW(167:366))),"")</f>
        <v/>
      </c>
      <c r="H169" s="22" t="str">
        <f t="array" ref="H169">IFERROR(INDEX('Temp Hisfa'!H$3:H$200, SMALL(IF(ISERROR('Temp Hisfa'!H$3:H$200), "", ROW('Temp Hisfa'!H$3:H$200)-MIN(ROW('Temp Hisfa'!H$3:H$200))+1), ROW(167:366))),"")</f>
        <v/>
      </c>
      <c r="I169" s="22" t="str">
        <f t="array" ref="I169">IFERROR(INDEX('Temp Hisfa'!I$3:I$200, SMALL(IF(ISERROR('Temp Hisfa'!I$3:I$200), "", ROW('Temp Hisfa'!I$3:I$200)-MIN(ROW('Temp Hisfa'!I$3:I$200))+1), ROW(167:366))),"")</f>
        <v/>
      </c>
      <c r="J169" s="22" t="str">
        <f t="array" ref="J169">IFERROR(INDEX('Temp Hisfa'!J$3:J$200, SMALL(IF(ISERROR('Temp Hisfa'!J$3:J$200), "", ROW('Temp Hisfa'!J$3:J$200)-MIN(ROW('Temp Hisfa'!J$3:J$200))+1), ROW(167:366))),"")</f>
        <v/>
      </c>
      <c r="K169" s="30" t="str">
        <f t="array" ref="K169">IFERROR(INDEX('Temp Hisfa'!K$3:K$200, SMALL(IF(ISERROR('Temp Hisfa'!K$3:K$200), "", ROW('Temp Hisfa'!K$3:K$200)-MIN(ROW('Temp Hisfa'!K$3:K$200))+1), ROW(167:366))),"")</f>
        <v/>
      </c>
      <c r="L169" s="22" t="str">
        <f t="array" ref="L169">IFERROR(INDEX('Temp Hisfa'!L$3:L$200, SMALL(IF(ISERROR('Temp Hisfa'!L$3:L$200), "", ROW('Temp Hisfa'!L$3:L$200)-MIN(ROW('Temp Hisfa'!L$3:L$200))+1), ROW(167:366))),"")</f>
        <v/>
      </c>
      <c r="M169" s="22" t="str">
        <f t="array" ref="M169">IFERROR(INDEX('Temp Hisfa'!M$3:M$200, SMALL(IF(ISERROR('Temp Hisfa'!M$3:M$200), "", ROW('Temp Hisfa'!M$3:M$200)-MIN(ROW('Temp Hisfa'!M$3:M$200))+1), ROW(167:366))),"")</f>
        <v/>
      </c>
      <c r="N169" s="22" t="str">
        <f t="array" ref="N169">IFERROR(INDEX('Temp Hisfa'!N$3:N$200, SMALL(IF(ISERROR('Temp Hisfa'!N$3:N$200), "", ROW('Temp Hisfa'!N$3:N$200)-MIN(ROW('Temp Hisfa'!N$3:N$200))+1), ROW(167:366))),"")</f>
        <v/>
      </c>
      <c r="O169" s="22" t="str">
        <f t="array" ref="O169">IFERROR(INDEX('Temp Hisfa'!O$3:O$200, SMALL(IF(ISERROR('Temp Hisfa'!O$3:O$200), "", ROW('Temp Hisfa'!O$3:O$200)-MIN(ROW('Temp Hisfa'!O$3:O$200))+1), ROW(167:366))),"")</f>
        <v/>
      </c>
      <c r="P169" s="22" t="str">
        <f t="array" ref="P169">IFERROR(INDEX('Temp Hisfa'!P$3:P$200, SMALL(IF(ISERROR('Temp Hisfa'!P$3:P$200), "", ROW('Temp Hisfa'!P$3:P$200)-MIN(ROW('Temp Hisfa'!P$3:P$200))+1), ROW(167:366))),"")</f>
        <v/>
      </c>
      <c r="Q169" s="22" t="str">
        <f t="array" ref="Q169">IFERROR(INDEX('Temp Hisfa'!Q$3:Q$200, SMALL(IF(ISERROR('Temp Hisfa'!Q$3:Q$200), "", ROW('Temp Hisfa'!Q$3:Q$200)-MIN(ROW('Temp Hisfa'!Q$3:Q$200))+1), ROW(167:366))),"")</f>
        <v/>
      </c>
      <c r="R169" s="22" t="str">
        <f t="array" ref="R169">IFERROR(INDEX('Temp Hisfa'!R$3:R$200, SMALL(IF(ISERROR('Temp Hisfa'!R$3:R$200), "", ROW('Temp Hisfa'!R$3:R$200)-MIN(ROW('Temp Hisfa'!R$3:R$200))+1), ROW(167:366))),"")</f>
        <v/>
      </c>
      <c r="S169" s="22" t="str">
        <f t="array" ref="S169">IFERROR(INDEX('Temp Hisfa'!S$3:S$200, SMALL(IF(ISERROR('Temp Hisfa'!S$3:S$200), "", ROW('Temp Hisfa'!S$3:S$200)-MIN(ROW('Temp Hisfa'!S$3:S$200))+1), ROW(167:366))),"")</f>
        <v/>
      </c>
      <c r="T169" s="22" t="str">
        <f t="array" ref="T169">IFERROR(INDEX('Temp Hisfa'!T$3:T$200, SMALL(IF(ISERROR('Temp Hisfa'!T$3:T$200), "", ROW('Temp Hisfa'!T$3:T$200)-MIN(ROW('Temp Hisfa'!T$3:T$200))+1), ROW(167:366))),"")</f>
        <v/>
      </c>
      <c r="U169" s="22" t="str">
        <f t="array" ref="U169">IFERROR(INDEX('Temp Hisfa'!U$3:U$200, SMALL(IF(ISERROR('Temp Hisfa'!U$3:U$200), "", ROW('Temp Hisfa'!U$3:U$200)-MIN(ROW('Temp Hisfa'!U$3:U$200))+1), ROW(167:366))),"")</f>
        <v/>
      </c>
      <c r="V169" s="22" t="str">
        <f t="array" ref="V169">IFERROR(INDEX('Temp Hisfa'!V$3:V$200, SMALL(IF(ISERROR('Temp Hisfa'!V$3:V$200), "", ROW('Temp Hisfa'!V$3:V$200)-MIN(ROW('Temp Hisfa'!V$3:V$200))+1), ROW(167:366))),"")</f>
        <v/>
      </c>
      <c r="W169" s="22" t="str">
        <f t="array" ref="W169">IFERROR(INDEX('Temp Hisfa'!W$3:W$200, SMALL(IF(ISERROR('Temp Hisfa'!W$3:W$200), "", ROW('Temp Hisfa'!W$3:W$200)-MIN(ROW('Temp Hisfa'!W$3:W$200))+1), ROW(167:366))),"")</f>
        <v/>
      </c>
      <c r="X169" s="22" t="str">
        <f t="array" ref="X169">IFERROR(INDEX('Temp Hisfa'!X$3:X$200, SMALL(IF(ISERROR('Temp Hisfa'!X$3:X$200), "", ROW('Temp Hisfa'!X$3:X$200)-MIN(ROW('Temp Hisfa'!X$3:X$200))+1), ROW(167:366))),"")</f>
        <v/>
      </c>
      <c r="Y169" s="22" t="str">
        <f t="array" ref="Y169">IFERROR(INDEX('Temp Hisfa'!Y$3:Y$200, SMALL(IF(ISERROR('Temp Hisfa'!Y$3:Y$200), "", ROW('Temp Hisfa'!Y$3:Y$200)-MIN(ROW('Temp Hisfa'!Y$3:Y$200))+1), ROW(167:366))),"")</f>
        <v/>
      </c>
      <c r="Z169" s="22" t="str">
        <f t="array" ref="Z169">IFERROR(INDEX('Temp Hisfa'!Z$3:Z$200, SMALL(IF(ISERROR('Temp Hisfa'!Z$3:Z$200), "", ROW('Temp Hisfa'!Z$3:Z$200)-MIN(ROW('Temp Hisfa'!Z$3:Z$200))+1), ROW(167:366))),"")</f>
        <v/>
      </c>
      <c r="AA169" s="22" t="str">
        <f t="array" ref="AA169">IFERROR(INDEX('Temp Hisfa'!AA$3:AA$200, SMALL(IF(ISERROR('Temp Hisfa'!AA$3:AA$200), "", ROW('Temp Hisfa'!AA$3:AA$200)-MIN(ROW('Temp Hisfa'!AA$3:AA$200))+1), ROW(167:366))),"")</f>
        <v/>
      </c>
      <c r="AB169" s="22" t="str">
        <f t="array" ref="AB169">IFERROR(INDEX('Temp Hisfa'!AB$3:AB$200, SMALL(IF(ISERROR('Temp Hisfa'!AB$3:AB$200), "", ROW('Temp Hisfa'!AB$3:AB$200)-MIN(ROW('Temp Hisfa'!AB$3:AB$200))+1), ROW(167:366))),"")</f>
        <v/>
      </c>
    </row>
    <row r="170" spans="1:28" x14ac:dyDescent="0.3">
      <c r="A170" s="4" t="str">
        <f t="array" ref="A170">IFERROR(INDEX('Temp Hisfa'!A$3:A$200, SMALL(IF(ISERROR('Temp Hisfa'!A$3:A$200), "", ROW('Temp Hisfa'!A$3:A$200)-MIN(ROW('Temp Hisfa'!A$3:A$200))+1), ROW(168:366))),"")</f>
        <v/>
      </c>
      <c r="B170" s="4" t="str">
        <f t="array" ref="B170">IFERROR(INDEX('Temp Hisfa'!B$3:B$200, SMALL(IF(ISERROR('Temp Hisfa'!B$3:B$200), "", ROW('Temp Hisfa'!B$3:B$200)-MIN(ROW('Temp Hisfa'!B$3:B$200))+1), ROW(168:366))),"")</f>
        <v/>
      </c>
      <c r="C170" s="3" t="str">
        <f t="array" ref="C170">IFERROR(INDEX('Temp Hisfa'!C$3:C$200, SMALL(IF(ISERROR('Temp Hisfa'!C$3:C$200), "", ROW('Temp Hisfa'!C$3:C$200)-MIN(ROW('Temp Hisfa'!C$3:C$200))+1), ROW(168:366))),"")</f>
        <v/>
      </c>
      <c r="D170" s="3" t="str">
        <f t="array" ref="D170">IFERROR(INDEX('Temp Hisfa'!D$3:D$200, SMALL(IF(ISERROR('Temp Hisfa'!D$3:D$200), "", ROW('Temp Hisfa'!D$3:D$200)-MIN(ROW('Temp Hisfa'!D$3:D$200))+1), ROW(168:366))),"")</f>
        <v/>
      </c>
      <c r="E170" s="29" t="str">
        <f t="array" ref="E170">IFERROR(INDEX('Temp Hisfa'!E$3:E$200, SMALL(IF(ISERROR('Temp Hisfa'!E$3:E$200), "", ROW('Temp Hisfa'!E$3:E$200)-MIN(ROW('Temp Hisfa'!E$3:E$200))+1), ROW(168:367))),"")</f>
        <v/>
      </c>
      <c r="F170" s="22" t="str">
        <f t="array" ref="F170">IFERROR(INDEX('Temp Hisfa'!F$3:F$200, SMALL(IF(ISERROR('Temp Hisfa'!F$3:F$200), "", ROW('Temp Hisfa'!F$3:F$200)-MIN(ROW('Temp Hisfa'!F$3:F$200))+1), ROW(168:367))),"")</f>
        <v/>
      </c>
      <c r="G170" s="30" t="str">
        <f t="array" ref="G170">IFERROR(INDEX('Temp Hisfa'!G$3:G$200, SMALL(IF(ISERROR('Temp Hisfa'!G$3:G$200), "", ROW('Temp Hisfa'!G$3:G$200)-MIN(ROW('Temp Hisfa'!G$3:G$200))+1), ROW(168:367))),"")</f>
        <v/>
      </c>
      <c r="H170" s="22" t="str">
        <f t="array" ref="H170">IFERROR(INDEX('Temp Hisfa'!H$3:H$200, SMALL(IF(ISERROR('Temp Hisfa'!H$3:H$200), "", ROW('Temp Hisfa'!H$3:H$200)-MIN(ROW('Temp Hisfa'!H$3:H$200))+1), ROW(168:367))),"")</f>
        <v/>
      </c>
      <c r="I170" s="22" t="str">
        <f t="array" ref="I170">IFERROR(INDEX('Temp Hisfa'!I$3:I$200, SMALL(IF(ISERROR('Temp Hisfa'!I$3:I$200), "", ROW('Temp Hisfa'!I$3:I$200)-MIN(ROW('Temp Hisfa'!I$3:I$200))+1), ROW(168:367))),"")</f>
        <v/>
      </c>
      <c r="J170" s="22" t="str">
        <f t="array" ref="J170">IFERROR(INDEX('Temp Hisfa'!J$3:J$200, SMALL(IF(ISERROR('Temp Hisfa'!J$3:J$200), "", ROW('Temp Hisfa'!J$3:J$200)-MIN(ROW('Temp Hisfa'!J$3:J$200))+1), ROW(168:367))),"")</f>
        <v/>
      </c>
      <c r="K170" s="30" t="str">
        <f t="array" ref="K170">IFERROR(INDEX('Temp Hisfa'!K$3:K$200, SMALL(IF(ISERROR('Temp Hisfa'!K$3:K$200), "", ROW('Temp Hisfa'!K$3:K$200)-MIN(ROW('Temp Hisfa'!K$3:K$200))+1), ROW(168:367))),"")</f>
        <v/>
      </c>
      <c r="L170" s="22" t="str">
        <f t="array" ref="L170">IFERROR(INDEX('Temp Hisfa'!L$3:L$200, SMALL(IF(ISERROR('Temp Hisfa'!L$3:L$200), "", ROW('Temp Hisfa'!L$3:L$200)-MIN(ROW('Temp Hisfa'!L$3:L$200))+1), ROW(168:367))),"")</f>
        <v/>
      </c>
      <c r="M170" s="22" t="str">
        <f t="array" ref="M170">IFERROR(INDEX('Temp Hisfa'!M$3:M$200, SMALL(IF(ISERROR('Temp Hisfa'!M$3:M$200), "", ROW('Temp Hisfa'!M$3:M$200)-MIN(ROW('Temp Hisfa'!M$3:M$200))+1), ROW(168:367))),"")</f>
        <v/>
      </c>
      <c r="N170" s="22" t="str">
        <f t="array" ref="N170">IFERROR(INDEX('Temp Hisfa'!N$3:N$200, SMALL(IF(ISERROR('Temp Hisfa'!N$3:N$200), "", ROW('Temp Hisfa'!N$3:N$200)-MIN(ROW('Temp Hisfa'!N$3:N$200))+1), ROW(168:367))),"")</f>
        <v/>
      </c>
      <c r="O170" s="22" t="str">
        <f t="array" ref="O170">IFERROR(INDEX('Temp Hisfa'!O$3:O$200, SMALL(IF(ISERROR('Temp Hisfa'!O$3:O$200), "", ROW('Temp Hisfa'!O$3:O$200)-MIN(ROW('Temp Hisfa'!O$3:O$200))+1), ROW(168:367))),"")</f>
        <v/>
      </c>
      <c r="P170" s="22" t="str">
        <f t="array" ref="P170">IFERROR(INDEX('Temp Hisfa'!P$3:P$200, SMALL(IF(ISERROR('Temp Hisfa'!P$3:P$200), "", ROW('Temp Hisfa'!P$3:P$200)-MIN(ROW('Temp Hisfa'!P$3:P$200))+1), ROW(168:367))),"")</f>
        <v/>
      </c>
      <c r="Q170" s="22" t="str">
        <f t="array" ref="Q170">IFERROR(INDEX('Temp Hisfa'!Q$3:Q$200, SMALL(IF(ISERROR('Temp Hisfa'!Q$3:Q$200), "", ROW('Temp Hisfa'!Q$3:Q$200)-MIN(ROW('Temp Hisfa'!Q$3:Q$200))+1), ROW(168:367))),"")</f>
        <v/>
      </c>
      <c r="R170" s="22" t="str">
        <f t="array" ref="R170">IFERROR(INDEX('Temp Hisfa'!R$3:R$200, SMALL(IF(ISERROR('Temp Hisfa'!R$3:R$200), "", ROW('Temp Hisfa'!R$3:R$200)-MIN(ROW('Temp Hisfa'!R$3:R$200))+1), ROW(168:367))),"")</f>
        <v/>
      </c>
      <c r="S170" s="22" t="str">
        <f t="array" ref="S170">IFERROR(INDEX('Temp Hisfa'!S$3:S$200, SMALL(IF(ISERROR('Temp Hisfa'!S$3:S$200), "", ROW('Temp Hisfa'!S$3:S$200)-MIN(ROW('Temp Hisfa'!S$3:S$200))+1), ROW(168:367))),"")</f>
        <v/>
      </c>
      <c r="T170" s="22" t="str">
        <f t="array" ref="T170">IFERROR(INDEX('Temp Hisfa'!T$3:T$200, SMALL(IF(ISERROR('Temp Hisfa'!T$3:T$200), "", ROW('Temp Hisfa'!T$3:T$200)-MIN(ROW('Temp Hisfa'!T$3:T$200))+1), ROW(168:367))),"")</f>
        <v/>
      </c>
      <c r="U170" s="22" t="str">
        <f t="array" ref="U170">IFERROR(INDEX('Temp Hisfa'!U$3:U$200, SMALL(IF(ISERROR('Temp Hisfa'!U$3:U$200), "", ROW('Temp Hisfa'!U$3:U$200)-MIN(ROW('Temp Hisfa'!U$3:U$200))+1), ROW(168:367))),"")</f>
        <v/>
      </c>
      <c r="V170" s="22" t="str">
        <f t="array" ref="V170">IFERROR(INDEX('Temp Hisfa'!V$3:V$200, SMALL(IF(ISERROR('Temp Hisfa'!V$3:V$200), "", ROW('Temp Hisfa'!V$3:V$200)-MIN(ROW('Temp Hisfa'!V$3:V$200))+1), ROW(168:367))),"")</f>
        <v/>
      </c>
      <c r="W170" s="22" t="str">
        <f t="array" ref="W170">IFERROR(INDEX('Temp Hisfa'!W$3:W$200, SMALL(IF(ISERROR('Temp Hisfa'!W$3:W$200), "", ROW('Temp Hisfa'!W$3:W$200)-MIN(ROW('Temp Hisfa'!W$3:W$200))+1), ROW(168:367))),"")</f>
        <v/>
      </c>
      <c r="X170" s="22" t="str">
        <f t="array" ref="X170">IFERROR(INDEX('Temp Hisfa'!X$3:X$200, SMALL(IF(ISERROR('Temp Hisfa'!X$3:X$200), "", ROW('Temp Hisfa'!X$3:X$200)-MIN(ROW('Temp Hisfa'!X$3:X$200))+1), ROW(168:367))),"")</f>
        <v/>
      </c>
      <c r="Y170" s="22" t="str">
        <f t="array" ref="Y170">IFERROR(INDEX('Temp Hisfa'!Y$3:Y$200, SMALL(IF(ISERROR('Temp Hisfa'!Y$3:Y$200), "", ROW('Temp Hisfa'!Y$3:Y$200)-MIN(ROW('Temp Hisfa'!Y$3:Y$200))+1), ROW(168:367))),"")</f>
        <v/>
      </c>
      <c r="Z170" s="22" t="str">
        <f t="array" ref="Z170">IFERROR(INDEX('Temp Hisfa'!Z$3:Z$200, SMALL(IF(ISERROR('Temp Hisfa'!Z$3:Z$200), "", ROW('Temp Hisfa'!Z$3:Z$200)-MIN(ROW('Temp Hisfa'!Z$3:Z$200))+1), ROW(168:367))),"")</f>
        <v/>
      </c>
      <c r="AA170" s="22" t="str">
        <f t="array" ref="AA170">IFERROR(INDEX('Temp Hisfa'!AA$3:AA$200, SMALL(IF(ISERROR('Temp Hisfa'!AA$3:AA$200), "", ROW('Temp Hisfa'!AA$3:AA$200)-MIN(ROW('Temp Hisfa'!AA$3:AA$200))+1), ROW(168:367))),"")</f>
        <v/>
      </c>
      <c r="AB170" s="22" t="str">
        <f t="array" ref="AB170">IFERROR(INDEX('Temp Hisfa'!AB$3:AB$200, SMALL(IF(ISERROR('Temp Hisfa'!AB$3:AB$200), "", ROW('Temp Hisfa'!AB$3:AB$200)-MIN(ROW('Temp Hisfa'!AB$3:AB$200))+1), ROW(168:367))),"")</f>
        <v/>
      </c>
    </row>
    <row r="171" spans="1:28" x14ac:dyDescent="0.3">
      <c r="A171" s="4" t="str">
        <f t="array" ref="A171">IFERROR(INDEX('Temp Hisfa'!A$3:A$200, SMALL(IF(ISERROR('Temp Hisfa'!A$3:A$200), "", ROW('Temp Hisfa'!A$3:A$200)-MIN(ROW('Temp Hisfa'!A$3:A$200))+1), ROW(169:367))),"")</f>
        <v/>
      </c>
      <c r="B171" s="4" t="str">
        <f t="array" ref="B171">IFERROR(INDEX('Temp Hisfa'!B$3:B$200, SMALL(IF(ISERROR('Temp Hisfa'!B$3:B$200), "", ROW('Temp Hisfa'!B$3:B$200)-MIN(ROW('Temp Hisfa'!B$3:B$200))+1), ROW(169:367))),"")</f>
        <v/>
      </c>
      <c r="C171" s="3" t="str">
        <f t="array" ref="C171">IFERROR(INDEX('Temp Hisfa'!C$3:C$200, SMALL(IF(ISERROR('Temp Hisfa'!C$3:C$200), "", ROW('Temp Hisfa'!C$3:C$200)-MIN(ROW('Temp Hisfa'!C$3:C$200))+1), ROW(169:367))),"")</f>
        <v/>
      </c>
      <c r="D171" s="3" t="str">
        <f t="array" ref="D171">IFERROR(INDEX('Temp Hisfa'!D$3:D$200, SMALL(IF(ISERROR('Temp Hisfa'!D$3:D$200), "", ROW('Temp Hisfa'!D$3:D$200)-MIN(ROW('Temp Hisfa'!D$3:D$200))+1), ROW(169:367))),"")</f>
        <v/>
      </c>
      <c r="E171" s="29" t="str">
        <f t="array" ref="E171">IFERROR(INDEX('Temp Hisfa'!E$3:E$200, SMALL(IF(ISERROR('Temp Hisfa'!E$3:E$200), "", ROW('Temp Hisfa'!E$3:E$200)-MIN(ROW('Temp Hisfa'!E$3:E$200))+1), ROW(169:368))),"")</f>
        <v/>
      </c>
      <c r="F171" s="22" t="str">
        <f t="array" ref="F171">IFERROR(INDEX('Temp Hisfa'!F$3:F$200, SMALL(IF(ISERROR('Temp Hisfa'!F$3:F$200), "", ROW('Temp Hisfa'!F$3:F$200)-MIN(ROW('Temp Hisfa'!F$3:F$200))+1), ROW(169:368))),"")</f>
        <v/>
      </c>
      <c r="G171" s="30" t="str">
        <f t="array" ref="G171">IFERROR(INDEX('Temp Hisfa'!G$3:G$200, SMALL(IF(ISERROR('Temp Hisfa'!G$3:G$200), "", ROW('Temp Hisfa'!G$3:G$200)-MIN(ROW('Temp Hisfa'!G$3:G$200))+1), ROW(169:368))),"")</f>
        <v/>
      </c>
      <c r="H171" s="22" t="str">
        <f t="array" ref="H171">IFERROR(INDEX('Temp Hisfa'!H$3:H$200, SMALL(IF(ISERROR('Temp Hisfa'!H$3:H$200), "", ROW('Temp Hisfa'!H$3:H$200)-MIN(ROW('Temp Hisfa'!H$3:H$200))+1), ROW(169:368))),"")</f>
        <v/>
      </c>
      <c r="I171" s="22" t="str">
        <f t="array" ref="I171">IFERROR(INDEX('Temp Hisfa'!I$3:I$200, SMALL(IF(ISERROR('Temp Hisfa'!I$3:I$200), "", ROW('Temp Hisfa'!I$3:I$200)-MIN(ROW('Temp Hisfa'!I$3:I$200))+1), ROW(169:368))),"")</f>
        <v/>
      </c>
      <c r="J171" s="22" t="str">
        <f t="array" ref="J171">IFERROR(INDEX('Temp Hisfa'!J$3:J$200, SMALL(IF(ISERROR('Temp Hisfa'!J$3:J$200), "", ROW('Temp Hisfa'!J$3:J$200)-MIN(ROW('Temp Hisfa'!J$3:J$200))+1), ROW(169:368))),"")</f>
        <v/>
      </c>
      <c r="K171" s="30" t="str">
        <f t="array" ref="K171">IFERROR(INDEX('Temp Hisfa'!K$3:K$200, SMALL(IF(ISERROR('Temp Hisfa'!K$3:K$200), "", ROW('Temp Hisfa'!K$3:K$200)-MIN(ROW('Temp Hisfa'!K$3:K$200))+1), ROW(169:368))),"")</f>
        <v/>
      </c>
      <c r="L171" s="22" t="str">
        <f t="array" ref="L171">IFERROR(INDEX('Temp Hisfa'!L$3:L$200, SMALL(IF(ISERROR('Temp Hisfa'!L$3:L$200), "", ROW('Temp Hisfa'!L$3:L$200)-MIN(ROW('Temp Hisfa'!L$3:L$200))+1), ROW(169:368))),"")</f>
        <v/>
      </c>
      <c r="M171" s="22" t="str">
        <f t="array" ref="M171">IFERROR(INDEX('Temp Hisfa'!M$3:M$200, SMALL(IF(ISERROR('Temp Hisfa'!M$3:M$200), "", ROW('Temp Hisfa'!M$3:M$200)-MIN(ROW('Temp Hisfa'!M$3:M$200))+1), ROW(169:368))),"")</f>
        <v/>
      </c>
      <c r="N171" s="22" t="str">
        <f t="array" ref="N171">IFERROR(INDEX('Temp Hisfa'!N$3:N$200, SMALL(IF(ISERROR('Temp Hisfa'!N$3:N$200), "", ROW('Temp Hisfa'!N$3:N$200)-MIN(ROW('Temp Hisfa'!N$3:N$200))+1), ROW(169:368))),"")</f>
        <v/>
      </c>
      <c r="O171" s="22" t="str">
        <f t="array" ref="O171">IFERROR(INDEX('Temp Hisfa'!O$3:O$200, SMALL(IF(ISERROR('Temp Hisfa'!O$3:O$200), "", ROW('Temp Hisfa'!O$3:O$200)-MIN(ROW('Temp Hisfa'!O$3:O$200))+1), ROW(169:368))),"")</f>
        <v/>
      </c>
      <c r="P171" s="22" t="str">
        <f t="array" ref="P171">IFERROR(INDEX('Temp Hisfa'!P$3:P$200, SMALL(IF(ISERROR('Temp Hisfa'!P$3:P$200), "", ROW('Temp Hisfa'!P$3:P$200)-MIN(ROW('Temp Hisfa'!P$3:P$200))+1), ROW(169:368))),"")</f>
        <v/>
      </c>
      <c r="Q171" s="22" t="str">
        <f t="array" ref="Q171">IFERROR(INDEX('Temp Hisfa'!Q$3:Q$200, SMALL(IF(ISERROR('Temp Hisfa'!Q$3:Q$200), "", ROW('Temp Hisfa'!Q$3:Q$200)-MIN(ROW('Temp Hisfa'!Q$3:Q$200))+1), ROW(169:368))),"")</f>
        <v/>
      </c>
      <c r="R171" s="22" t="str">
        <f t="array" ref="R171">IFERROR(INDEX('Temp Hisfa'!R$3:R$200, SMALL(IF(ISERROR('Temp Hisfa'!R$3:R$200), "", ROW('Temp Hisfa'!R$3:R$200)-MIN(ROW('Temp Hisfa'!R$3:R$200))+1), ROW(169:368))),"")</f>
        <v/>
      </c>
      <c r="S171" s="22" t="str">
        <f t="array" ref="S171">IFERROR(INDEX('Temp Hisfa'!S$3:S$200, SMALL(IF(ISERROR('Temp Hisfa'!S$3:S$200), "", ROW('Temp Hisfa'!S$3:S$200)-MIN(ROW('Temp Hisfa'!S$3:S$200))+1), ROW(169:368))),"")</f>
        <v/>
      </c>
      <c r="T171" s="22" t="str">
        <f t="array" ref="T171">IFERROR(INDEX('Temp Hisfa'!T$3:T$200, SMALL(IF(ISERROR('Temp Hisfa'!T$3:T$200), "", ROW('Temp Hisfa'!T$3:T$200)-MIN(ROW('Temp Hisfa'!T$3:T$200))+1), ROW(169:368))),"")</f>
        <v/>
      </c>
      <c r="U171" s="22" t="str">
        <f t="array" ref="U171">IFERROR(INDEX('Temp Hisfa'!U$3:U$200, SMALL(IF(ISERROR('Temp Hisfa'!U$3:U$200), "", ROW('Temp Hisfa'!U$3:U$200)-MIN(ROW('Temp Hisfa'!U$3:U$200))+1), ROW(169:368))),"")</f>
        <v/>
      </c>
      <c r="V171" s="22" t="str">
        <f t="array" ref="V171">IFERROR(INDEX('Temp Hisfa'!V$3:V$200, SMALL(IF(ISERROR('Temp Hisfa'!V$3:V$200), "", ROW('Temp Hisfa'!V$3:V$200)-MIN(ROW('Temp Hisfa'!V$3:V$200))+1), ROW(169:368))),"")</f>
        <v/>
      </c>
      <c r="W171" s="22" t="str">
        <f t="array" ref="W171">IFERROR(INDEX('Temp Hisfa'!W$3:W$200, SMALL(IF(ISERROR('Temp Hisfa'!W$3:W$200), "", ROW('Temp Hisfa'!W$3:W$200)-MIN(ROW('Temp Hisfa'!W$3:W$200))+1), ROW(169:368))),"")</f>
        <v/>
      </c>
      <c r="X171" s="22" t="str">
        <f t="array" ref="X171">IFERROR(INDEX('Temp Hisfa'!X$3:X$200, SMALL(IF(ISERROR('Temp Hisfa'!X$3:X$200), "", ROW('Temp Hisfa'!X$3:X$200)-MIN(ROW('Temp Hisfa'!X$3:X$200))+1), ROW(169:368))),"")</f>
        <v/>
      </c>
      <c r="Y171" s="22" t="str">
        <f t="array" ref="Y171">IFERROR(INDEX('Temp Hisfa'!Y$3:Y$200, SMALL(IF(ISERROR('Temp Hisfa'!Y$3:Y$200), "", ROW('Temp Hisfa'!Y$3:Y$200)-MIN(ROW('Temp Hisfa'!Y$3:Y$200))+1), ROW(169:368))),"")</f>
        <v/>
      </c>
      <c r="Z171" s="22" t="str">
        <f t="array" ref="Z171">IFERROR(INDEX('Temp Hisfa'!Z$3:Z$200, SMALL(IF(ISERROR('Temp Hisfa'!Z$3:Z$200), "", ROW('Temp Hisfa'!Z$3:Z$200)-MIN(ROW('Temp Hisfa'!Z$3:Z$200))+1), ROW(169:368))),"")</f>
        <v/>
      </c>
      <c r="AA171" s="22" t="str">
        <f t="array" ref="AA171">IFERROR(INDEX('Temp Hisfa'!AA$3:AA$200, SMALL(IF(ISERROR('Temp Hisfa'!AA$3:AA$200), "", ROW('Temp Hisfa'!AA$3:AA$200)-MIN(ROW('Temp Hisfa'!AA$3:AA$200))+1), ROW(169:368))),"")</f>
        <v/>
      </c>
      <c r="AB171" s="22" t="str">
        <f t="array" ref="AB171">IFERROR(INDEX('Temp Hisfa'!AB$3:AB$200, SMALL(IF(ISERROR('Temp Hisfa'!AB$3:AB$200), "", ROW('Temp Hisfa'!AB$3:AB$200)-MIN(ROW('Temp Hisfa'!AB$3:AB$200))+1), ROW(169:368))),"")</f>
        <v/>
      </c>
    </row>
    <row r="172" spans="1:28" x14ac:dyDescent="0.3">
      <c r="A172" s="4" t="str">
        <f t="array" ref="A172">IFERROR(INDEX('Temp Hisfa'!A$3:A$200, SMALL(IF(ISERROR('Temp Hisfa'!A$3:A$200), "", ROW('Temp Hisfa'!A$3:A$200)-MIN(ROW('Temp Hisfa'!A$3:A$200))+1), ROW(170:368))),"")</f>
        <v/>
      </c>
      <c r="B172" s="4" t="str">
        <f t="array" ref="B172">IFERROR(INDEX('Temp Hisfa'!B$3:B$200, SMALL(IF(ISERROR('Temp Hisfa'!B$3:B$200), "", ROW('Temp Hisfa'!B$3:B$200)-MIN(ROW('Temp Hisfa'!B$3:B$200))+1), ROW(170:368))),"")</f>
        <v/>
      </c>
      <c r="C172" s="3" t="str">
        <f t="array" ref="C172">IFERROR(INDEX('Temp Hisfa'!C$3:C$200, SMALL(IF(ISERROR('Temp Hisfa'!C$3:C$200), "", ROW('Temp Hisfa'!C$3:C$200)-MIN(ROW('Temp Hisfa'!C$3:C$200))+1), ROW(170:368))),"")</f>
        <v/>
      </c>
      <c r="D172" s="3" t="str">
        <f t="array" ref="D172">IFERROR(INDEX('Temp Hisfa'!D$3:D$200, SMALL(IF(ISERROR('Temp Hisfa'!D$3:D$200), "", ROW('Temp Hisfa'!D$3:D$200)-MIN(ROW('Temp Hisfa'!D$3:D$200))+1), ROW(170:368))),"")</f>
        <v/>
      </c>
      <c r="E172" s="29" t="str">
        <f t="array" ref="E172">IFERROR(INDEX('Temp Hisfa'!E$3:E$200, SMALL(IF(ISERROR('Temp Hisfa'!E$3:E$200), "", ROW('Temp Hisfa'!E$3:E$200)-MIN(ROW('Temp Hisfa'!E$3:E$200))+1), ROW(170:369))),"")</f>
        <v/>
      </c>
      <c r="F172" s="22" t="str">
        <f t="array" ref="F172">IFERROR(INDEX('Temp Hisfa'!F$3:F$200, SMALL(IF(ISERROR('Temp Hisfa'!F$3:F$200), "", ROW('Temp Hisfa'!F$3:F$200)-MIN(ROW('Temp Hisfa'!F$3:F$200))+1), ROW(170:369))),"")</f>
        <v/>
      </c>
      <c r="G172" s="30" t="str">
        <f t="array" ref="G172">IFERROR(INDEX('Temp Hisfa'!G$3:G$200, SMALL(IF(ISERROR('Temp Hisfa'!G$3:G$200), "", ROW('Temp Hisfa'!G$3:G$200)-MIN(ROW('Temp Hisfa'!G$3:G$200))+1), ROW(170:369))),"")</f>
        <v/>
      </c>
      <c r="H172" s="22" t="str">
        <f t="array" ref="H172">IFERROR(INDEX('Temp Hisfa'!H$3:H$200, SMALL(IF(ISERROR('Temp Hisfa'!H$3:H$200), "", ROW('Temp Hisfa'!H$3:H$200)-MIN(ROW('Temp Hisfa'!H$3:H$200))+1), ROW(170:369))),"")</f>
        <v/>
      </c>
      <c r="I172" s="22" t="str">
        <f t="array" ref="I172">IFERROR(INDEX('Temp Hisfa'!I$3:I$200, SMALL(IF(ISERROR('Temp Hisfa'!I$3:I$200), "", ROW('Temp Hisfa'!I$3:I$200)-MIN(ROW('Temp Hisfa'!I$3:I$200))+1), ROW(170:369))),"")</f>
        <v/>
      </c>
      <c r="J172" s="22" t="str">
        <f t="array" ref="J172">IFERROR(INDEX('Temp Hisfa'!J$3:J$200, SMALL(IF(ISERROR('Temp Hisfa'!J$3:J$200), "", ROW('Temp Hisfa'!J$3:J$200)-MIN(ROW('Temp Hisfa'!J$3:J$200))+1), ROW(170:369))),"")</f>
        <v/>
      </c>
      <c r="K172" s="30" t="str">
        <f t="array" ref="K172">IFERROR(INDEX('Temp Hisfa'!K$3:K$200, SMALL(IF(ISERROR('Temp Hisfa'!K$3:K$200), "", ROW('Temp Hisfa'!K$3:K$200)-MIN(ROW('Temp Hisfa'!K$3:K$200))+1), ROW(170:369))),"")</f>
        <v/>
      </c>
      <c r="L172" s="22" t="str">
        <f t="array" ref="L172">IFERROR(INDEX('Temp Hisfa'!L$3:L$200, SMALL(IF(ISERROR('Temp Hisfa'!L$3:L$200), "", ROW('Temp Hisfa'!L$3:L$200)-MIN(ROW('Temp Hisfa'!L$3:L$200))+1), ROW(170:369))),"")</f>
        <v/>
      </c>
      <c r="M172" s="22" t="str">
        <f t="array" ref="M172">IFERROR(INDEX('Temp Hisfa'!M$3:M$200, SMALL(IF(ISERROR('Temp Hisfa'!M$3:M$200), "", ROW('Temp Hisfa'!M$3:M$200)-MIN(ROW('Temp Hisfa'!M$3:M$200))+1), ROW(170:369))),"")</f>
        <v/>
      </c>
      <c r="N172" s="22" t="str">
        <f t="array" ref="N172">IFERROR(INDEX('Temp Hisfa'!N$3:N$200, SMALL(IF(ISERROR('Temp Hisfa'!N$3:N$200), "", ROW('Temp Hisfa'!N$3:N$200)-MIN(ROW('Temp Hisfa'!N$3:N$200))+1), ROW(170:369))),"")</f>
        <v/>
      </c>
      <c r="O172" s="22" t="str">
        <f t="array" ref="O172">IFERROR(INDEX('Temp Hisfa'!O$3:O$200, SMALL(IF(ISERROR('Temp Hisfa'!O$3:O$200), "", ROW('Temp Hisfa'!O$3:O$200)-MIN(ROW('Temp Hisfa'!O$3:O$200))+1), ROW(170:369))),"")</f>
        <v/>
      </c>
      <c r="P172" s="22" t="str">
        <f t="array" ref="P172">IFERROR(INDEX('Temp Hisfa'!P$3:P$200, SMALL(IF(ISERROR('Temp Hisfa'!P$3:P$200), "", ROW('Temp Hisfa'!P$3:P$200)-MIN(ROW('Temp Hisfa'!P$3:P$200))+1), ROW(170:369))),"")</f>
        <v/>
      </c>
      <c r="Q172" s="22" t="str">
        <f t="array" ref="Q172">IFERROR(INDEX('Temp Hisfa'!Q$3:Q$200, SMALL(IF(ISERROR('Temp Hisfa'!Q$3:Q$200), "", ROW('Temp Hisfa'!Q$3:Q$200)-MIN(ROW('Temp Hisfa'!Q$3:Q$200))+1), ROW(170:369))),"")</f>
        <v/>
      </c>
      <c r="R172" s="22" t="str">
        <f t="array" ref="R172">IFERROR(INDEX('Temp Hisfa'!R$3:R$200, SMALL(IF(ISERROR('Temp Hisfa'!R$3:R$200), "", ROW('Temp Hisfa'!R$3:R$200)-MIN(ROW('Temp Hisfa'!R$3:R$200))+1), ROW(170:369))),"")</f>
        <v/>
      </c>
      <c r="S172" s="22" t="str">
        <f t="array" ref="S172">IFERROR(INDEX('Temp Hisfa'!S$3:S$200, SMALL(IF(ISERROR('Temp Hisfa'!S$3:S$200), "", ROW('Temp Hisfa'!S$3:S$200)-MIN(ROW('Temp Hisfa'!S$3:S$200))+1), ROW(170:369))),"")</f>
        <v/>
      </c>
      <c r="T172" s="22" t="str">
        <f t="array" ref="T172">IFERROR(INDEX('Temp Hisfa'!T$3:T$200, SMALL(IF(ISERROR('Temp Hisfa'!T$3:T$200), "", ROW('Temp Hisfa'!T$3:T$200)-MIN(ROW('Temp Hisfa'!T$3:T$200))+1), ROW(170:369))),"")</f>
        <v/>
      </c>
      <c r="U172" s="22" t="str">
        <f t="array" ref="U172">IFERROR(INDEX('Temp Hisfa'!U$3:U$200, SMALL(IF(ISERROR('Temp Hisfa'!U$3:U$200), "", ROW('Temp Hisfa'!U$3:U$200)-MIN(ROW('Temp Hisfa'!U$3:U$200))+1), ROW(170:369))),"")</f>
        <v/>
      </c>
      <c r="V172" s="22" t="str">
        <f t="array" ref="V172">IFERROR(INDEX('Temp Hisfa'!V$3:V$200, SMALL(IF(ISERROR('Temp Hisfa'!V$3:V$200), "", ROW('Temp Hisfa'!V$3:V$200)-MIN(ROW('Temp Hisfa'!V$3:V$200))+1), ROW(170:369))),"")</f>
        <v/>
      </c>
      <c r="W172" s="22" t="str">
        <f t="array" ref="W172">IFERROR(INDEX('Temp Hisfa'!W$3:W$200, SMALL(IF(ISERROR('Temp Hisfa'!W$3:W$200), "", ROW('Temp Hisfa'!W$3:W$200)-MIN(ROW('Temp Hisfa'!W$3:W$200))+1), ROW(170:369))),"")</f>
        <v/>
      </c>
      <c r="X172" s="22" t="str">
        <f t="array" ref="X172">IFERROR(INDEX('Temp Hisfa'!X$3:X$200, SMALL(IF(ISERROR('Temp Hisfa'!X$3:X$200), "", ROW('Temp Hisfa'!X$3:X$200)-MIN(ROW('Temp Hisfa'!X$3:X$200))+1), ROW(170:369))),"")</f>
        <v/>
      </c>
      <c r="Y172" s="22" t="str">
        <f t="array" ref="Y172">IFERROR(INDEX('Temp Hisfa'!Y$3:Y$200, SMALL(IF(ISERROR('Temp Hisfa'!Y$3:Y$200), "", ROW('Temp Hisfa'!Y$3:Y$200)-MIN(ROW('Temp Hisfa'!Y$3:Y$200))+1), ROW(170:369))),"")</f>
        <v/>
      </c>
      <c r="Z172" s="22" t="str">
        <f t="array" ref="Z172">IFERROR(INDEX('Temp Hisfa'!Z$3:Z$200, SMALL(IF(ISERROR('Temp Hisfa'!Z$3:Z$200), "", ROW('Temp Hisfa'!Z$3:Z$200)-MIN(ROW('Temp Hisfa'!Z$3:Z$200))+1), ROW(170:369))),"")</f>
        <v/>
      </c>
      <c r="AA172" s="22" t="str">
        <f t="array" ref="AA172">IFERROR(INDEX('Temp Hisfa'!AA$3:AA$200, SMALL(IF(ISERROR('Temp Hisfa'!AA$3:AA$200), "", ROW('Temp Hisfa'!AA$3:AA$200)-MIN(ROW('Temp Hisfa'!AA$3:AA$200))+1), ROW(170:369))),"")</f>
        <v/>
      </c>
      <c r="AB172" s="22" t="str">
        <f t="array" ref="AB172">IFERROR(INDEX('Temp Hisfa'!AB$3:AB$200, SMALL(IF(ISERROR('Temp Hisfa'!AB$3:AB$200), "", ROW('Temp Hisfa'!AB$3:AB$200)-MIN(ROW('Temp Hisfa'!AB$3:AB$200))+1), ROW(170:369))),"")</f>
        <v/>
      </c>
    </row>
    <row r="173" spans="1:28" x14ac:dyDescent="0.3">
      <c r="A173" s="4" t="str">
        <f t="array" ref="A173">IFERROR(INDEX('Temp Hisfa'!A$3:A$200, SMALL(IF(ISERROR('Temp Hisfa'!A$3:A$200), "", ROW('Temp Hisfa'!A$3:A$200)-MIN(ROW('Temp Hisfa'!A$3:A$200))+1), ROW(171:369))),"")</f>
        <v/>
      </c>
      <c r="B173" s="4" t="str">
        <f t="array" ref="B173">IFERROR(INDEX('Temp Hisfa'!B$3:B$200, SMALL(IF(ISERROR('Temp Hisfa'!B$3:B$200), "", ROW('Temp Hisfa'!B$3:B$200)-MIN(ROW('Temp Hisfa'!B$3:B$200))+1), ROW(171:369))),"")</f>
        <v/>
      </c>
      <c r="C173" s="3" t="str">
        <f t="array" ref="C173">IFERROR(INDEX('Temp Hisfa'!C$3:C$200, SMALL(IF(ISERROR('Temp Hisfa'!C$3:C$200), "", ROW('Temp Hisfa'!C$3:C$200)-MIN(ROW('Temp Hisfa'!C$3:C$200))+1), ROW(171:369))),"")</f>
        <v/>
      </c>
      <c r="D173" s="3" t="str">
        <f t="array" ref="D173">IFERROR(INDEX('Temp Hisfa'!D$3:D$200, SMALL(IF(ISERROR('Temp Hisfa'!D$3:D$200), "", ROW('Temp Hisfa'!D$3:D$200)-MIN(ROW('Temp Hisfa'!D$3:D$200))+1), ROW(171:369))),"")</f>
        <v/>
      </c>
      <c r="E173" s="29" t="str">
        <f t="array" ref="E173">IFERROR(INDEX('Temp Hisfa'!E$3:E$200, SMALL(IF(ISERROR('Temp Hisfa'!E$3:E$200), "", ROW('Temp Hisfa'!E$3:E$200)-MIN(ROW('Temp Hisfa'!E$3:E$200))+1), ROW(171:370))),"")</f>
        <v/>
      </c>
      <c r="F173" s="22" t="str">
        <f t="array" ref="F173">IFERROR(INDEX('Temp Hisfa'!F$3:F$200, SMALL(IF(ISERROR('Temp Hisfa'!F$3:F$200), "", ROW('Temp Hisfa'!F$3:F$200)-MIN(ROW('Temp Hisfa'!F$3:F$200))+1), ROW(171:370))),"")</f>
        <v/>
      </c>
      <c r="G173" s="30" t="str">
        <f t="array" ref="G173">IFERROR(INDEX('Temp Hisfa'!G$3:G$200, SMALL(IF(ISERROR('Temp Hisfa'!G$3:G$200), "", ROW('Temp Hisfa'!G$3:G$200)-MIN(ROW('Temp Hisfa'!G$3:G$200))+1), ROW(171:370))),"")</f>
        <v/>
      </c>
      <c r="H173" s="22" t="str">
        <f t="array" ref="H173">IFERROR(INDEX('Temp Hisfa'!H$3:H$200, SMALL(IF(ISERROR('Temp Hisfa'!H$3:H$200), "", ROW('Temp Hisfa'!H$3:H$200)-MIN(ROW('Temp Hisfa'!H$3:H$200))+1), ROW(171:370))),"")</f>
        <v/>
      </c>
      <c r="I173" s="22" t="str">
        <f t="array" ref="I173">IFERROR(INDEX('Temp Hisfa'!I$3:I$200, SMALL(IF(ISERROR('Temp Hisfa'!I$3:I$200), "", ROW('Temp Hisfa'!I$3:I$200)-MIN(ROW('Temp Hisfa'!I$3:I$200))+1), ROW(171:370))),"")</f>
        <v/>
      </c>
      <c r="J173" s="22" t="str">
        <f t="array" ref="J173">IFERROR(INDEX('Temp Hisfa'!J$3:J$200, SMALL(IF(ISERROR('Temp Hisfa'!J$3:J$200), "", ROW('Temp Hisfa'!J$3:J$200)-MIN(ROW('Temp Hisfa'!J$3:J$200))+1), ROW(171:370))),"")</f>
        <v/>
      </c>
      <c r="K173" s="30" t="str">
        <f t="array" ref="K173">IFERROR(INDEX('Temp Hisfa'!K$3:K$200, SMALL(IF(ISERROR('Temp Hisfa'!K$3:K$200), "", ROW('Temp Hisfa'!K$3:K$200)-MIN(ROW('Temp Hisfa'!K$3:K$200))+1), ROW(171:370))),"")</f>
        <v/>
      </c>
      <c r="L173" s="22" t="str">
        <f t="array" ref="L173">IFERROR(INDEX('Temp Hisfa'!L$3:L$200, SMALL(IF(ISERROR('Temp Hisfa'!L$3:L$200), "", ROW('Temp Hisfa'!L$3:L$200)-MIN(ROW('Temp Hisfa'!L$3:L$200))+1), ROW(171:370))),"")</f>
        <v/>
      </c>
      <c r="M173" s="22" t="str">
        <f t="array" ref="M173">IFERROR(INDEX('Temp Hisfa'!M$3:M$200, SMALL(IF(ISERROR('Temp Hisfa'!M$3:M$200), "", ROW('Temp Hisfa'!M$3:M$200)-MIN(ROW('Temp Hisfa'!M$3:M$200))+1), ROW(171:370))),"")</f>
        <v/>
      </c>
      <c r="N173" s="22" t="str">
        <f t="array" ref="N173">IFERROR(INDEX('Temp Hisfa'!N$3:N$200, SMALL(IF(ISERROR('Temp Hisfa'!N$3:N$200), "", ROW('Temp Hisfa'!N$3:N$200)-MIN(ROW('Temp Hisfa'!N$3:N$200))+1), ROW(171:370))),"")</f>
        <v/>
      </c>
      <c r="O173" s="22" t="str">
        <f t="array" ref="O173">IFERROR(INDEX('Temp Hisfa'!O$3:O$200, SMALL(IF(ISERROR('Temp Hisfa'!O$3:O$200), "", ROW('Temp Hisfa'!O$3:O$200)-MIN(ROW('Temp Hisfa'!O$3:O$200))+1), ROW(171:370))),"")</f>
        <v/>
      </c>
      <c r="P173" s="22" t="str">
        <f t="array" ref="P173">IFERROR(INDEX('Temp Hisfa'!P$3:P$200, SMALL(IF(ISERROR('Temp Hisfa'!P$3:P$200), "", ROW('Temp Hisfa'!P$3:P$200)-MIN(ROW('Temp Hisfa'!P$3:P$200))+1), ROW(171:370))),"")</f>
        <v/>
      </c>
      <c r="Q173" s="22" t="str">
        <f t="array" ref="Q173">IFERROR(INDEX('Temp Hisfa'!Q$3:Q$200, SMALL(IF(ISERROR('Temp Hisfa'!Q$3:Q$200), "", ROW('Temp Hisfa'!Q$3:Q$200)-MIN(ROW('Temp Hisfa'!Q$3:Q$200))+1), ROW(171:370))),"")</f>
        <v/>
      </c>
      <c r="R173" s="22" t="str">
        <f t="array" ref="R173">IFERROR(INDEX('Temp Hisfa'!R$3:R$200, SMALL(IF(ISERROR('Temp Hisfa'!R$3:R$200), "", ROW('Temp Hisfa'!R$3:R$200)-MIN(ROW('Temp Hisfa'!R$3:R$200))+1), ROW(171:370))),"")</f>
        <v/>
      </c>
      <c r="S173" s="22" t="str">
        <f t="array" ref="S173">IFERROR(INDEX('Temp Hisfa'!S$3:S$200, SMALL(IF(ISERROR('Temp Hisfa'!S$3:S$200), "", ROW('Temp Hisfa'!S$3:S$200)-MIN(ROW('Temp Hisfa'!S$3:S$200))+1), ROW(171:370))),"")</f>
        <v/>
      </c>
      <c r="T173" s="22" t="str">
        <f t="array" ref="T173">IFERROR(INDEX('Temp Hisfa'!T$3:T$200, SMALL(IF(ISERROR('Temp Hisfa'!T$3:T$200), "", ROW('Temp Hisfa'!T$3:T$200)-MIN(ROW('Temp Hisfa'!T$3:T$200))+1), ROW(171:370))),"")</f>
        <v/>
      </c>
      <c r="U173" s="22" t="str">
        <f t="array" ref="U173">IFERROR(INDEX('Temp Hisfa'!U$3:U$200, SMALL(IF(ISERROR('Temp Hisfa'!U$3:U$200), "", ROW('Temp Hisfa'!U$3:U$200)-MIN(ROW('Temp Hisfa'!U$3:U$200))+1), ROW(171:370))),"")</f>
        <v/>
      </c>
      <c r="V173" s="22" t="str">
        <f t="array" ref="V173">IFERROR(INDEX('Temp Hisfa'!V$3:V$200, SMALL(IF(ISERROR('Temp Hisfa'!V$3:V$200), "", ROW('Temp Hisfa'!V$3:V$200)-MIN(ROW('Temp Hisfa'!V$3:V$200))+1), ROW(171:370))),"")</f>
        <v/>
      </c>
      <c r="W173" s="22" t="str">
        <f t="array" ref="W173">IFERROR(INDEX('Temp Hisfa'!W$3:W$200, SMALL(IF(ISERROR('Temp Hisfa'!W$3:W$200), "", ROW('Temp Hisfa'!W$3:W$200)-MIN(ROW('Temp Hisfa'!W$3:W$200))+1), ROW(171:370))),"")</f>
        <v/>
      </c>
      <c r="X173" s="22" t="str">
        <f t="array" ref="X173">IFERROR(INDEX('Temp Hisfa'!X$3:X$200, SMALL(IF(ISERROR('Temp Hisfa'!X$3:X$200), "", ROW('Temp Hisfa'!X$3:X$200)-MIN(ROW('Temp Hisfa'!X$3:X$200))+1), ROW(171:370))),"")</f>
        <v/>
      </c>
      <c r="Y173" s="22" t="str">
        <f t="array" ref="Y173">IFERROR(INDEX('Temp Hisfa'!Y$3:Y$200, SMALL(IF(ISERROR('Temp Hisfa'!Y$3:Y$200), "", ROW('Temp Hisfa'!Y$3:Y$200)-MIN(ROW('Temp Hisfa'!Y$3:Y$200))+1), ROW(171:370))),"")</f>
        <v/>
      </c>
      <c r="Z173" s="22" t="str">
        <f t="array" ref="Z173">IFERROR(INDEX('Temp Hisfa'!Z$3:Z$200, SMALL(IF(ISERROR('Temp Hisfa'!Z$3:Z$200), "", ROW('Temp Hisfa'!Z$3:Z$200)-MIN(ROW('Temp Hisfa'!Z$3:Z$200))+1), ROW(171:370))),"")</f>
        <v/>
      </c>
      <c r="AA173" s="22" t="str">
        <f t="array" ref="AA173">IFERROR(INDEX('Temp Hisfa'!AA$3:AA$200, SMALL(IF(ISERROR('Temp Hisfa'!AA$3:AA$200), "", ROW('Temp Hisfa'!AA$3:AA$200)-MIN(ROW('Temp Hisfa'!AA$3:AA$200))+1), ROW(171:370))),"")</f>
        <v/>
      </c>
      <c r="AB173" s="22" t="str">
        <f t="array" ref="AB173">IFERROR(INDEX('Temp Hisfa'!AB$3:AB$200, SMALL(IF(ISERROR('Temp Hisfa'!AB$3:AB$200), "", ROW('Temp Hisfa'!AB$3:AB$200)-MIN(ROW('Temp Hisfa'!AB$3:AB$200))+1), ROW(171:370))),"")</f>
        <v/>
      </c>
    </row>
    <row r="174" spans="1:28" x14ac:dyDescent="0.3">
      <c r="A174" s="4" t="str">
        <f t="array" ref="A174">IFERROR(INDEX('Temp Hisfa'!A$3:A$200, SMALL(IF(ISERROR('Temp Hisfa'!A$3:A$200), "", ROW('Temp Hisfa'!A$3:A$200)-MIN(ROW('Temp Hisfa'!A$3:A$200))+1), ROW(172:370))),"")</f>
        <v/>
      </c>
      <c r="B174" s="4" t="str">
        <f t="array" ref="B174">IFERROR(INDEX('Temp Hisfa'!B$3:B$200, SMALL(IF(ISERROR('Temp Hisfa'!B$3:B$200), "", ROW('Temp Hisfa'!B$3:B$200)-MIN(ROW('Temp Hisfa'!B$3:B$200))+1), ROW(172:370))),"")</f>
        <v/>
      </c>
      <c r="C174" s="3" t="str">
        <f t="array" ref="C174">IFERROR(INDEX('Temp Hisfa'!C$3:C$200, SMALL(IF(ISERROR('Temp Hisfa'!C$3:C$200), "", ROW('Temp Hisfa'!C$3:C$200)-MIN(ROW('Temp Hisfa'!C$3:C$200))+1), ROW(172:370))),"")</f>
        <v/>
      </c>
      <c r="D174" s="3" t="str">
        <f t="array" ref="D174">IFERROR(INDEX('Temp Hisfa'!D$3:D$200, SMALL(IF(ISERROR('Temp Hisfa'!D$3:D$200), "", ROW('Temp Hisfa'!D$3:D$200)-MIN(ROW('Temp Hisfa'!D$3:D$200))+1), ROW(172:370))),"")</f>
        <v/>
      </c>
      <c r="E174" s="29" t="str">
        <f t="array" ref="E174">IFERROR(INDEX('Temp Hisfa'!E$3:E$200, SMALL(IF(ISERROR('Temp Hisfa'!E$3:E$200), "", ROW('Temp Hisfa'!E$3:E$200)-MIN(ROW('Temp Hisfa'!E$3:E$200))+1), ROW(172:371))),"")</f>
        <v/>
      </c>
      <c r="F174" s="22" t="str">
        <f t="array" ref="F174">IFERROR(INDEX('Temp Hisfa'!F$3:F$200, SMALL(IF(ISERROR('Temp Hisfa'!F$3:F$200), "", ROW('Temp Hisfa'!F$3:F$200)-MIN(ROW('Temp Hisfa'!F$3:F$200))+1), ROW(172:371))),"")</f>
        <v/>
      </c>
      <c r="G174" s="30" t="str">
        <f t="array" ref="G174">IFERROR(INDEX('Temp Hisfa'!G$3:G$200, SMALL(IF(ISERROR('Temp Hisfa'!G$3:G$200), "", ROW('Temp Hisfa'!G$3:G$200)-MIN(ROW('Temp Hisfa'!G$3:G$200))+1), ROW(172:371))),"")</f>
        <v/>
      </c>
      <c r="H174" s="22" t="str">
        <f t="array" ref="H174">IFERROR(INDEX('Temp Hisfa'!H$3:H$200, SMALL(IF(ISERROR('Temp Hisfa'!H$3:H$200), "", ROW('Temp Hisfa'!H$3:H$200)-MIN(ROW('Temp Hisfa'!H$3:H$200))+1), ROW(172:371))),"")</f>
        <v/>
      </c>
      <c r="I174" s="22" t="str">
        <f t="array" ref="I174">IFERROR(INDEX('Temp Hisfa'!I$3:I$200, SMALL(IF(ISERROR('Temp Hisfa'!I$3:I$200), "", ROW('Temp Hisfa'!I$3:I$200)-MIN(ROW('Temp Hisfa'!I$3:I$200))+1), ROW(172:371))),"")</f>
        <v/>
      </c>
      <c r="J174" s="22" t="str">
        <f t="array" ref="J174">IFERROR(INDEX('Temp Hisfa'!J$3:J$200, SMALL(IF(ISERROR('Temp Hisfa'!J$3:J$200), "", ROW('Temp Hisfa'!J$3:J$200)-MIN(ROW('Temp Hisfa'!J$3:J$200))+1), ROW(172:371))),"")</f>
        <v/>
      </c>
      <c r="K174" s="30" t="str">
        <f t="array" ref="K174">IFERROR(INDEX('Temp Hisfa'!K$3:K$200, SMALL(IF(ISERROR('Temp Hisfa'!K$3:K$200), "", ROW('Temp Hisfa'!K$3:K$200)-MIN(ROW('Temp Hisfa'!K$3:K$200))+1), ROW(172:371))),"")</f>
        <v/>
      </c>
      <c r="L174" s="22" t="str">
        <f t="array" ref="L174">IFERROR(INDEX('Temp Hisfa'!L$3:L$200, SMALL(IF(ISERROR('Temp Hisfa'!L$3:L$200), "", ROW('Temp Hisfa'!L$3:L$200)-MIN(ROW('Temp Hisfa'!L$3:L$200))+1), ROW(172:371))),"")</f>
        <v/>
      </c>
      <c r="M174" s="22" t="str">
        <f t="array" ref="M174">IFERROR(INDEX('Temp Hisfa'!M$3:M$200, SMALL(IF(ISERROR('Temp Hisfa'!M$3:M$200), "", ROW('Temp Hisfa'!M$3:M$200)-MIN(ROW('Temp Hisfa'!M$3:M$200))+1), ROW(172:371))),"")</f>
        <v/>
      </c>
      <c r="N174" s="22" t="str">
        <f t="array" ref="N174">IFERROR(INDEX('Temp Hisfa'!N$3:N$200, SMALL(IF(ISERROR('Temp Hisfa'!N$3:N$200), "", ROW('Temp Hisfa'!N$3:N$200)-MIN(ROW('Temp Hisfa'!N$3:N$200))+1), ROW(172:371))),"")</f>
        <v/>
      </c>
      <c r="O174" s="22" t="str">
        <f t="array" ref="O174">IFERROR(INDEX('Temp Hisfa'!O$3:O$200, SMALL(IF(ISERROR('Temp Hisfa'!O$3:O$200), "", ROW('Temp Hisfa'!O$3:O$200)-MIN(ROW('Temp Hisfa'!O$3:O$200))+1), ROW(172:371))),"")</f>
        <v/>
      </c>
      <c r="P174" s="22" t="str">
        <f t="array" ref="P174">IFERROR(INDEX('Temp Hisfa'!P$3:P$200, SMALL(IF(ISERROR('Temp Hisfa'!P$3:P$200), "", ROW('Temp Hisfa'!P$3:P$200)-MIN(ROW('Temp Hisfa'!P$3:P$200))+1), ROW(172:371))),"")</f>
        <v/>
      </c>
      <c r="Q174" s="22" t="str">
        <f t="array" ref="Q174">IFERROR(INDEX('Temp Hisfa'!Q$3:Q$200, SMALL(IF(ISERROR('Temp Hisfa'!Q$3:Q$200), "", ROW('Temp Hisfa'!Q$3:Q$200)-MIN(ROW('Temp Hisfa'!Q$3:Q$200))+1), ROW(172:371))),"")</f>
        <v/>
      </c>
      <c r="R174" s="22" t="str">
        <f t="array" ref="R174">IFERROR(INDEX('Temp Hisfa'!R$3:R$200, SMALL(IF(ISERROR('Temp Hisfa'!R$3:R$200), "", ROW('Temp Hisfa'!R$3:R$200)-MIN(ROW('Temp Hisfa'!R$3:R$200))+1), ROW(172:371))),"")</f>
        <v/>
      </c>
      <c r="S174" s="22" t="str">
        <f t="array" ref="S174">IFERROR(INDEX('Temp Hisfa'!S$3:S$200, SMALL(IF(ISERROR('Temp Hisfa'!S$3:S$200), "", ROW('Temp Hisfa'!S$3:S$200)-MIN(ROW('Temp Hisfa'!S$3:S$200))+1), ROW(172:371))),"")</f>
        <v/>
      </c>
      <c r="T174" s="22" t="str">
        <f t="array" ref="T174">IFERROR(INDEX('Temp Hisfa'!T$3:T$200, SMALL(IF(ISERROR('Temp Hisfa'!T$3:T$200), "", ROW('Temp Hisfa'!T$3:T$200)-MIN(ROW('Temp Hisfa'!T$3:T$200))+1), ROW(172:371))),"")</f>
        <v/>
      </c>
      <c r="U174" s="22" t="str">
        <f t="array" ref="U174">IFERROR(INDEX('Temp Hisfa'!U$3:U$200, SMALL(IF(ISERROR('Temp Hisfa'!U$3:U$200), "", ROW('Temp Hisfa'!U$3:U$200)-MIN(ROW('Temp Hisfa'!U$3:U$200))+1), ROW(172:371))),"")</f>
        <v/>
      </c>
      <c r="V174" s="22" t="str">
        <f t="array" ref="V174">IFERROR(INDEX('Temp Hisfa'!V$3:V$200, SMALL(IF(ISERROR('Temp Hisfa'!V$3:V$200), "", ROW('Temp Hisfa'!V$3:V$200)-MIN(ROW('Temp Hisfa'!V$3:V$200))+1), ROW(172:371))),"")</f>
        <v/>
      </c>
      <c r="W174" s="22" t="str">
        <f t="array" ref="W174">IFERROR(INDEX('Temp Hisfa'!W$3:W$200, SMALL(IF(ISERROR('Temp Hisfa'!W$3:W$200), "", ROW('Temp Hisfa'!W$3:W$200)-MIN(ROW('Temp Hisfa'!W$3:W$200))+1), ROW(172:371))),"")</f>
        <v/>
      </c>
      <c r="X174" s="22" t="str">
        <f t="array" ref="X174">IFERROR(INDEX('Temp Hisfa'!X$3:X$200, SMALL(IF(ISERROR('Temp Hisfa'!X$3:X$200), "", ROW('Temp Hisfa'!X$3:X$200)-MIN(ROW('Temp Hisfa'!X$3:X$200))+1), ROW(172:371))),"")</f>
        <v/>
      </c>
      <c r="Y174" s="22" t="str">
        <f t="array" ref="Y174">IFERROR(INDEX('Temp Hisfa'!Y$3:Y$200, SMALL(IF(ISERROR('Temp Hisfa'!Y$3:Y$200), "", ROW('Temp Hisfa'!Y$3:Y$200)-MIN(ROW('Temp Hisfa'!Y$3:Y$200))+1), ROW(172:371))),"")</f>
        <v/>
      </c>
      <c r="Z174" s="22" t="str">
        <f t="array" ref="Z174">IFERROR(INDEX('Temp Hisfa'!Z$3:Z$200, SMALL(IF(ISERROR('Temp Hisfa'!Z$3:Z$200), "", ROW('Temp Hisfa'!Z$3:Z$200)-MIN(ROW('Temp Hisfa'!Z$3:Z$200))+1), ROW(172:371))),"")</f>
        <v/>
      </c>
      <c r="AA174" s="22" t="str">
        <f t="array" ref="AA174">IFERROR(INDEX('Temp Hisfa'!AA$3:AA$200, SMALL(IF(ISERROR('Temp Hisfa'!AA$3:AA$200), "", ROW('Temp Hisfa'!AA$3:AA$200)-MIN(ROW('Temp Hisfa'!AA$3:AA$200))+1), ROW(172:371))),"")</f>
        <v/>
      </c>
      <c r="AB174" s="22" t="str">
        <f t="array" ref="AB174">IFERROR(INDEX('Temp Hisfa'!AB$3:AB$200, SMALL(IF(ISERROR('Temp Hisfa'!AB$3:AB$200), "", ROW('Temp Hisfa'!AB$3:AB$200)-MIN(ROW('Temp Hisfa'!AB$3:AB$200))+1), ROW(172:371))),"")</f>
        <v/>
      </c>
    </row>
    <row r="175" spans="1:28" x14ac:dyDescent="0.3">
      <c r="A175" s="4" t="str">
        <f t="array" ref="A175">IFERROR(INDEX('Temp Hisfa'!A$3:A$200, SMALL(IF(ISERROR('Temp Hisfa'!A$3:A$200), "", ROW('Temp Hisfa'!A$3:A$200)-MIN(ROW('Temp Hisfa'!A$3:A$200))+1), ROW(173:371))),"")</f>
        <v/>
      </c>
      <c r="B175" s="4" t="str">
        <f t="array" ref="B175">IFERROR(INDEX('Temp Hisfa'!B$3:B$200, SMALL(IF(ISERROR('Temp Hisfa'!B$3:B$200), "", ROW('Temp Hisfa'!B$3:B$200)-MIN(ROW('Temp Hisfa'!B$3:B$200))+1), ROW(173:371))),"")</f>
        <v/>
      </c>
      <c r="C175" s="3" t="str">
        <f t="array" ref="C175">IFERROR(INDEX('Temp Hisfa'!C$3:C$200, SMALL(IF(ISERROR('Temp Hisfa'!C$3:C$200), "", ROW('Temp Hisfa'!C$3:C$200)-MIN(ROW('Temp Hisfa'!C$3:C$200))+1), ROW(173:371))),"")</f>
        <v/>
      </c>
      <c r="D175" s="3" t="str">
        <f t="array" ref="D175">IFERROR(INDEX('Temp Hisfa'!D$3:D$200, SMALL(IF(ISERROR('Temp Hisfa'!D$3:D$200), "", ROW('Temp Hisfa'!D$3:D$200)-MIN(ROW('Temp Hisfa'!D$3:D$200))+1), ROW(173:371))),"")</f>
        <v/>
      </c>
      <c r="E175" s="29" t="str">
        <f t="array" ref="E175">IFERROR(INDEX('Temp Hisfa'!E$3:E$200, SMALL(IF(ISERROR('Temp Hisfa'!E$3:E$200), "", ROW('Temp Hisfa'!E$3:E$200)-MIN(ROW('Temp Hisfa'!E$3:E$200))+1), ROW(173:372))),"")</f>
        <v/>
      </c>
      <c r="F175" s="22" t="str">
        <f t="array" ref="F175">IFERROR(INDEX('Temp Hisfa'!F$3:F$200, SMALL(IF(ISERROR('Temp Hisfa'!F$3:F$200), "", ROW('Temp Hisfa'!F$3:F$200)-MIN(ROW('Temp Hisfa'!F$3:F$200))+1), ROW(173:372))),"")</f>
        <v/>
      </c>
      <c r="G175" s="30" t="str">
        <f t="array" ref="G175">IFERROR(INDEX('Temp Hisfa'!G$3:G$200, SMALL(IF(ISERROR('Temp Hisfa'!G$3:G$200), "", ROW('Temp Hisfa'!G$3:G$200)-MIN(ROW('Temp Hisfa'!G$3:G$200))+1), ROW(173:372))),"")</f>
        <v/>
      </c>
      <c r="H175" s="22" t="str">
        <f t="array" ref="H175">IFERROR(INDEX('Temp Hisfa'!H$3:H$200, SMALL(IF(ISERROR('Temp Hisfa'!H$3:H$200), "", ROW('Temp Hisfa'!H$3:H$200)-MIN(ROW('Temp Hisfa'!H$3:H$200))+1), ROW(173:372))),"")</f>
        <v/>
      </c>
      <c r="I175" s="22" t="str">
        <f t="array" ref="I175">IFERROR(INDEX('Temp Hisfa'!I$3:I$200, SMALL(IF(ISERROR('Temp Hisfa'!I$3:I$200), "", ROW('Temp Hisfa'!I$3:I$200)-MIN(ROW('Temp Hisfa'!I$3:I$200))+1), ROW(173:372))),"")</f>
        <v/>
      </c>
      <c r="J175" s="22" t="str">
        <f t="array" ref="J175">IFERROR(INDEX('Temp Hisfa'!J$3:J$200, SMALL(IF(ISERROR('Temp Hisfa'!J$3:J$200), "", ROW('Temp Hisfa'!J$3:J$200)-MIN(ROW('Temp Hisfa'!J$3:J$200))+1), ROW(173:372))),"")</f>
        <v/>
      </c>
      <c r="K175" s="30" t="str">
        <f t="array" ref="K175">IFERROR(INDEX('Temp Hisfa'!K$3:K$200, SMALL(IF(ISERROR('Temp Hisfa'!K$3:K$200), "", ROW('Temp Hisfa'!K$3:K$200)-MIN(ROW('Temp Hisfa'!K$3:K$200))+1), ROW(173:372))),"")</f>
        <v/>
      </c>
      <c r="L175" s="22" t="str">
        <f t="array" ref="L175">IFERROR(INDEX('Temp Hisfa'!L$3:L$200, SMALL(IF(ISERROR('Temp Hisfa'!L$3:L$200), "", ROW('Temp Hisfa'!L$3:L$200)-MIN(ROW('Temp Hisfa'!L$3:L$200))+1), ROW(173:372))),"")</f>
        <v/>
      </c>
      <c r="M175" s="22" t="str">
        <f t="array" ref="M175">IFERROR(INDEX('Temp Hisfa'!M$3:M$200, SMALL(IF(ISERROR('Temp Hisfa'!M$3:M$200), "", ROW('Temp Hisfa'!M$3:M$200)-MIN(ROW('Temp Hisfa'!M$3:M$200))+1), ROW(173:372))),"")</f>
        <v/>
      </c>
      <c r="N175" s="22" t="str">
        <f t="array" ref="N175">IFERROR(INDEX('Temp Hisfa'!N$3:N$200, SMALL(IF(ISERROR('Temp Hisfa'!N$3:N$200), "", ROW('Temp Hisfa'!N$3:N$200)-MIN(ROW('Temp Hisfa'!N$3:N$200))+1), ROW(173:372))),"")</f>
        <v/>
      </c>
      <c r="O175" s="22" t="str">
        <f t="array" ref="O175">IFERROR(INDEX('Temp Hisfa'!O$3:O$200, SMALL(IF(ISERROR('Temp Hisfa'!O$3:O$200), "", ROW('Temp Hisfa'!O$3:O$200)-MIN(ROW('Temp Hisfa'!O$3:O$200))+1), ROW(173:372))),"")</f>
        <v/>
      </c>
      <c r="P175" s="22" t="str">
        <f t="array" ref="P175">IFERROR(INDEX('Temp Hisfa'!P$3:P$200, SMALL(IF(ISERROR('Temp Hisfa'!P$3:P$200), "", ROW('Temp Hisfa'!P$3:P$200)-MIN(ROW('Temp Hisfa'!P$3:P$200))+1), ROW(173:372))),"")</f>
        <v/>
      </c>
      <c r="Q175" s="22" t="str">
        <f t="array" ref="Q175">IFERROR(INDEX('Temp Hisfa'!Q$3:Q$200, SMALL(IF(ISERROR('Temp Hisfa'!Q$3:Q$200), "", ROW('Temp Hisfa'!Q$3:Q$200)-MIN(ROW('Temp Hisfa'!Q$3:Q$200))+1), ROW(173:372))),"")</f>
        <v/>
      </c>
      <c r="R175" s="22" t="str">
        <f t="array" ref="R175">IFERROR(INDEX('Temp Hisfa'!R$3:R$200, SMALL(IF(ISERROR('Temp Hisfa'!R$3:R$200), "", ROW('Temp Hisfa'!R$3:R$200)-MIN(ROW('Temp Hisfa'!R$3:R$200))+1), ROW(173:372))),"")</f>
        <v/>
      </c>
      <c r="S175" s="22" t="str">
        <f t="array" ref="S175">IFERROR(INDEX('Temp Hisfa'!S$3:S$200, SMALL(IF(ISERROR('Temp Hisfa'!S$3:S$200), "", ROW('Temp Hisfa'!S$3:S$200)-MIN(ROW('Temp Hisfa'!S$3:S$200))+1), ROW(173:372))),"")</f>
        <v/>
      </c>
      <c r="T175" s="22" t="str">
        <f t="array" ref="T175">IFERROR(INDEX('Temp Hisfa'!T$3:T$200, SMALL(IF(ISERROR('Temp Hisfa'!T$3:T$200), "", ROW('Temp Hisfa'!T$3:T$200)-MIN(ROW('Temp Hisfa'!T$3:T$200))+1), ROW(173:372))),"")</f>
        <v/>
      </c>
      <c r="U175" s="22" t="str">
        <f t="array" ref="U175">IFERROR(INDEX('Temp Hisfa'!U$3:U$200, SMALL(IF(ISERROR('Temp Hisfa'!U$3:U$200), "", ROW('Temp Hisfa'!U$3:U$200)-MIN(ROW('Temp Hisfa'!U$3:U$200))+1), ROW(173:372))),"")</f>
        <v/>
      </c>
      <c r="V175" s="22" t="str">
        <f t="array" ref="V175">IFERROR(INDEX('Temp Hisfa'!V$3:V$200, SMALL(IF(ISERROR('Temp Hisfa'!V$3:V$200), "", ROW('Temp Hisfa'!V$3:V$200)-MIN(ROW('Temp Hisfa'!V$3:V$200))+1), ROW(173:372))),"")</f>
        <v/>
      </c>
      <c r="W175" s="22" t="str">
        <f t="array" ref="W175">IFERROR(INDEX('Temp Hisfa'!W$3:W$200, SMALL(IF(ISERROR('Temp Hisfa'!W$3:W$200), "", ROW('Temp Hisfa'!W$3:W$200)-MIN(ROW('Temp Hisfa'!W$3:W$200))+1), ROW(173:372))),"")</f>
        <v/>
      </c>
      <c r="X175" s="22" t="str">
        <f t="array" ref="X175">IFERROR(INDEX('Temp Hisfa'!X$3:X$200, SMALL(IF(ISERROR('Temp Hisfa'!X$3:X$200), "", ROW('Temp Hisfa'!X$3:X$200)-MIN(ROW('Temp Hisfa'!X$3:X$200))+1), ROW(173:372))),"")</f>
        <v/>
      </c>
      <c r="Y175" s="22" t="str">
        <f t="array" ref="Y175">IFERROR(INDEX('Temp Hisfa'!Y$3:Y$200, SMALL(IF(ISERROR('Temp Hisfa'!Y$3:Y$200), "", ROW('Temp Hisfa'!Y$3:Y$200)-MIN(ROW('Temp Hisfa'!Y$3:Y$200))+1), ROW(173:372))),"")</f>
        <v/>
      </c>
      <c r="Z175" s="22" t="str">
        <f t="array" ref="Z175">IFERROR(INDEX('Temp Hisfa'!Z$3:Z$200, SMALL(IF(ISERROR('Temp Hisfa'!Z$3:Z$200), "", ROW('Temp Hisfa'!Z$3:Z$200)-MIN(ROW('Temp Hisfa'!Z$3:Z$200))+1), ROW(173:372))),"")</f>
        <v/>
      </c>
      <c r="AA175" s="22" t="str">
        <f t="array" ref="AA175">IFERROR(INDEX('Temp Hisfa'!AA$3:AA$200, SMALL(IF(ISERROR('Temp Hisfa'!AA$3:AA$200), "", ROW('Temp Hisfa'!AA$3:AA$200)-MIN(ROW('Temp Hisfa'!AA$3:AA$200))+1), ROW(173:372))),"")</f>
        <v/>
      </c>
      <c r="AB175" s="22" t="str">
        <f t="array" ref="AB175">IFERROR(INDEX('Temp Hisfa'!AB$3:AB$200, SMALL(IF(ISERROR('Temp Hisfa'!AB$3:AB$200), "", ROW('Temp Hisfa'!AB$3:AB$200)-MIN(ROW('Temp Hisfa'!AB$3:AB$200))+1), ROW(173:372))),"")</f>
        <v/>
      </c>
    </row>
    <row r="176" spans="1:28" x14ac:dyDescent="0.3">
      <c r="A176" s="4" t="str">
        <f t="array" ref="A176">IFERROR(INDEX('Temp Hisfa'!A$3:A$200, SMALL(IF(ISERROR('Temp Hisfa'!A$3:A$200), "", ROW('Temp Hisfa'!A$3:A$200)-MIN(ROW('Temp Hisfa'!A$3:A$200))+1), ROW(174:372))),"")</f>
        <v/>
      </c>
      <c r="B176" s="4" t="str">
        <f t="array" ref="B176">IFERROR(INDEX('Temp Hisfa'!B$3:B$200, SMALL(IF(ISERROR('Temp Hisfa'!B$3:B$200), "", ROW('Temp Hisfa'!B$3:B$200)-MIN(ROW('Temp Hisfa'!B$3:B$200))+1), ROW(174:372))),"")</f>
        <v/>
      </c>
      <c r="C176" s="3" t="str">
        <f t="array" ref="C176">IFERROR(INDEX('Temp Hisfa'!C$3:C$200, SMALL(IF(ISERROR('Temp Hisfa'!C$3:C$200), "", ROW('Temp Hisfa'!C$3:C$200)-MIN(ROW('Temp Hisfa'!C$3:C$200))+1), ROW(174:372))),"")</f>
        <v/>
      </c>
      <c r="D176" s="3" t="str">
        <f t="array" ref="D176">IFERROR(INDEX('Temp Hisfa'!D$3:D$200, SMALL(IF(ISERROR('Temp Hisfa'!D$3:D$200), "", ROW('Temp Hisfa'!D$3:D$200)-MIN(ROW('Temp Hisfa'!D$3:D$200))+1), ROW(174:372))),"")</f>
        <v/>
      </c>
      <c r="E176" s="29" t="str">
        <f t="array" ref="E176">IFERROR(INDEX('Temp Hisfa'!E$3:E$200, SMALL(IF(ISERROR('Temp Hisfa'!E$3:E$200), "", ROW('Temp Hisfa'!E$3:E$200)-MIN(ROW('Temp Hisfa'!E$3:E$200))+1), ROW(174:373))),"")</f>
        <v/>
      </c>
      <c r="F176" s="22" t="str">
        <f t="array" ref="F176">IFERROR(INDEX('Temp Hisfa'!F$3:F$200, SMALL(IF(ISERROR('Temp Hisfa'!F$3:F$200), "", ROW('Temp Hisfa'!F$3:F$200)-MIN(ROW('Temp Hisfa'!F$3:F$200))+1), ROW(174:373))),"")</f>
        <v/>
      </c>
      <c r="G176" s="30" t="str">
        <f t="array" ref="G176">IFERROR(INDEX('Temp Hisfa'!G$3:G$200, SMALL(IF(ISERROR('Temp Hisfa'!G$3:G$200), "", ROW('Temp Hisfa'!G$3:G$200)-MIN(ROW('Temp Hisfa'!G$3:G$200))+1), ROW(174:373))),"")</f>
        <v/>
      </c>
      <c r="H176" s="22" t="str">
        <f t="array" ref="H176">IFERROR(INDEX('Temp Hisfa'!H$3:H$200, SMALL(IF(ISERROR('Temp Hisfa'!H$3:H$200), "", ROW('Temp Hisfa'!H$3:H$200)-MIN(ROW('Temp Hisfa'!H$3:H$200))+1), ROW(174:373))),"")</f>
        <v/>
      </c>
      <c r="I176" s="22" t="str">
        <f t="array" ref="I176">IFERROR(INDEX('Temp Hisfa'!I$3:I$200, SMALL(IF(ISERROR('Temp Hisfa'!I$3:I$200), "", ROW('Temp Hisfa'!I$3:I$200)-MIN(ROW('Temp Hisfa'!I$3:I$200))+1), ROW(174:373))),"")</f>
        <v/>
      </c>
      <c r="J176" s="22" t="str">
        <f t="array" ref="J176">IFERROR(INDEX('Temp Hisfa'!J$3:J$200, SMALL(IF(ISERROR('Temp Hisfa'!J$3:J$200), "", ROW('Temp Hisfa'!J$3:J$200)-MIN(ROW('Temp Hisfa'!J$3:J$200))+1), ROW(174:373))),"")</f>
        <v/>
      </c>
      <c r="K176" s="30" t="str">
        <f t="array" ref="K176">IFERROR(INDEX('Temp Hisfa'!K$3:K$200, SMALL(IF(ISERROR('Temp Hisfa'!K$3:K$200), "", ROW('Temp Hisfa'!K$3:K$200)-MIN(ROW('Temp Hisfa'!K$3:K$200))+1), ROW(174:373))),"")</f>
        <v/>
      </c>
      <c r="L176" s="22" t="str">
        <f t="array" ref="L176">IFERROR(INDEX('Temp Hisfa'!L$3:L$200, SMALL(IF(ISERROR('Temp Hisfa'!L$3:L$200), "", ROW('Temp Hisfa'!L$3:L$200)-MIN(ROW('Temp Hisfa'!L$3:L$200))+1), ROW(174:373))),"")</f>
        <v/>
      </c>
      <c r="M176" s="22" t="str">
        <f t="array" ref="M176">IFERROR(INDEX('Temp Hisfa'!M$3:M$200, SMALL(IF(ISERROR('Temp Hisfa'!M$3:M$200), "", ROW('Temp Hisfa'!M$3:M$200)-MIN(ROW('Temp Hisfa'!M$3:M$200))+1), ROW(174:373))),"")</f>
        <v/>
      </c>
      <c r="N176" s="22" t="str">
        <f t="array" ref="N176">IFERROR(INDEX('Temp Hisfa'!N$3:N$200, SMALL(IF(ISERROR('Temp Hisfa'!N$3:N$200), "", ROW('Temp Hisfa'!N$3:N$200)-MIN(ROW('Temp Hisfa'!N$3:N$200))+1), ROW(174:373))),"")</f>
        <v/>
      </c>
      <c r="O176" s="22" t="str">
        <f t="array" ref="O176">IFERROR(INDEX('Temp Hisfa'!O$3:O$200, SMALL(IF(ISERROR('Temp Hisfa'!O$3:O$200), "", ROW('Temp Hisfa'!O$3:O$200)-MIN(ROW('Temp Hisfa'!O$3:O$200))+1), ROW(174:373))),"")</f>
        <v/>
      </c>
      <c r="P176" s="22" t="str">
        <f t="array" ref="P176">IFERROR(INDEX('Temp Hisfa'!P$3:P$200, SMALL(IF(ISERROR('Temp Hisfa'!P$3:P$200), "", ROW('Temp Hisfa'!P$3:P$200)-MIN(ROW('Temp Hisfa'!P$3:P$200))+1), ROW(174:373))),"")</f>
        <v/>
      </c>
      <c r="Q176" s="22" t="str">
        <f t="array" ref="Q176">IFERROR(INDEX('Temp Hisfa'!Q$3:Q$200, SMALL(IF(ISERROR('Temp Hisfa'!Q$3:Q$200), "", ROW('Temp Hisfa'!Q$3:Q$200)-MIN(ROW('Temp Hisfa'!Q$3:Q$200))+1), ROW(174:373))),"")</f>
        <v/>
      </c>
      <c r="R176" s="22" t="str">
        <f t="array" ref="R176">IFERROR(INDEX('Temp Hisfa'!R$3:R$200, SMALL(IF(ISERROR('Temp Hisfa'!R$3:R$200), "", ROW('Temp Hisfa'!R$3:R$200)-MIN(ROW('Temp Hisfa'!R$3:R$200))+1), ROW(174:373))),"")</f>
        <v/>
      </c>
      <c r="S176" s="22" t="str">
        <f t="array" ref="S176">IFERROR(INDEX('Temp Hisfa'!S$3:S$200, SMALL(IF(ISERROR('Temp Hisfa'!S$3:S$200), "", ROW('Temp Hisfa'!S$3:S$200)-MIN(ROW('Temp Hisfa'!S$3:S$200))+1), ROW(174:373))),"")</f>
        <v/>
      </c>
      <c r="T176" s="22" t="str">
        <f t="array" ref="T176">IFERROR(INDEX('Temp Hisfa'!T$3:T$200, SMALL(IF(ISERROR('Temp Hisfa'!T$3:T$200), "", ROW('Temp Hisfa'!T$3:T$200)-MIN(ROW('Temp Hisfa'!T$3:T$200))+1), ROW(174:373))),"")</f>
        <v/>
      </c>
      <c r="U176" s="22" t="str">
        <f t="array" ref="U176">IFERROR(INDEX('Temp Hisfa'!U$3:U$200, SMALL(IF(ISERROR('Temp Hisfa'!U$3:U$200), "", ROW('Temp Hisfa'!U$3:U$200)-MIN(ROW('Temp Hisfa'!U$3:U$200))+1), ROW(174:373))),"")</f>
        <v/>
      </c>
      <c r="V176" s="22" t="str">
        <f t="array" ref="V176">IFERROR(INDEX('Temp Hisfa'!V$3:V$200, SMALL(IF(ISERROR('Temp Hisfa'!V$3:V$200), "", ROW('Temp Hisfa'!V$3:V$200)-MIN(ROW('Temp Hisfa'!V$3:V$200))+1), ROW(174:373))),"")</f>
        <v/>
      </c>
      <c r="W176" s="22" t="str">
        <f t="array" ref="W176">IFERROR(INDEX('Temp Hisfa'!W$3:W$200, SMALL(IF(ISERROR('Temp Hisfa'!W$3:W$200), "", ROW('Temp Hisfa'!W$3:W$200)-MIN(ROW('Temp Hisfa'!W$3:W$200))+1), ROW(174:373))),"")</f>
        <v/>
      </c>
      <c r="X176" s="22" t="str">
        <f t="array" ref="X176">IFERROR(INDEX('Temp Hisfa'!X$3:X$200, SMALL(IF(ISERROR('Temp Hisfa'!X$3:X$200), "", ROW('Temp Hisfa'!X$3:X$200)-MIN(ROW('Temp Hisfa'!X$3:X$200))+1), ROW(174:373))),"")</f>
        <v/>
      </c>
      <c r="Y176" s="22" t="str">
        <f t="array" ref="Y176">IFERROR(INDEX('Temp Hisfa'!Y$3:Y$200, SMALL(IF(ISERROR('Temp Hisfa'!Y$3:Y$200), "", ROW('Temp Hisfa'!Y$3:Y$200)-MIN(ROW('Temp Hisfa'!Y$3:Y$200))+1), ROW(174:373))),"")</f>
        <v/>
      </c>
      <c r="Z176" s="22" t="str">
        <f t="array" ref="Z176">IFERROR(INDEX('Temp Hisfa'!Z$3:Z$200, SMALL(IF(ISERROR('Temp Hisfa'!Z$3:Z$200), "", ROW('Temp Hisfa'!Z$3:Z$200)-MIN(ROW('Temp Hisfa'!Z$3:Z$200))+1), ROW(174:373))),"")</f>
        <v/>
      </c>
      <c r="AA176" s="22" t="str">
        <f t="array" ref="AA176">IFERROR(INDEX('Temp Hisfa'!AA$3:AA$200, SMALL(IF(ISERROR('Temp Hisfa'!AA$3:AA$200), "", ROW('Temp Hisfa'!AA$3:AA$200)-MIN(ROW('Temp Hisfa'!AA$3:AA$200))+1), ROW(174:373))),"")</f>
        <v/>
      </c>
      <c r="AB176" s="22" t="str">
        <f t="array" ref="AB176">IFERROR(INDEX('Temp Hisfa'!AB$3:AB$200, SMALL(IF(ISERROR('Temp Hisfa'!AB$3:AB$200), "", ROW('Temp Hisfa'!AB$3:AB$200)-MIN(ROW('Temp Hisfa'!AB$3:AB$200))+1), ROW(174:373))),"")</f>
        <v/>
      </c>
    </row>
    <row r="177" spans="1:28" x14ac:dyDescent="0.3">
      <c r="A177" s="4" t="str">
        <f t="array" ref="A177">IFERROR(INDEX('Temp Hisfa'!A$3:A$200, SMALL(IF(ISERROR('Temp Hisfa'!A$3:A$200), "", ROW('Temp Hisfa'!A$3:A$200)-MIN(ROW('Temp Hisfa'!A$3:A$200))+1), ROW(175:373))),"")</f>
        <v/>
      </c>
      <c r="B177" s="4" t="str">
        <f t="array" ref="B177">IFERROR(INDEX('Temp Hisfa'!B$3:B$200, SMALL(IF(ISERROR('Temp Hisfa'!B$3:B$200), "", ROW('Temp Hisfa'!B$3:B$200)-MIN(ROW('Temp Hisfa'!B$3:B$200))+1), ROW(175:373))),"")</f>
        <v/>
      </c>
      <c r="C177" s="3" t="str">
        <f t="array" ref="C177">IFERROR(INDEX('Temp Hisfa'!C$3:C$200, SMALL(IF(ISERROR('Temp Hisfa'!C$3:C$200), "", ROW('Temp Hisfa'!C$3:C$200)-MIN(ROW('Temp Hisfa'!C$3:C$200))+1), ROW(175:373))),"")</f>
        <v/>
      </c>
      <c r="D177" s="3" t="str">
        <f t="array" ref="D177">IFERROR(INDEX('Temp Hisfa'!D$3:D$200, SMALL(IF(ISERROR('Temp Hisfa'!D$3:D$200), "", ROW('Temp Hisfa'!D$3:D$200)-MIN(ROW('Temp Hisfa'!D$3:D$200))+1), ROW(175:373))),"")</f>
        <v/>
      </c>
      <c r="E177" s="29" t="str">
        <f t="array" ref="E177">IFERROR(INDEX('Temp Hisfa'!E$3:E$200, SMALL(IF(ISERROR('Temp Hisfa'!E$3:E$200), "", ROW('Temp Hisfa'!E$3:E$200)-MIN(ROW('Temp Hisfa'!E$3:E$200))+1), ROW(175:374))),"")</f>
        <v/>
      </c>
      <c r="F177" s="22" t="str">
        <f t="array" ref="F177">IFERROR(INDEX('Temp Hisfa'!F$3:F$200, SMALL(IF(ISERROR('Temp Hisfa'!F$3:F$200), "", ROW('Temp Hisfa'!F$3:F$200)-MIN(ROW('Temp Hisfa'!F$3:F$200))+1), ROW(175:374))),"")</f>
        <v/>
      </c>
      <c r="G177" s="30" t="str">
        <f t="array" ref="G177">IFERROR(INDEX('Temp Hisfa'!G$3:G$200, SMALL(IF(ISERROR('Temp Hisfa'!G$3:G$200), "", ROW('Temp Hisfa'!G$3:G$200)-MIN(ROW('Temp Hisfa'!G$3:G$200))+1), ROW(175:374))),"")</f>
        <v/>
      </c>
      <c r="H177" s="22" t="str">
        <f t="array" ref="H177">IFERROR(INDEX('Temp Hisfa'!H$3:H$200, SMALL(IF(ISERROR('Temp Hisfa'!H$3:H$200), "", ROW('Temp Hisfa'!H$3:H$200)-MIN(ROW('Temp Hisfa'!H$3:H$200))+1), ROW(175:374))),"")</f>
        <v/>
      </c>
      <c r="I177" s="22" t="str">
        <f t="array" ref="I177">IFERROR(INDEX('Temp Hisfa'!I$3:I$200, SMALL(IF(ISERROR('Temp Hisfa'!I$3:I$200), "", ROW('Temp Hisfa'!I$3:I$200)-MIN(ROW('Temp Hisfa'!I$3:I$200))+1), ROW(175:374))),"")</f>
        <v/>
      </c>
      <c r="J177" s="22" t="str">
        <f t="array" ref="J177">IFERROR(INDEX('Temp Hisfa'!J$3:J$200, SMALL(IF(ISERROR('Temp Hisfa'!J$3:J$200), "", ROW('Temp Hisfa'!J$3:J$200)-MIN(ROW('Temp Hisfa'!J$3:J$200))+1), ROW(175:374))),"")</f>
        <v/>
      </c>
      <c r="K177" s="30" t="str">
        <f t="array" ref="K177">IFERROR(INDEX('Temp Hisfa'!K$3:K$200, SMALL(IF(ISERROR('Temp Hisfa'!K$3:K$200), "", ROW('Temp Hisfa'!K$3:K$200)-MIN(ROW('Temp Hisfa'!K$3:K$200))+1), ROW(175:374))),"")</f>
        <v/>
      </c>
      <c r="L177" s="22" t="str">
        <f t="array" ref="L177">IFERROR(INDEX('Temp Hisfa'!L$3:L$200, SMALL(IF(ISERROR('Temp Hisfa'!L$3:L$200), "", ROW('Temp Hisfa'!L$3:L$200)-MIN(ROW('Temp Hisfa'!L$3:L$200))+1), ROW(175:374))),"")</f>
        <v/>
      </c>
      <c r="M177" s="22" t="str">
        <f t="array" ref="M177">IFERROR(INDEX('Temp Hisfa'!M$3:M$200, SMALL(IF(ISERROR('Temp Hisfa'!M$3:M$200), "", ROW('Temp Hisfa'!M$3:M$200)-MIN(ROW('Temp Hisfa'!M$3:M$200))+1), ROW(175:374))),"")</f>
        <v/>
      </c>
      <c r="N177" s="22" t="str">
        <f t="array" ref="N177">IFERROR(INDEX('Temp Hisfa'!N$3:N$200, SMALL(IF(ISERROR('Temp Hisfa'!N$3:N$200), "", ROW('Temp Hisfa'!N$3:N$200)-MIN(ROW('Temp Hisfa'!N$3:N$200))+1), ROW(175:374))),"")</f>
        <v/>
      </c>
      <c r="O177" s="22" t="str">
        <f t="array" ref="O177">IFERROR(INDEX('Temp Hisfa'!O$3:O$200, SMALL(IF(ISERROR('Temp Hisfa'!O$3:O$200), "", ROW('Temp Hisfa'!O$3:O$200)-MIN(ROW('Temp Hisfa'!O$3:O$200))+1), ROW(175:374))),"")</f>
        <v/>
      </c>
      <c r="P177" s="22" t="str">
        <f t="array" ref="P177">IFERROR(INDEX('Temp Hisfa'!P$3:P$200, SMALL(IF(ISERROR('Temp Hisfa'!P$3:P$200), "", ROW('Temp Hisfa'!P$3:P$200)-MIN(ROW('Temp Hisfa'!P$3:P$200))+1), ROW(175:374))),"")</f>
        <v/>
      </c>
      <c r="Q177" s="22" t="str">
        <f t="array" ref="Q177">IFERROR(INDEX('Temp Hisfa'!Q$3:Q$200, SMALL(IF(ISERROR('Temp Hisfa'!Q$3:Q$200), "", ROW('Temp Hisfa'!Q$3:Q$200)-MIN(ROW('Temp Hisfa'!Q$3:Q$200))+1), ROW(175:374))),"")</f>
        <v/>
      </c>
      <c r="R177" s="22" t="str">
        <f t="array" ref="R177">IFERROR(INDEX('Temp Hisfa'!R$3:R$200, SMALL(IF(ISERROR('Temp Hisfa'!R$3:R$200), "", ROW('Temp Hisfa'!R$3:R$200)-MIN(ROW('Temp Hisfa'!R$3:R$200))+1), ROW(175:374))),"")</f>
        <v/>
      </c>
      <c r="S177" s="22" t="str">
        <f t="array" ref="S177">IFERROR(INDEX('Temp Hisfa'!S$3:S$200, SMALL(IF(ISERROR('Temp Hisfa'!S$3:S$200), "", ROW('Temp Hisfa'!S$3:S$200)-MIN(ROW('Temp Hisfa'!S$3:S$200))+1), ROW(175:374))),"")</f>
        <v/>
      </c>
      <c r="T177" s="22" t="str">
        <f t="array" ref="T177">IFERROR(INDEX('Temp Hisfa'!T$3:T$200, SMALL(IF(ISERROR('Temp Hisfa'!T$3:T$200), "", ROW('Temp Hisfa'!T$3:T$200)-MIN(ROW('Temp Hisfa'!T$3:T$200))+1), ROW(175:374))),"")</f>
        <v/>
      </c>
      <c r="U177" s="22" t="str">
        <f t="array" ref="U177">IFERROR(INDEX('Temp Hisfa'!U$3:U$200, SMALL(IF(ISERROR('Temp Hisfa'!U$3:U$200), "", ROW('Temp Hisfa'!U$3:U$200)-MIN(ROW('Temp Hisfa'!U$3:U$200))+1), ROW(175:374))),"")</f>
        <v/>
      </c>
      <c r="V177" s="22" t="str">
        <f t="array" ref="V177">IFERROR(INDEX('Temp Hisfa'!V$3:V$200, SMALL(IF(ISERROR('Temp Hisfa'!V$3:V$200), "", ROW('Temp Hisfa'!V$3:V$200)-MIN(ROW('Temp Hisfa'!V$3:V$200))+1), ROW(175:374))),"")</f>
        <v/>
      </c>
      <c r="W177" s="22" t="str">
        <f t="array" ref="W177">IFERROR(INDEX('Temp Hisfa'!W$3:W$200, SMALL(IF(ISERROR('Temp Hisfa'!W$3:W$200), "", ROW('Temp Hisfa'!W$3:W$200)-MIN(ROW('Temp Hisfa'!W$3:W$200))+1), ROW(175:374))),"")</f>
        <v/>
      </c>
      <c r="X177" s="22" t="str">
        <f t="array" ref="X177">IFERROR(INDEX('Temp Hisfa'!X$3:X$200, SMALL(IF(ISERROR('Temp Hisfa'!X$3:X$200), "", ROW('Temp Hisfa'!X$3:X$200)-MIN(ROW('Temp Hisfa'!X$3:X$200))+1), ROW(175:374))),"")</f>
        <v/>
      </c>
      <c r="Y177" s="22" t="str">
        <f t="array" ref="Y177">IFERROR(INDEX('Temp Hisfa'!Y$3:Y$200, SMALL(IF(ISERROR('Temp Hisfa'!Y$3:Y$200), "", ROW('Temp Hisfa'!Y$3:Y$200)-MIN(ROW('Temp Hisfa'!Y$3:Y$200))+1), ROW(175:374))),"")</f>
        <v/>
      </c>
      <c r="Z177" s="22" t="str">
        <f t="array" ref="Z177">IFERROR(INDEX('Temp Hisfa'!Z$3:Z$200, SMALL(IF(ISERROR('Temp Hisfa'!Z$3:Z$200), "", ROW('Temp Hisfa'!Z$3:Z$200)-MIN(ROW('Temp Hisfa'!Z$3:Z$200))+1), ROW(175:374))),"")</f>
        <v/>
      </c>
      <c r="AA177" s="22" t="str">
        <f t="array" ref="AA177">IFERROR(INDEX('Temp Hisfa'!AA$3:AA$200, SMALL(IF(ISERROR('Temp Hisfa'!AA$3:AA$200), "", ROW('Temp Hisfa'!AA$3:AA$200)-MIN(ROW('Temp Hisfa'!AA$3:AA$200))+1), ROW(175:374))),"")</f>
        <v/>
      </c>
      <c r="AB177" s="22" t="str">
        <f t="array" ref="AB177">IFERROR(INDEX('Temp Hisfa'!AB$3:AB$200, SMALL(IF(ISERROR('Temp Hisfa'!AB$3:AB$200), "", ROW('Temp Hisfa'!AB$3:AB$200)-MIN(ROW('Temp Hisfa'!AB$3:AB$200))+1), ROW(175:374))),"")</f>
        <v/>
      </c>
    </row>
    <row r="178" spans="1:28" x14ac:dyDescent="0.3">
      <c r="A178" s="4" t="str">
        <f t="array" ref="A178">IFERROR(INDEX('Temp Hisfa'!A$3:A$200, SMALL(IF(ISERROR('Temp Hisfa'!A$3:A$200), "", ROW('Temp Hisfa'!A$3:A$200)-MIN(ROW('Temp Hisfa'!A$3:A$200))+1), ROW(176:374))),"")</f>
        <v/>
      </c>
      <c r="B178" s="4" t="str">
        <f t="array" ref="B178">IFERROR(INDEX('Temp Hisfa'!B$3:B$200, SMALL(IF(ISERROR('Temp Hisfa'!B$3:B$200), "", ROW('Temp Hisfa'!B$3:B$200)-MIN(ROW('Temp Hisfa'!B$3:B$200))+1), ROW(176:374))),"")</f>
        <v/>
      </c>
      <c r="C178" s="3" t="str">
        <f t="array" ref="C178">IFERROR(INDEX('Temp Hisfa'!C$3:C$200, SMALL(IF(ISERROR('Temp Hisfa'!C$3:C$200), "", ROW('Temp Hisfa'!C$3:C$200)-MIN(ROW('Temp Hisfa'!C$3:C$200))+1), ROW(176:374))),"")</f>
        <v/>
      </c>
      <c r="D178" s="3" t="str">
        <f t="array" ref="D178">IFERROR(INDEX('Temp Hisfa'!D$3:D$200, SMALL(IF(ISERROR('Temp Hisfa'!D$3:D$200), "", ROW('Temp Hisfa'!D$3:D$200)-MIN(ROW('Temp Hisfa'!D$3:D$200))+1), ROW(176:374))),"")</f>
        <v/>
      </c>
      <c r="E178" s="29" t="str">
        <f t="array" ref="E178">IFERROR(INDEX('Temp Hisfa'!E$3:E$200, SMALL(IF(ISERROR('Temp Hisfa'!E$3:E$200), "", ROW('Temp Hisfa'!E$3:E$200)-MIN(ROW('Temp Hisfa'!E$3:E$200))+1), ROW(176:375))),"")</f>
        <v/>
      </c>
      <c r="F178" s="22" t="str">
        <f t="array" ref="F178">IFERROR(INDEX('Temp Hisfa'!F$3:F$200, SMALL(IF(ISERROR('Temp Hisfa'!F$3:F$200), "", ROW('Temp Hisfa'!F$3:F$200)-MIN(ROW('Temp Hisfa'!F$3:F$200))+1), ROW(176:375))),"")</f>
        <v/>
      </c>
      <c r="G178" s="30" t="str">
        <f t="array" ref="G178">IFERROR(INDEX('Temp Hisfa'!G$3:G$200, SMALL(IF(ISERROR('Temp Hisfa'!G$3:G$200), "", ROW('Temp Hisfa'!G$3:G$200)-MIN(ROW('Temp Hisfa'!G$3:G$200))+1), ROW(176:375))),"")</f>
        <v/>
      </c>
      <c r="H178" s="22" t="str">
        <f t="array" ref="H178">IFERROR(INDEX('Temp Hisfa'!H$3:H$200, SMALL(IF(ISERROR('Temp Hisfa'!H$3:H$200), "", ROW('Temp Hisfa'!H$3:H$200)-MIN(ROW('Temp Hisfa'!H$3:H$200))+1), ROW(176:375))),"")</f>
        <v/>
      </c>
      <c r="I178" s="22" t="str">
        <f t="array" ref="I178">IFERROR(INDEX('Temp Hisfa'!I$3:I$200, SMALL(IF(ISERROR('Temp Hisfa'!I$3:I$200), "", ROW('Temp Hisfa'!I$3:I$200)-MIN(ROW('Temp Hisfa'!I$3:I$200))+1), ROW(176:375))),"")</f>
        <v/>
      </c>
      <c r="J178" s="22" t="str">
        <f t="array" ref="J178">IFERROR(INDEX('Temp Hisfa'!J$3:J$200, SMALL(IF(ISERROR('Temp Hisfa'!J$3:J$200), "", ROW('Temp Hisfa'!J$3:J$200)-MIN(ROW('Temp Hisfa'!J$3:J$200))+1), ROW(176:375))),"")</f>
        <v/>
      </c>
      <c r="K178" s="30" t="str">
        <f t="array" ref="K178">IFERROR(INDEX('Temp Hisfa'!K$3:K$200, SMALL(IF(ISERROR('Temp Hisfa'!K$3:K$200), "", ROW('Temp Hisfa'!K$3:K$200)-MIN(ROW('Temp Hisfa'!K$3:K$200))+1), ROW(176:375))),"")</f>
        <v/>
      </c>
      <c r="L178" s="22" t="str">
        <f t="array" ref="L178">IFERROR(INDEX('Temp Hisfa'!L$3:L$200, SMALL(IF(ISERROR('Temp Hisfa'!L$3:L$200), "", ROW('Temp Hisfa'!L$3:L$200)-MIN(ROW('Temp Hisfa'!L$3:L$200))+1), ROW(176:375))),"")</f>
        <v/>
      </c>
      <c r="M178" s="22" t="str">
        <f t="array" ref="M178">IFERROR(INDEX('Temp Hisfa'!M$3:M$200, SMALL(IF(ISERROR('Temp Hisfa'!M$3:M$200), "", ROW('Temp Hisfa'!M$3:M$200)-MIN(ROW('Temp Hisfa'!M$3:M$200))+1), ROW(176:375))),"")</f>
        <v/>
      </c>
      <c r="N178" s="22" t="str">
        <f t="array" ref="N178">IFERROR(INDEX('Temp Hisfa'!N$3:N$200, SMALL(IF(ISERROR('Temp Hisfa'!N$3:N$200), "", ROW('Temp Hisfa'!N$3:N$200)-MIN(ROW('Temp Hisfa'!N$3:N$200))+1), ROW(176:375))),"")</f>
        <v/>
      </c>
      <c r="O178" s="22" t="str">
        <f t="array" ref="O178">IFERROR(INDEX('Temp Hisfa'!O$3:O$200, SMALL(IF(ISERROR('Temp Hisfa'!O$3:O$200), "", ROW('Temp Hisfa'!O$3:O$200)-MIN(ROW('Temp Hisfa'!O$3:O$200))+1), ROW(176:375))),"")</f>
        <v/>
      </c>
      <c r="P178" s="22" t="str">
        <f t="array" ref="P178">IFERROR(INDEX('Temp Hisfa'!P$3:P$200, SMALL(IF(ISERROR('Temp Hisfa'!P$3:P$200), "", ROW('Temp Hisfa'!P$3:P$200)-MIN(ROW('Temp Hisfa'!P$3:P$200))+1), ROW(176:375))),"")</f>
        <v/>
      </c>
      <c r="Q178" s="22" t="str">
        <f t="array" ref="Q178">IFERROR(INDEX('Temp Hisfa'!Q$3:Q$200, SMALL(IF(ISERROR('Temp Hisfa'!Q$3:Q$200), "", ROW('Temp Hisfa'!Q$3:Q$200)-MIN(ROW('Temp Hisfa'!Q$3:Q$200))+1), ROW(176:375))),"")</f>
        <v/>
      </c>
      <c r="R178" s="22" t="str">
        <f t="array" ref="R178">IFERROR(INDEX('Temp Hisfa'!R$3:R$200, SMALL(IF(ISERROR('Temp Hisfa'!R$3:R$200), "", ROW('Temp Hisfa'!R$3:R$200)-MIN(ROW('Temp Hisfa'!R$3:R$200))+1), ROW(176:375))),"")</f>
        <v/>
      </c>
      <c r="S178" s="22" t="str">
        <f t="array" ref="S178">IFERROR(INDEX('Temp Hisfa'!S$3:S$200, SMALL(IF(ISERROR('Temp Hisfa'!S$3:S$200), "", ROW('Temp Hisfa'!S$3:S$200)-MIN(ROW('Temp Hisfa'!S$3:S$200))+1), ROW(176:375))),"")</f>
        <v/>
      </c>
      <c r="T178" s="22" t="str">
        <f t="array" ref="T178">IFERROR(INDEX('Temp Hisfa'!T$3:T$200, SMALL(IF(ISERROR('Temp Hisfa'!T$3:T$200), "", ROW('Temp Hisfa'!T$3:T$200)-MIN(ROW('Temp Hisfa'!T$3:T$200))+1), ROW(176:375))),"")</f>
        <v/>
      </c>
      <c r="U178" s="22" t="str">
        <f t="array" ref="U178">IFERROR(INDEX('Temp Hisfa'!U$3:U$200, SMALL(IF(ISERROR('Temp Hisfa'!U$3:U$200), "", ROW('Temp Hisfa'!U$3:U$200)-MIN(ROW('Temp Hisfa'!U$3:U$200))+1), ROW(176:375))),"")</f>
        <v/>
      </c>
      <c r="V178" s="22" t="str">
        <f t="array" ref="V178">IFERROR(INDEX('Temp Hisfa'!V$3:V$200, SMALL(IF(ISERROR('Temp Hisfa'!V$3:V$200), "", ROW('Temp Hisfa'!V$3:V$200)-MIN(ROW('Temp Hisfa'!V$3:V$200))+1), ROW(176:375))),"")</f>
        <v/>
      </c>
      <c r="W178" s="22" t="str">
        <f t="array" ref="W178">IFERROR(INDEX('Temp Hisfa'!W$3:W$200, SMALL(IF(ISERROR('Temp Hisfa'!W$3:W$200), "", ROW('Temp Hisfa'!W$3:W$200)-MIN(ROW('Temp Hisfa'!W$3:W$200))+1), ROW(176:375))),"")</f>
        <v/>
      </c>
      <c r="X178" s="22" t="str">
        <f t="array" ref="X178">IFERROR(INDEX('Temp Hisfa'!X$3:X$200, SMALL(IF(ISERROR('Temp Hisfa'!X$3:X$200), "", ROW('Temp Hisfa'!X$3:X$200)-MIN(ROW('Temp Hisfa'!X$3:X$200))+1), ROW(176:375))),"")</f>
        <v/>
      </c>
      <c r="Y178" s="22" t="str">
        <f t="array" ref="Y178">IFERROR(INDEX('Temp Hisfa'!Y$3:Y$200, SMALL(IF(ISERROR('Temp Hisfa'!Y$3:Y$200), "", ROW('Temp Hisfa'!Y$3:Y$200)-MIN(ROW('Temp Hisfa'!Y$3:Y$200))+1), ROW(176:375))),"")</f>
        <v/>
      </c>
      <c r="Z178" s="22" t="str">
        <f t="array" ref="Z178">IFERROR(INDEX('Temp Hisfa'!Z$3:Z$200, SMALL(IF(ISERROR('Temp Hisfa'!Z$3:Z$200), "", ROW('Temp Hisfa'!Z$3:Z$200)-MIN(ROW('Temp Hisfa'!Z$3:Z$200))+1), ROW(176:375))),"")</f>
        <v/>
      </c>
      <c r="AA178" s="22" t="str">
        <f t="array" ref="AA178">IFERROR(INDEX('Temp Hisfa'!AA$3:AA$200, SMALL(IF(ISERROR('Temp Hisfa'!AA$3:AA$200), "", ROW('Temp Hisfa'!AA$3:AA$200)-MIN(ROW('Temp Hisfa'!AA$3:AA$200))+1), ROW(176:375))),"")</f>
        <v/>
      </c>
      <c r="AB178" s="22" t="str">
        <f t="array" ref="AB178">IFERROR(INDEX('Temp Hisfa'!AB$3:AB$200, SMALL(IF(ISERROR('Temp Hisfa'!AB$3:AB$200), "", ROW('Temp Hisfa'!AB$3:AB$200)-MIN(ROW('Temp Hisfa'!AB$3:AB$200))+1), ROW(176:375))),"")</f>
        <v/>
      </c>
    </row>
    <row r="179" spans="1:28" x14ac:dyDescent="0.3">
      <c r="A179" s="4" t="str">
        <f t="array" ref="A179">IFERROR(INDEX('Temp Hisfa'!A$3:A$200, SMALL(IF(ISERROR('Temp Hisfa'!A$3:A$200), "", ROW('Temp Hisfa'!A$3:A$200)-MIN(ROW('Temp Hisfa'!A$3:A$200))+1), ROW(177:375))),"")</f>
        <v/>
      </c>
      <c r="B179" s="4" t="str">
        <f t="array" ref="B179">IFERROR(INDEX('Temp Hisfa'!B$3:B$200, SMALL(IF(ISERROR('Temp Hisfa'!B$3:B$200), "", ROW('Temp Hisfa'!B$3:B$200)-MIN(ROW('Temp Hisfa'!B$3:B$200))+1), ROW(177:375))),"")</f>
        <v/>
      </c>
      <c r="C179" s="3" t="str">
        <f t="array" ref="C179">IFERROR(INDEX('Temp Hisfa'!C$3:C$200, SMALL(IF(ISERROR('Temp Hisfa'!C$3:C$200), "", ROW('Temp Hisfa'!C$3:C$200)-MIN(ROW('Temp Hisfa'!C$3:C$200))+1), ROW(177:375))),"")</f>
        <v/>
      </c>
      <c r="D179" s="3" t="str">
        <f t="array" ref="D179">IFERROR(INDEX('Temp Hisfa'!D$3:D$200, SMALL(IF(ISERROR('Temp Hisfa'!D$3:D$200), "", ROW('Temp Hisfa'!D$3:D$200)-MIN(ROW('Temp Hisfa'!D$3:D$200))+1), ROW(177:375))),"")</f>
        <v/>
      </c>
      <c r="E179" s="29" t="str">
        <f t="array" ref="E179">IFERROR(INDEX('Temp Hisfa'!E$3:E$200, SMALL(IF(ISERROR('Temp Hisfa'!E$3:E$200), "", ROW('Temp Hisfa'!E$3:E$200)-MIN(ROW('Temp Hisfa'!E$3:E$200))+1), ROW(177:376))),"")</f>
        <v/>
      </c>
      <c r="F179" s="22" t="str">
        <f t="array" ref="F179">IFERROR(INDEX('Temp Hisfa'!F$3:F$200, SMALL(IF(ISERROR('Temp Hisfa'!F$3:F$200), "", ROW('Temp Hisfa'!F$3:F$200)-MIN(ROW('Temp Hisfa'!F$3:F$200))+1), ROW(177:376))),"")</f>
        <v/>
      </c>
      <c r="G179" s="30" t="str">
        <f t="array" ref="G179">IFERROR(INDEX('Temp Hisfa'!G$3:G$200, SMALL(IF(ISERROR('Temp Hisfa'!G$3:G$200), "", ROW('Temp Hisfa'!G$3:G$200)-MIN(ROW('Temp Hisfa'!G$3:G$200))+1), ROW(177:376))),"")</f>
        <v/>
      </c>
      <c r="H179" s="22" t="str">
        <f t="array" ref="H179">IFERROR(INDEX('Temp Hisfa'!H$3:H$200, SMALL(IF(ISERROR('Temp Hisfa'!H$3:H$200), "", ROW('Temp Hisfa'!H$3:H$200)-MIN(ROW('Temp Hisfa'!H$3:H$200))+1), ROW(177:376))),"")</f>
        <v/>
      </c>
      <c r="I179" s="22" t="str">
        <f t="array" ref="I179">IFERROR(INDEX('Temp Hisfa'!I$3:I$200, SMALL(IF(ISERROR('Temp Hisfa'!I$3:I$200), "", ROW('Temp Hisfa'!I$3:I$200)-MIN(ROW('Temp Hisfa'!I$3:I$200))+1), ROW(177:376))),"")</f>
        <v/>
      </c>
      <c r="J179" s="22" t="str">
        <f t="array" ref="J179">IFERROR(INDEX('Temp Hisfa'!J$3:J$200, SMALL(IF(ISERROR('Temp Hisfa'!J$3:J$200), "", ROW('Temp Hisfa'!J$3:J$200)-MIN(ROW('Temp Hisfa'!J$3:J$200))+1), ROW(177:376))),"")</f>
        <v/>
      </c>
      <c r="K179" s="30" t="str">
        <f t="array" ref="K179">IFERROR(INDEX('Temp Hisfa'!K$3:K$200, SMALL(IF(ISERROR('Temp Hisfa'!K$3:K$200), "", ROW('Temp Hisfa'!K$3:K$200)-MIN(ROW('Temp Hisfa'!K$3:K$200))+1), ROW(177:376))),"")</f>
        <v/>
      </c>
      <c r="L179" s="22" t="str">
        <f t="array" ref="L179">IFERROR(INDEX('Temp Hisfa'!L$3:L$200, SMALL(IF(ISERROR('Temp Hisfa'!L$3:L$200), "", ROW('Temp Hisfa'!L$3:L$200)-MIN(ROW('Temp Hisfa'!L$3:L$200))+1), ROW(177:376))),"")</f>
        <v/>
      </c>
      <c r="M179" s="22" t="str">
        <f t="array" ref="M179">IFERROR(INDEX('Temp Hisfa'!M$3:M$200, SMALL(IF(ISERROR('Temp Hisfa'!M$3:M$200), "", ROW('Temp Hisfa'!M$3:M$200)-MIN(ROW('Temp Hisfa'!M$3:M$200))+1), ROW(177:376))),"")</f>
        <v/>
      </c>
      <c r="N179" s="22" t="str">
        <f t="array" ref="N179">IFERROR(INDEX('Temp Hisfa'!N$3:N$200, SMALL(IF(ISERROR('Temp Hisfa'!N$3:N$200), "", ROW('Temp Hisfa'!N$3:N$200)-MIN(ROW('Temp Hisfa'!N$3:N$200))+1), ROW(177:376))),"")</f>
        <v/>
      </c>
      <c r="O179" s="22" t="str">
        <f t="array" ref="O179">IFERROR(INDEX('Temp Hisfa'!O$3:O$200, SMALL(IF(ISERROR('Temp Hisfa'!O$3:O$200), "", ROW('Temp Hisfa'!O$3:O$200)-MIN(ROW('Temp Hisfa'!O$3:O$200))+1), ROW(177:376))),"")</f>
        <v/>
      </c>
      <c r="P179" s="22" t="str">
        <f t="array" ref="P179">IFERROR(INDEX('Temp Hisfa'!P$3:P$200, SMALL(IF(ISERROR('Temp Hisfa'!P$3:P$200), "", ROW('Temp Hisfa'!P$3:P$200)-MIN(ROW('Temp Hisfa'!P$3:P$200))+1), ROW(177:376))),"")</f>
        <v/>
      </c>
      <c r="Q179" s="22" t="str">
        <f t="array" ref="Q179">IFERROR(INDEX('Temp Hisfa'!Q$3:Q$200, SMALL(IF(ISERROR('Temp Hisfa'!Q$3:Q$200), "", ROW('Temp Hisfa'!Q$3:Q$200)-MIN(ROW('Temp Hisfa'!Q$3:Q$200))+1), ROW(177:376))),"")</f>
        <v/>
      </c>
      <c r="R179" s="22" t="str">
        <f t="array" ref="R179">IFERROR(INDEX('Temp Hisfa'!R$3:R$200, SMALL(IF(ISERROR('Temp Hisfa'!R$3:R$200), "", ROW('Temp Hisfa'!R$3:R$200)-MIN(ROW('Temp Hisfa'!R$3:R$200))+1), ROW(177:376))),"")</f>
        <v/>
      </c>
      <c r="S179" s="22" t="str">
        <f t="array" ref="S179">IFERROR(INDEX('Temp Hisfa'!S$3:S$200, SMALL(IF(ISERROR('Temp Hisfa'!S$3:S$200), "", ROW('Temp Hisfa'!S$3:S$200)-MIN(ROW('Temp Hisfa'!S$3:S$200))+1), ROW(177:376))),"")</f>
        <v/>
      </c>
      <c r="T179" s="22" t="str">
        <f t="array" ref="T179">IFERROR(INDEX('Temp Hisfa'!T$3:T$200, SMALL(IF(ISERROR('Temp Hisfa'!T$3:T$200), "", ROW('Temp Hisfa'!T$3:T$200)-MIN(ROW('Temp Hisfa'!T$3:T$200))+1), ROW(177:376))),"")</f>
        <v/>
      </c>
      <c r="U179" s="22" t="str">
        <f t="array" ref="U179">IFERROR(INDEX('Temp Hisfa'!U$3:U$200, SMALL(IF(ISERROR('Temp Hisfa'!U$3:U$200), "", ROW('Temp Hisfa'!U$3:U$200)-MIN(ROW('Temp Hisfa'!U$3:U$200))+1), ROW(177:376))),"")</f>
        <v/>
      </c>
      <c r="V179" s="22" t="str">
        <f t="array" ref="V179">IFERROR(INDEX('Temp Hisfa'!V$3:V$200, SMALL(IF(ISERROR('Temp Hisfa'!V$3:V$200), "", ROW('Temp Hisfa'!V$3:V$200)-MIN(ROW('Temp Hisfa'!V$3:V$200))+1), ROW(177:376))),"")</f>
        <v/>
      </c>
      <c r="W179" s="22" t="str">
        <f t="array" ref="W179">IFERROR(INDEX('Temp Hisfa'!W$3:W$200, SMALL(IF(ISERROR('Temp Hisfa'!W$3:W$200), "", ROW('Temp Hisfa'!W$3:W$200)-MIN(ROW('Temp Hisfa'!W$3:W$200))+1), ROW(177:376))),"")</f>
        <v/>
      </c>
      <c r="X179" s="22" t="str">
        <f t="array" ref="X179">IFERROR(INDEX('Temp Hisfa'!X$3:X$200, SMALL(IF(ISERROR('Temp Hisfa'!X$3:X$200), "", ROW('Temp Hisfa'!X$3:X$200)-MIN(ROW('Temp Hisfa'!X$3:X$200))+1), ROW(177:376))),"")</f>
        <v/>
      </c>
      <c r="Y179" s="22" t="str">
        <f t="array" ref="Y179">IFERROR(INDEX('Temp Hisfa'!Y$3:Y$200, SMALL(IF(ISERROR('Temp Hisfa'!Y$3:Y$200), "", ROW('Temp Hisfa'!Y$3:Y$200)-MIN(ROW('Temp Hisfa'!Y$3:Y$200))+1), ROW(177:376))),"")</f>
        <v/>
      </c>
      <c r="Z179" s="22" t="str">
        <f t="array" ref="Z179">IFERROR(INDEX('Temp Hisfa'!Z$3:Z$200, SMALL(IF(ISERROR('Temp Hisfa'!Z$3:Z$200), "", ROW('Temp Hisfa'!Z$3:Z$200)-MIN(ROW('Temp Hisfa'!Z$3:Z$200))+1), ROW(177:376))),"")</f>
        <v/>
      </c>
      <c r="AA179" s="22" t="str">
        <f t="array" ref="AA179">IFERROR(INDEX('Temp Hisfa'!AA$3:AA$200, SMALL(IF(ISERROR('Temp Hisfa'!AA$3:AA$200), "", ROW('Temp Hisfa'!AA$3:AA$200)-MIN(ROW('Temp Hisfa'!AA$3:AA$200))+1), ROW(177:376))),"")</f>
        <v/>
      </c>
      <c r="AB179" s="22" t="str">
        <f t="array" ref="AB179">IFERROR(INDEX('Temp Hisfa'!AB$3:AB$200, SMALL(IF(ISERROR('Temp Hisfa'!AB$3:AB$200), "", ROW('Temp Hisfa'!AB$3:AB$200)-MIN(ROW('Temp Hisfa'!AB$3:AB$200))+1), ROW(177:376))),"")</f>
        <v/>
      </c>
    </row>
    <row r="180" spans="1:28" x14ac:dyDescent="0.3">
      <c r="A180" s="4" t="str">
        <f t="array" ref="A180">IFERROR(INDEX('Temp Hisfa'!A$3:A$200, SMALL(IF(ISERROR('Temp Hisfa'!A$3:A$200), "", ROW('Temp Hisfa'!A$3:A$200)-MIN(ROW('Temp Hisfa'!A$3:A$200))+1), ROW(178:376))),"")</f>
        <v/>
      </c>
      <c r="B180" s="4" t="str">
        <f t="array" ref="B180">IFERROR(INDEX('Temp Hisfa'!B$3:B$200, SMALL(IF(ISERROR('Temp Hisfa'!B$3:B$200), "", ROW('Temp Hisfa'!B$3:B$200)-MIN(ROW('Temp Hisfa'!B$3:B$200))+1), ROW(178:376))),"")</f>
        <v/>
      </c>
      <c r="C180" s="3" t="str">
        <f t="array" ref="C180">IFERROR(INDEX('Temp Hisfa'!C$3:C$200, SMALL(IF(ISERROR('Temp Hisfa'!C$3:C$200), "", ROW('Temp Hisfa'!C$3:C$200)-MIN(ROW('Temp Hisfa'!C$3:C$200))+1), ROW(178:376))),"")</f>
        <v/>
      </c>
      <c r="D180" s="3" t="str">
        <f t="array" ref="D180">IFERROR(INDEX('Temp Hisfa'!D$3:D$200, SMALL(IF(ISERROR('Temp Hisfa'!D$3:D$200), "", ROW('Temp Hisfa'!D$3:D$200)-MIN(ROW('Temp Hisfa'!D$3:D$200))+1), ROW(178:376))),"")</f>
        <v/>
      </c>
      <c r="E180" s="29" t="str">
        <f t="array" ref="E180">IFERROR(INDEX('Temp Hisfa'!E$3:E$200, SMALL(IF(ISERROR('Temp Hisfa'!E$3:E$200), "", ROW('Temp Hisfa'!E$3:E$200)-MIN(ROW('Temp Hisfa'!E$3:E$200))+1), ROW(178:377))),"")</f>
        <v/>
      </c>
      <c r="F180" s="22" t="str">
        <f t="array" ref="F180">IFERROR(INDEX('Temp Hisfa'!F$3:F$200, SMALL(IF(ISERROR('Temp Hisfa'!F$3:F$200), "", ROW('Temp Hisfa'!F$3:F$200)-MIN(ROW('Temp Hisfa'!F$3:F$200))+1), ROW(178:377))),"")</f>
        <v/>
      </c>
      <c r="G180" s="30" t="str">
        <f t="array" ref="G180">IFERROR(INDEX('Temp Hisfa'!G$3:G$200, SMALL(IF(ISERROR('Temp Hisfa'!G$3:G$200), "", ROW('Temp Hisfa'!G$3:G$200)-MIN(ROW('Temp Hisfa'!G$3:G$200))+1), ROW(178:377))),"")</f>
        <v/>
      </c>
      <c r="H180" s="22" t="str">
        <f t="array" ref="H180">IFERROR(INDEX('Temp Hisfa'!H$3:H$200, SMALL(IF(ISERROR('Temp Hisfa'!H$3:H$200), "", ROW('Temp Hisfa'!H$3:H$200)-MIN(ROW('Temp Hisfa'!H$3:H$200))+1), ROW(178:377))),"")</f>
        <v/>
      </c>
      <c r="I180" s="22" t="str">
        <f t="array" ref="I180">IFERROR(INDEX('Temp Hisfa'!I$3:I$200, SMALL(IF(ISERROR('Temp Hisfa'!I$3:I$200), "", ROW('Temp Hisfa'!I$3:I$200)-MIN(ROW('Temp Hisfa'!I$3:I$200))+1), ROW(178:377))),"")</f>
        <v/>
      </c>
      <c r="J180" s="22" t="str">
        <f t="array" ref="J180">IFERROR(INDEX('Temp Hisfa'!J$3:J$200, SMALL(IF(ISERROR('Temp Hisfa'!J$3:J$200), "", ROW('Temp Hisfa'!J$3:J$200)-MIN(ROW('Temp Hisfa'!J$3:J$200))+1), ROW(178:377))),"")</f>
        <v/>
      </c>
      <c r="K180" s="30" t="str">
        <f t="array" ref="K180">IFERROR(INDEX('Temp Hisfa'!K$3:K$200, SMALL(IF(ISERROR('Temp Hisfa'!K$3:K$200), "", ROW('Temp Hisfa'!K$3:K$200)-MIN(ROW('Temp Hisfa'!K$3:K$200))+1), ROW(178:377))),"")</f>
        <v/>
      </c>
      <c r="L180" s="22" t="str">
        <f t="array" ref="L180">IFERROR(INDEX('Temp Hisfa'!L$3:L$200, SMALL(IF(ISERROR('Temp Hisfa'!L$3:L$200), "", ROW('Temp Hisfa'!L$3:L$200)-MIN(ROW('Temp Hisfa'!L$3:L$200))+1), ROW(178:377))),"")</f>
        <v/>
      </c>
      <c r="M180" s="22" t="str">
        <f t="array" ref="M180">IFERROR(INDEX('Temp Hisfa'!M$3:M$200, SMALL(IF(ISERROR('Temp Hisfa'!M$3:M$200), "", ROW('Temp Hisfa'!M$3:M$200)-MIN(ROW('Temp Hisfa'!M$3:M$200))+1), ROW(178:377))),"")</f>
        <v/>
      </c>
      <c r="N180" s="22" t="str">
        <f t="array" ref="N180">IFERROR(INDEX('Temp Hisfa'!N$3:N$200, SMALL(IF(ISERROR('Temp Hisfa'!N$3:N$200), "", ROW('Temp Hisfa'!N$3:N$200)-MIN(ROW('Temp Hisfa'!N$3:N$200))+1), ROW(178:377))),"")</f>
        <v/>
      </c>
      <c r="O180" s="22" t="str">
        <f t="array" ref="O180">IFERROR(INDEX('Temp Hisfa'!O$3:O$200, SMALL(IF(ISERROR('Temp Hisfa'!O$3:O$200), "", ROW('Temp Hisfa'!O$3:O$200)-MIN(ROW('Temp Hisfa'!O$3:O$200))+1), ROW(178:377))),"")</f>
        <v/>
      </c>
      <c r="P180" s="22" t="str">
        <f t="array" ref="P180">IFERROR(INDEX('Temp Hisfa'!P$3:P$200, SMALL(IF(ISERROR('Temp Hisfa'!P$3:P$200), "", ROW('Temp Hisfa'!P$3:P$200)-MIN(ROW('Temp Hisfa'!P$3:P$200))+1), ROW(178:377))),"")</f>
        <v/>
      </c>
      <c r="Q180" s="22" t="str">
        <f t="array" ref="Q180">IFERROR(INDEX('Temp Hisfa'!Q$3:Q$200, SMALL(IF(ISERROR('Temp Hisfa'!Q$3:Q$200), "", ROW('Temp Hisfa'!Q$3:Q$200)-MIN(ROW('Temp Hisfa'!Q$3:Q$200))+1), ROW(178:377))),"")</f>
        <v/>
      </c>
      <c r="R180" s="22" t="str">
        <f t="array" ref="R180">IFERROR(INDEX('Temp Hisfa'!R$3:R$200, SMALL(IF(ISERROR('Temp Hisfa'!R$3:R$200), "", ROW('Temp Hisfa'!R$3:R$200)-MIN(ROW('Temp Hisfa'!R$3:R$200))+1), ROW(178:377))),"")</f>
        <v/>
      </c>
      <c r="S180" s="22" t="str">
        <f t="array" ref="S180">IFERROR(INDEX('Temp Hisfa'!S$3:S$200, SMALL(IF(ISERROR('Temp Hisfa'!S$3:S$200), "", ROW('Temp Hisfa'!S$3:S$200)-MIN(ROW('Temp Hisfa'!S$3:S$200))+1), ROW(178:377))),"")</f>
        <v/>
      </c>
      <c r="T180" s="22" t="str">
        <f t="array" ref="T180">IFERROR(INDEX('Temp Hisfa'!T$3:T$200, SMALL(IF(ISERROR('Temp Hisfa'!T$3:T$200), "", ROW('Temp Hisfa'!T$3:T$200)-MIN(ROW('Temp Hisfa'!T$3:T$200))+1), ROW(178:377))),"")</f>
        <v/>
      </c>
      <c r="U180" s="22" t="str">
        <f t="array" ref="U180">IFERROR(INDEX('Temp Hisfa'!U$3:U$200, SMALL(IF(ISERROR('Temp Hisfa'!U$3:U$200), "", ROW('Temp Hisfa'!U$3:U$200)-MIN(ROW('Temp Hisfa'!U$3:U$200))+1), ROW(178:377))),"")</f>
        <v/>
      </c>
      <c r="V180" s="22" t="str">
        <f t="array" ref="V180">IFERROR(INDEX('Temp Hisfa'!V$3:V$200, SMALL(IF(ISERROR('Temp Hisfa'!V$3:V$200), "", ROW('Temp Hisfa'!V$3:V$200)-MIN(ROW('Temp Hisfa'!V$3:V$200))+1), ROW(178:377))),"")</f>
        <v/>
      </c>
      <c r="W180" s="22" t="str">
        <f t="array" ref="W180">IFERROR(INDEX('Temp Hisfa'!W$3:W$200, SMALL(IF(ISERROR('Temp Hisfa'!W$3:W$200), "", ROW('Temp Hisfa'!W$3:W$200)-MIN(ROW('Temp Hisfa'!W$3:W$200))+1), ROW(178:377))),"")</f>
        <v/>
      </c>
      <c r="X180" s="22" t="str">
        <f t="array" ref="X180">IFERROR(INDEX('Temp Hisfa'!X$3:X$200, SMALL(IF(ISERROR('Temp Hisfa'!X$3:X$200), "", ROW('Temp Hisfa'!X$3:X$200)-MIN(ROW('Temp Hisfa'!X$3:X$200))+1), ROW(178:377))),"")</f>
        <v/>
      </c>
      <c r="Y180" s="22" t="str">
        <f t="array" ref="Y180">IFERROR(INDEX('Temp Hisfa'!Y$3:Y$200, SMALL(IF(ISERROR('Temp Hisfa'!Y$3:Y$200), "", ROW('Temp Hisfa'!Y$3:Y$200)-MIN(ROW('Temp Hisfa'!Y$3:Y$200))+1), ROW(178:377))),"")</f>
        <v/>
      </c>
      <c r="Z180" s="22" t="str">
        <f t="array" ref="Z180">IFERROR(INDEX('Temp Hisfa'!Z$3:Z$200, SMALL(IF(ISERROR('Temp Hisfa'!Z$3:Z$200), "", ROW('Temp Hisfa'!Z$3:Z$200)-MIN(ROW('Temp Hisfa'!Z$3:Z$200))+1), ROW(178:377))),"")</f>
        <v/>
      </c>
      <c r="AA180" s="22" t="str">
        <f t="array" ref="AA180">IFERROR(INDEX('Temp Hisfa'!AA$3:AA$200, SMALL(IF(ISERROR('Temp Hisfa'!AA$3:AA$200), "", ROW('Temp Hisfa'!AA$3:AA$200)-MIN(ROW('Temp Hisfa'!AA$3:AA$200))+1), ROW(178:377))),"")</f>
        <v/>
      </c>
      <c r="AB180" s="22" t="str">
        <f t="array" ref="AB180">IFERROR(INDEX('Temp Hisfa'!AB$3:AB$200, SMALL(IF(ISERROR('Temp Hisfa'!AB$3:AB$200), "", ROW('Temp Hisfa'!AB$3:AB$200)-MIN(ROW('Temp Hisfa'!AB$3:AB$200))+1), ROW(178:377))),"")</f>
        <v/>
      </c>
    </row>
    <row r="181" spans="1:28" x14ac:dyDescent="0.3">
      <c r="A181" s="4" t="str">
        <f t="array" ref="A181">IFERROR(INDEX('Temp Hisfa'!A$3:A$200, SMALL(IF(ISERROR('Temp Hisfa'!A$3:A$200), "", ROW('Temp Hisfa'!A$3:A$200)-MIN(ROW('Temp Hisfa'!A$3:A$200))+1), ROW(179:377))),"")</f>
        <v/>
      </c>
      <c r="B181" s="4" t="str">
        <f t="array" ref="B181">IFERROR(INDEX('Temp Hisfa'!B$3:B$200, SMALL(IF(ISERROR('Temp Hisfa'!B$3:B$200), "", ROW('Temp Hisfa'!B$3:B$200)-MIN(ROW('Temp Hisfa'!B$3:B$200))+1), ROW(179:377))),"")</f>
        <v/>
      </c>
      <c r="C181" s="3" t="str">
        <f t="array" ref="C181">IFERROR(INDEX('Temp Hisfa'!C$3:C$200, SMALL(IF(ISERROR('Temp Hisfa'!C$3:C$200), "", ROW('Temp Hisfa'!C$3:C$200)-MIN(ROW('Temp Hisfa'!C$3:C$200))+1), ROW(179:377))),"")</f>
        <v/>
      </c>
      <c r="D181" s="3" t="str">
        <f t="array" ref="D181">IFERROR(INDEX('Temp Hisfa'!D$3:D$200, SMALL(IF(ISERROR('Temp Hisfa'!D$3:D$200), "", ROW('Temp Hisfa'!D$3:D$200)-MIN(ROW('Temp Hisfa'!D$3:D$200))+1), ROW(179:377))),"")</f>
        <v/>
      </c>
      <c r="E181" s="29" t="str">
        <f t="array" ref="E181">IFERROR(INDEX('Temp Hisfa'!E$3:E$200, SMALL(IF(ISERROR('Temp Hisfa'!E$3:E$200), "", ROW('Temp Hisfa'!E$3:E$200)-MIN(ROW('Temp Hisfa'!E$3:E$200))+1), ROW(179:378))),"")</f>
        <v/>
      </c>
      <c r="F181" s="22" t="str">
        <f t="array" ref="F181">IFERROR(INDEX('Temp Hisfa'!F$3:F$200, SMALL(IF(ISERROR('Temp Hisfa'!F$3:F$200), "", ROW('Temp Hisfa'!F$3:F$200)-MIN(ROW('Temp Hisfa'!F$3:F$200))+1), ROW(179:378))),"")</f>
        <v/>
      </c>
      <c r="G181" s="30" t="str">
        <f t="array" ref="G181">IFERROR(INDEX('Temp Hisfa'!G$3:G$200, SMALL(IF(ISERROR('Temp Hisfa'!G$3:G$200), "", ROW('Temp Hisfa'!G$3:G$200)-MIN(ROW('Temp Hisfa'!G$3:G$200))+1), ROW(179:378))),"")</f>
        <v/>
      </c>
      <c r="H181" s="22" t="str">
        <f t="array" ref="H181">IFERROR(INDEX('Temp Hisfa'!H$3:H$200, SMALL(IF(ISERROR('Temp Hisfa'!H$3:H$200), "", ROW('Temp Hisfa'!H$3:H$200)-MIN(ROW('Temp Hisfa'!H$3:H$200))+1), ROW(179:378))),"")</f>
        <v/>
      </c>
      <c r="I181" s="22" t="str">
        <f t="array" ref="I181">IFERROR(INDEX('Temp Hisfa'!I$3:I$200, SMALL(IF(ISERROR('Temp Hisfa'!I$3:I$200), "", ROW('Temp Hisfa'!I$3:I$200)-MIN(ROW('Temp Hisfa'!I$3:I$200))+1), ROW(179:378))),"")</f>
        <v/>
      </c>
      <c r="J181" s="22" t="str">
        <f t="array" ref="J181">IFERROR(INDEX('Temp Hisfa'!J$3:J$200, SMALL(IF(ISERROR('Temp Hisfa'!J$3:J$200), "", ROW('Temp Hisfa'!J$3:J$200)-MIN(ROW('Temp Hisfa'!J$3:J$200))+1), ROW(179:378))),"")</f>
        <v/>
      </c>
      <c r="K181" s="30" t="str">
        <f t="array" ref="K181">IFERROR(INDEX('Temp Hisfa'!K$3:K$200, SMALL(IF(ISERROR('Temp Hisfa'!K$3:K$200), "", ROW('Temp Hisfa'!K$3:K$200)-MIN(ROW('Temp Hisfa'!K$3:K$200))+1), ROW(179:378))),"")</f>
        <v/>
      </c>
      <c r="L181" s="22" t="str">
        <f t="array" ref="L181">IFERROR(INDEX('Temp Hisfa'!L$3:L$200, SMALL(IF(ISERROR('Temp Hisfa'!L$3:L$200), "", ROW('Temp Hisfa'!L$3:L$200)-MIN(ROW('Temp Hisfa'!L$3:L$200))+1), ROW(179:378))),"")</f>
        <v/>
      </c>
      <c r="M181" s="22" t="str">
        <f t="array" ref="M181">IFERROR(INDEX('Temp Hisfa'!M$3:M$200, SMALL(IF(ISERROR('Temp Hisfa'!M$3:M$200), "", ROW('Temp Hisfa'!M$3:M$200)-MIN(ROW('Temp Hisfa'!M$3:M$200))+1), ROW(179:378))),"")</f>
        <v/>
      </c>
      <c r="N181" s="22" t="str">
        <f t="array" ref="N181">IFERROR(INDEX('Temp Hisfa'!N$3:N$200, SMALL(IF(ISERROR('Temp Hisfa'!N$3:N$200), "", ROW('Temp Hisfa'!N$3:N$200)-MIN(ROW('Temp Hisfa'!N$3:N$200))+1), ROW(179:378))),"")</f>
        <v/>
      </c>
      <c r="O181" s="22" t="str">
        <f t="array" ref="O181">IFERROR(INDEX('Temp Hisfa'!O$3:O$200, SMALL(IF(ISERROR('Temp Hisfa'!O$3:O$200), "", ROW('Temp Hisfa'!O$3:O$200)-MIN(ROW('Temp Hisfa'!O$3:O$200))+1), ROW(179:378))),"")</f>
        <v/>
      </c>
      <c r="P181" s="22" t="str">
        <f t="array" ref="P181">IFERROR(INDEX('Temp Hisfa'!P$3:P$200, SMALL(IF(ISERROR('Temp Hisfa'!P$3:P$200), "", ROW('Temp Hisfa'!P$3:P$200)-MIN(ROW('Temp Hisfa'!P$3:P$200))+1), ROW(179:378))),"")</f>
        <v/>
      </c>
      <c r="Q181" s="22" t="str">
        <f t="array" ref="Q181">IFERROR(INDEX('Temp Hisfa'!Q$3:Q$200, SMALL(IF(ISERROR('Temp Hisfa'!Q$3:Q$200), "", ROW('Temp Hisfa'!Q$3:Q$200)-MIN(ROW('Temp Hisfa'!Q$3:Q$200))+1), ROW(179:378))),"")</f>
        <v/>
      </c>
      <c r="R181" s="22" t="str">
        <f t="array" ref="R181">IFERROR(INDEX('Temp Hisfa'!R$3:R$200, SMALL(IF(ISERROR('Temp Hisfa'!R$3:R$200), "", ROW('Temp Hisfa'!R$3:R$200)-MIN(ROW('Temp Hisfa'!R$3:R$200))+1), ROW(179:378))),"")</f>
        <v/>
      </c>
      <c r="S181" s="22" t="str">
        <f t="array" ref="S181">IFERROR(INDEX('Temp Hisfa'!S$3:S$200, SMALL(IF(ISERROR('Temp Hisfa'!S$3:S$200), "", ROW('Temp Hisfa'!S$3:S$200)-MIN(ROW('Temp Hisfa'!S$3:S$200))+1), ROW(179:378))),"")</f>
        <v/>
      </c>
      <c r="T181" s="22" t="str">
        <f t="array" ref="T181">IFERROR(INDEX('Temp Hisfa'!T$3:T$200, SMALL(IF(ISERROR('Temp Hisfa'!T$3:T$200), "", ROW('Temp Hisfa'!T$3:T$200)-MIN(ROW('Temp Hisfa'!T$3:T$200))+1), ROW(179:378))),"")</f>
        <v/>
      </c>
      <c r="U181" s="22" t="str">
        <f t="array" ref="U181">IFERROR(INDEX('Temp Hisfa'!U$3:U$200, SMALL(IF(ISERROR('Temp Hisfa'!U$3:U$200), "", ROW('Temp Hisfa'!U$3:U$200)-MIN(ROW('Temp Hisfa'!U$3:U$200))+1), ROW(179:378))),"")</f>
        <v/>
      </c>
      <c r="V181" s="22" t="str">
        <f t="array" ref="V181">IFERROR(INDEX('Temp Hisfa'!V$3:V$200, SMALL(IF(ISERROR('Temp Hisfa'!V$3:V$200), "", ROW('Temp Hisfa'!V$3:V$200)-MIN(ROW('Temp Hisfa'!V$3:V$200))+1), ROW(179:378))),"")</f>
        <v/>
      </c>
      <c r="W181" s="22" t="str">
        <f t="array" ref="W181">IFERROR(INDEX('Temp Hisfa'!W$3:W$200, SMALL(IF(ISERROR('Temp Hisfa'!W$3:W$200), "", ROW('Temp Hisfa'!W$3:W$200)-MIN(ROW('Temp Hisfa'!W$3:W$200))+1), ROW(179:378))),"")</f>
        <v/>
      </c>
      <c r="X181" s="22" t="str">
        <f t="array" ref="X181">IFERROR(INDEX('Temp Hisfa'!X$3:X$200, SMALL(IF(ISERROR('Temp Hisfa'!X$3:X$200), "", ROW('Temp Hisfa'!X$3:X$200)-MIN(ROW('Temp Hisfa'!X$3:X$200))+1), ROW(179:378))),"")</f>
        <v/>
      </c>
      <c r="Y181" s="22" t="str">
        <f t="array" ref="Y181">IFERROR(INDEX('Temp Hisfa'!Y$3:Y$200, SMALL(IF(ISERROR('Temp Hisfa'!Y$3:Y$200), "", ROW('Temp Hisfa'!Y$3:Y$200)-MIN(ROW('Temp Hisfa'!Y$3:Y$200))+1), ROW(179:378))),"")</f>
        <v/>
      </c>
      <c r="Z181" s="22" t="str">
        <f t="array" ref="Z181">IFERROR(INDEX('Temp Hisfa'!Z$3:Z$200, SMALL(IF(ISERROR('Temp Hisfa'!Z$3:Z$200), "", ROW('Temp Hisfa'!Z$3:Z$200)-MIN(ROW('Temp Hisfa'!Z$3:Z$200))+1), ROW(179:378))),"")</f>
        <v/>
      </c>
      <c r="AA181" s="22" t="str">
        <f t="array" ref="AA181">IFERROR(INDEX('Temp Hisfa'!AA$3:AA$200, SMALL(IF(ISERROR('Temp Hisfa'!AA$3:AA$200), "", ROW('Temp Hisfa'!AA$3:AA$200)-MIN(ROW('Temp Hisfa'!AA$3:AA$200))+1), ROW(179:378))),"")</f>
        <v/>
      </c>
      <c r="AB181" s="22" t="str">
        <f t="array" ref="AB181">IFERROR(INDEX('Temp Hisfa'!AB$3:AB$200, SMALL(IF(ISERROR('Temp Hisfa'!AB$3:AB$200), "", ROW('Temp Hisfa'!AB$3:AB$200)-MIN(ROW('Temp Hisfa'!AB$3:AB$200))+1), ROW(179:378))),"")</f>
        <v/>
      </c>
    </row>
    <row r="182" spans="1:28" x14ac:dyDescent="0.3">
      <c r="A182" s="4" t="str">
        <f t="array" ref="A182">IFERROR(INDEX('Temp Hisfa'!A$3:A$200, SMALL(IF(ISERROR('Temp Hisfa'!A$3:A$200), "", ROW('Temp Hisfa'!A$3:A$200)-MIN(ROW('Temp Hisfa'!A$3:A$200))+1), ROW(180:378))),"")</f>
        <v/>
      </c>
      <c r="B182" s="4" t="str">
        <f t="array" ref="B182">IFERROR(INDEX('Temp Hisfa'!B$3:B$200, SMALL(IF(ISERROR('Temp Hisfa'!B$3:B$200), "", ROW('Temp Hisfa'!B$3:B$200)-MIN(ROW('Temp Hisfa'!B$3:B$200))+1), ROW(180:378))),"")</f>
        <v/>
      </c>
      <c r="C182" s="3" t="str">
        <f t="array" ref="C182">IFERROR(INDEX('Temp Hisfa'!C$3:C$200, SMALL(IF(ISERROR('Temp Hisfa'!C$3:C$200), "", ROW('Temp Hisfa'!C$3:C$200)-MIN(ROW('Temp Hisfa'!C$3:C$200))+1), ROW(180:378))),"")</f>
        <v/>
      </c>
      <c r="D182" s="3" t="str">
        <f t="array" ref="D182">IFERROR(INDEX('Temp Hisfa'!D$3:D$200, SMALL(IF(ISERROR('Temp Hisfa'!D$3:D$200), "", ROW('Temp Hisfa'!D$3:D$200)-MIN(ROW('Temp Hisfa'!D$3:D$200))+1), ROW(180:378))),"")</f>
        <v/>
      </c>
      <c r="E182" s="29" t="str">
        <f t="array" ref="E182">IFERROR(INDEX('Temp Hisfa'!E$3:E$200, SMALL(IF(ISERROR('Temp Hisfa'!E$3:E$200), "", ROW('Temp Hisfa'!E$3:E$200)-MIN(ROW('Temp Hisfa'!E$3:E$200))+1), ROW(180:379))),"")</f>
        <v/>
      </c>
      <c r="F182" s="22" t="str">
        <f t="array" ref="F182">IFERROR(INDEX('Temp Hisfa'!F$3:F$200, SMALL(IF(ISERROR('Temp Hisfa'!F$3:F$200), "", ROW('Temp Hisfa'!F$3:F$200)-MIN(ROW('Temp Hisfa'!F$3:F$200))+1), ROW(180:379))),"")</f>
        <v/>
      </c>
      <c r="G182" s="30" t="str">
        <f t="array" ref="G182">IFERROR(INDEX('Temp Hisfa'!G$3:G$200, SMALL(IF(ISERROR('Temp Hisfa'!G$3:G$200), "", ROW('Temp Hisfa'!G$3:G$200)-MIN(ROW('Temp Hisfa'!G$3:G$200))+1), ROW(180:379))),"")</f>
        <v/>
      </c>
      <c r="H182" s="22" t="str">
        <f t="array" ref="H182">IFERROR(INDEX('Temp Hisfa'!H$3:H$200, SMALL(IF(ISERROR('Temp Hisfa'!H$3:H$200), "", ROW('Temp Hisfa'!H$3:H$200)-MIN(ROW('Temp Hisfa'!H$3:H$200))+1), ROW(180:379))),"")</f>
        <v/>
      </c>
      <c r="I182" s="22" t="str">
        <f t="array" ref="I182">IFERROR(INDEX('Temp Hisfa'!I$3:I$200, SMALL(IF(ISERROR('Temp Hisfa'!I$3:I$200), "", ROW('Temp Hisfa'!I$3:I$200)-MIN(ROW('Temp Hisfa'!I$3:I$200))+1), ROW(180:379))),"")</f>
        <v/>
      </c>
      <c r="J182" s="22" t="str">
        <f t="array" ref="J182">IFERROR(INDEX('Temp Hisfa'!J$3:J$200, SMALL(IF(ISERROR('Temp Hisfa'!J$3:J$200), "", ROW('Temp Hisfa'!J$3:J$200)-MIN(ROW('Temp Hisfa'!J$3:J$200))+1), ROW(180:379))),"")</f>
        <v/>
      </c>
      <c r="K182" s="30" t="str">
        <f t="array" ref="K182">IFERROR(INDEX('Temp Hisfa'!K$3:K$200, SMALL(IF(ISERROR('Temp Hisfa'!K$3:K$200), "", ROW('Temp Hisfa'!K$3:K$200)-MIN(ROW('Temp Hisfa'!K$3:K$200))+1), ROW(180:379))),"")</f>
        <v/>
      </c>
      <c r="L182" s="22" t="str">
        <f t="array" ref="L182">IFERROR(INDEX('Temp Hisfa'!L$3:L$200, SMALL(IF(ISERROR('Temp Hisfa'!L$3:L$200), "", ROW('Temp Hisfa'!L$3:L$200)-MIN(ROW('Temp Hisfa'!L$3:L$200))+1), ROW(180:379))),"")</f>
        <v/>
      </c>
      <c r="M182" s="22" t="str">
        <f t="array" ref="M182">IFERROR(INDEX('Temp Hisfa'!M$3:M$200, SMALL(IF(ISERROR('Temp Hisfa'!M$3:M$200), "", ROW('Temp Hisfa'!M$3:M$200)-MIN(ROW('Temp Hisfa'!M$3:M$200))+1), ROW(180:379))),"")</f>
        <v/>
      </c>
      <c r="N182" s="22" t="str">
        <f t="array" ref="N182">IFERROR(INDEX('Temp Hisfa'!N$3:N$200, SMALL(IF(ISERROR('Temp Hisfa'!N$3:N$200), "", ROW('Temp Hisfa'!N$3:N$200)-MIN(ROW('Temp Hisfa'!N$3:N$200))+1), ROW(180:379))),"")</f>
        <v/>
      </c>
      <c r="O182" s="22" t="str">
        <f t="array" ref="O182">IFERROR(INDEX('Temp Hisfa'!O$3:O$200, SMALL(IF(ISERROR('Temp Hisfa'!O$3:O$200), "", ROW('Temp Hisfa'!O$3:O$200)-MIN(ROW('Temp Hisfa'!O$3:O$200))+1), ROW(180:379))),"")</f>
        <v/>
      </c>
      <c r="P182" s="22" t="str">
        <f t="array" ref="P182">IFERROR(INDEX('Temp Hisfa'!P$3:P$200, SMALL(IF(ISERROR('Temp Hisfa'!P$3:P$200), "", ROW('Temp Hisfa'!P$3:P$200)-MIN(ROW('Temp Hisfa'!P$3:P$200))+1), ROW(180:379))),"")</f>
        <v/>
      </c>
      <c r="Q182" s="22" t="str">
        <f t="array" ref="Q182">IFERROR(INDEX('Temp Hisfa'!Q$3:Q$200, SMALL(IF(ISERROR('Temp Hisfa'!Q$3:Q$200), "", ROW('Temp Hisfa'!Q$3:Q$200)-MIN(ROW('Temp Hisfa'!Q$3:Q$200))+1), ROW(180:379))),"")</f>
        <v/>
      </c>
      <c r="R182" s="22" t="str">
        <f t="array" ref="R182">IFERROR(INDEX('Temp Hisfa'!R$3:R$200, SMALL(IF(ISERROR('Temp Hisfa'!R$3:R$200), "", ROW('Temp Hisfa'!R$3:R$200)-MIN(ROW('Temp Hisfa'!R$3:R$200))+1), ROW(180:379))),"")</f>
        <v/>
      </c>
      <c r="S182" s="22" t="str">
        <f t="array" ref="S182">IFERROR(INDEX('Temp Hisfa'!S$3:S$200, SMALL(IF(ISERROR('Temp Hisfa'!S$3:S$200), "", ROW('Temp Hisfa'!S$3:S$200)-MIN(ROW('Temp Hisfa'!S$3:S$200))+1), ROW(180:379))),"")</f>
        <v/>
      </c>
      <c r="T182" s="22" t="str">
        <f t="array" ref="T182">IFERROR(INDEX('Temp Hisfa'!T$3:T$200, SMALL(IF(ISERROR('Temp Hisfa'!T$3:T$200), "", ROW('Temp Hisfa'!T$3:T$200)-MIN(ROW('Temp Hisfa'!T$3:T$200))+1), ROW(180:379))),"")</f>
        <v/>
      </c>
      <c r="U182" s="22" t="str">
        <f t="array" ref="U182">IFERROR(INDEX('Temp Hisfa'!U$3:U$200, SMALL(IF(ISERROR('Temp Hisfa'!U$3:U$200), "", ROW('Temp Hisfa'!U$3:U$200)-MIN(ROW('Temp Hisfa'!U$3:U$200))+1), ROW(180:379))),"")</f>
        <v/>
      </c>
      <c r="V182" s="22" t="str">
        <f t="array" ref="V182">IFERROR(INDEX('Temp Hisfa'!V$3:V$200, SMALL(IF(ISERROR('Temp Hisfa'!V$3:V$200), "", ROW('Temp Hisfa'!V$3:V$200)-MIN(ROW('Temp Hisfa'!V$3:V$200))+1), ROW(180:379))),"")</f>
        <v/>
      </c>
      <c r="W182" s="22" t="str">
        <f t="array" ref="W182">IFERROR(INDEX('Temp Hisfa'!W$3:W$200, SMALL(IF(ISERROR('Temp Hisfa'!W$3:W$200), "", ROW('Temp Hisfa'!W$3:W$200)-MIN(ROW('Temp Hisfa'!W$3:W$200))+1), ROW(180:379))),"")</f>
        <v/>
      </c>
      <c r="X182" s="22" t="str">
        <f t="array" ref="X182">IFERROR(INDEX('Temp Hisfa'!X$3:X$200, SMALL(IF(ISERROR('Temp Hisfa'!X$3:X$200), "", ROW('Temp Hisfa'!X$3:X$200)-MIN(ROW('Temp Hisfa'!X$3:X$200))+1), ROW(180:379))),"")</f>
        <v/>
      </c>
      <c r="Y182" s="22" t="str">
        <f t="array" ref="Y182">IFERROR(INDEX('Temp Hisfa'!Y$3:Y$200, SMALL(IF(ISERROR('Temp Hisfa'!Y$3:Y$200), "", ROW('Temp Hisfa'!Y$3:Y$200)-MIN(ROW('Temp Hisfa'!Y$3:Y$200))+1), ROW(180:379))),"")</f>
        <v/>
      </c>
      <c r="Z182" s="22" t="str">
        <f t="array" ref="Z182">IFERROR(INDEX('Temp Hisfa'!Z$3:Z$200, SMALL(IF(ISERROR('Temp Hisfa'!Z$3:Z$200), "", ROW('Temp Hisfa'!Z$3:Z$200)-MIN(ROW('Temp Hisfa'!Z$3:Z$200))+1), ROW(180:379))),"")</f>
        <v/>
      </c>
      <c r="AA182" s="22" t="str">
        <f t="array" ref="AA182">IFERROR(INDEX('Temp Hisfa'!AA$3:AA$200, SMALL(IF(ISERROR('Temp Hisfa'!AA$3:AA$200), "", ROW('Temp Hisfa'!AA$3:AA$200)-MIN(ROW('Temp Hisfa'!AA$3:AA$200))+1), ROW(180:379))),"")</f>
        <v/>
      </c>
      <c r="AB182" s="22" t="str">
        <f t="array" ref="AB182">IFERROR(INDEX('Temp Hisfa'!AB$3:AB$200, SMALL(IF(ISERROR('Temp Hisfa'!AB$3:AB$200), "", ROW('Temp Hisfa'!AB$3:AB$200)-MIN(ROW('Temp Hisfa'!AB$3:AB$200))+1), ROW(180:379))),"")</f>
        <v/>
      </c>
    </row>
    <row r="183" spans="1:28" x14ac:dyDescent="0.3">
      <c r="A183" s="4" t="str">
        <f t="array" ref="A183">IFERROR(INDEX('Temp Hisfa'!A$3:A$200, SMALL(IF(ISERROR('Temp Hisfa'!A$3:A$200), "", ROW('Temp Hisfa'!A$3:A$200)-MIN(ROW('Temp Hisfa'!A$3:A$200))+1), ROW(181:379))),"")</f>
        <v/>
      </c>
      <c r="B183" s="4" t="str">
        <f t="array" ref="B183">IFERROR(INDEX('Temp Hisfa'!B$3:B$200, SMALL(IF(ISERROR('Temp Hisfa'!B$3:B$200), "", ROW('Temp Hisfa'!B$3:B$200)-MIN(ROW('Temp Hisfa'!B$3:B$200))+1), ROW(181:379))),"")</f>
        <v/>
      </c>
      <c r="C183" s="3" t="str">
        <f t="array" ref="C183">IFERROR(INDEX('Temp Hisfa'!C$3:C$200, SMALL(IF(ISERROR('Temp Hisfa'!C$3:C$200), "", ROW('Temp Hisfa'!C$3:C$200)-MIN(ROW('Temp Hisfa'!C$3:C$200))+1), ROW(181:379))),"")</f>
        <v/>
      </c>
      <c r="D183" s="3" t="str">
        <f t="array" ref="D183">IFERROR(INDEX('Temp Hisfa'!D$3:D$200, SMALL(IF(ISERROR('Temp Hisfa'!D$3:D$200), "", ROW('Temp Hisfa'!D$3:D$200)-MIN(ROW('Temp Hisfa'!D$3:D$200))+1), ROW(181:379))),"")</f>
        <v/>
      </c>
      <c r="E183" s="29" t="str">
        <f t="array" ref="E183">IFERROR(INDEX('Temp Hisfa'!E$3:E$200, SMALL(IF(ISERROR('Temp Hisfa'!E$3:E$200), "", ROW('Temp Hisfa'!E$3:E$200)-MIN(ROW('Temp Hisfa'!E$3:E$200))+1), ROW(181:380))),"")</f>
        <v/>
      </c>
      <c r="F183" s="22" t="str">
        <f t="array" ref="F183">IFERROR(INDEX('Temp Hisfa'!F$3:F$200, SMALL(IF(ISERROR('Temp Hisfa'!F$3:F$200), "", ROW('Temp Hisfa'!F$3:F$200)-MIN(ROW('Temp Hisfa'!F$3:F$200))+1), ROW(181:380))),"")</f>
        <v/>
      </c>
      <c r="G183" s="30" t="str">
        <f t="array" ref="G183">IFERROR(INDEX('Temp Hisfa'!G$3:G$200, SMALL(IF(ISERROR('Temp Hisfa'!G$3:G$200), "", ROW('Temp Hisfa'!G$3:G$200)-MIN(ROW('Temp Hisfa'!G$3:G$200))+1), ROW(181:380))),"")</f>
        <v/>
      </c>
      <c r="H183" s="22" t="str">
        <f t="array" ref="H183">IFERROR(INDEX('Temp Hisfa'!H$3:H$200, SMALL(IF(ISERROR('Temp Hisfa'!H$3:H$200), "", ROW('Temp Hisfa'!H$3:H$200)-MIN(ROW('Temp Hisfa'!H$3:H$200))+1), ROW(181:380))),"")</f>
        <v/>
      </c>
      <c r="I183" s="22" t="str">
        <f t="array" ref="I183">IFERROR(INDEX('Temp Hisfa'!I$3:I$200, SMALL(IF(ISERROR('Temp Hisfa'!I$3:I$200), "", ROW('Temp Hisfa'!I$3:I$200)-MIN(ROW('Temp Hisfa'!I$3:I$200))+1), ROW(181:380))),"")</f>
        <v/>
      </c>
      <c r="J183" s="22" t="str">
        <f t="array" ref="J183">IFERROR(INDEX('Temp Hisfa'!J$3:J$200, SMALL(IF(ISERROR('Temp Hisfa'!J$3:J$200), "", ROW('Temp Hisfa'!J$3:J$200)-MIN(ROW('Temp Hisfa'!J$3:J$200))+1), ROW(181:380))),"")</f>
        <v/>
      </c>
      <c r="K183" s="30" t="str">
        <f t="array" ref="K183">IFERROR(INDEX('Temp Hisfa'!K$3:K$200, SMALL(IF(ISERROR('Temp Hisfa'!K$3:K$200), "", ROW('Temp Hisfa'!K$3:K$200)-MIN(ROW('Temp Hisfa'!K$3:K$200))+1), ROW(181:380))),"")</f>
        <v/>
      </c>
      <c r="L183" s="22" t="str">
        <f t="array" ref="L183">IFERROR(INDEX('Temp Hisfa'!L$3:L$200, SMALL(IF(ISERROR('Temp Hisfa'!L$3:L$200), "", ROW('Temp Hisfa'!L$3:L$200)-MIN(ROW('Temp Hisfa'!L$3:L$200))+1), ROW(181:380))),"")</f>
        <v/>
      </c>
      <c r="M183" s="22" t="str">
        <f t="array" ref="M183">IFERROR(INDEX('Temp Hisfa'!M$3:M$200, SMALL(IF(ISERROR('Temp Hisfa'!M$3:M$200), "", ROW('Temp Hisfa'!M$3:M$200)-MIN(ROW('Temp Hisfa'!M$3:M$200))+1), ROW(181:380))),"")</f>
        <v/>
      </c>
      <c r="N183" s="22" t="str">
        <f t="array" ref="N183">IFERROR(INDEX('Temp Hisfa'!N$3:N$200, SMALL(IF(ISERROR('Temp Hisfa'!N$3:N$200), "", ROW('Temp Hisfa'!N$3:N$200)-MIN(ROW('Temp Hisfa'!N$3:N$200))+1), ROW(181:380))),"")</f>
        <v/>
      </c>
      <c r="O183" s="22" t="str">
        <f t="array" ref="O183">IFERROR(INDEX('Temp Hisfa'!O$3:O$200, SMALL(IF(ISERROR('Temp Hisfa'!O$3:O$200), "", ROW('Temp Hisfa'!O$3:O$200)-MIN(ROW('Temp Hisfa'!O$3:O$200))+1), ROW(181:380))),"")</f>
        <v/>
      </c>
      <c r="P183" s="22" t="str">
        <f t="array" ref="P183">IFERROR(INDEX('Temp Hisfa'!P$3:P$200, SMALL(IF(ISERROR('Temp Hisfa'!P$3:P$200), "", ROW('Temp Hisfa'!P$3:P$200)-MIN(ROW('Temp Hisfa'!P$3:P$200))+1), ROW(181:380))),"")</f>
        <v/>
      </c>
      <c r="Q183" s="22" t="str">
        <f t="array" ref="Q183">IFERROR(INDEX('Temp Hisfa'!Q$3:Q$200, SMALL(IF(ISERROR('Temp Hisfa'!Q$3:Q$200), "", ROW('Temp Hisfa'!Q$3:Q$200)-MIN(ROW('Temp Hisfa'!Q$3:Q$200))+1), ROW(181:380))),"")</f>
        <v/>
      </c>
      <c r="R183" s="22" t="str">
        <f t="array" ref="R183">IFERROR(INDEX('Temp Hisfa'!R$3:R$200, SMALL(IF(ISERROR('Temp Hisfa'!R$3:R$200), "", ROW('Temp Hisfa'!R$3:R$200)-MIN(ROW('Temp Hisfa'!R$3:R$200))+1), ROW(181:380))),"")</f>
        <v/>
      </c>
      <c r="S183" s="22" t="str">
        <f t="array" ref="S183">IFERROR(INDEX('Temp Hisfa'!S$3:S$200, SMALL(IF(ISERROR('Temp Hisfa'!S$3:S$200), "", ROW('Temp Hisfa'!S$3:S$200)-MIN(ROW('Temp Hisfa'!S$3:S$200))+1), ROW(181:380))),"")</f>
        <v/>
      </c>
      <c r="T183" s="22" t="str">
        <f t="array" ref="T183">IFERROR(INDEX('Temp Hisfa'!T$3:T$200, SMALL(IF(ISERROR('Temp Hisfa'!T$3:T$200), "", ROW('Temp Hisfa'!T$3:T$200)-MIN(ROW('Temp Hisfa'!T$3:T$200))+1), ROW(181:380))),"")</f>
        <v/>
      </c>
      <c r="U183" s="22" t="str">
        <f t="array" ref="U183">IFERROR(INDEX('Temp Hisfa'!U$3:U$200, SMALL(IF(ISERROR('Temp Hisfa'!U$3:U$200), "", ROW('Temp Hisfa'!U$3:U$200)-MIN(ROW('Temp Hisfa'!U$3:U$200))+1), ROW(181:380))),"")</f>
        <v/>
      </c>
      <c r="V183" s="22" t="str">
        <f t="array" ref="V183">IFERROR(INDEX('Temp Hisfa'!V$3:V$200, SMALL(IF(ISERROR('Temp Hisfa'!V$3:V$200), "", ROW('Temp Hisfa'!V$3:V$200)-MIN(ROW('Temp Hisfa'!V$3:V$200))+1), ROW(181:380))),"")</f>
        <v/>
      </c>
      <c r="W183" s="22" t="str">
        <f t="array" ref="W183">IFERROR(INDEX('Temp Hisfa'!W$3:W$200, SMALL(IF(ISERROR('Temp Hisfa'!W$3:W$200), "", ROW('Temp Hisfa'!W$3:W$200)-MIN(ROW('Temp Hisfa'!W$3:W$200))+1), ROW(181:380))),"")</f>
        <v/>
      </c>
      <c r="X183" s="22" t="str">
        <f t="array" ref="X183">IFERROR(INDEX('Temp Hisfa'!X$3:X$200, SMALL(IF(ISERROR('Temp Hisfa'!X$3:X$200), "", ROW('Temp Hisfa'!X$3:X$200)-MIN(ROW('Temp Hisfa'!X$3:X$200))+1), ROW(181:380))),"")</f>
        <v/>
      </c>
      <c r="Y183" s="22" t="str">
        <f t="array" ref="Y183">IFERROR(INDEX('Temp Hisfa'!Y$3:Y$200, SMALL(IF(ISERROR('Temp Hisfa'!Y$3:Y$200), "", ROW('Temp Hisfa'!Y$3:Y$200)-MIN(ROW('Temp Hisfa'!Y$3:Y$200))+1), ROW(181:380))),"")</f>
        <v/>
      </c>
      <c r="Z183" s="22" t="str">
        <f t="array" ref="Z183">IFERROR(INDEX('Temp Hisfa'!Z$3:Z$200, SMALL(IF(ISERROR('Temp Hisfa'!Z$3:Z$200), "", ROW('Temp Hisfa'!Z$3:Z$200)-MIN(ROW('Temp Hisfa'!Z$3:Z$200))+1), ROW(181:380))),"")</f>
        <v/>
      </c>
      <c r="AA183" s="22" t="str">
        <f t="array" ref="AA183">IFERROR(INDEX('Temp Hisfa'!AA$3:AA$200, SMALL(IF(ISERROR('Temp Hisfa'!AA$3:AA$200), "", ROW('Temp Hisfa'!AA$3:AA$200)-MIN(ROW('Temp Hisfa'!AA$3:AA$200))+1), ROW(181:380))),"")</f>
        <v/>
      </c>
      <c r="AB183" s="22" t="str">
        <f t="array" ref="AB183">IFERROR(INDEX('Temp Hisfa'!AB$3:AB$200, SMALL(IF(ISERROR('Temp Hisfa'!AB$3:AB$200), "", ROW('Temp Hisfa'!AB$3:AB$200)-MIN(ROW('Temp Hisfa'!AB$3:AB$200))+1), ROW(181:380))),"")</f>
        <v/>
      </c>
    </row>
    <row r="184" spans="1:28" x14ac:dyDescent="0.3">
      <c r="A184" s="4" t="str">
        <f t="array" ref="A184">IFERROR(INDEX('Temp Hisfa'!A$3:A$200, SMALL(IF(ISERROR('Temp Hisfa'!A$3:A$200), "", ROW('Temp Hisfa'!A$3:A$200)-MIN(ROW('Temp Hisfa'!A$3:A$200))+1), ROW(182:380))),"")</f>
        <v/>
      </c>
      <c r="B184" s="4" t="str">
        <f t="array" ref="B184">IFERROR(INDEX('Temp Hisfa'!B$3:B$200, SMALL(IF(ISERROR('Temp Hisfa'!B$3:B$200), "", ROW('Temp Hisfa'!B$3:B$200)-MIN(ROW('Temp Hisfa'!B$3:B$200))+1), ROW(182:380))),"")</f>
        <v/>
      </c>
      <c r="C184" s="3" t="str">
        <f t="array" ref="C184">IFERROR(INDEX('Temp Hisfa'!C$3:C$200, SMALL(IF(ISERROR('Temp Hisfa'!C$3:C$200), "", ROW('Temp Hisfa'!C$3:C$200)-MIN(ROW('Temp Hisfa'!C$3:C$200))+1), ROW(182:380))),"")</f>
        <v/>
      </c>
      <c r="D184" s="3" t="str">
        <f t="array" ref="D184">IFERROR(INDEX('Temp Hisfa'!D$3:D$200, SMALL(IF(ISERROR('Temp Hisfa'!D$3:D$200), "", ROW('Temp Hisfa'!D$3:D$200)-MIN(ROW('Temp Hisfa'!D$3:D$200))+1), ROW(182:380))),"")</f>
        <v/>
      </c>
      <c r="E184" s="29" t="str">
        <f t="array" ref="E184">IFERROR(INDEX('Temp Hisfa'!E$3:E$200, SMALL(IF(ISERROR('Temp Hisfa'!E$3:E$200), "", ROW('Temp Hisfa'!E$3:E$200)-MIN(ROW('Temp Hisfa'!E$3:E$200))+1), ROW(182:381))),"")</f>
        <v/>
      </c>
      <c r="F184" s="22" t="str">
        <f t="array" ref="F184">IFERROR(INDEX('Temp Hisfa'!F$3:F$200, SMALL(IF(ISERROR('Temp Hisfa'!F$3:F$200), "", ROW('Temp Hisfa'!F$3:F$200)-MIN(ROW('Temp Hisfa'!F$3:F$200))+1), ROW(182:381))),"")</f>
        <v/>
      </c>
      <c r="G184" s="30" t="str">
        <f t="array" ref="G184">IFERROR(INDEX('Temp Hisfa'!G$3:G$200, SMALL(IF(ISERROR('Temp Hisfa'!G$3:G$200), "", ROW('Temp Hisfa'!G$3:G$200)-MIN(ROW('Temp Hisfa'!G$3:G$200))+1), ROW(182:381))),"")</f>
        <v/>
      </c>
      <c r="H184" s="22" t="str">
        <f t="array" ref="H184">IFERROR(INDEX('Temp Hisfa'!H$3:H$200, SMALL(IF(ISERROR('Temp Hisfa'!H$3:H$200), "", ROW('Temp Hisfa'!H$3:H$200)-MIN(ROW('Temp Hisfa'!H$3:H$200))+1), ROW(182:381))),"")</f>
        <v/>
      </c>
      <c r="I184" s="22" t="str">
        <f t="array" ref="I184">IFERROR(INDEX('Temp Hisfa'!I$3:I$200, SMALL(IF(ISERROR('Temp Hisfa'!I$3:I$200), "", ROW('Temp Hisfa'!I$3:I$200)-MIN(ROW('Temp Hisfa'!I$3:I$200))+1), ROW(182:381))),"")</f>
        <v/>
      </c>
      <c r="J184" s="22" t="str">
        <f t="array" ref="J184">IFERROR(INDEX('Temp Hisfa'!J$3:J$200, SMALL(IF(ISERROR('Temp Hisfa'!J$3:J$200), "", ROW('Temp Hisfa'!J$3:J$200)-MIN(ROW('Temp Hisfa'!J$3:J$200))+1), ROW(182:381))),"")</f>
        <v/>
      </c>
      <c r="K184" s="30" t="str">
        <f t="array" ref="K184">IFERROR(INDEX('Temp Hisfa'!K$3:K$200, SMALL(IF(ISERROR('Temp Hisfa'!K$3:K$200), "", ROW('Temp Hisfa'!K$3:K$200)-MIN(ROW('Temp Hisfa'!K$3:K$200))+1), ROW(182:381))),"")</f>
        <v/>
      </c>
      <c r="L184" s="22" t="str">
        <f t="array" ref="L184">IFERROR(INDEX('Temp Hisfa'!L$3:L$200, SMALL(IF(ISERROR('Temp Hisfa'!L$3:L$200), "", ROW('Temp Hisfa'!L$3:L$200)-MIN(ROW('Temp Hisfa'!L$3:L$200))+1), ROW(182:381))),"")</f>
        <v/>
      </c>
      <c r="M184" s="22" t="str">
        <f t="array" ref="M184">IFERROR(INDEX('Temp Hisfa'!M$3:M$200, SMALL(IF(ISERROR('Temp Hisfa'!M$3:M$200), "", ROW('Temp Hisfa'!M$3:M$200)-MIN(ROW('Temp Hisfa'!M$3:M$200))+1), ROW(182:381))),"")</f>
        <v/>
      </c>
      <c r="N184" s="22" t="str">
        <f t="array" ref="N184">IFERROR(INDEX('Temp Hisfa'!N$3:N$200, SMALL(IF(ISERROR('Temp Hisfa'!N$3:N$200), "", ROW('Temp Hisfa'!N$3:N$200)-MIN(ROW('Temp Hisfa'!N$3:N$200))+1), ROW(182:381))),"")</f>
        <v/>
      </c>
      <c r="O184" s="22" t="str">
        <f t="array" ref="O184">IFERROR(INDEX('Temp Hisfa'!O$3:O$200, SMALL(IF(ISERROR('Temp Hisfa'!O$3:O$200), "", ROW('Temp Hisfa'!O$3:O$200)-MIN(ROW('Temp Hisfa'!O$3:O$200))+1), ROW(182:381))),"")</f>
        <v/>
      </c>
      <c r="P184" s="22" t="str">
        <f t="array" ref="P184">IFERROR(INDEX('Temp Hisfa'!P$3:P$200, SMALL(IF(ISERROR('Temp Hisfa'!P$3:P$200), "", ROW('Temp Hisfa'!P$3:P$200)-MIN(ROW('Temp Hisfa'!P$3:P$200))+1), ROW(182:381))),"")</f>
        <v/>
      </c>
      <c r="Q184" s="22" t="str">
        <f t="array" ref="Q184">IFERROR(INDEX('Temp Hisfa'!Q$3:Q$200, SMALL(IF(ISERROR('Temp Hisfa'!Q$3:Q$200), "", ROW('Temp Hisfa'!Q$3:Q$200)-MIN(ROW('Temp Hisfa'!Q$3:Q$200))+1), ROW(182:381))),"")</f>
        <v/>
      </c>
      <c r="R184" s="22" t="str">
        <f t="array" ref="R184">IFERROR(INDEX('Temp Hisfa'!R$3:R$200, SMALL(IF(ISERROR('Temp Hisfa'!R$3:R$200), "", ROW('Temp Hisfa'!R$3:R$200)-MIN(ROW('Temp Hisfa'!R$3:R$200))+1), ROW(182:381))),"")</f>
        <v/>
      </c>
      <c r="S184" s="22" t="str">
        <f t="array" ref="S184">IFERROR(INDEX('Temp Hisfa'!S$3:S$200, SMALL(IF(ISERROR('Temp Hisfa'!S$3:S$200), "", ROW('Temp Hisfa'!S$3:S$200)-MIN(ROW('Temp Hisfa'!S$3:S$200))+1), ROW(182:381))),"")</f>
        <v/>
      </c>
      <c r="T184" s="22" t="str">
        <f t="array" ref="T184">IFERROR(INDEX('Temp Hisfa'!T$3:T$200, SMALL(IF(ISERROR('Temp Hisfa'!T$3:T$200), "", ROW('Temp Hisfa'!T$3:T$200)-MIN(ROW('Temp Hisfa'!T$3:T$200))+1), ROW(182:381))),"")</f>
        <v/>
      </c>
      <c r="U184" s="22" t="str">
        <f t="array" ref="U184">IFERROR(INDEX('Temp Hisfa'!U$3:U$200, SMALL(IF(ISERROR('Temp Hisfa'!U$3:U$200), "", ROW('Temp Hisfa'!U$3:U$200)-MIN(ROW('Temp Hisfa'!U$3:U$200))+1), ROW(182:381))),"")</f>
        <v/>
      </c>
      <c r="V184" s="22" t="str">
        <f t="array" ref="V184">IFERROR(INDEX('Temp Hisfa'!V$3:V$200, SMALL(IF(ISERROR('Temp Hisfa'!V$3:V$200), "", ROW('Temp Hisfa'!V$3:V$200)-MIN(ROW('Temp Hisfa'!V$3:V$200))+1), ROW(182:381))),"")</f>
        <v/>
      </c>
      <c r="W184" s="22" t="str">
        <f t="array" ref="W184">IFERROR(INDEX('Temp Hisfa'!W$3:W$200, SMALL(IF(ISERROR('Temp Hisfa'!W$3:W$200), "", ROW('Temp Hisfa'!W$3:W$200)-MIN(ROW('Temp Hisfa'!W$3:W$200))+1), ROW(182:381))),"")</f>
        <v/>
      </c>
      <c r="X184" s="22" t="str">
        <f t="array" ref="X184">IFERROR(INDEX('Temp Hisfa'!X$3:X$200, SMALL(IF(ISERROR('Temp Hisfa'!X$3:X$200), "", ROW('Temp Hisfa'!X$3:X$200)-MIN(ROW('Temp Hisfa'!X$3:X$200))+1), ROW(182:381))),"")</f>
        <v/>
      </c>
      <c r="Y184" s="22" t="str">
        <f t="array" ref="Y184">IFERROR(INDEX('Temp Hisfa'!Y$3:Y$200, SMALL(IF(ISERROR('Temp Hisfa'!Y$3:Y$200), "", ROW('Temp Hisfa'!Y$3:Y$200)-MIN(ROW('Temp Hisfa'!Y$3:Y$200))+1), ROW(182:381))),"")</f>
        <v/>
      </c>
      <c r="Z184" s="22" t="str">
        <f t="array" ref="Z184">IFERROR(INDEX('Temp Hisfa'!Z$3:Z$200, SMALL(IF(ISERROR('Temp Hisfa'!Z$3:Z$200), "", ROW('Temp Hisfa'!Z$3:Z$200)-MIN(ROW('Temp Hisfa'!Z$3:Z$200))+1), ROW(182:381))),"")</f>
        <v/>
      </c>
      <c r="AA184" s="22" t="str">
        <f t="array" ref="AA184">IFERROR(INDEX('Temp Hisfa'!AA$3:AA$200, SMALL(IF(ISERROR('Temp Hisfa'!AA$3:AA$200), "", ROW('Temp Hisfa'!AA$3:AA$200)-MIN(ROW('Temp Hisfa'!AA$3:AA$200))+1), ROW(182:381))),"")</f>
        <v/>
      </c>
      <c r="AB184" s="22" t="str">
        <f t="array" ref="AB184">IFERROR(INDEX('Temp Hisfa'!AB$3:AB$200, SMALL(IF(ISERROR('Temp Hisfa'!AB$3:AB$200), "", ROW('Temp Hisfa'!AB$3:AB$200)-MIN(ROW('Temp Hisfa'!AB$3:AB$200))+1), ROW(182:381))),"")</f>
        <v/>
      </c>
    </row>
    <row r="185" spans="1:28" x14ac:dyDescent="0.3">
      <c r="A185" s="4" t="str">
        <f t="array" ref="A185">IFERROR(INDEX('Temp Hisfa'!A$3:A$200, SMALL(IF(ISERROR('Temp Hisfa'!A$3:A$200), "", ROW('Temp Hisfa'!A$3:A$200)-MIN(ROW('Temp Hisfa'!A$3:A$200))+1), ROW(183:381))),"")</f>
        <v/>
      </c>
      <c r="B185" s="4" t="str">
        <f t="array" ref="B185">IFERROR(INDEX('Temp Hisfa'!B$3:B$200, SMALL(IF(ISERROR('Temp Hisfa'!B$3:B$200), "", ROW('Temp Hisfa'!B$3:B$200)-MIN(ROW('Temp Hisfa'!B$3:B$200))+1), ROW(183:381))),"")</f>
        <v/>
      </c>
      <c r="C185" s="3" t="str">
        <f t="array" ref="C185">IFERROR(INDEX('Temp Hisfa'!C$3:C$200, SMALL(IF(ISERROR('Temp Hisfa'!C$3:C$200), "", ROW('Temp Hisfa'!C$3:C$200)-MIN(ROW('Temp Hisfa'!C$3:C$200))+1), ROW(183:381))),"")</f>
        <v/>
      </c>
      <c r="D185" s="3" t="str">
        <f t="array" ref="D185">IFERROR(INDEX('Temp Hisfa'!D$3:D$200, SMALL(IF(ISERROR('Temp Hisfa'!D$3:D$200), "", ROW('Temp Hisfa'!D$3:D$200)-MIN(ROW('Temp Hisfa'!D$3:D$200))+1), ROW(183:381))),"")</f>
        <v/>
      </c>
      <c r="E185" s="29" t="str">
        <f t="array" ref="E185">IFERROR(INDEX('Temp Hisfa'!E$3:E$200, SMALL(IF(ISERROR('Temp Hisfa'!E$3:E$200), "", ROW('Temp Hisfa'!E$3:E$200)-MIN(ROW('Temp Hisfa'!E$3:E$200))+1), ROW(183:382))),"")</f>
        <v/>
      </c>
      <c r="F185" s="22" t="str">
        <f t="array" ref="F185">IFERROR(INDEX('Temp Hisfa'!F$3:F$200, SMALL(IF(ISERROR('Temp Hisfa'!F$3:F$200), "", ROW('Temp Hisfa'!F$3:F$200)-MIN(ROW('Temp Hisfa'!F$3:F$200))+1), ROW(183:382))),"")</f>
        <v/>
      </c>
      <c r="G185" s="30" t="str">
        <f t="array" ref="G185">IFERROR(INDEX('Temp Hisfa'!G$3:G$200, SMALL(IF(ISERROR('Temp Hisfa'!G$3:G$200), "", ROW('Temp Hisfa'!G$3:G$200)-MIN(ROW('Temp Hisfa'!G$3:G$200))+1), ROW(183:382))),"")</f>
        <v/>
      </c>
      <c r="H185" s="22" t="str">
        <f t="array" ref="H185">IFERROR(INDEX('Temp Hisfa'!H$3:H$200, SMALL(IF(ISERROR('Temp Hisfa'!H$3:H$200), "", ROW('Temp Hisfa'!H$3:H$200)-MIN(ROW('Temp Hisfa'!H$3:H$200))+1), ROW(183:382))),"")</f>
        <v/>
      </c>
      <c r="I185" s="22" t="str">
        <f t="array" ref="I185">IFERROR(INDEX('Temp Hisfa'!I$3:I$200, SMALL(IF(ISERROR('Temp Hisfa'!I$3:I$200), "", ROW('Temp Hisfa'!I$3:I$200)-MIN(ROW('Temp Hisfa'!I$3:I$200))+1), ROW(183:382))),"")</f>
        <v/>
      </c>
      <c r="J185" s="22" t="str">
        <f t="array" ref="J185">IFERROR(INDEX('Temp Hisfa'!J$3:J$200, SMALL(IF(ISERROR('Temp Hisfa'!J$3:J$200), "", ROW('Temp Hisfa'!J$3:J$200)-MIN(ROW('Temp Hisfa'!J$3:J$200))+1), ROW(183:382))),"")</f>
        <v/>
      </c>
      <c r="K185" s="30" t="str">
        <f t="array" ref="K185">IFERROR(INDEX('Temp Hisfa'!K$3:K$200, SMALL(IF(ISERROR('Temp Hisfa'!K$3:K$200), "", ROW('Temp Hisfa'!K$3:K$200)-MIN(ROW('Temp Hisfa'!K$3:K$200))+1), ROW(183:382))),"")</f>
        <v/>
      </c>
      <c r="L185" s="22" t="str">
        <f t="array" ref="L185">IFERROR(INDEX('Temp Hisfa'!L$3:L$200, SMALL(IF(ISERROR('Temp Hisfa'!L$3:L$200), "", ROW('Temp Hisfa'!L$3:L$200)-MIN(ROW('Temp Hisfa'!L$3:L$200))+1), ROW(183:382))),"")</f>
        <v/>
      </c>
      <c r="M185" s="22" t="str">
        <f t="array" ref="M185">IFERROR(INDEX('Temp Hisfa'!M$3:M$200, SMALL(IF(ISERROR('Temp Hisfa'!M$3:M$200), "", ROW('Temp Hisfa'!M$3:M$200)-MIN(ROW('Temp Hisfa'!M$3:M$200))+1), ROW(183:382))),"")</f>
        <v/>
      </c>
      <c r="N185" s="22" t="str">
        <f t="array" ref="N185">IFERROR(INDEX('Temp Hisfa'!N$3:N$200, SMALL(IF(ISERROR('Temp Hisfa'!N$3:N$200), "", ROW('Temp Hisfa'!N$3:N$200)-MIN(ROW('Temp Hisfa'!N$3:N$200))+1), ROW(183:382))),"")</f>
        <v/>
      </c>
      <c r="O185" s="22" t="str">
        <f t="array" ref="O185">IFERROR(INDEX('Temp Hisfa'!O$3:O$200, SMALL(IF(ISERROR('Temp Hisfa'!O$3:O$200), "", ROW('Temp Hisfa'!O$3:O$200)-MIN(ROW('Temp Hisfa'!O$3:O$200))+1), ROW(183:382))),"")</f>
        <v/>
      </c>
      <c r="P185" s="22" t="str">
        <f t="array" ref="P185">IFERROR(INDEX('Temp Hisfa'!P$3:P$200, SMALL(IF(ISERROR('Temp Hisfa'!P$3:P$200), "", ROW('Temp Hisfa'!P$3:P$200)-MIN(ROW('Temp Hisfa'!P$3:P$200))+1), ROW(183:382))),"")</f>
        <v/>
      </c>
      <c r="Q185" s="22" t="str">
        <f t="array" ref="Q185">IFERROR(INDEX('Temp Hisfa'!Q$3:Q$200, SMALL(IF(ISERROR('Temp Hisfa'!Q$3:Q$200), "", ROW('Temp Hisfa'!Q$3:Q$200)-MIN(ROW('Temp Hisfa'!Q$3:Q$200))+1), ROW(183:382))),"")</f>
        <v/>
      </c>
      <c r="R185" s="22" t="str">
        <f t="array" ref="R185">IFERROR(INDEX('Temp Hisfa'!R$3:R$200, SMALL(IF(ISERROR('Temp Hisfa'!R$3:R$200), "", ROW('Temp Hisfa'!R$3:R$200)-MIN(ROW('Temp Hisfa'!R$3:R$200))+1), ROW(183:382))),"")</f>
        <v/>
      </c>
      <c r="S185" s="22" t="str">
        <f t="array" ref="S185">IFERROR(INDEX('Temp Hisfa'!S$3:S$200, SMALL(IF(ISERROR('Temp Hisfa'!S$3:S$200), "", ROW('Temp Hisfa'!S$3:S$200)-MIN(ROW('Temp Hisfa'!S$3:S$200))+1), ROW(183:382))),"")</f>
        <v/>
      </c>
      <c r="T185" s="22" t="str">
        <f t="array" ref="T185">IFERROR(INDEX('Temp Hisfa'!T$3:T$200, SMALL(IF(ISERROR('Temp Hisfa'!T$3:T$200), "", ROW('Temp Hisfa'!T$3:T$200)-MIN(ROW('Temp Hisfa'!T$3:T$200))+1), ROW(183:382))),"")</f>
        <v/>
      </c>
      <c r="U185" s="22" t="str">
        <f t="array" ref="U185">IFERROR(INDEX('Temp Hisfa'!U$3:U$200, SMALL(IF(ISERROR('Temp Hisfa'!U$3:U$200), "", ROW('Temp Hisfa'!U$3:U$200)-MIN(ROW('Temp Hisfa'!U$3:U$200))+1), ROW(183:382))),"")</f>
        <v/>
      </c>
      <c r="V185" s="22" t="str">
        <f t="array" ref="V185">IFERROR(INDEX('Temp Hisfa'!V$3:V$200, SMALL(IF(ISERROR('Temp Hisfa'!V$3:V$200), "", ROW('Temp Hisfa'!V$3:V$200)-MIN(ROW('Temp Hisfa'!V$3:V$200))+1), ROW(183:382))),"")</f>
        <v/>
      </c>
      <c r="W185" s="22" t="str">
        <f t="array" ref="W185">IFERROR(INDEX('Temp Hisfa'!W$3:W$200, SMALL(IF(ISERROR('Temp Hisfa'!W$3:W$200), "", ROW('Temp Hisfa'!W$3:W$200)-MIN(ROW('Temp Hisfa'!W$3:W$200))+1), ROW(183:382))),"")</f>
        <v/>
      </c>
      <c r="X185" s="22" t="str">
        <f t="array" ref="X185">IFERROR(INDEX('Temp Hisfa'!X$3:X$200, SMALL(IF(ISERROR('Temp Hisfa'!X$3:X$200), "", ROW('Temp Hisfa'!X$3:X$200)-MIN(ROW('Temp Hisfa'!X$3:X$200))+1), ROW(183:382))),"")</f>
        <v/>
      </c>
      <c r="Y185" s="22" t="str">
        <f t="array" ref="Y185">IFERROR(INDEX('Temp Hisfa'!Y$3:Y$200, SMALL(IF(ISERROR('Temp Hisfa'!Y$3:Y$200), "", ROW('Temp Hisfa'!Y$3:Y$200)-MIN(ROW('Temp Hisfa'!Y$3:Y$200))+1), ROW(183:382))),"")</f>
        <v/>
      </c>
      <c r="Z185" s="22" t="str">
        <f t="array" ref="Z185">IFERROR(INDEX('Temp Hisfa'!Z$3:Z$200, SMALL(IF(ISERROR('Temp Hisfa'!Z$3:Z$200), "", ROW('Temp Hisfa'!Z$3:Z$200)-MIN(ROW('Temp Hisfa'!Z$3:Z$200))+1), ROW(183:382))),"")</f>
        <v/>
      </c>
      <c r="AA185" s="22" t="str">
        <f t="array" ref="AA185">IFERROR(INDEX('Temp Hisfa'!AA$3:AA$200, SMALL(IF(ISERROR('Temp Hisfa'!AA$3:AA$200), "", ROW('Temp Hisfa'!AA$3:AA$200)-MIN(ROW('Temp Hisfa'!AA$3:AA$200))+1), ROW(183:382))),"")</f>
        <v/>
      </c>
      <c r="AB185" s="22" t="str">
        <f t="array" ref="AB185">IFERROR(INDEX('Temp Hisfa'!AB$3:AB$200, SMALL(IF(ISERROR('Temp Hisfa'!AB$3:AB$200), "", ROW('Temp Hisfa'!AB$3:AB$200)-MIN(ROW('Temp Hisfa'!AB$3:AB$200))+1), ROW(183:382))),"")</f>
        <v/>
      </c>
    </row>
    <row r="186" spans="1:28" x14ac:dyDescent="0.3">
      <c r="A186" s="4" t="str">
        <f t="array" ref="A186">IFERROR(INDEX('Temp Hisfa'!A$3:A$200, SMALL(IF(ISERROR('Temp Hisfa'!A$3:A$200), "", ROW('Temp Hisfa'!A$3:A$200)-MIN(ROW('Temp Hisfa'!A$3:A$200))+1), ROW(184:382))),"")</f>
        <v/>
      </c>
      <c r="B186" s="4" t="str">
        <f t="array" ref="B186">IFERROR(INDEX('Temp Hisfa'!B$3:B$200, SMALL(IF(ISERROR('Temp Hisfa'!B$3:B$200), "", ROW('Temp Hisfa'!B$3:B$200)-MIN(ROW('Temp Hisfa'!B$3:B$200))+1), ROW(184:382))),"")</f>
        <v/>
      </c>
      <c r="C186" s="3" t="str">
        <f t="array" ref="C186">IFERROR(INDEX('Temp Hisfa'!C$3:C$200, SMALL(IF(ISERROR('Temp Hisfa'!C$3:C$200), "", ROW('Temp Hisfa'!C$3:C$200)-MIN(ROW('Temp Hisfa'!C$3:C$200))+1), ROW(184:382))),"")</f>
        <v/>
      </c>
      <c r="D186" s="3" t="str">
        <f t="array" ref="D186">IFERROR(INDEX('Temp Hisfa'!D$3:D$200, SMALL(IF(ISERROR('Temp Hisfa'!D$3:D$200), "", ROW('Temp Hisfa'!D$3:D$200)-MIN(ROW('Temp Hisfa'!D$3:D$200))+1), ROW(184:382))),"")</f>
        <v/>
      </c>
      <c r="E186" s="29" t="str">
        <f t="array" ref="E186">IFERROR(INDEX('Temp Hisfa'!E$3:E$200, SMALL(IF(ISERROR('Temp Hisfa'!E$3:E$200), "", ROW('Temp Hisfa'!E$3:E$200)-MIN(ROW('Temp Hisfa'!E$3:E$200))+1), ROW(184:383))),"")</f>
        <v/>
      </c>
      <c r="F186" s="22" t="str">
        <f t="array" ref="F186">IFERROR(INDEX('Temp Hisfa'!F$3:F$200, SMALL(IF(ISERROR('Temp Hisfa'!F$3:F$200), "", ROW('Temp Hisfa'!F$3:F$200)-MIN(ROW('Temp Hisfa'!F$3:F$200))+1), ROW(184:383))),"")</f>
        <v/>
      </c>
      <c r="G186" s="30" t="str">
        <f t="array" ref="G186">IFERROR(INDEX('Temp Hisfa'!G$3:G$200, SMALL(IF(ISERROR('Temp Hisfa'!G$3:G$200), "", ROW('Temp Hisfa'!G$3:G$200)-MIN(ROW('Temp Hisfa'!G$3:G$200))+1), ROW(184:383))),"")</f>
        <v/>
      </c>
      <c r="H186" s="22" t="str">
        <f t="array" ref="H186">IFERROR(INDEX('Temp Hisfa'!H$3:H$200, SMALL(IF(ISERROR('Temp Hisfa'!H$3:H$200), "", ROW('Temp Hisfa'!H$3:H$200)-MIN(ROW('Temp Hisfa'!H$3:H$200))+1), ROW(184:383))),"")</f>
        <v/>
      </c>
      <c r="I186" s="22" t="str">
        <f t="array" ref="I186">IFERROR(INDEX('Temp Hisfa'!I$3:I$200, SMALL(IF(ISERROR('Temp Hisfa'!I$3:I$200), "", ROW('Temp Hisfa'!I$3:I$200)-MIN(ROW('Temp Hisfa'!I$3:I$200))+1), ROW(184:383))),"")</f>
        <v/>
      </c>
      <c r="J186" s="22" t="str">
        <f t="array" ref="J186">IFERROR(INDEX('Temp Hisfa'!J$3:J$200, SMALL(IF(ISERROR('Temp Hisfa'!J$3:J$200), "", ROW('Temp Hisfa'!J$3:J$200)-MIN(ROW('Temp Hisfa'!J$3:J$200))+1), ROW(184:383))),"")</f>
        <v/>
      </c>
      <c r="K186" s="30" t="str">
        <f t="array" ref="K186">IFERROR(INDEX('Temp Hisfa'!K$3:K$200, SMALL(IF(ISERROR('Temp Hisfa'!K$3:K$200), "", ROW('Temp Hisfa'!K$3:K$200)-MIN(ROW('Temp Hisfa'!K$3:K$200))+1), ROW(184:383))),"")</f>
        <v/>
      </c>
      <c r="L186" s="22" t="str">
        <f t="array" ref="L186">IFERROR(INDEX('Temp Hisfa'!L$3:L$200, SMALL(IF(ISERROR('Temp Hisfa'!L$3:L$200), "", ROW('Temp Hisfa'!L$3:L$200)-MIN(ROW('Temp Hisfa'!L$3:L$200))+1), ROW(184:383))),"")</f>
        <v/>
      </c>
      <c r="M186" s="22" t="str">
        <f t="array" ref="M186">IFERROR(INDEX('Temp Hisfa'!M$3:M$200, SMALL(IF(ISERROR('Temp Hisfa'!M$3:M$200), "", ROW('Temp Hisfa'!M$3:M$200)-MIN(ROW('Temp Hisfa'!M$3:M$200))+1), ROW(184:383))),"")</f>
        <v/>
      </c>
      <c r="N186" s="22" t="str">
        <f t="array" ref="N186">IFERROR(INDEX('Temp Hisfa'!N$3:N$200, SMALL(IF(ISERROR('Temp Hisfa'!N$3:N$200), "", ROW('Temp Hisfa'!N$3:N$200)-MIN(ROW('Temp Hisfa'!N$3:N$200))+1), ROW(184:383))),"")</f>
        <v/>
      </c>
      <c r="O186" s="22" t="str">
        <f t="array" ref="O186">IFERROR(INDEX('Temp Hisfa'!O$3:O$200, SMALL(IF(ISERROR('Temp Hisfa'!O$3:O$200), "", ROW('Temp Hisfa'!O$3:O$200)-MIN(ROW('Temp Hisfa'!O$3:O$200))+1), ROW(184:383))),"")</f>
        <v/>
      </c>
      <c r="P186" s="22" t="str">
        <f t="array" ref="P186">IFERROR(INDEX('Temp Hisfa'!P$3:P$200, SMALL(IF(ISERROR('Temp Hisfa'!P$3:P$200), "", ROW('Temp Hisfa'!P$3:P$200)-MIN(ROW('Temp Hisfa'!P$3:P$200))+1), ROW(184:383))),"")</f>
        <v/>
      </c>
      <c r="Q186" s="22" t="str">
        <f t="array" ref="Q186">IFERROR(INDEX('Temp Hisfa'!Q$3:Q$200, SMALL(IF(ISERROR('Temp Hisfa'!Q$3:Q$200), "", ROW('Temp Hisfa'!Q$3:Q$200)-MIN(ROW('Temp Hisfa'!Q$3:Q$200))+1), ROW(184:383))),"")</f>
        <v/>
      </c>
      <c r="R186" s="22" t="str">
        <f t="array" ref="R186">IFERROR(INDEX('Temp Hisfa'!R$3:R$200, SMALL(IF(ISERROR('Temp Hisfa'!R$3:R$200), "", ROW('Temp Hisfa'!R$3:R$200)-MIN(ROW('Temp Hisfa'!R$3:R$200))+1), ROW(184:383))),"")</f>
        <v/>
      </c>
      <c r="S186" s="22" t="str">
        <f t="array" ref="S186">IFERROR(INDEX('Temp Hisfa'!S$3:S$200, SMALL(IF(ISERROR('Temp Hisfa'!S$3:S$200), "", ROW('Temp Hisfa'!S$3:S$200)-MIN(ROW('Temp Hisfa'!S$3:S$200))+1), ROW(184:383))),"")</f>
        <v/>
      </c>
      <c r="T186" s="22" t="str">
        <f t="array" ref="T186">IFERROR(INDEX('Temp Hisfa'!T$3:T$200, SMALL(IF(ISERROR('Temp Hisfa'!T$3:T$200), "", ROW('Temp Hisfa'!T$3:T$200)-MIN(ROW('Temp Hisfa'!T$3:T$200))+1), ROW(184:383))),"")</f>
        <v/>
      </c>
      <c r="U186" s="22" t="str">
        <f t="array" ref="U186">IFERROR(INDEX('Temp Hisfa'!U$3:U$200, SMALL(IF(ISERROR('Temp Hisfa'!U$3:U$200), "", ROW('Temp Hisfa'!U$3:U$200)-MIN(ROW('Temp Hisfa'!U$3:U$200))+1), ROW(184:383))),"")</f>
        <v/>
      </c>
      <c r="V186" s="22" t="str">
        <f t="array" ref="V186">IFERROR(INDEX('Temp Hisfa'!V$3:V$200, SMALL(IF(ISERROR('Temp Hisfa'!V$3:V$200), "", ROW('Temp Hisfa'!V$3:V$200)-MIN(ROW('Temp Hisfa'!V$3:V$200))+1), ROW(184:383))),"")</f>
        <v/>
      </c>
      <c r="W186" s="22" t="str">
        <f t="array" ref="W186">IFERROR(INDEX('Temp Hisfa'!W$3:W$200, SMALL(IF(ISERROR('Temp Hisfa'!W$3:W$200), "", ROW('Temp Hisfa'!W$3:W$200)-MIN(ROW('Temp Hisfa'!W$3:W$200))+1), ROW(184:383))),"")</f>
        <v/>
      </c>
      <c r="X186" s="22" t="str">
        <f t="array" ref="X186">IFERROR(INDEX('Temp Hisfa'!X$3:X$200, SMALL(IF(ISERROR('Temp Hisfa'!X$3:X$200), "", ROW('Temp Hisfa'!X$3:X$200)-MIN(ROW('Temp Hisfa'!X$3:X$200))+1), ROW(184:383))),"")</f>
        <v/>
      </c>
      <c r="Y186" s="22" t="str">
        <f t="array" ref="Y186">IFERROR(INDEX('Temp Hisfa'!Y$3:Y$200, SMALL(IF(ISERROR('Temp Hisfa'!Y$3:Y$200), "", ROW('Temp Hisfa'!Y$3:Y$200)-MIN(ROW('Temp Hisfa'!Y$3:Y$200))+1), ROW(184:383))),"")</f>
        <v/>
      </c>
      <c r="Z186" s="22" t="str">
        <f t="array" ref="Z186">IFERROR(INDEX('Temp Hisfa'!Z$3:Z$200, SMALL(IF(ISERROR('Temp Hisfa'!Z$3:Z$200), "", ROW('Temp Hisfa'!Z$3:Z$200)-MIN(ROW('Temp Hisfa'!Z$3:Z$200))+1), ROW(184:383))),"")</f>
        <v/>
      </c>
      <c r="AA186" s="22" t="str">
        <f t="array" ref="AA186">IFERROR(INDEX('Temp Hisfa'!AA$3:AA$200, SMALL(IF(ISERROR('Temp Hisfa'!AA$3:AA$200), "", ROW('Temp Hisfa'!AA$3:AA$200)-MIN(ROW('Temp Hisfa'!AA$3:AA$200))+1), ROW(184:383))),"")</f>
        <v/>
      </c>
      <c r="AB186" s="22" t="str">
        <f t="array" ref="AB186">IFERROR(INDEX('Temp Hisfa'!AB$3:AB$200, SMALL(IF(ISERROR('Temp Hisfa'!AB$3:AB$200), "", ROW('Temp Hisfa'!AB$3:AB$200)-MIN(ROW('Temp Hisfa'!AB$3:AB$200))+1), ROW(184:383))),"")</f>
        <v/>
      </c>
    </row>
    <row r="187" spans="1:28" x14ac:dyDescent="0.3">
      <c r="A187" s="4" t="str">
        <f t="array" ref="A187">IFERROR(INDEX('Temp Hisfa'!A$3:A$200, SMALL(IF(ISERROR('Temp Hisfa'!A$3:A$200), "", ROW('Temp Hisfa'!A$3:A$200)-MIN(ROW('Temp Hisfa'!A$3:A$200))+1), ROW(185:383))),"")</f>
        <v/>
      </c>
      <c r="B187" s="4" t="str">
        <f t="array" ref="B187">IFERROR(INDEX('Temp Hisfa'!B$3:B$200, SMALL(IF(ISERROR('Temp Hisfa'!B$3:B$200), "", ROW('Temp Hisfa'!B$3:B$200)-MIN(ROW('Temp Hisfa'!B$3:B$200))+1), ROW(185:383))),"")</f>
        <v/>
      </c>
      <c r="C187" s="3" t="str">
        <f t="array" ref="C187">IFERROR(INDEX('Temp Hisfa'!C$3:C$200, SMALL(IF(ISERROR('Temp Hisfa'!C$3:C$200), "", ROW('Temp Hisfa'!C$3:C$200)-MIN(ROW('Temp Hisfa'!C$3:C$200))+1), ROW(185:383))),"")</f>
        <v/>
      </c>
      <c r="D187" s="3" t="str">
        <f t="array" ref="D187">IFERROR(INDEX('Temp Hisfa'!D$3:D$200, SMALL(IF(ISERROR('Temp Hisfa'!D$3:D$200), "", ROW('Temp Hisfa'!D$3:D$200)-MIN(ROW('Temp Hisfa'!D$3:D$200))+1), ROW(185:383))),"")</f>
        <v/>
      </c>
      <c r="E187" s="29" t="str">
        <f t="array" ref="E187">IFERROR(INDEX('Temp Hisfa'!E$3:E$200, SMALL(IF(ISERROR('Temp Hisfa'!E$3:E$200), "", ROW('Temp Hisfa'!E$3:E$200)-MIN(ROW('Temp Hisfa'!E$3:E$200))+1), ROW(185:384))),"")</f>
        <v/>
      </c>
      <c r="F187" s="22" t="str">
        <f t="array" ref="F187">IFERROR(INDEX('Temp Hisfa'!F$3:F$200, SMALL(IF(ISERROR('Temp Hisfa'!F$3:F$200), "", ROW('Temp Hisfa'!F$3:F$200)-MIN(ROW('Temp Hisfa'!F$3:F$200))+1), ROW(185:384))),"")</f>
        <v/>
      </c>
      <c r="G187" s="30" t="str">
        <f t="array" ref="G187">IFERROR(INDEX('Temp Hisfa'!G$3:G$200, SMALL(IF(ISERROR('Temp Hisfa'!G$3:G$200), "", ROW('Temp Hisfa'!G$3:G$200)-MIN(ROW('Temp Hisfa'!G$3:G$200))+1), ROW(185:384))),"")</f>
        <v/>
      </c>
      <c r="H187" s="22" t="str">
        <f t="array" ref="H187">IFERROR(INDEX('Temp Hisfa'!H$3:H$200, SMALL(IF(ISERROR('Temp Hisfa'!H$3:H$200), "", ROW('Temp Hisfa'!H$3:H$200)-MIN(ROW('Temp Hisfa'!H$3:H$200))+1), ROW(185:384))),"")</f>
        <v/>
      </c>
      <c r="I187" s="22" t="str">
        <f t="array" ref="I187">IFERROR(INDEX('Temp Hisfa'!I$3:I$200, SMALL(IF(ISERROR('Temp Hisfa'!I$3:I$200), "", ROW('Temp Hisfa'!I$3:I$200)-MIN(ROW('Temp Hisfa'!I$3:I$200))+1), ROW(185:384))),"")</f>
        <v/>
      </c>
      <c r="J187" s="22" t="str">
        <f t="array" ref="J187">IFERROR(INDEX('Temp Hisfa'!J$3:J$200, SMALL(IF(ISERROR('Temp Hisfa'!J$3:J$200), "", ROW('Temp Hisfa'!J$3:J$200)-MIN(ROW('Temp Hisfa'!J$3:J$200))+1), ROW(185:384))),"")</f>
        <v/>
      </c>
      <c r="K187" s="30" t="str">
        <f t="array" ref="K187">IFERROR(INDEX('Temp Hisfa'!K$3:K$200, SMALL(IF(ISERROR('Temp Hisfa'!K$3:K$200), "", ROW('Temp Hisfa'!K$3:K$200)-MIN(ROW('Temp Hisfa'!K$3:K$200))+1), ROW(185:384))),"")</f>
        <v/>
      </c>
      <c r="L187" s="22" t="str">
        <f t="array" ref="L187">IFERROR(INDEX('Temp Hisfa'!L$3:L$200, SMALL(IF(ISERROR('Temp Hisfa'!L$3:L$200), "", ROW('Temp Hisfa'!L$3:L$200)-MIN(ROW('Temp Hisfa'!L$3:L$200))+1), ROW(185:384))),"")</f>
        <v/>
      </c>
      <c r="M187" s="22" t="str">
        <f t="array" ref="M187">IFERROR(INDEX('Temp Hisfa'!M$3:M$200, SMALL(IF(ISERROR('Temp Hisfa'!M$3:M$200), "", ROW('Temp Hisfa'!M$3:M$200)-MIN(ROW('Temp Hisfa'!M$3:M$200))+1), ROW(185:384))),"")</f>
        <v/>
      </c>
      <c r="N187" s="22" t="str">
        <f t="array" ref="N187">IFERROR(INDEX('Temp Hisfa'!N$3:N$200, SMALL(IF(ISERROR('Temp Hisfa'!N$3:N$200), "", ROW('Temp Hisfa'!N$3:N$200)-MIN(ROW('Temp Hisfa'!N$3:N$200))+1), ROW(185:384))),"")</f>
        <v/>
      </c>
      <c r="O187" s="22" t="str">
        <f t="array" ref="O187">IFERROR(INDEX('Temp Hisfa'!O$3:O$200, SMALL(IF(ISERROR('Temp Hisfa'!O$3:O$200), "", ROW('Temp Hisfa'!O$3:O$200)-MIN(ROW('Temp Hisfa'!O$3:O$200))+1), ROW(185:384))),"")</f>
        <v/>
      </c>
      <c r="P187" s="22" t="str">
        <f t="array" ref="P187">IFERROR(INDEX('Temp Hisfa'!P$3:P$200, SMALL(IF(ISERROR('Temp Hisfa'!P$3:P$200), "", ROW('Temp Hisfa'!P$3:P$200)-MIN(ROW('Temp Hisfa'!P$3:P$200))+1), ROW(185:384))),"")</f>
        <v/>
      </c>
      <c r="Q187" s="22" t="str">
        <f t="array" ref="Q187">IFERROR(INDEX('Temp Hisfa'!Q$3:Q$200, SMALL(IF(ISERROR('Temp Hisfa'!Q$3:Q$200), "", ROW('Temp Hisfa'!Q$3:Q$200)-MIN(ROW('Temp Hisfa'!Q$3:Q$200))+1), ROW(185:384))),"")</f>
        <v/>
      </c>
      <c r="R187" s="22" t="str">
        <f t="array" ref="R187">IFERROR(INDEX('Temp Hisfa'!R$3:R$200, SMALL(IF(ISERROR('Temp Hisfa'!R$3:R$200), "", ROW('Temp Hisfa'!R$3:R$200)-MIN(ROW('Temp Hisfa'!R$3:R$200))+1), ROW(185:384))),"")</f>
        <v/>
      </c>
      <c r="S187" s="22" t="str">
        <f t="array" ref="S187">IFERROR(INDEX('Temp Hisfa'!S$3:S$200, SMALL(IF(ISERROR('Temp Hisfa'!S$3:S$200), "", ROW('Temp Hisfa'!S$3:S$200)-MIN(ROW('Temp Hisfa'!S$3:S$200))+1), ROW(185:384))),"")</f>
        <v/>
      </c>
      <c r="T187" s="22" t="str">
        <f t="array" ref="T187">IFERROR(INDEX('Temp Hisfa'!T$3:T$200, SMALL(IF(ISERROR('Temp Hisfa'!T$3:T$200), "", ROW('Temp Hisfa'!T$3:T$200)-MIN(ROW('Temp Hisfa'!T$3:T$200))+1), ROW(185:384))),"")</f>
        <v/>
      </c>
      <c r="U187" s="22" t="str">
        <f t="array" ref="U187">IFERROR(INDEX('Temp Hisfa'!U$3:U$200, SMALL(IF(ISERROR('Temp Hisfa'!U$3:U$200), "", ROW('Temp Hisfa'!U$3:U$200)-MIN(ROW('Temp Hisfa'!U$3:U$200))+1), ROW(185:384))),"")</f>
        <v/>
      </c>
      <c r="V187" s="22" t="str">
        <f t="array" ref="V187">IFERROR(INDEX('Temp Hisfa'!V$3:V$200, SMALL(IF(ISERROR('Temp Hisfa'!V$3:V$200), "", ROW('Temp Hisfa'!V$3:V$200)-MIN(ROW('Temp Hisfa'!V$3:V$200))+1), ROW(185:384))),"")</f>
        <v/>
      </c>
      <c r="W187" s="22" t="str">
        <f t="array" ref="W187">IFERROR(INDEX('Temp Hisfa'!W$3:W$200, SMALL(IF(ISERROR('Temp Hisfa'!W$3:W$200), "", ROW('Temp Hisfa'!W$3:W$200)-MIN(ROW('Temp Hisfa'!W$3:W$200))+1), ROW(185:384))),"")</f>
        <v/>
      </c>
      <c r="X187" s="22" t="str">
        <f t="array" ref="X187">IFERROR(INDEX('Temp Hisfa'!X$3:X$200, SMALL(IF(ISERROR('Temp Hisfa'!X$3:X$200), "", ROW('Temp Hisfa'!X$3:X$200)-MIN(ROW('Temp Hisfa'!X$3:X$200))+1), ROW(185:384))),"")</f>
        <v/>
      </c>
      <c r="Y187" s="22" t="str">
        <f t="array" ref="Y187">IFERROR(INDEX('Temp Hisfa'!Y$3:Y$200, SMALL(IF(ISERROR('Temp Hisfa'!Y$3:Y$200), "", ROW('Temp Hisfa'!Y$3:Y$200)-MIN(ROW('Temp Hisfa'!Y$3:Y$200))+1), ROW(185:384))),"")</f>
        <v/>
      </c>
      <c r="Z187" s="22" t="str">
        <f t="array" ref="Z187">IFERROR(INDEX('Temp Hisfa'!Z$3:Z$200, SMALL(IF(ISERROR('Temp Hisfa'!Z$3:Z$200), "", ROW('Temp Hisfa'!Z$3:Z$200)-MIN(ROW('Temp Hisfa'!Z$3:Z$200))+1), ROW(185:384))),"")</f>
        <v/>
      </c>
      <c r="AA187" s="22" t="str">
        <f t="array" ref="AA187">IFERROR(INDEX('Temp Hisfa'!AA$3:AA$200, SMALL(IF(ISERROR('Temp Hisfa'!AA$3:AA$200), "", ROW('Temp Hisfa'!AA$3:AA$200)-MIN(ROW('Temp Hisfa'!AA$3:AA$200))+1), ROW(185:384))),"")</f>
        <v/>
      </c>
      <c r="AB187" s="22" t="str">
        <f t="array" ref="AB187">IFERROR(INDEX('Temp Hisfa'!AB$3:AB$200, SMALL(IF(ISERROR('Temp Hisfa'!AB$3:AB$200), "", ROW('Temp Hisfa'!AB$3:AB$200)-MIN(ROW('Temp Hisfa'!AB$3:AB$200))+1), ROW(185:384))),"")</f>
        <v/>
      </c>
    </row>
    <row r="188" spans="1:28" x14ac:dyDescent="0.3">
      <c r="A188" s="4" t="str">
        <f t="array" ref="A188">IFERROR(INDEX('Temp Hisfa'!A$3:A$200, SMALL(IF(ISERROR('Temp Hisfa'!A$3:A$200), "", ROW('Temp Hisfa'!A$3:A$200)-MIN(ROW('Temp Hisfa'!A$3:A$200))+1), ROW(186:384))),"")</f>
        <v/>
      </c>
      <c r="B188" s="4" t="str">
        <f t="array" ref="B188">IFERROR(INDEX('Temp Hisfa'!B$3:B$200, SMALL(IF(ISERROR('Temp Hisfa'!B$3:B$200), "", ROW('Temp Hisfa'!B$3:B$200)-MIN(ROW('Temp Hisfa'!B$3:B$200))+1), ROW(186:384))),"")</f>
        <v/>
      </c>
      <c r="C188" s="3" t="str">
        <f t="array" ref="C188">IFERROR(INDEX('Temp Hisfa'!C$3:C$200, SMALL(IF(ISERROR('Temp Hisfa'!C$3:C$200), "", ROW('Temp Hisfa'!C$3:C$200)-MIN(ROW('Temp Hisfa'!C$3:C$200))+1), ROW(186:384))),"")</f>
        <v/>
      </c>
      <c r="D188" s="3" t="str">
        <f t="array" ref="D188">IFERROR(INDEX('Temp Hisfa'!D$3:D$200, SMALL(IF(ISERROR('Temp Hisfa'!D$3:D$200), "", ROW('Temp Hisfa'!D$3:D$200)-MIN(ROW('Temp Hisfa'!D$3:D$200))+1), ROW(186:384))),"")</f>
        <v/>
      </c>
      <c r="E188" s="29" t="str">
        <f t="array" ref="E188">IFERROR(INDEX('Temp Hisfa'!E$3:E$200, SMALL(IF(ISERROR('Temp Hisfa'!E$3:E$200), "", ROW('Temp Hisfa'!E$3:E$200)-MIN(ROW('Temp Hisfa'!E$3:E$200))+1), ROW(186:385))),"")</f>
        <v/>
      </c>
      <c r="F188" s="22" t="str">
        <f t="array" ref="F188">IFERROR(INDEX('Temp Hisfa'!F$3:F$200, SMALL(IF(ISERROR('Temp Hisfa'!F$3:F$200), "", ROW('Temp Hisfa'!F$3:F$200)-MIN(ROW('Temp Hisfa'!F$3:F$200))+1), ROW(186:385))),"")</f>
        <v/>
      </c>
      <c r="G188" s="30" t="str">
        <f t="array" ref="G188">IFERROR(INDEX('Temp Hisfa'!G$3:G$200, SMALL(IF(ISERROR('Temp Hisfa'!G$3:G$200), "", ROW('Temp Hisfa'!G$3:G$200)-MIN(ROW('Temp Hisfa'!G$3:G$200))+1), ROW(186:385))),"")</f>
        <v/>
      </c>
      <c r="H188" s="22" t="str">
        <f t="array" ref="H188">IFERROR(INDEX('Temp Hisfa'!H$3:H$200, SMALL(IF(ISERROR('Temp Hisfa'!H$3:H$200), "", ROW('Temp Hisfa'!H$3:H$200)-MIN(ROW('Temp Hisfa'!H$3:H$200))+1), ROW(186:385))),"")</f>
        <v/>
      </c>
      <c r="I188" s="22" t="str">
        <f t="array" ref="I188">IFERROR(INDEX('Temp Hisfa'!I$3:I$200, SMALL(IF(ISERROR('Temp Hisfa'!I$3:I$200), "", ROW('Temp Hisfa'!I$3:I$200)-MIN(ROW('Temp Hisfa'!I$3:I$200))+1), ROW(186:385))),"")</f>
        <v/>
      </c>
      <c r="J188" s="22" t="str">
        <f t="array" ref="J188">IFERROR(INDEX('Temp Hisfa'!J$3:J$200, SMALL(IF(ISERROR('Temp Hisfa'!J$3:J$200), "", ROW('Temp Hisfa'!J$3:J$200)-MIN(ROW('Temp Hisfa'!J$3:J$200))+1), ROW(186:385))),"")</f>
        <v/>
      </c>
      <c r="K188" s="30" t="str">
        <f t="array" ref="K188">IFERROR(INDEX('Temp Hisfa'!K$3:K$200, SMALL(IF(ISERROR('Temp Hisfa'!K$3:K$200), "", ROW('Temp Hisfa'!K$3:K$200)-MIN(ROW('Temp Hisfa'!K$3:K$200))+1), ROW(186:385))),"")</f>
        <v/>
      </c>
      <c r="L188" s="22" t="str">
        <f t="array" ref="L188">IFERROR(INDEX('Temp Hisfa'!L$3:L$200, SMALL(IF(ISERROR('Temp Hisfa'!L$3:L$200), "", ROW('Temp Hisfa'!L$3:L$200)-MIN(ROW('Temp Hisfa'!L$3:L$200))+1), ROW(186:385))),"")</f>
        <v/>
      </c>
      <c r="M188" s="22" t="str">
        <f t="array" ref="M188">IFERROR(INDEX('Temp Hisfa'!M$3:M$200, SMALL(IF(ISERROR('Temp Hisfa'!M$3:M$200), "", ROW('Temp Hisfa'!M$3:M$200)-MIN(ROW('Temp Hisfa'!M$3:M$200))+1), ROW(186:385))),"")</f>
        <v/>
      </c>
      <c r="N188" s="22" t="str">
        <f t="array" ref="N188">IFERROR(INDEX('Temp Hisfa'!N$3:N$200, SMALL(IF(ISERROR('Temp Hisfa'!N$3:N$200), "", ROW('Temp Hisfa'!N$3:N$200)-MIN(ROW('Temp Hisfa'!N$3:N$200))+1), ROW(186:385))),"")</f>
        <v/>
      </c>
      <c r="O188" s="22" t="str">
        <f t="array" ref="O188">IFERROR(INDEX('Temp Hisfa'!O$3:O$200, SMALL(IF(ISERROR('Temp Hisfa'!O$3:O$200), "", ROW('Temp Hisfa'!O$3:O$200)-MIN(ROW('Temp Hisfa'!O$3:O$200))+1), ROW(186:385))),"")</f>
        <v/>
      </c>
      <c r="P188" s="22" t="str">
        <f t="array" ref="P188">IFERROR(INDEX('Temp Hisfa'!P$3:P$200, SMALL(IF(ISERROR('Temp Hisfa'!P$3:P$200), "", ROW('Temp Hisfa'!P$3:P$200)-MIN(ROW('Temp Hisfa'!P$3:P$200))+1), ROW(186:385))),"")</f>
        <v/>
      </c>
      <c r="Q188" s="22" t="str">
        <f t="array" ref="Q188">IFERROR(INDEX('Temp Hisfa'!Q$3:Q$200, SMALL(IF(ISERROR('Temp Hisfa'!Q$3:Q$200), "", ROW('Temp Hisfa'!Q$3:Q$200)-MIN(ROW('Temp Hisfa'!Q$3:Q$200))+1), ROW(186:385))),"")</f>
        <v/>
      </c>
      <c r="R188" s="22" t="str">
        <f t="array" ref="R188">IFERROR(INDEX('Temp Hisfa'!R$3:R$200, SMALL(IF(ISERROR('Temp Hisfa'!R$3:R$200), "", ROW('Temp Hisfa'!R$3:R$200)-MIN(ROW('Temp Hisfa'!R$3:R$200))+1), ROW(186:385))),"")</f>
        <v/>
      </c>
      <c r="S188" s="22" t="str">
        <f t="array" ref="S188">IFERROR(INDEX('Temp Hisfa'!S$3:S$200, SMALL(IF(ISERROR('Temp Hisfa'!S$3:S$200), "", ROW('Temp Hisfa'!S$3:S$200)-MIN(ROW('Temp Hisfa'!S$3:S$200))+1), ROW(186:385))),"")</f>
        <v/>
      </c>
      <c r="T188" s="22" t="str">
        <f t="array" ref="T188">IFERROR(INDEX('Temp Hisfa'!T$3:T$200, SMALL(IF(ISERROR('Temp Hisfa'!T$3:T$200), "", ROW('Temp Hisfa'!T$3:T$200)-MIN(ROW('Temp Hisfa'!T$3:T$200))+1), ROW(186:385))),"")</f>
        <v/>
      </c>
      <c r="U188" s="22" t="str">
        <f t="array" ref="U188">IFERROR(INDEX('Temp Hisfa'!U$3:U$200, SMALL(IF(ISERROR('Temp Hisfa'!U$3:U$200), "", ROW('Temp Hisfa'!U$3:U$200)-MIN(ROW('Temp Hisfa'!U$3:U$200))+1), ROW(186:385))),"")</f>
        <v/>
      </c>
      <c r="V188" s="22" t="str">
        <f t="array" ref="V188">IFERROR(INDEX('Temp Hisfa'!V$3:V$200, SMALL(IF(ISERROR('Temp Hisfa'!V$3:V$200), "", ROW('Temp Hisfa'!V$3:V$200)-MIN(ROW('Temp Hisfa'!V$3:V$200))+1), ROW(186:385))),"")</f>
        <v/>
      </c>
      <c r="W188" s="22" t="str">
        <f t="array" ref="W188">IFERROR(INDEX('Temp Hisfa'!W$3:W$200, SMALL(IF(ISERROR('Temp Hisfa'!W$3:W$200), "", ROW('Temp Hisfa'!W$3:W$200)-MIN(ROW('Temp Hisfa'!W$3:W$200))+1), ROW(186:385))),"")</f>
        <v/>
      </c>
      <c r="X188" s="22" t="str">
        <f t="array" ref="X188">IFERROR(INDEX('Temp Hisfa'!X$3:X$200, SMALL(IF(ISERROR('Temp Hisfa'!X$3:X$200), "", ROW('Temp Hisfa'!X$3:X$200)-MIN(ROW('Temp Hisfa'!X$3:X$200))+1), ROW(186:385))),"")</f>
        <v/>
      </c>
      <c r="Y188" s="22" t="str">
        <f t="array" ref="Y188">IFERROR(INDEX('Temp Hisfa'!Y$3:Y$200, SMALL(IF(ISERROR('Temp Hisfa'!Y$3:Y$200), "", ROW('Temp Hisfa'!Y$3:Y$200)-MIN(ROW('Temp Hisfa'!Y$3:Y$200))+1), ROW(186:385))),"")</f>
        <v/>
      </c>
      <c r="Z188" s="22" t="str">
        <f t="array" ref="Z188">IFERROR(INDEX('Temp Hisfa'!Z$3:Z$200, SMALL(IF(ISERROR('Temp Hisfa'!Z$3:Z$200), "", ROW('Temp Hisfa'!Z$3:Z$200)-MIN(ROW('Temp Hisfa'!Z$3:Z$200))+1), ROW(186:385))),"")</f>
        <v/>
      </c>
      <c r="AA188" s="22" t="str">
        <f t="array" ref="AA188">IFERROR(INDEX('Temp Hisfa'!AA$3:AA$200, SMALL(IF(ISERROR('Temp Hisfa'!AA$3:AA$200), "", ROW('Temp Hisfa'!AA$3:AA$200)-MIN(ROW('Temp Hisfa'!AA$3:AA$200))+1), ROW(186:385))),"")</f>
        <v/>
      </c>
      <c r="AB188" s="22" t="str">
        <f t="array" ref="AB188">IFERROR(INDEX('Temp Hisfa'!AB$3:AB$200, SMALL(IF(ISERROR('Temp Hisfa'!AB$3:AB$200), "", ROW('Temp Hisfa'!AB$3:AB$200)-MIN(ROW('Temp Hisfa'!AB$3:AB$200))+1), ROW(186:385))),"")</f>
        <v/>
      </c>
    </row>
    <row r="189" spans="1:28" x14ac:dyDescent="0.3">
      <c r="A189" s="4" t="str">
        <f t="array" ref="A189">IFERROR(INDEX('Temp Hisfa'!A$3:A$200, SMALL(IF(ISERROR('Temp Hisfa'!A$3:A$200), "", ROW('Temp Hisfa'!A$3:A$200)-MIN(ROW('Temp Hisfa'!A$3:A$200))+1), ROW(187:385))),"")</f>
        <v/>
      </c>
      <c r="B189" s="4" t="str">
        <f t="array" ref="B189">IFERROR(INDEX('Temp Hisfa'!B$3:B$200, SMALL(IF(ISERROR('Temp Hisfa'!B$3:B$200), "", ROW('Temp Hisfa'!B$3:B$200)-MIN(ROW('Temp Hisfa'!B$3:B$200))+1), ROW(187:385))),"")</f>
        <v/>
      </c>
      <c r="C189" s="3" t="str">
        <f t="array" ref="C189">IFERROR(INDEX('Temp Hisfa'!C$3:C$200, SMALL(IF(ISERROR('Temp Hisfa'!C$3:C$200), "", ROW('Temp Hisfa'!C$3:C$200)-MIN(ROW('Temp Hisfa'!C$3:C$200))+1), ROW(187:385))),"")</f>
        <v/>
      </c>
      <c r="D189" s="3" t="str">
        <f t="array" ref="D189">IFERROR(INDEX('Temp Hisfa'!D$3:D$200, SMALL(IF(ISERROR('Temp Hisfa'!D$3:D$200), "", ROW('Temp Hisfa'!D$3:D$200)-MIN(ROW('Temp Hisfa'!D$3:D$200))+1), ROW(187:385))),"")</f>
        <v/>
      </c>
      <c r="E189" s="29" t="str">
        <f t="array" ref="E189">IFERROR(INDEX('Temp Hisfa'!E$3:E$200, SMALL(IF(ISERROR('Temp Hisfa'!E$3:E$200), "", ROW('Temp Hisfa'!E$3:E$200)-MIN(ROW('Temp Hisfa'!E$3:E$200))+1), ROW(187:386))),"")</f>
        <v/>
      </c>
      <c r="F189" s="22" t="str">
        <f t="array" ref="F189">IFERROR(INDEX('Temp Hisfa'!F$3:F$200, SMALL(IF(ISERROR('Temp Hisfa'!F$3:F$200), "", ROW('Temp Hisfa'!F$3:F$200)-MIN(ROW('Temp Hisfa'!F$3:F$200))+1), ROW(187:386))),"")</f>
        <v/>
      </c>
      <c r="G189" s="30" t="str">
        <f t="array" ref="G189">IFERROR(INDEX('Temp Hisfa'!G$3:G$200, SMALL(IF(ISERROR('Temp Hisfa'!G$3:G$200), "", ROW('Temp Hisfa'!G$3:G$200)-MIN(ROW('Temp Hisfa'!G$3:G$200))+1), ROW(187:386))),"")</f>
        <v/>
      </c>
      <c r="H189" s="22" t="str">
        <f t="array" ref="H189">IFERROR(INDEX('Temp Hisfa'!H$3:H$200, SMALL(IF(ISERROR('Temp Hisfa'!H$3:H$200), "", ROW('Temp Hisfa'!H$3:H$200)-MIN(ROW('Temp Hisfa'!H$3:H$200))+1), ROW(187:386))),"")</f>
        <v/>
      </c>
      <c r="I189" s="22" t="str">
        <f t="array" ref="I189">IFERROR(INDEX('Temp Hisfa'!I$3:I$200, SMALL(IF(ISERROR('Temp Hisfa'!I$3:I$200), "", ROW('Temp Hisfa'!I$3:I$200)-MIN(ROW('Temp Hisfa'!I$3:I$200))+1), ROW(187:386))),"")</f>
        <v/>
      </c>
      <c r="J189" s="22" t="str">
        <f t="array" ref="J189">IFERROR(INDEX('Temp Hisfa'!J$3:J$200, SMALL(IF(ISERROR('Temp Hisfa'!J$3:J$200), "", ROW('Temp Hisfa'!J$3:J$200)-MIN(ROW('Temp Hisfa'!J$3:J$200))+1), ROW(187:386))),"")</f>
        <v/>
      </c>
      <c r="K189" s="30" t="str">
        <f t="array" ref="K189">IFERROR(INDEX('Temp Hisfa'!K$3:K$200, SMALL(IF(ISERROR('Temp Hisfa'!K$3:K$200), "", ROW('Temp Hisfa'!K$3:K$200)-MIN(ROW('Temp Hisfa'!K$3:K$200))+1), ROW(187:386))),"")</f>
        <v/>
      </c>
      <c r="L189" s="22" t="str">
        <f t="array" ref="L189">IFERROR(INDEX('Temp Hisfa'!L$3:L$200, SMALL(IF(ISERROR('Temp Hisfa'!L$3:L$200), "", ROW('Temp Hisfa'!L$3:L$200)-MIN(ROW('Temp Hisfa'!L$3:L$200))+1), ROW(187:386))),"")</f>
        <v/>
      </c>
      <c r="M189" s="22" t="str">
        <f t="array" ref="M189">IFERROR(INDEX('Temp Hisfa'!M$3:M$200, SMALL(IF(ISERROR('Temp Hisfa'!M$3:M$200), "", ROW('Temp Hisfa'!M$3:M$200)-MIN(ROW('Temp Hisfa'!M$3:M$200))+1), ROW(187:386))),"")</f>
        <v/>
      </c>
      <c r="N189" s="22" t="str">
        <f t="array" ref="N189">IFERROR(INDEX('Temp Hisfa'!N$3:N$200, SMALL(IF(ISERROR('Temp Hisfa'!N$3:N$200), "", ROW('Temp Hisfa'!N$3:N$200)-MIN(ROW('Temp Hisfa'!N$3:N$200))+1), ROW(187:386))),"")</f>
        <v/>
      </c>
      <c r="O189" s="22" t="str">
        <f t="array" ref="O189">IFERROR(INDEX('Temp Hisfa'!O$3:O$200, SMALL(IF(ISERROR('Temp Hisfa'!O$3:O$200), "", ROW('Temp Hisfa'!O$3:O$200)-MIN(ROW('Temp Hisfa'!O$3:O$200))+1), ROW(187:386))),"")</f>
        <v/>
      </c>
      <c r="P189" s="22" t="str">
        <f t="array" ref="P189">IFERROR(INDEX('Temp Hisfa'!P$3:P$200, SMALL(IF(ISERROR('Temp Hisfa'!P$3:P$200), "", ROW('Temp Hisfa'!P$3:P$200)-MIN(ROW('Temp Hisfa'!P$3:P$200))+1), ROW(187:386))),"")</f>
        <v/>
      </c>
      <c r="Q189" s="22" t="str">
        <f t="array" ref="Q189">IFERROR(INDEX('Temp Hisfa'!Q$3:Q$200, SMALL(IF(ISERROR('Temp Hisfa'!Q$3:Q$200), "", ROW('Temp Hisfa'!Q$3:Q$200)-MIN(ROW('Temp Hisfa'!Q$3:Q$200))+1), ROW(187:386))),"")</f>
        <v/>
      </c>
      <c r="R189" s="22" t="str">
        <f t="array" ref="R189">IFERROR(INDEX('Temp Hisfa'!R$3:R$200, SMALL(IF(ISERROR('Temp Hisfa'!R$3:R$200), "", ROW('Temp Hisfa'!R$3:R$200)-MIN(ROW('Temp Hisfa'!R$3:R$200))+1), ROW(187:386))),"")</f>
        <v/>
      </c>
      <c r="S189" s="22" t="str">
        <f t="array" ref="S189">IFERROR(INDEX('Temp Hisfa'!S$3:S$200, SMALL(IF(ISERROR('Temp Hisfa'!S$3:S$200), "", ROW('Temp Hisfa'!S$3:S$200)-MIN(ROW('Temp Hisfa'!S$3:S$200))+1), ROW(187:386))),"")</f>
        <v/>
      </c>
      <c r="T189" s="22" t="str">
        <f t="array" ref="T189">IFERROR(INDEX('Temp Hisfa'!T$3:T$200, SMALL(IF(ISERROR('Temp Hisfa'!T$3:T$200), "", ROW('Temp Hisfa'!T$3:T$200)-MIN(ROW('Temp Hisfa'!T$3:T$200))+1), ROW(187:386))),"")</f>
        <v/>
      </c>
      <c r="U189" s="22" t="str">
        <f t="array" ref="U189">IFERROR(INDEX('Temp Hisfa'!U$3:U$200, SMALL(IF(ISERROR('Temp Hisfa'!U$3:U$200), "", ROW('Temp Hisfa'!U$3:U$200)-MIN(ROW('Temp Hisfa'!U$3:U$200))+1), ROW(187:386))),"")</f>
        <v/>
      </c>
      <c r="V189" s="22" t="str">
        <f t="array" ref="V189">IFERROR(INDEX('Temp Hisfa'!V$3:V$200, SMALL(IF(ISERROR('Temp Hisfa'!V$3:V$200), "", ROW('Temp Hisfa'!V$3:V$200)-MIN(ROW('Temp Hisfa'!V$3:V$200))+1), ROW(187:386))),"")</f>
        <v/>
      </c>
      <c r="W189" s="22" t="str">
        <f t="array" ref="W189">IFERROR(INDEX('Temp Hisfa'!W$3:W$200, SMALL(IF(ISERROR('Temp Hisfa'!W$3:W$200), "", ROW('Temp Hisfa'!W$3:W$200)-MIN(ROW('Temp Hisfa'!W$3:W$200))+1), ROW(187:386))),"")</f>
        <v/>
      </c>
      <c r="X189" s="22" t="str">
        <f t="array" ref="X189">IFERROR(INDEX('Temp Hisfa'!X$3:X$200, SMALL(IF(ISERROR('Temp Hisfa'!X$3:X$200), "", ROW('Temp Hisfa'!X$3:X$200)-MIN(ROW('Temp Hisfa'!X$3:X$200))+1), ROW(187:386))),"")</f>
        <v/>
      </c>
      <c r="Y189" s="22" t="str">
        <f t="array" ref="Y189">IFERROR(INDEX('Temp Hisfa'!Y$3:Y$200, SMALL(IF(ISERROR('Temp Hisfa'!Y$3:Y$200), "", ROW('Temp Hisfa'!Y$3:Y$200)-MIN(ROW('Temp Hisfa'!Y$3:Y$200))+1), ROW(187:386))),"")</f>
        <v/>
      </c>
      <c r="Z189" s="22" t="str">
        <f t="array" ref="Z189">IFERROR(INDEX('Temp Hisfa'!Z$3:Z$200, SMALL(IF(ISERROR('Temp Hisfa'!Z$3:Z$200), "", ROW('Temp Hisfa'!Z$3:Z$200)-MIN(ROW('Temp Hisfa'!Z$3:Z$200))+1), ROW(187:386))),"")</f>
        <v/>
      </c>
      <c r="AA189" s="22" t="str">
        <f t="array" ref="AA189">IFERROR(INDEX('Temp Hisfa'!AA$3:AA$200, SMALL(IF(ISERROR('Temp Hisfa'!AA$3:AA$200), "", ROW('Temp Hisfa'!AA$3:AA$200)-MIN(ROW('Temp Hisfa'!AA$3:AA$200))+1), ROW(187:386))),"")</f>
        <v/>
      </c>
      <c r="AB189" s="22" t="str">
        <f t="array" ref="AB189">IFERROR(INDEX('Temp Hisfa'!AB$3:AB$200, SMALL(IF(ISERROR('Temp Hisfa'!AB$3:AB$200), "", ROW('Temp Hisfa'!AB$3:AB$200)-MIN(ROW('Temp Hisfa'!AB$3:AB$200))+1), ROW(187:386))),"")</f>
        <v/>
      </c>
    </row>
    <row r="190" spans="1:28" x14ac:dyDescent="0.3">
      <c r="A190" s="4" t="str">
        <f t="array" ref="A190">IFERROR(INDEX('Temp Hisfa'!A$3:A$200, SMALL(IF(ISERROR('Temp Hisfa'!A$3:A$200), "", ROW('Temp Hisfa'!A$3:A$200)-MIN(ROW('Temp Hisfa'!A$3:A$200))+1), ROW(188:386))),"")</f>
        <v/>
      </c>
      <c r="B190" s="4" t="str">
        <f t="array" ref="B190">IFERROR(INDEX('Temp Hisfa'!B$3:B$200, SMALL(IF(ISERROR('Temp Hisfa'!B$3:B$200), "", ROW('Temp Hisfa'!B$3:B$200)-MIN(ROW('Temp Hisfa'!B$3:B$200))+1), ROW(188:386))),"")</f>
        <v/>
      </c>
      <c r="C190" s="3" t="str">
        <f t="array" ref="C190">IFERROR(INDEX('Temp Hisfa'!C$3:C$200, SMALL(IF(ISERROR('Temp Hisfa'!C$3:C$200), "", ROW('Temp Hisfa'!C$3:C$200)-MIN(ROW('Temp Hisfa'!C$3:C$200))+1), ROW(188:386))),"")</f>
        <v/>
      </c>
      <c r="D190" s="3" t="str">
        <f t="array" ref="D190">IFERROR(INDEX('Temp Hisfa'!D$3:D$200, SMALL(IF(ISERROR('Temp Hisfa'!D$3:D$200), "", ROW('Temp Hisfa'!D$3:D$200)-MIN(ROW('Temp Hisfa'!D$3:D$200))+1), ROW(188:386))),"")</f>
        <v/>
      </c>
      <c r="E190" s="29" t="str">
        <f t="array" ref="E190">IFERROR(INDEX('Temp Hisfa'!E$3:E$200, SMALL(IF(ISERROR('Temp Hisfa'!E$3:E$200), "", ROW('Temp Hisfa'!E$3:E$200)-MIN(ROW('Temp Hisfa'!E$3:E$200))+1), ROW(188:387))),"")</f>
        <v/>
      </c>
      <c r="F190" s="22" t="str">
        <f t="array" ref="F190">IFERROR(INDEX('Temp Hisfa'!F$3:F$200, SMALL(IF(ISERROR('Temp Hisfa'!F$3:F$200), "", ROW('Temp Hisfa'!F$3:F$200)-MIN(ROW('Temp Hisfa'!F$3:F$200))+1), ROW(188:387))),"")</f>
        <v/>
      </c>
      <c r="G190" s="30" t="str">
        <f t="array" ref="G190">IFERROR(INDEX('Temp Hisfa'!G$3:G$200, SMALL(IF(ISERROR('Temp Hisfa'!G$3:G$200), "", ROW('Temp Hisfa'!G$3:G$200)-MIN(ROW('Temp Hisfa'!G$3:G$200))+1), ROW(188:387))),"")</f>
        <v/>
      </c>
      <c r="H190" s="22" t="str">
        <f t="array" ref="H190">IFERROR(INDEX('Temp Hisfa'!H$3:H$200, SMALL(IF(ISERROR('Temp Hisfa'!H$3:H$200), "", ROW('Temp Hisfa'!H$3:H$200)-MIN(ROW('Temp Hisfa'!H$3:H$200))+1), ROW(188:387))),"")</f>
        <v/>
      </c>
      <c r="I190" s="22" t="str">
        <f t="array" ref="I190">IFERROR(INDEX('Temp Hisfa'!I$3:I$200, SMALL(IF(ISERROR('Temp Hisfa'!I$3:I$200), "", ROW('Temp Hisfa'!I$3:I$200)-MIN(ROW('Temp Hisfa'!I$3:I$200))+1), ROW(188:387))),"")</f>
        <v/>
      </c>
      <c r="J190" s="22" t="str">
        <f t="array" ref="J190">IFERROR(INDEX('Temp Hisfa'!J$3:J$200, SMALL(IF(ISERROR('Temp Hisfa'!J$3:J$200), "", ROW('Temp Hisfa'!J$3:J$200)-MIN(ROW('Temp Hisfa'!J$3:J$200))+1), ROW(188:387))),"")</f>
        <v/>
      </c>
      <c r="K190" s="30" t="str">
        <f t="array" ref="K190">IFERROR(INDEX('Temp Hisfa'!K$3:K$200, SMALL(IF(ISERROR('Temp Hisfa'!K$3:K$200), "", ROW('Temp Hisfa'!K$3:K$200)-MIN(ROW('Temp Hisfa'!K$3:K$200))+1), ROW(188:387))),"")</f>
        <v/>
      </c>
      <c r="L190" s="22" t="str">
        <f t="array" ref="L190">IFERROR(INDEX('Temp Hisfa'!L$3:L$200, SMALL(IF(ISERROR('Temp Hisfa'!L$3:L$200), "", ROW('Temp Hisfa'!L$3:L$200)-MIN(ROW('Temp Hisfa'!L$3:L$200))+1), ROW(188:387))),"")</f>
        <v/>
      </c>
      <c r="M190" s="22" t="str">
        <f t="array" ref="M190">IFERROR(INDEX('Temp Hisfa'!M$3:M$200, SMALL(IF(ISERROR('Temp Hisfa'!M$3:M$200), "", ROW('Temp Hisfa'!M$3:M$200)-MIN(ROW('Temp Hisfa'!M$3:M$200))+1), ROW(188:387))),"")</f>
        <v/>
      </c>
      <c r="N190" s="22" t="str">
        <f t="array" ref="N190">IFERROR(INDEX('Temp Hisfa'!N$3:N$200, SMALL(IF(ISERROR('Temp Hisfa'!N$3:N$200), "", ROW('Temp Hisfa'!N$3:N$200)-MIN(ROW('Temp Hisfa'!N$3:N$200))+1), ROW(188:387))),"")</f>
        <v/>
      </c>
      <c r="O190" s="22" t="str">
        <f t="array" ref="O190">IFERROR(INDEX('Temp Hisfa'!O$3:O$200, SMALL(IF(ISERROR('Temp Hisfa'!O$3:O$200), "", ROW('Temp Hisfa'!O$3:O$200)-MIN(ROW('Temp Hisfa'!O$3:O$200))+1), ROW(188:387))),"")</f>
        <v/>
      </c>
      <c r="P190" s="22" t="str">
        <f t="array" ref="P190">IFERROR(INDEX('Temp Hisfa'!P$3:P$200, SMALL(IF(ISERROR('Temp Hisfa'!P$3:P$200), "", ROW('Temp Hisfa'!P$3:P$200)-MIN(ROW('Temp Hisfa'!P$3:P$200))+1), ROW(188:387))),"")</f>
        <v/>
      </c>
      <c r="Q190" s="22" t="str">
        <f t="array" ref="Q190">IFERROR(INDEX('Temp Hisfa'!Q$3:Q$200, SMALL(IF(ISERROR('Temp Hisfa'!Q$3:Q$200), "", ROW('Temp Hisfa'!Q$3:Q$200)-MIN(ROW('Temp Hisfa'!Q$3:Q$200))+1), ROW(188:387))),"")</f>
        <v/>
      </c>
      <c r="R190" s="22" t="str">
        <f t="array" ref="R190">IFERROR(INDEX('Temp Hisfa'!R$3:R$200, SMALL(IF(ISERROR('Temp Hisfa'!R$3:R$200), "", ROW('Temp Hisfa'!R$3:R$200)-MIN(ROW('Temp Hisfa'!R$3:R$200))+1), ROW(188:387))),"")</f>
        <v/>
      </c>
      <c r="S190" s="22" t="str">
        <f t="array" ref="S190">IFERROR(INDEX('Temp Hisfa'!S$3:S$200, SMALL(IF(ISERROR('Temp Hisfa'!S$3:S$200), "", ROW('Temp Hisfa'!S$3:S$200)-MIN(ROW('Temp Hisfa'!S$3:S$200))+1), ROW(188:387))),"")</f>
        <v/>
      </c>
      <c r="T190" s="22" t="str">
        <f t="array" ref="T190">IFERROR(INDEX('Temp Hisfa'!T$3:T$200, SMALL(IF(ISERROR('Temp Hisfa'!T$3:T$200), "", ROW('Temp Hisfa'!T$3:T$200)-MIN(ROW('Temp Hisfa'!T$3:T$200))+1), ROW(188:387))),"")</f>
        <v/>
      </c>
      <c r="U190" s="22" t="str">
        <f t="array" ref="U190">IFERROR(INDEX('Temp Hisfa'!U$3:U$200, SMALL(IF(ISERROR('Temp Hisfa'!U$3:U$200), "", ROW('Temp Hisfa'!U$3:U$200)-MIN(ROW('Temp Hisfa'!U$3:U$200))+1), ROW(188:387))),"")</f>
        <v/>
      </c>
      <c r="V190" s="22" t="str">
        <f t="array" ref="V190">IFERROR(INDEX('Temp Hisfa'!V$3:V$200, SMALL(IF(ISERROR('Temp Hisfa'!V$3:V$200), "", ROW('Temp Hisfa'!V$3:V$200)-MIN(ROW('Temp Hisfa'!V$3:V$200))+1), ROW(188:387))),"")</f>
        <v/>
      </c>
      <c r="W190" s="22" t="str">
        <f t="array" ref="W190">IFERROR(INDEX('Temp Hisfa'!W$3:W$200, SMALL(IF(ISERROR('Temp Hisfa'!W$3:W$200), "", ROW('Temp Hisfa'!W$3:W$200)-MIN(ROW('Temp Hisfa'!W$3:W$200))+1), ROW(188:387))),"")</f>
        <v/>
      </c>
      <c r="X190" s="22" t="str">
        <f t="array" ref="X190">IFERROR(INDEX('Temp Hisfa'!X$3:X$200, SMALL(IF(ISERROR('Temp Hisfa'!X$3:X$200), "", ROW('Temp Hisfa'!X$3:X$200)-MIN(ROW('Temp Hisfa'!X$3:X$200))+1), ROW(188:387))),"")</f>
        <v/>
      </c>
      <c r="Y190" s="22" t="str">
        <f t="array" ref="Y190">IFERROR(INDEX('Temp Hisfa'!Y$3:Y$200, SMALL(IF(ISERROR('Temp Hisfa'!Y$3:Y$200), "", ROW('Temp Hisfa'!Y$3:Y$200)-MIN(ROW('Temp Hisfa'!Y$3:Y$200))+1), ROW(188:387))),"")</f>
        <v/>
      </c>
      <c r="Z190" s="22" t="str">
        <f t="array" ref="Z190">IFERROR(INDEX('Temp Hisfa'!Z$3:Z$200, SMALL(IF(ISERROR('Temp Hisfa'!Z$3:Z$200), "", ROW('Temp Hisfa'!Z$3:Z$200)-MIN(ROW('Temp Hisfa'!Z$3:Z$200))+1), ROW(188:387))),"")</f>
        <v/>
      </c>
      <c r="AA190" s="22" t="str">
        <f t="array" ref="AA190">IFERROR(INDEX('Temp Hisfa'!AA$3:AA$200, SMALL(IF(ISERROR('Temp Hisfa'!AA$3:AA$200), "", ROW('Temp Hisfa'!AA$3:AA$200)-MIN(ROW('Temp Hisfa'!AA$3:AA$200))+1), ROW(188:387))),"")</f>
        <v/>
      </c>
      <c r="AB190" s="22" t="str">
        <f t="array" ref="AB190">IFERROR(INDEX('Temp Hisfa'!AB$3:AB$200, SMALL(IF(ISERROR('Temp Hisfa'!AB$3:AB$200), "", ROW('Temp Hisfa'!AB$3:AB$200)-MIN(ROW('Temp Hisfa'!AB$3:AB$200))+1), ROW(188:387))),"")</f>
        <v/>
      </c>
    </row>
    <row r="191" spans="1:28" x14ac:dyDescent="0.3">
      <c r="A191" s="4" t="str">
        <f t="array" ref="A191">IFERROR(INDEX('Temp Hisfa'!A$3:A$200, SMALL(IF(ISERROR('Temp Hisfa'!A$3:A$200), "", ROW('Temp Hisfa'!A$3:A$200)-MIN(ROW('Temp Hisfa'!A$3:A$200))+1), ROW(189:387))),"")</f>
        <v/>
      </c>
      <c r="B191" s="4" t="str">
        <f t="array" ref="B191">IFERROR(INDEX('Temp Hisfa'!B$3:B$200, SMALL(IF(ISERROR('Temp Hisfa'!B$3:B$200), "", ROW('Temp Hisfa'!B$3:B$200)-MIN(ROW('Temp Hisfa'!B$3:B$200))+1), ROW(189:387))),"")</f>
        <v/>
      </c>
      <c r="C191" s="3" t="str">
        <f t="array" ref="C191">IFERROR(INDEX('Temp Hisfa'!C$3:C$200, SMALL(IF(ISERROR('Temp Hisfa'!C$3:C$200), "", ROW('Temp Hisfa'!C$3:C$200)-MIN(ROW('Temp Hisfa'!C$3:C$200))+1), ROW(189:387))),"")</f>
        <v/>
      </c>
      <c r="D191" s="3" t="str">
        <f t="array" ref="D191">IFERROR(INDEX('Temp Hisfa'!D$3:D$200, SMALL(IF(ISERROR('Temp Hisfa'!D$3:D$200), "", ROW('Temp Hisfa'!D$3:D$200)-MIN(ROW('Temp Hisfa'!D$3:D$200))+1), ROW(189:387))),"")</f>
        <v/>
      </c>
      <c r="E191" s="29" t="str">
        <f t="array" ref="E191">IFERROR(INDEX('Temp Hisfa'!E$3:E$200, SMALL(IF(ISERROR('Temp Hisfa'!E$3:E$200), "", ROW('Temp Hisfa'!E$3:E$200)-MIN(ROW('Temp Hisfa'!E$3:E$200))+1), ROW(189:388))),"")</f>
        <v/>
      </c>
      <c r="F191" s="22" t="str">
        <f t="array" ref="F191">IFERROR(INDEX('Temp Hisfa'!F$3:F$200, SMALL(IF(ISERROR('Temp Hisfa'!F$3:F$200), "", ROW('Temp Hisfa'!F$3:F$200)-MIN(ROW('Temp Hisfa'!F$3:F$200))+1), ROW(189:388))),"")</f>
        <v/>
      </c>
      <c r="G191" s="30" t="str">
        <f t="array" ref="G191">IFERROR(INDEX('Temp Hisfa'!G$3:G$200, SMALL(IF(ISERROR('Temp Hisfa'!G$3:G$200), "", ROW('Temp Hisfa'!G$3:G$200)-MIN(ROW('Temp Hisfa'!G$3:G$200))+1), ROW(189:388))),"")</f>
        <v/>
      </c>
      <c r="H191" s="22" t="str">
        <f t="array" ref="H191">IFERROR(INDEX('Temp Hisfa'!H$3:H$200, SMALL(IF(ISERROR('Temp Hisfa'!H$3:H$200), "", ROW('Temp Hisfa'!H$3:H$200)-MIN(ROW('Temp Hisfa'!H$3:H$200))+1), ROW(189:388))),"")</f>
        <v/>
      </c>
      <c r="I191" s="22" t="str">
        <f t="array" ref="I191">IFERROR(INDEX('Temp Hisfa'!I$3:I$200, SMALL(IF(ISERROR('Temp Hisfa'!I$3:I$200), "", ROW('Temp Hisfa'!I$3:I$200)-MIN(ROW('Temp Hisfa'!I$3:I$200))+1), ROW(189:388))),"")</f>
        <v/>
      </c>
      <c r="J191" s="22" t="str">
        <f t="array" ref="J191">IFERROR(INDEX('Temp Hisfa'!J$3:J$200, SMALL(IF(ISERROR('Temp Hisfa'!J$3:J$200), "", ROW('Temp Hisfa'!J$3:J$200)-MIN(ROW('Temp Hisfa'!J$3:J$200))+1), ROW(189:388))),"")</f>
        <v/>
      </c>
      <c r="K191" s="30" t="str">
        <f t="array" ref="K191">IFERROR(INDEX('Temp Hisfa'!K$3:K$200, SMALL(IF(ISERROR('Temp Hisfa'!K$3:K$200), "", ROW('Temp Hisfa'!K$3:K$200)-MIN(ROW('Temp Hisfa'!K$3:K$200))+1), ROW(189:388))),"")</f>
        <v/>
      </c>
      <c r="L191" s="22" t="str">
        <f t="array" ref="L191">IFERROR(INDEX('Temp Hisfa'!L$3:L$200, SMALL(IF(ISERROR('Temp Hisfa'!L$3:L$200), "", ROW('Temp Hisfa'!L$3:L$200)-MIN(ROW('Temp Hisfa'!L$3:L$200))+1), ROW(189:388))),"")</f>
        <v/>
      </c>
      <c r="M191" s="22" t="str">
        <f t="array" ref="M191">IFERROR(INDEX('Temp Hisfa'!M$3:M$200, SMALL(IF(ISERROR('Temp Hisfa'!M$3:M$200), "", ROW('Temp Hisfa'!M$3:M$200)-MIN(ROW('Temp Hisfa'!M$3:M$200))+1), ROW(189:388))),"")</f>
        <v/>
      </c>
      <c r="N191" s="22" t="str">
        <f t="array" ref="N191">IFERROR(INDEX('Temp Hisfa'!N$3:N$200, SMALL(IF(ISERROR('Temp Hisfa'!N$3:N$200), "", ROW('Temp Hisfa'!N$3:N$200)-MIN(ROW('Temp Hisfa'!N$3:N$200))+1), ROW(189:388))),"")</f>
        <v/>
      </c>
      <c r="O191" s="22" t="str">
        <f t="array" ref="O191">IFERROR(INDEX('Temp Hisfa'!O$3:O$200, SMALL(IF(ISERROR('Temp Hisfa'!O$3:O$200), "", ROW('Temp Hisfa'!O$3:O$200)-MIN(ROW('Temp Hisfa'!O$3:O$200))+1), ROW(189:388))),"")</f>
        <v/>
      </c>
      <c r="P191" s="22" t="str">
        <f t="array" ref="P191">IFERROR(INDEX('Temp Hisfa'!P$3:P$200, SMALL(IF(ISERROR('Temp Hisfa'!P$3:P$200), "", ROW('Temp Hisfa'!P$3:P$200)-MIN(ROW('Temp Hisfa'!P$3:P$200))+1), ROW(189:388))),"")</f>
        <v/>
      </c>
      <c r="Q191" s="22" t="str">
        <f t="array" ref="Q191">IFERROR(INDEX('Temp Hisfa'!Q$3:Q$200, SMALL(IF(ISERROR('Temp Hisfa'!Q$3:Q$200), "", ROW('Temp Hisfa'!Q$3:Q$200)-MIN(ROW('Temp Hisfa'!Q$3:Q$200))+1), ROW(189:388))),"")</f>
        <v/>
      </c>
      <c r="R191" s="22" t="str">
        <f t="array" ref="R191">IFERROR(INDEX('Temp Hisfa'!R$3:R$200, SMALL(IF(ISERROR('Temp Hisfa'!R$3:R$200), "", ROW('Temp Hisfa'!R$3:R$200)-MIN(ROW('Temp Hisfa'!R$3:R$200))+1), ROW(189:388))),"")</f>
        <v/>
      </c>
      <c r="S191" s="22" t="str">
        <f t="array" ref="S191">IFERROR(INDEX('Temp Hisfa'!S$3:S$200, SMALL(IF(ISERROR('Temp Hisfa'!S$3:S$200), "", ROW('Temp Hisfa'!S$3:S$200)-MIN(ROW('Temp Hisfa'!S$3:S$200))+1), ROW(189:388))),"")</f>
        <v/>
      </c>
      <c r="T191" s="22" t="str">
        <f t="array" ref="T191">IFERROR(INDEX('Temp Hisfa'!T$3:T$200, SMALL(IF(ISERROR('Temp Hisfa'!T$3:T$200), "", ROW('Temp Hisfa'!T$3:T$200)-MIN(ROW('Temp Hisfa'!T$3:T$200))+1), ROW(189:388))),"")</f>
        <v/>
      </c>
      <c r="U191" s="22" t="str">
        <f t="array" ref="U191">IFERROR(INDEX('Temp Hisfa'!U$3:U$200, SMALL(IF(ISERROR('Temp Hisfa'!U$3:U$200), "", ROW('Temp Hisfa'!U$3:U$200)-MIN(ROW('Temp Hisfa'!U$3:U$200))+1), ROW(189:388))),"")</f>
        <v/>
      </c>
      <c r="V191" s="22" t="str">
        <f t="array" ref="V191">IFERROR(INDEX('Temp Hisfa'!V$3:V$200, SMALL(IF(ISERROR('Temp Hisfa'!V$3:V$200), "", ROW('Temp Hisfa'!V$3:V$200)-MIN(ROW('Temp Hisfa'!V$3:V$200))+1), ROW(189:388))),"")</f>
        <v/>
      </c>
      <c r="W191" s="22" t="str">
        <f t="array" ref="W191">IFERROR(INDEX('Temp Hisfa'!W$3:W$200, SMALL(IF(ISERROR('Temp Hisfa'!W$3:W$200), "", ROW('Temp Hisfa'!W$3:W$200)-MIN(ROW('Temp Hisfa'!W$3:W$200))+1), ROW(189:388))),"")</f>
        <v/>
      </c>
      <c r="X191" s="22" t="str">
        <f t="array" ref="X191">IFERROR(INDEX('Temp Hisfa'!X$3:X$200, SMALL(IF(ISERROR('Temp Hisfa'!X$3:X$200), "", ROW('Temp Hisfa'!X$3:X$200)-MIN(ROW('Temp Hisfa'!X$3:X$200))+1), ROW(189:388))),"")</f>
        <v/>
      </c>
      <c r="Y191" s="22" t="str">
        <f t="array" ref="Y191">IFERROR(INDEX('Temp Hisfa'!Y$3:Y$200, SMALL(IF(ISERROR('Temp Hisfa'!Y$3:Y$200), "", ROW('Temp Hisfa'!Y$3:Y$200)-MIN(ROW('Temp Hisfa'!Y$3:Y$200))+1), ROW(189:388))),"")</f>
        <v/>
      </c>
      <c r="Z191" s="22" t="str">
        <f t="array" ref="Z191">IFERROR(INDEX('Temp Hisfa'!Z$3:Z$200, SMALL(IF(ISERROR('Temp Hisfa'!Z$3:Z$200), "", ROW('Temp Hisfa'!Z$3:Z$200)-MIN(ROW('Temp Hisfa'!Z$3:Z$200))+1), ROW(189:388))),"")</f>
        <v/>
      </c>
      <c r="AA191" s="22" t="str">
        <f t="array" ref="AA191">IFERROR(INDEX('Temp Hisfa'!AA$3:AA$200, SMALL(IF(ISERROR('Temp Hisfa'!AA$3:AA$200), "", ROW('Temp Hisfa'!AA$3:AA$200)-MIN(ROW('Temp Hisfa'!AA$3:AA$200))+1), ROW(189:388))),"")</f>
        <v/>
      </c>
      <c r="AB191" s="22" t="str">
        <f t="array" ref="AB191">IFERROR(INDEX('Temp Hisfa'!AB$3:AB$200, SMALL(IF(ISERROR('Temp Hisfa'!AB$3:AB$200), "", ROW('Temp Hisfa'!AB$3:AB$200)-MIN(ROW('Temp Hisfa'!AB$3:AB$200))+1), ROW(189:388))),"")</f>
        <v/>
      </c>
    </row>
    <row r="192" spans="1:28" x14ac:dyDescent="0.3">
      <c r="A192" s="4" t="str">
        <f t="array" ref="A192">IFERROR(INDEX('Temp Hisfa'!A$3:A$200, SMALL(IF(ISERROR('Temp Hisfa'!A$3:A$200), "", ROW('Temp Hisfa'!A$3:A$200)-MIN(ROW('Temp Hisfa'!A$3:A$200))+1), ROW(190:388))),"")</f>
        <v/>
      </c>
      <c r="B192" s="4" t="str">
        <f t="array" ref="B192">IFERROR(INDEX('Temp Hisfa'!B$3:B$200, SMALL(IF(ISERROR('Temp Hisfa'!B$3:B$200), "", ROW('Temp Hisfa'!B$3:B$200)-MIN(ROW('Temp Hisfa'!B$3:B$200))+1), ROW(190:388))),"")</f>
        <v/>
      </c>
      <c r="C192" s="3" t="str">
        <f t="array" ref="C192">IFERROR(INDEX('Temp Hisfa'!C$3:C$200, SMALL(IF(ISERROR('Temp Hisfa'!C$3:C$200), "", ROW('Temp Hisfa'!C$3:C$200)-MIN(ROW('Temp Hisfa'!C$3:C$200))+1), ROW(190:388))),"")</f>
        <v/>
      </c>
      <c r="D192" s="3" t="str">
        <f t="array" ref="D192">IFERROR(INDEX('Temp Hisfa'!D$3:D$200, SMALL(IF(ISERROR('Temp Hisfa'!D$3:D$200), "", ROW('Temp Hisfa'!D$3:D$200)-MIN(ROW('Temp Hisfa'!D$3:D$200))+1), ROW(190:388))),"")</f>
        <v/>
      </c>
      <c r="E192" s="29" t="str">
        <f t="array" ref="E192">IFERROR(INDEX('Temp Hisfa'!E$3:E$200, SMALL(IF(ISERROR('Temp Hisfa'!E$3:E$200), "", ROW('Temp Hisfa'!E$3:E$200)-MIN(ROW('Temp Hisfa'!E$3:E$200))+1), ROW(190:389))),"")</f>
        <v/>
      </c>
      <c r="F192" s="22" t="str">
        <f t="array" ref="F192">IFERROR(INDEX('Temp Hisfa'!F$3:F$200, SMALL(IF(ISERROR('Temp Hisfa'!F$3:F$200), "", ROW('Temp Hisfa'!F$3:F$200)-MIN(ROW('Temp Hisfa'!F$3:F$200))+1), ROW(190:389))),"")</f>
        <v/>
      </c>
      <c r="G192" s="30" t="str">
        <f t="array" ref="G192">IFERROR(INDEX('Temp Hisfa'!G$3:G$200, SMALL(IF(ISERROR('Temp Hisfa'!G$3:G$200), "", ROW('Temp Hisfa'!G$3:G$200)-MIN(ROW('Temp Hisfa'!G$3:G$200))+1), ROW(190:389))),"")</f>
        <v/>
      </c>
      <c r="H192" s="22" t="str">
        <f t="array" ref="H192">IFERROR(INDEX('Temp Hisfa'!H$3:H$200, SMALL(IF(ISERROR('Temp Hisfa'!H$3:H$200), "", ROW('Temp Hisfa'!H$3:H$200)-MIN(ROW('Temp Hisfa'!H$3:H$200))+1), ROW(190:389))),"")</f>
        <v/>
      </c>
      <c r="I192" s="22" t="str">
        <f t="array" ref="I192">IFERROR(INDEX('Temp Hisfa'!I$3:I$200, SMALL(IF(ISERROR('Temp Hisfa'!I$3:I$200), "", ROW('Temp Hisfa'!I$3:I$200)-MIN(ROW('Temp Hisfa'!I$3:I$200))+1), ROW(190:389))),"")</f>
        <v/>
      </c>
      <c r="J192" s="22" t="str">
        <f t="array" ref="J192">IFERROR(INDEX('Temp Hisfa'!J$3:J$200, SMALL(IF(ISERROR('Temp Hisfa'!J$3:J$200), "", ROW('Temp Hisfa'!J$3:J$200)-MIN(ROW('Temp Hisfa'!J$3:J$200))+1), ROW(190:389))),"")</f>
        <v/>
      </c>
      <c r="K192" s="30" t="str">
        <f t="array" ref="K192">IFERROR(INDEX('Temp Hisfa'!K$3:K$200, SMALL(IF(ISERROR('Temp Hisfa'!K$3:K$200), "", ROW('Temp Hisfa'!K$3:K$200)-MIN(ROW('Temp Hisfa'!K$3:K$200))+1), ROW(190:389))),"")</f>
        <v/>
      </c>
      <c r="L192" s="22" t="str">
        <f t="array" ref="L192">IFERROR(INDEX('Temp Hisfa'!L$3:L$200, SMALL(IF(ISERROR('Temp Hisfa'!L$3:L$200), "", ROW('Temp Hisfa'!L$3:L$200)-MIN(ROW('Temp Hisfa'!L$3:L$200))+1), ROW(190:389))),"")</f>
        <v/>
      </c>
      <c r="M192" s="22" t="str">
        <f t="array" ref="M192">IFERROR(INDEX('Temp Hisfa'!M$3:M$200, SMALL(IF(ISERROR('Temp Hisfa'!M$3:M$200), "", ROW('Temp Hisfa'!M$3:M$200)-MIN(ROW('Temp Hisfa'!M$3:M$200))+1), ROW(190:389))),"")</f>
        <v/>
      </c>
      <c r="N192" s="22" t="str">
        <f t="array" ref="N192">IFERROR(INDEX('Temp Hisfa'!N$3:N$200, SMALL(IF(ISERROR('Temp Hisfa'!N$3:N$200), "", ROW('Temp Hisfa'!N$3:N$200)-MIN(ROW('Temp Hisfa'!N$3:N$200))+1), ROW(190:389))),"")</f>
        <v/>
      </c>
      <c r="O192" s="22" t="str">
        <f t="array" ref="O192">IFERROR(INDEX('Temp Hisfa'!O$3:O$200, SMALL(IF(ISERROR('Temp Hisfa'!O$3:O$200), "", ROW('Temp Hisfa'!O$3:O$200)-MIN(ROW('Temp Hisfa'!O$3:O$200))+1), ROW(190:389))),"")</f>
        <v/>
      </c>
      <c r="P192" s="22" t="str">
        <f t="array" ref="P192">IFERROR(INDEX('Temp Hisfa'!P$3:P$200, SMALL(IF(ISERROR('Temp Hisfa'!P$3:P$200), "", ROW('Temp Hisfa'!P$3:P$200)-MIN(ROW('Temp Hisfa'!P$3:P$200))+1), ROW(190:389))),"")</f>
        <v/>
      </c>
      <c r="Q192" s="22" t="str">
        <f t="array" ref="Q192">IFERROR(INDEX('Temp Hisfa'!Q$3:Q$200, SMALL(IF(ISERROR('Temp Hisfa'!Q$3:Q$200), "", ROW('Temp Hisfa'!Q$3:Q$200)-MIN(ROW('Temp Hisfa'!Q$3:Q$200))+1), ROW(190:389))),"")</f>
        <v/>
      </c>
      <c r="R192" s="22" t="str">
        <f t="array" ref="R192">IFERROR(INDEX('Temp Hisfa'!R$3:R$200, SMALL(IF(ISERROR('Temp Hisfa'!R$3:R$200), "", ROW('Temp Hisfa'!R$3:R$200)-MIN(ROW('Temp Hisfa'!R$3:R$200))+1), ROW(190:389))),"")</f>
        <v/>
      </c>
      <c r="S192" s="22" t="str">
        <f t="array" ref="S192">IFERROR(INDEX('Temp Hisfa'!S$3:S$200, SMALL(IF(ISERROR('Temp Hisfa'!S$3:S$200), "", ROW('Temp Hisfa'!S$3:S$200)-MIN(ROW('Temp Hisfa'!S$3:S$200))+1), ROW(190:389))),"")</f>
        <v/>
      </c>
      <c r="T192" s="22" t="str">
        <f t="array" ref="T192">IFERROR(INDEX('Temp Hisfa'!T$3:T$200, SMALL(IF(ISERROR('Temp Hisfa'!T$3:T$200), "", ROW('Temp Hisfa'!T$3:T$200)-MIN(ROW('Temp Hisfa'!T$3:T$200))+1), ROW(190:389))),"")</f>
        <v/>
      </c>
      <c r="U192" s="22" t="str">
        <f t="array" ref="U192">IFERROR(INDEX('Temp Hisfa'!U$3:U$200, SMALL(IF(ISERROR('Temp Hisfa'!U$3:U$200), "", ROW('Temp Hisfa'!U$3:U$200)-MIN(ROW('Temp Hisfa'!U$3:U$200))+1), ROW(190:389))),"")</f>
        <v/>
      </c>
      <c r="V192" s="22" t="str">
        <f t="array" ref="V192">IFERROR(INDEX('Temp Hisfa'!V$3:V$200, SMALL(IF(ISERROR('Temp Hisfa'!V$3:V$200), "", ROW('Temp Hisfa'!V$3:V$200)-MIN(ROW('Temp Hisfa'!V$3:V$200))+1), ROW(190:389))),"")</f>
        <v/>
      </c>
      <c r="W192" s="22" t="str">
        <f t="array" ref="W192">IFERROR(INDEX('Temp Hisfa'!W$3:W$200, SMALL(IF(ISERROR('Temp Hisfa'!W$3:W$200), "", ROW('Temp Hisfa'!W$3:W$200)-MIN(ROW('Temp Hisfa'!W$3:W$200))+1), ROW(190:389))),"")</f>
        <v/>
      </c>
      <c r="X192" s="22" t="str">
        <f t="array" ref="X192">IFERROR(INDEX('Temp Hisfa'!X$3:X$200, SMALL(IF(ISERROR('Temp Hisfa'!X$3:X$200), "", ROW('Temp Hisfa'!X$3:X$200)-MIN(ROW('Temp Hisfa'!X$3:X$200))+1), ROW(190:389))),"")</f>
        <v/>
      </c>
      <c r="Y192" s="22" t="str">
        <f t="array" ref="Y192">IFERROR(INDEX('Temp Hisfa'!Y$3:Y$200, SMALL(IF(ISERROR('Temp Hisfa'!Y$3:Y$200), "", ROW('Temp Hisfa'!Y$3:Y$200)-MIN(ROW('Temp Hisfa'!Y$3:Y$200))+1), ROW(190:389))),"")</f>
        <v/>
      </c>
      <c r="Z192" s="22" t="str">
        <f t="array" ref="Z192">IFERROR(INDEX('Temp Hisfa'!Z$3:Z$200, SMALL(IF(ISERROR('Temp Hisfa'!Z$3:Z$200), "", ROW('Temp Hisfa'!Z$3:Z$200)-MIN(ROW('Temp Hisfa'!Z$3:Z$200))+1), ROW(190:389))),"")</f>
        <v/>
      </c>
      <c r="AA192" s="22" t="str">
        <f t="array" ref="AA192">IFERROR(INDEX('Temp Hisfa'!AA$3:AA$200, SMALL(IF(ISERROR('Temp Hisfa'!AA$3:AA$200), "", ROW('Temp Hisfa'!AA$3:AA$200)-MIN(ROW('Temp Hisfa'!AA$3:AA$200))+1), ROW(190:389))),"")</f>
        <v/>
      </c>
      <c r="AB192" s="22" t="str">
        <f t="array" ref="AB192">IFERROR(INDEX('Temp Hisfa'!AB$3:AB$200, SMALL(IF(ISERROR('Temp Hisfa'!AB$3:AB$200), "", ROW('Temp Hisfa'!AB$3:AB$200)-MIN(ROW('Temp Hisfa'!AB$3:AB$200))+1), ROW(190:389))),"")</f>
        <v/>
      </c>
    </row>
    <row r="193" spans="1:28" x14ac:dyDescent="0.3">
      <c r="A193" s="4" t="str">
        <f t="array" ref="A193">IFERROR(INDEX('Temp Hisfa'!A$3:A$200, SMALL(IF(ISERROR('Temp Hisfa'!A$3:A$200), "", ROW('Temp Hisfa'!A$3:A$200)-MIN(ROW('Temp Hisfa'!A$3:A$200))+1), ROW(191:389))),"")</f>
        <v/>
      </c>
      <c r="B193" s="4" t="str">
        <f t="array" ref="B193">IFERROR(INDEX('Temp Hisfa'!B$3:B$200, SMALL(IF(ISERROR('Temp Hisfa'!B$3:B$200), "", ROW('Temp Hisfa'!B$3:B$200)-MIN(ROW('Temp Hisfa'!B$3:B$200))+1), ROW(191:389))),"")</f>
        <v/>
      </c>
      <c r="C193" s="3" t="str">
        <f t="array" ref="C193">IFERROR(INDEX('Temp Hisfa'!C$3:C$200, SMALL(IF(ISERROR('Temp Hisfa'!C$3:C$200), "", ROW('Temp Hisfa'!C$3:C$200)-MIN(ROW('Temp Hisfa'!C$3:C$200))+1), ROW(191:389))),"")</f>
        <v/>
      </c>
      <c r="D193" s="3" t="str">
        <f t="array" ref="D193">IFERROR(INDEX('Temp Hisfa'!D$3:D$200, SMALL(IF(ISERROR('Temp Hisfa'!D$3:D$200), "", ROW('Temp Hisfa'!D$3:D$200)-MIN(ROW('Temp Hisfa'!D$3:D$200))+1), ROW(191:389))),"")</f>
        <v/>
      </c>
      <c r="E193" s="29" t="str">
        <f t="array" ref="E193">IFERROR(INDEX('Temp Hisfa'!E$3:E$200, SMALL(IF(ISERROR('Temp Hisfa'!E$3:E$200), "", ROW('Temp Hisfa'!E$3:E$200)-MIN(ROW('Temp Hisfa'!E$3:E$200))+1), ROW(191:390))),"")</f>
        <v/>
      </c>
      <c r="F193" s="22" t="str">
        <f t="array" ref="F193">IFERROR(INDEX('Temp Hisfa'!F$3:F$200, SMALL(IF(ISERROR('Temp Hisfa'!F$3:F$200), "", ROW('Temp Hisfa'!F$3:F$200)-MIN(ROW('Temp Hisfa'!F$3:F$200))+1), ROW(191:390))),"")</f>
        <v/>
      </c>
      <c r="G193" s="30" t="str">
        <f t="array" ref="G193">IFERROR(INDEX('Temp Hisfa'!G$3:G$200, SMALL(IF(ISERROR('Temp Hisfa'!G$3:G$200), "", ROW('Temp Hisfa'!G$3:G$200)-MIN(ROW('Temp Hisfa'!G$3:G$200))+1), ROW(191:390))),"")</f>
        <v/>
      </c>
      <c r="H193" s="22" t="str">
        <f t="array" ref="H193">IFERROR(INDEX('Temp Hisfa'!H$3:H$200, SMALL(IF(ISERROR('Temp Hisfa'!H$3:H$200), "", ROW('Temp Hisfa'!H$3:H$200)-MIN(ROW('Temp Hisfa'!H$3:H$200))+1), ROW(191:390))),"")</f>
        <v/>
      </c>
      <c r="I193" s="22" t="str">
        <f t="array" ref="I193">IFERROR(INDEX('Temp Hisfa'!I$3:I$200, SMALL(IF(ISERROR('Temp Hisfa'!I$3:I$200), "", ROW('Temp Hisfa'!I$3:I$200)-MIN(ROW('Temp Hisfa'!I$3:I$200))+1), ROW(191:390))),"")</f>
        <v/>
      </c>
      <c r="J193" s="22" t="str">
        <f t="array" ref="J193">IFERROR(INDEX('Temp Hisfa'!J$3:J$200, SMALL(IF(ISERROR('Temp Hisfa'!J$3:J$200), "", ROW('Temp Hisfa'!J$3:J$200)-MIN(ROW('Temp Hisfa'!J$3:J$200))+1), ROW(191:390))),"")</f>
        <v/>
      </c>
      <c r="K193" s="30" t="str">
        <f t="array" ref="K193">IFERROR(INDEX('Temp Hisfa'!K$3:K$200, SMALL(IF(ISERROR('Temp Hisfa'!K$3:K$200), "", ROW('Temp Hisfa'!K$3:K$200)-MIN(ROW('Temp Hisfa'!K$3:K$200))+1), ROW(191:390))),"")</f>
        <v/>
      </c>
      <c r="L193" s="22" t="str">
        <f t="array" ref="L193">IFERROR(INDEX('Temp Hisfa'!L$3:L$200, SMALL(IF(ISERROR('Temp Hisfa'!L$3:L$200), "", ROW('Temp Hisfa'!L$3:L$200)-MIN(ROW('Temp Hisfa'!L$3:L$200))+1), ROW(191:390))),"")</f>
        <v/>
      </c>
      <c r="M193" s="22" t="str">
        <f t="array" ref="M193">IFERROR(INDEX('Temp Hisfa'!M$3:M$200, SMALL(IF(ISERROR('Temp Hisfa'!M$3:M$200), "", ROW('Temp Hisfa'!M$3:M$200)-MIN(ROW('Temp Hisfa'!M$3:M$200))+1), ROW(191:390))),"")</f>
        <v/>
      </c>
      <c r="N193" s="22" t="str">
        <f t="array" ref="N193">IFERROR(INDEX('Temp Hisfa'!N$3:N$200, SMALL(IF(ISERROR('Temp Hisfa'!N$3:N$200), "", ROW('Temp Hisfa'!N$3:N$200)-MIN(ROW('Temp Hisfa'!N$3:N$200))+1), ROW(191:390))),"")</f>
        <v/>
      </c>
      <c r="O193" s="22" t="str">
        <f t="array" ref="O193">IFERROR(INDEX('Temp Hisfa'!O$3:O$200, SMALL(IF(ISERROR('Temp Hisfa'!O$3:O$200), "", ROW('Temp Hisfa'!O$3:O$200)-MIN(ROW('Temp Hisfa'!O$3:O$200))+1), ROW(191:390))),"")</f>
        <v/>
      </c>
      <c r="P193" s="22" t="str">
        <f t="array" ref="P193">IFERROR(INDEX('Temp Hisfa'!P$3:P$200, SMALL(IF(ISERROR('Temp Hisfa'!P$3:P$200), "", ROW('Temp Hisfa'!P$3:P$200)-MIN(ROW('Temp Hisfa'!P$3:P$200))+1), ROW(191:390))),"")</f>
        <v/>
      </c>
      <c r="Q193" s="22" t="str">
        <f t="array" ref="Q193">IFERROR(INDEX('Temp Hisfa'!Q$3:Q$200, SMALL(IF(ISERROR('Temp Hisfa'!Q$3:Q$200), "", ROW('Temp Hisfa'!Q$3:Q$200)-MIN(ROW('Temp Hisfa'!Q$3:Q$200))+1), ROW(191:390))),"")</f>
        <v/>
      </c>
      <c r="R193" s="22" t="str">
        <f t="array" ref="R193">IFERROR(INDEX('Temp Hisfa'!R$3:R$200, SMALL(IF(ISERROR('Temp Hisfa'!R$3:R$200), "", ROW('Temp Hisfa'!R$3:R$200)-MIN(ROW('Temp Hisfa'!R$3:R$200))+1), ROW(191:390))),"")</f>
        <v/>
      </c>
      <c r="S193" s="22" t="str">
        <f t="array" ref="S193">IFERROR(INDEX('Temp Hisfa'!S$3:S$200, SMALL(IF(ISERROR('Temp Hisfa'!S$3:S$200), "", ROW('Temp Hisfa'!S$3:S$200)-MIN(ROW('Temp Hisfa'!S$3:S$200))+1), ROW(191:390))),"")</f>
        <v/>
      </c>
      <c r="T193" s="22" t="str">
        <f t="array" ref="T193">IFERROR(INDEX('Temp Hisfa'!T$3:T$200, SMALL(IF(ISERROR('Temp Hisfa'!T$3:T$200), "", ROW('Temp Hisfa'!T$3:T$200)-MIN(ROW('Temp Hisfa'!T$3:T$200))+1), ROW(191:390))),"")</f>
        <v/>
      </c>
      <c r="U193" s="22" t="str">
        <f t="array" ref="U193">IFERROR(INDEX('Temp Hisfa'!U$3:U$200, SMALL(IF(ISERROR('Temp Hisfa'!U$3:U$200), "", ROW('Temp Hisfa'!U$3:U$200)-MIN(ROW('Temp Hisfa'!U$3:U$200))+1), ROW(191:390))),"")</f>
        <v/>
      </c>
      <c r="V193" s="22" t="str">
        <f t="array" ref="V193">IFERROR(INDEX('Temp Hisfa'!V$3:V$200, SMALL(IF(ISERROR('Temp Hisfa'!V$3:V$200), "", ROW('Temp Hisfa'!V$3:V$200)-MIN(ROW('Temp Hisfa'!V$3:V$200))+1), ROW(191:390))),"")</f>
        <v/>
      </c>
      <c r="W193" s="22" t="str">
        <f t="array" ref="W193">IFERROR(INDEX('Temp Hisfa'!W$3:W$200, SMALL(IF(ISERROR('Temp Hisfa'!W$3:W$200), "", ROW('Temp Hisfa'!W$3:W$200)-MIN(ROW('Temp Hisfa'!W$3:W$200))+1), ROW(191:390))),"")</f>
        <v/>
      </c>
      <c r="X193" s="22" t="str">
        <f t="array" ref="X193">IFERROR(INDEX('Temp Hisfa'!X$3:X$200, SMALL(IF(ISERROR('Temp Hisfa'!X$3:X$200), "", ROW('Temp Hisfa'!X$3:X$200)-MIN(ROW('Temp Hisfa'!X$3:X$200))+1), ROW(191:390))),"")</f>
        <v/>
      </c>
      <c r="Y193" s="22" t="str">
        <f t="array" ref="Y193">IFERROR(INDEX('Temp Hisfa'!Y$3:Y$200, SMALL(IF(ISERROR('Temp Hisfa'!Y$3:Y$200), "", ROW('Temp Hisfa'!Y$3:Y$200)-MIN(ROW('Temp Hisfa'!Y$3:Y$200))+1), ROW(191:390))),"")</f>
        <v/>
      </c>
      <c r="Z193" s="22" t="str">
        <f t="array" ref="Z193">IFERROR(INDEX('Temp Hisfa'!Z$3:Z$200, SMALL(IF(ISERROR('Temp Hisfa'!Z$3:Z$200), "", ROW('Temp Hisfa'!Z$3:Z$200)-MIN(ROW('Temp Hisfa'!Z$3:Z$200))+1), ROW(191:390))),"")</f>
        <v/>
      </c>
      <c r="AA193" s="22" t="str">
        <f t="array" ref="AA193">IFERROR(INDEX('Temp Hisfa'!AA$3:AA$200, SMALL(IF(ISERROR('Temp Hisfa'!AA$3:AA$200), "", ROW('Temp Hisfa'!AA$3:AA$200)-MIN(ROW('Temp Hisfa'!AA$3:AA$200))+1), ROW(191:390))),"")</f>
        <v/>
      </c>
      <c r="AB193" s="22" t="str">
        <f t="array" ref="AB193">IFERROR(INDEX('Temp Hisfa'!AB$3:AB$200, SMALL(IF(ISERROR('Temp Hisfa'!AB$3:AB$200), "", ROW('Temp Hisfa'!AB$3:AB$200)-MIN(ROW('Temp Hisfa'!AB$3:AB$200))+1), ROW(191:390))),"")</f>
        <v/>
      </c>
    </row>
    <row r="194" spans="1:28" x14ac:dyDescent="0.3">
      <c r="A194" s="4" t="str">
        <f t="array" ref="A194">IFERROR(INDEX('Temp Hisfa'!A$3:A$200, SMALL(IF(ISERROR('Temp Hisfa'!A$3:A$200), "", ROW('Temp Hisfa'!A$3:A$200)-MIN(ROW('Temp Hisfa'!A$3:A$200))+1), ROW(192:390))),"")</f>
        <v/>
      </c>
      <c r="B194" s="4" t="str">
        <f t="array" ref="B194">IFERROR(INDEX('Temp Hisfa'!B$3:B$200, SMALL(IF(ISERROR('Temp Hisfa'!B$3:B$200), "", ROW('Temp Hisfa'!B$3:B$200)-MIN(ROW('Temp Hisfa'!B$3:B$200))+1), ROW(192:390))),"")</f>
        <v/>
      </c>
      <c r="C194" s="3" t="str">
        <f t="array" ref="C194">IFERROR(INDEX('Temp Hisfa'!C$3:C$200, SMALL(IF(ISERROR('Temp Hisfa'!C$3:C$200), "", ROW('Temp Hisfa'!C$3:C$200)-MIN(ROW('Temp Hisfa'!C$3:C$200))+1), ROW(192:390))),"")</f>
        <v/>
      </c>
      <c r="D194" s="3" t="str">
        <f t="array" ref="D194">IFERROR(INDEX('Temp Hisfa'!D$3:D$200, SMALL(IF(ISERROR('Temp Hisfa'!D$3:D$200), "", ROW('Temp Hisfa'!D$3:D$200)-MIN(ROW('Temp Hisfa'!D$3:D$200))+1), ROW(192:390))),"")</f>
        <v/>
      </c>
      <c r="E194" s="29" t="str">
        <f t="array" ref="E194">IFERROR(INDEX('Temp Hisfa'!E$3:E$200, SMALL(IF(ISERROR('Temp Hisfa'!E$3:E$200), "", ROW('Temp Hisfa'!E$3:E$200)-MIN(ROW('Temp Hisfa'!E$3:E$200))+1), ROW(192:391))),"")</f>
        <v/>
      </c>
      <c r="F194" s="22" t="str">
        <f t="array" ref="F194">IFERROR(INDEX('Temp Hisfa'!F$3:F$200, SMALL(IF(ISERROR('Temp Hisfa'!F$3:F$200), "", ROW('Temp Hisfa'!F$3:F$200)-MIN(ROW('Temp Hisfa'!F$3:F$200))+1), ROW(192:391))),"")</f>
        <v/>
      </c>
      <c r="G194" s="30" t="str">
        <f t="array" ref="G194">IFERROR(INDEX('Temp Hisfa'!G$3:G$200, SMALL(IF(ISERROR('Temp Hisfa'!G$3:G$200), "", ROW('Temp Hisfa'!G$3:G$200)-MIN(ROW('Temp Hisfa'!G$3:G$200))+1), ROW(192:391))),"")</f>
        <v/>
      </c>
      <c r="H194" s="22" t="str">
        <f t="array" ref="H194">IFERROR(INDEX('Temp Hisfa'!H$3:H$200, SMALL(IF(ISERROR('Temp Hisfa'!H$3:H$200), "", ROW('Temp Hisfa'!H$3:H$200)-MIN(ROW('Temp Hisfa'!H$3:H$200))+1), ROW(192:391))),"")</f>
        <v/>
      </c>
      <c r="I194" s="22" t="str">
        <f t="array" ref="I194">IFERROR(INDEX('Temp Hisfa'!I$3:I$200, SMALL(IF(ISERROR('Temp Hisfa'!I$3:I$200), "", ROW('Temp Hisfa'!I$3:I$200)-MIN(ROW('Temp Hisfa'!I$3:I$200))+1), ROW(192:391))),"")</f>
        <v/>
      </c>
      <c r="J194" s="22" t="str">
        <f t="array" ref="J194">IFERROR(INDEX('Temp Hisfa'!J$3:J$200, SMALL(IF(ISERROR('Temp Hisfa'!J$3:J$200), "", ROW('Temp Hisfa'!J$3:J$200)-MIN(ROW('Temp Hisfa'!J$3:J$200))+1), ROW(192:391))),"")</f>
        <v/>
      </c>
      <c r="K194" s="30" t="str">
        <f t="array" ref="K194">IFERROR(INDEX('Temp Hisfa'!K$3:K$200, SMALL(IF(ISERROR('Temp Hisfa'!K$3:K$200), "", ROW('Temp Hisfa'!K$3:K$200)-MIN(ROW('Temp Hisfa'!K$3:K$200))+1), ROW(192:391))),"")</f>
        <v/>
      </c>
      <c r="L194" s="22" t="str">
        <f t="array" ref="L194">IFERROR(INDEX('Temp Hisfa'!L$3:L$200, SMALL(IF(ISERROR('Temp Hisfa'!L$3:L$200), "", ROW('Temp Hisfa'!L$3:L$200)-MIN(ROW('Temp Hisfa'!L$3:L$200))+1), ROW(192:391))),"")</f>
        <v/>
      </c>
      <c r="M194" s="22" t="str">
        <f t="array" ref="M194">IFERROR(INDEX('Temp Hisfa'!M$3:M$200, SMALL(IF(ISERROR('Temp Hisfa'!M$3:M$200), "", ROW('Temp Hisfa'!M$3:M$200)-MIN(ROW('Temp Hisfa'!M$3:M$200))+1), ROW(192:391))),"")</f>
        <v/>
      </c>
      <c r="N194" s="22" t="str">
        <f t="array" ref="N194">IFERROR(INDEX('Temp Hisfa'!N$3:N$200, SMALL(IF(ISERROR('Temp Hisfa'!N$3:N$200), "", ROW('Temp Hisfa'!N$3:N$200)-MIN(ROW('Temp Hisfa'!N$3:N$200))+1), ROW(192:391))),"")</f>
        <v/>
      </c>
      <c r="O194" s="22" t="str">
        <f t="array" ref="O194">IFERROR(INDEX('Temp Hisfa'!O$3:O$200, SMALL(IF(ISERROR('Temp Hisfa'!O$3:O$200), "", ROW('Temp Hisfa'!O$3:O$200)-MIN(ROW('Temp Hisfa'!O$3:O$200))+1), ROW(192:391))),"")</f>
        <v/>
      </c>
      <c r="P194" s="22" t="str">
        <f t="array" ref="P194">IFERROR(INDEX('Temp Hisfa'!P$3:P$200, SMALL(IF(ISERROR('Temp Hisfa'!P$3:P$200), "", ROW('Temp Hisfa'!P$3:P$200)-MIN(ROW('Temp Hisfa'!P$3:P$200))+1), ROW(192:391))),"")</f>
        <v/>
      </c>
      <c r="Q194" s="22" t="str">
        <f t="array" ref="Q194">IFERROR(INDEX('Temp Hisfa'!Q$3:Q$200, SMALL(IF(ISERROR('Temp Hisfa'!Q$3:Q$200), "", ROW('Temp Hisfa'!Q$3:Q$200)-MIN(ROW('Temp Hisfa'!Q$3:Q$200))+1), ROW(192:391))),"")</f>
        <v/>
      </c>
      <c r="R194" s="22" t="str">
        <f t="array" ref="R194">IFERROR(INDEX('Temp Hisfa'!R$3:R$200, SMALL(IF(ISERROR('Temp Hisfa'!R$3:R$200), "", ROW('Temp Hisfa'!R$3:R$200)-MIN(ROW('Temp Hisfa'!R$3:R$200))+1), ROW(192:391))),"")</f>
        <v/>
      </c>
      <c r="S194" s="22" t="str">
        <f t="array" ref="S194">IFERROR(INDEX('Temp Hisfa'!S$3:S$200, SMALL(IF(ISERROR('Temp Hisfa'!S$3:S$200), "", ROW('Temp Hisfa'!S$3:S$200)-MIN(ROW('Temp Hisfa'!S$3:S$200))+1), ROW(192:391))),"")</f>
        <v/>
      </c>
      <c r="T194" s="22" t="str">
        <f t="array" ref="T194">IFERROR(INDEX('Temp Hisfa'!T$3:T$200, SMALL(IF(ISERROR('Temp Hisfa'!T$3:T$200), "", ROW('Temp Hisfa'!T$3:T$200)-MIN(ROW('Temp Hisfa'!T$3:T$200))+1), ROW(192:391))),"")</f>
        <v/>
      </c>
      <c r="U194" s="22" t="str">
        <f t="array" ref="U194">IFERROR(INDEX('Temp Hisfa'!U$3:U$200, SMALL(IF(ISERROR('Temp Hisfa'!U$3:U$200), "", ROW('Temp Hisfa'!U$3:U$200)-MIN(ROW('Temp Hisfa'!U$3:U$200))+1), ROW(192:391))),"")</f>
        <v/>
      </c>
      <c r="V194" s="22" t="str">
        <f t="array" ref="V194">IFERROR(INDEX('Temp Hisfa'!V$3:V$200, SMALL(IF(ISERROR('Temp Hisfa'!V$3:V$200), "", ROW('Temp Hisfa'!V$3:V$200)-MIN(ROW('Temp Hisfa'!V$3:V$200))+1), ROW(192:391))),"")</f>
        <v/>
      </c>
      <c r="W194" s="22" t="str">
        <f t="array" ref="W194">IFERROR(INDEX('Temp Hisfa'!W$3:W$200, SMALL(IF(ISERROR('Temp Hisfa'!W$3:W$200), "", ROW('Temp Hisfa'!W$3:W$200)-MIN(ROW('Temp Hisfa'!W$3:W$200))+1), ROW(192:391))),"")</f>
        <v/>
      </c>
      <c r="X194" s="22" t="str">
        <f t="array" ref="X194">IFERROR(INDEX('Temp Hisfa'!X$3:X$200, SMALL(IF(ISERROR('Temp Hisfa'!X$3:X$200), "", ROW('Temp Hisfa'!X$3:X$200)-MIN(ROW('Temp Hisfa'!X$3:X$200))+1), ROW(192:391))),"")</f>
        <v/>
      </c>
      <c r="Y194" s="22" t="str">
        <f t="array" ref="Y194">IFERROR(INDEX('Temp Hisfa'!Y$3:Y$200, SMALL(IF(ISERROR('Temp Hisfa'!Y$3:Y$200), "", ROW('Temp Hisfa'!Y$3:Y$200)-MIN(ROW('Temp Hisfa'!Y$3:Y$200))+1), ROW(192:391))),"")</f>
        <v/>
      </c>
      <c r="Z194" s="22" t="str">
        <f t="array" ref="Z194">IFERROR(INDEX('Temp Hisfa'!Z$3:Z$200, SMALL(IF(ISERROR('Temp Hisfa'!Z$3:Z$200), "", ROW('Temp Hisfa'!Z$3:Z$200)-MIN(ROW('Temp Hisfa'!Z$3:Z$200))+1), ROW(192:391))),"")</f>
        <v/>
      </c>
      <c r="AA194" s="22" t="str">
        <f t="array" ref="AA194">IFERROR(INDEX('Temp Hisfa'!AA$3:AA$200, SMALL(IF(ISERROR('Temp Hisfa'!AA$3:AA$200), "", ROW('Temp Hisfa'!AA$3:AA$200)-MIN(ROW('Temp Hisfa'!AA$3:AA$200))+1), ROW(192:391))),"")</f>
        <v/>
      </c>
      <c r="AB194" s="22" t="str">
        <f t="array" ref="AB194">IFERROR(INDEX('Temp Hisfa'!AB$3:AB$200, SMALL(IF(ISERROR('Temp Hisfa'!AB$3:AB$200), "", ROW('Temp Hisfa'!AB$3:AB$200)-MIN(ROW('Temp Hisfa'!AB$3:AB$200))+1), ROW(192:391))),"")</f>
        <v/>
      </c>
    </row>
    <row r="195" spans="1:28" x14ac:dyDescent="0.3">
      <c r="A195" s="4" t="str">
        <f t="array" ref="A195">IFERROR(INDEX('Temp Hisfa'!A$3:A$200, SMALL(IF(ISERROR('Temp Hisfa'!A$3:A$200), "", ROW('Temp Hisfa'!A$3:A$200)-MIN(ROW('Temp Hisfa'!A$3:A$200))+1), ROW(193:391))),"")</f>
        <v/>
      </c>
      <c r="B195" s="4" t="str">
        <f t="array" ref="B195">IFERROR(INDEX('Temp Hisfa'!B$3:B$200, SMALL(IF(ISERROR('Temp Hisfa'!B$3:B$200), "", ROW('Temp Hisfa'!B$3:B$200)-MIN(ROW('Temp Hisfa'!B$3:B$200))+1), ROW(193:391))),"")</f>
        <v/>
      </c>
      <c r="C195" s="3" t="str">
        <f t="array" ref="C195">IFERROR(INDEX('Temp Hisfa'!C$3:C$200, SMALL(IF(ISERROR('Temp Hisfa'!C$3:C$200), "", ROW('Temp Hisfa'!C$3:C$200)-MIN(ROW('Temp Hisfa'!C$3:C$200))+1), ROW(193:391))),"")</f>
        <v/>
      </c>
      <c r="D195" s="3" t="str">
        <f t="array" ref="D195">IFERROR(INDEX('Temp Hisfa'!D$3:D$200, SMALL(IF(ISERROR('Temp Hisfa'!D$3:D$200), "", ROW('Temp Hisfa'!D$3:D$200)-MIN(ROW('Temp Hisfa'!D$3:D$200))+1), ROW(193:391))),"")</f>
        <v/>
      </c>
      <c r="E195" s="29" t="str">
        <f t="array" ref="E195">IFERROR(INDEX('Temp Hisfa'!E$3:E$200, SMALL(IF(ISERROR('Temp Hisfa'!E$3:E$200), "", ROW('Temp Hisfa'!E$3:E$200)-MIN(ROW('Temp Hisfa'!E$3:E$200))+1), ROW(193:392))),"")</f>
        <v/>
      </c>
      <c r="F195" s="22" t="str">
        <f t="array" ref="F195">IFERROR(INDEX('Temp Hisfa'!F$3:F$200, SMALL(IF(ISERROR('Temp Hisfa'!F$3:F$200), "", ROW('Temp Hisfa'!F$3:F$200)-MIN(ROW('Temp Hisfa'!F$3:F$200))+1), ROW(193:392))),"")</f>
        <v/>
      </c>
      <c r="G195" s="30" t="str">
        <f t="array" ref="G195">IFERROR(INDEX('Temp Hisfa'!G$3:G$200, SMALL(IF(ISERROR('Temp Hisfa'!G$3:G$200), "", ROW('Temp Hisfa'!G$3:G$200)-MIN(ROW('Temp Hisfa'!G$3:G$200))+1), ROW(193:392))),"")</f>
        <v/>
      </c>
      <c r="H195" s="22" t="str">
        <f t="array" ref="H195">IFERROR(INDEX('Temp Hisfa'!H$3:H$200, SMALL(IF(ISERROR('Temp Hisfa'!H$3:H$200), "", ROW('Temp Hisfa'!H$3:H$200)-MIN(ROW('Temp Hisfa'!H$3:H$200))+1), ROW(193:392))),"")</f>
        <v/>
      </c>
      <c r="I195" s="22" t="str">
        <f t="array" ref="I195">IFERROR(INDEX('Temp Hisfa'!I$3:I$200, SMALL(IF(ISERROR('Temp Hisfa'!I$3:I$200), "", ROW('Temp Hisfa'!I$3:I$200)-MIN(ROW('Temp Hisfa'!I$3:I$200))+1), ROW(193:392))),"")</f>
        <v/>
      </c>
      <c r="J195" s="22" t="str">
        <f t="array" ref="J195">IFERROR(INDEX('Temp Hisfa'!J$3:J$200, SMALL(IF(ISERROR('Temp Hisfa'!J$3:J$200), "", ROW('Temp Hisfa'!J$3:J$200)-MIN(ROW('Temp Hisfa'!J$3:J$200))+1), ROW(193:392))),"")</f>
        <v/>
      </c>
      <c r="K195" s="30" t="str">
        <f t="array" ref="K195">IFERROR(INDEX('Temp Hisfa'!K$3:K$200, SMALL(IF(ISERROR('Temp Hisfa'!K$3:K$200), "", ROW('Temp Hisfa'!K$3:K$200)-MIN(ROW('Temp Hisfa'!K$3:K$200))+1), ROW(193:392))),"")</f>
        <v/>
      </c>
      <c r="L195" s="22" t="str">
        <f t="array" ref="L195">IFERROR(INDEX('Temp Hisfa'!L$3:L$200, SMALL(IF(ISERROR('Temp Hisfa'!L$3:L$200), "", ROW('Temp Hisfa'!L$3:L$200)-MIN(ROW('Temp Hisfa'!L$3:L$200))+1), ROW(193:392))),"")</f>
        <v/>
      </c>
      <c r="M195" s="22" t="str">
        <f t="array" ref="M195">IFERROR(INDEX('Temp Hisfa'!M$3:M$200, SMALL(IF(ISERROR('Temp Hisfa'!M$3:M$200), "", ROW('Temp Hisfa'!M$3:M$200)-MIN(ROW('Temp Hisfa'!M$3:M$200))+1), ROW(193:392))),"")</f>
        <v/>
      </c>
      <c r="N195" s="22" t="str">
        <f t="array" ref="N195">IFERROR(INDEX('Temp Hisfa'!N$3:N$200, SMALL(IF(ISERROR('Temp Hisfa'!N$3:N$200), "", ROW('Temp Hisfa'!N$3:N$200)-MIN(ROW('Temp Hisfa'!N$3:N$200))+1), ROW(193:392))),"")</f>
        <v/>
      </c>
      <c r="O195" s="22" t="str">
        <f t="array" ref="O195">IFERROR(INDEX('Temp Hisfa'!O$3:O$200, SMALL(IF(ISERROR('Temp Hisfa'!O$3:O$200), "", ROW('Temp Hisfa'!O$3:O$200)-MIN(ROW('Temp Hisfa'!O$3:O$200))+1), ROW(193:392))),"")</f>
        <v/>
      </c>
      <c r="P195" s="22" t="str">
        <f t="array" ref="P195">IFERROR(INDEX('Temp Hisfa'!P$3:P$200, SMALL(IF(ISERROR('Temp Hisfa'!P$3:P$200), "", ROW('Temp Hisfa'!P$3:P$200)-MIN(ROW('Temp Hisfa'!P$3:P$200))+1), ROW(193:392))),"")</f>
        <v/>
      </c>
      <c r="Q195" s="22" t="str">
        <f t="array" ref="Q195">IFERROR(INDEX('Temp Hisfa'!Q$3:Q$200, SMALL(IF(ISERROR('Temp Hisfa'!Q$3:Q$200), "", ROW('Temp Hisfa'!Q$3:Q$200)-MIN(ROW('Temp Hisfa'!Q$3:Q$200))+1), ROW(193:392))),"")</f>
        <v/>
      </c>
      <c r="R195" s="22" t="str">
        <f t="array" ref="R195">IFERROR(INDEX('Temp Hisfa'!R$3:R$200, SMALL(IF(ISERROR('Temp Hisfa'!R$3:R$200), "", ROW('Temp Hisfa'!R$3:R$200)-MIN(ROW('Temp Hisfa'!R$3:R$200))+1), ROW(193:392))),"")</f>
        <v/>
      </c>
      <c r="S195" s="22" t="str">
        <f t="array" ref="S195">IFERROR(INDEX('Temp Hisfa'!S$3:S$200, SMALL(IF(ISERROR('Temp Hisfa'!S$3:S$200), "", ROW('Temp Hisfa'!S$3:S$200)-MIN(ROW('Temp Hisfa'!S$3:S$200))+1), ROW(193:392))),"")</f>
        <v/>
      </c>
      <c r="T195" s="22" t="str">
        <f t="array" ref="T195">IFERROR(INDEX('Temp Hisfa'!T$3:T$200, SMALL(IF(ISERROR('Temp Hisfa'!T$3:T$200), "", ROW('Temp Hisfa'!T$3:T$200)-MIN(ROW('Temp Hisfa'!T$3:T$200))+1), ROW(193:392))),"")</f>
        <v/>
      </c>
      <c r="U195" s="22" t="str">
        <f t="array" ref="U195">IFERROR(INDEX('Temp Hisfa'!U$3:U$200, SMALL(IF(ISERROR('Temp Hisfa'!U$3:U$200), "", ROW('Temp Hisfa'!U$3:U$200)-MIN(ROW('Temp Hisfa'!U$3:U$200))+1), ROW(193:392))),"")</f>
        <v/>
      </c>
      <c r="V195" s="22" t="str">
        <f t="array" ref="V195">IFERROR(INDEX('Temp Hisfa'!V$3:V$200, SMALL(IF(ISERROR('Temp Hisfa'!V$3:V$200), "", ROW('Temp Hisfa'!V$3:V$200)-MIN(ROW('Temp Hisfa'!V$3:V$200))+1), ROW(193:392))),"")</f>
        <v/>
      </c>
      <c r="W195" s="22" t="str">
        <f t="array" ref="W195">IFERROR(INDEX('Temp Hisfa'!W$3:W$200, SMALL(IF(ISERROR('Temp Hisfa'!W$3:W$200), "", ROW('Temp Hisfa'!W$3:W$200)-MIN(ROW('Temp Hisfa'!W$3:W$200))+1), ROW(193:392))),"")</f>
        <v/>
      </c>
      <c r="X195" s="22" t="str">
        <f t="array" ref="X195">IFERROR(INDEX('Temp Hisfa'!X$3:X$200, SMALL(IF(ISERROR('Temp Hisfa'!X$3:X$200), "", ROW('Temp Hisfa'!X$3:X$200)-MIN(ROW('Temp Hisfa'!X$3:X$200))+1), ROW(193:392))),"")</f>
        <v/>
      </c>
      <c r="Y195" s="22" t="str">
        <f t="array" ref="Y195">IFERROR(INDEX('Temp Hisfa'!Y$3:Y$200, SMALL(IF(ISERROR('Temp Hisfa'!Y$3:Y$200), "", ROW('Temp Hisfa'!Y$3:Y$200)-MIN(ROW('Temp Hisfa'!Y$3:Y$200))+1), ROW(193:392))),"")</f>
        <v/>
      </c>
      <c r="Z195" s="22" t="str">
        <f t="array" ref="Z195">IFERROR(INDEX('Temp Hisfa'!Z$3:Z$200, SMALL(IF(ISERROR('Temp Hisfa'!Z$3:Z$200), "", ROW('Temp Hisfa'!Z$3:Z$200)-MIN(ROW('Temp Hisfa'!Z$3:Z$200))+1), ROW(193:392))),"")</f>
        <v/>
      </c>
      <c r="AA195" s="22" t="str">
        <f t="array" ref="AA195">IFERROR(INDEX('Temp Hisfa'!AA$3:AA$200, SMALL(IF(ISERROR('Temp Hisfa'!AA$3:AA$200), "", ROW('Temp Hisfa'!AA$3:AA$200)-MIN(ROW('Temp Hisfa'!AA$3:AA$200))+1), ROW(193:392))),"")</f>
        <v/>
      </c>
      <c r="AB195" s="22" t="str">
        <f t="array" ref="AB195">IFERROR(INDEX('Temp Hisfa'!AB$3:AB$200, SMALL(IF(ISERROR('Temp Hisfa'!AB$3:AB$200), "", ROW('Temp Hisfa'!AB$3:AB$200)-MIN(ROW('Temp Hisfa'!AB$3:AB$200))+1), ROW(193:392))),"")</f>
        <v/>
      </c>
    </row>
    <row r="196" spans="1:28" x14ac:dyDescent="0.3">
      <c r="A196" s="4" t="str">
        <f t="array" ref="A196">IFERROR(INDEX('Temp Hisfa'!A$3:A$200, SMALL(IF(ISERROR('Temp Hisfa'!A$3:A$200), "", ROW('Temp Hisfa'!A$3:A$200)-MIN(ROW('Temp Hisfa'!A$3:A$200))+1), ROW(194:392))),"")</f>
        <v/>
      </c>
      <c r="B196" s="4" t="str">
        <f t="array" ref="B196">IFERROR(INDEX('Temp Hisfa'!B$3:B$200, SMALL(IF(ISERROR('Temp Hisfa'!B$3:B$200), "", ROW('Temp Hisfa'!B$3:B$200)-MIN(ROW('Temp Hisfa'!B$3:B$200))+1), ROW(194:392))),"")</f>
        <v/>
      </c>
      <c r="C196" s="3" t="str">
        <f t="array" ref="C196">IFERROR(INDEX('Temp Hisfa'!C$3:C$200, SMALL(IF(ISERROR('Temp Hisfa'!C$3:C$200), "", ROW('Temp Hisfa'!C$3:C$200)-MIN(ROW('Temp Hisfa'!C$3:C$200))+1), ROW(194:392))),"")</f>
        <v/>
      </c>
      <c r="D196" s="3" t="str">
        <f t="array" ref="D196">IFERROR(INDEX('Temp Hisfa'!D$3:D$200, SMALL(IF(ISERROR('Temp Hisfa'!D$3:D$200), "", ROW('Temp Hisfa'!D$3:D$200)-MIN(ROW('Temp Hisfa'!D$3:D$200))+1), ROW(194:392))),"")</f>
        <v/>
      </c>
      <c r="E196" s="29" t="str">
        <f t="array" ref="E196">IFERROR(INDEX('Temp Hisfa'!E$3:E$200, SMALL(IF(ISERROR('Temp Hisfa'!E$3:E$200), "", ROW('Temp Hisfa'!E$3:E$200)-MIN(ROW('Temp Hisfa'!E$3:E$200))+1), ROW(194:393))),"")</f>
        <v/>
      </c>
      <c r="F196" s="22" t="str">
        <f t="array" ref="F196">IFERROR(INDEX('Temp Hisfa'!F$3:F$200, SMALL(IF(ISERROR('Temp Hisfa'!F$3:F$200), "", ROW('Temp Hisfa'!F$3:F$200)-MIN(ROW('Temp Hisfa'!F$3:F$200))+1), ROW(194:393))),"")</f>
        <v/>
      </c>
      <c r="G196" s="30" t="str">
        <f t="array" ref="G196">IFERROR(INDEX('Temp Hisfa'!G$3:G$200, SMALL(IF(ISERROR('Temp Hisfa'!G$3:G$200), "", ROW('Temp Hisfa'!G$3:G$200)-MIN(ROW('Temp Hisfa'!G$3:G$200))+1), ROW(194:393))),"")</f>
        <v/>
      </c>
      <c r="H196" s="22" t="str">
        <f t="array" ref="H196">IFERROR(INDEX('Temp Hisfa'!H$3:H$200, SMALL(IF(ISERROR('Temp Hisfa'!H$3:H$200), "", ROW('Temp Hisfa'!H$3:H$200)-MIN(ROW('Temp Hisfa'!H$3:H$200))+1), ROW(194:393))),"")</f>
        <v/>
      </c>
      <c r="I196" s="22" t="str">
        <f t="array" ref="I196">IFERROR(INDEX('Temp Hisfa'!I$3:I$200, SMALL(IF(ISERROR('Temp Hisfa'!I$3:I$200), "", ROW('Temp Hisfa'!I$3:I$200)-MIN(ROW('Temp Hisfa'!I$3:I$200))+1), ROW(194:393))),"")</f>
        <v/>
      </c>
      <c r="J196" s="22" t="str">
        <f t="array" ref="J196">IFERROR(INDEX('Temp Hisfa'!J$3:J$200, SMALL(IF(ISERROR('Temp Hisfa'!J$3:J$200), "", ROW('Temp Hisfa'!J$3:J$200)-MIN(ROW('Temp Hisfa'!J$3:J$200))+1), ROW(194:393))),"")</f>
        <v/>
      </c>
      <c r="K196" s="30" t="str">
        <f t="array" ref="K196">IFERROR(INDEX('Temp Hisfa'!K$3:K$200, SMALL(IF(ISERROR('Temp Hisfa'!K$3:K$200), "", ROW('Temp Hisfa'!K$3:K$200)-MIN(ROW('Temp Hisfa'!K$3:K$200))+1), ROW(194:393))),"")</f>
        <v/>
      </c>
      <c r="L196" s="22" t="str">
        <f t="array" ref="L196">IFERROR(INDEX('Temp Hisfa'!L$3:L$200, SMALL(IF(ISERROR('Temp Hisfa'!L$3:L$200), "", ROW('Temp Hisfa'!L$3:L$200)-MIN(ROW('Temp Hisfa'!L$3:L$200))+1), ROW(194:393))),"")</f>
        <v/>
      </c>
      <c r="M196" s="22" t="str">
        <f t="array" ref="M196">IFERROR(INDEX('Temp Hisfa'!M$3:M$200, SMALL(IF(ISERROR('Temp Hisfa'!M$3:M$200), "", ROW('Temp Hisfa'!M$3:M$200)-MIN(ROW('Temp Hisfa'!M$3:M$200))+1), ROW(194:393))),"")</f>
        <v/>
      </c>
      <c r="N196" s="22" t="str">
        <f t="array" ref="N196">IFERROR(INDEX('Temp Hisfa'!N$3:N$200, SMALL(IF(ISERROR('Temp Hisfa'!N$3:N$200), "", ROW('Temp Hisfa'!N$3:N$200)-MIN(ROW('Temp Hisfa'!N$3:N$200))+1), ROW(194:393))),"")</f>
        <v/>
      </c>
      <c r="O196" s="22" t="str">
        <f t="array" ref="O196">IFERROR(INDEX('Temp Hisfa'!O$3:O$200, SMALL(IF(ISERROR('Temp Hisfa'!O$3:O$200), "", ROW('Temp Hisfa'!O$3:O$200)-MIN(ROW('Temp Hisfa'!O$3:O$200))+1), ROW(194:393))),"")</f>
        <v/>
      </c>
      <c r="P196" s="22" t="str">
        <f t="array" ref="P196">IFERROR(INDEX('Temp Hisfa'!P$3:P$200, SMALL(IF(ISERROR('Temp Hisfa'!P$3:P$200), "", ROW('Temp Hisfa'!P$3:P$200)-MIN(ROW('Temp Hisfa'!P$3:P$200))+1), ROW(194:393))),"")</f>
        <v/>
      </c>
      <c r="Q196" s="22" t="str">
        <f t="array" ref="Q196">IFERROR(INDEX('Temp Hisfa'!Q$3:Q$200, SMALL(IF(ISERROR('Temp Hisfa'!Q$3:Q$200), "", ROW('Temp Hisfa'!Q$3:Q$200)-MIN(ROW('Temp Hisfa'!Q$3:Q$200))+1), ROW(194:393))),"")</f>
        <v/>
      </c>
      <c r="R196" s="22" t="str">
        <f t="array" ref="R196">IFERROR(INDEX('Temp Hisfa'!R$3:R$200, SMALL(IF(ISERROR('Temp Hisfa'!R$3:R$200), "", ROW('Temp Hisfa'!R$3:R$200)-MIN(ROW('Temp Hisfa'!R$3:R$200))+1), ROW(194:393))),"")</f>
        <v/>
      </c>
      <c r="S196" s="22" t="str">
        <f t="array" ref="S196">IFERROR(INDEX('Temp Hisfa'!S$3:S$200, SMALL(IF(ISERROR('Temp Hisfa'!S$3:S$200), "", ROW('Temp Hisfa'!S$3:S$200)-MIN(ROW('Temp Hisfa'!S$3:S$200))+1), ROW(194:393))),"")</f>
        <v/>
      </c>
      <c r="T196" s="22" t="str">
        <f t="array" ref="T196">IFERROR(INDEX('Temp Hisfa'!T$3:T$200, SMALL(IF(ISERROR('Temp Hisfa'!T$3:T$200), "", ROW('Temp Hisfa'!T$3:T$200)-MIN(ROW('Temp Hisfa'!T$3:T$200))+1), ROW(194:393))),"")</f>
        <v/>
      </c>
      <c r="U196" s="22" t="str">
        <f t="array" ref="U196">IFERROR(INDEX('Temp Hisfa'!U$3:U$200, SMALL(IF(ISERROR('Temp Hisfa'!U$3:U$200), "", ROW('Temp Hisfa'!U$3:U$200)-MIN(ROW('Temp Hisfa'!U$3:U$200))+1), ROW(194:393))),"")</f>
        <v/>
      </c>
      <c r="V196" s="22" t="str">
        <f t="array" ref="V196">IFERROR(INDEX('Temp Hisfa'!V$3:V$200, SMALL(IF(ISERROR('Temp Hisfa'!V$3:V$200), "", ROW('Temp Hisfa'!V$3:V$200)-MIN(ROW('Temp Hisfa'!V$3:V$200))+1), ROW(194:393))),"")</f>
        <v/>
      </c>
      <c r="W196" s="22" t="str">
        <f t="array" ref="W196">IFERROR(INDEX('Temp Hisfa'!W$3:W$200, SMALL(IF(ISERROR('Temp Hisfa'!W$3:W$200), "", ROW('Temp Hisfa'!W$3:W$200)-MIN(ROW('Temp Hisfa'!W$3:W$200))+1), ROW(194:393))),"")</f>
        <v/>
      </c>
      <c r="X196" s="22" t="str">
        <f t="array" ref="X196">IFERROR(INDEX('Temp Hisfa'!X$3:X$200, SMALL(IF(ISERROR('Temp Hisfa'!X$3:X$200), "", ROW('Temp Hisfa'!X$3:X$200)-MIN(ROW('Temp Hisfa'!X$3:X$200))+1), ROW(194:393))),"")</f>
        <v/>
      </c>
      <c r="Y196" s="22" t="str">
        <f t="array" ref="Y196">IFERROR(INDEX('Temp Hisfa'!Y$3:Y$200, SMALL(IF(ISERROR('Temp Hisfa'!Y$3:Y$200), "", ROW('Temp Hisfa'!Y$3:Y$200)-MIN(ROW('Temp Hisfa'!Y$3:Y$200))+1), ROW(194:393))),"")</f>
        <v/>
      </c>
      <c r="Z196" s="22" t="str">
        <f t="array" ref="Z196">IFERROR(INDEX('Temp Hisfa'!Z$3:Z$200, SMALL(IF(ISERROR('Temp Hisfa'!Z$3:Z$200), "", ROW('Temp Hisfa'!Z$3:Z$200)-MIN(ROW('Temp Hisfa'!Z$3:Z$200))+1), ROW(194:393))),"")</f>
        <v/>
      </c>
      <c r="AA196" s="22" t="str">
        <f t="array" ref="AA196">IFERROR(INDEX('Temp Hisfa'!AA$3:AA$200, SMALL(IF(ISERROR('Temp Hisfa'!AA$3:AA$200), "", ROW('Temp Hisfa'!AA$3:AA$200)-MIN(ROW('Temp Hisfa'!AA$3:AA$200))+1), ROW(194:393))),"")</f>
        <v/>
      </c>
      <c r="AB196" s="22" t="str">
        <f t="array" ref="AB196">IFERROR(INDEX('Temp Hisfa'!AB$3:AB$200, SMALL(IF(ISERROR('Temp Hisfa'!AB$3:AB$200), "", ROW('Temp Hisfa'!AB$3:AB$200)-MIN(ROW('Temp Hisfa'!AB$3:AB$200))+1), ROW(194:393))),"")</f>
        <v/>
      </c>
    </row>
    <row r="197" spans="1:28" x14ac:dyDescent="0.3">
      <c r="A197" s="4" t="str">
        <f t="array" ref="A197">IFERROR(INDEX('Temp Hisfa'!A$3:A$200, SMALL(IF(ISERROR('Temp Hisfa'!A$3:A$200), "", ROW('Temp Hisfa'!A$3:A$200)-MIN(ROW('Temp Hisfa'!A$3:A$200))+1), ROW(195:393))),"")</f>
        <v/>
      </c>
      <c r="B197" s="4" t="str">
        <f t="array" ref="B197">IFERROR(INDEX('Temp Hisfa'!B$3:B$200, SMALL(IF(ISERROR('Temp Hisfa'!B$3:B$200), "", ROW('Temp Hisfa'!B$3:B$200)-MIN(ROW('Temp Hisfa'!B$3:B$200))+1), ROW(195:393))),"")</f>
        <v/>
      </c>
      <c r="C197" s="3" t="str">
        <f t="array" ref="C197">IFERROR(INDEX('Temp Hisfa'!C$3:C$200, SMALL(IF(ISERROR('Temp Hisfa'!C$3:C$200), "", ROW('Temp Hisfa'!C$3:C$200)-MIN(ROW('Temp Hisfa'!C$3:C$200))+1), ROW(195:393))),"")</f>
        <v/>
      </c>
      <c r="D197" s="3" t="str">
        <f t="array" ref="D197">IFERROR(INDEX('Temp Hisfa'!D$3:D$200, SMALL(IF(ISERROR('Temp Hisfa'!D$3:D$200), "", ROW('Temp Hisfa'!D$3:D$200)-MIN(ROW('Temp Hisfa'!D$3:D$200))+1), ROW(195:393))),"")</f>
        <v/>
      </c>
      <c r="E197" s="29" t="str">
        <f t="array" ref="E197">IFERROR(INDEX('Temp Hisfa'!E$3:E$200, SMALL(IF(ISERROR('Temp Hisfa'!E$3:E$200), "", ROW('Temp Hisfa'!E$3:E$200)-MIN(ROW('Temp Hisfa'!E$3:E$200))+1), ROW(195:394))),"")</f>
        <v/>
      </c>
      <c r="F197" s="22" t="str">
        <f t="array" ref="F197">IFERROR(INDEX('Temp Hisfa'!F$3:F$200, SMALL(IF(ISERROR('Temp Hisfa'!F$3:F$200), "", ROW('Temp Hisfa'!F$3:F$200)-MIN(ROW('Temp Hisfa'!F$3:F$200))+1), ROW(195:394))),"")</f>
        <v/>
      </c>
      <c r="G197" s="30" t="str">
        <f t="array" ref="G197">IFERROR(INDEX('Temp Hisfa'!G$3:G$200, SMALL(IF(ISERROR('Temp Hisfa'!G$3:G$200), "", ROW('Temp Hisfa'!G$3:G$200)-MIN(ROW('Temp Hisfa'!G$3:G$200))+1), ROW(195:394))),"")</f>
        <v/>
      </c>
      <c r="H197" s="22" t="str">
        <f t="array" ref="H197">IFERROR(INDEX('Temp Hisfa'!H$3:H$200, SMALL(IF(ISERROR('Temp Hisfa'!H$3:H$200), "", ROW('Temp Hisfa'!H$3:H$200)-MIN(ROW('Temp Hisfa'!H$3:H$200))+1), ROW(195:394))),"")</f>
        <v/>
      </c>
      <c r="I197" s="22" t="str">
        <f t="array" ref="I197">IFERROR(INDEX('Temp Hisfa'!I$3:I$200, SMALL(IF(ISERROR('Temp Hisfa'!I$3:I$200), "", ROW('Temp Hisfa'!I$3:I$200)-MIN(ROW('Temp Hisfa'!I$3:I$200))+1), ROW(195:394))),"")</f>
        <v/>
      </c>
      <c r="J197" s="22" t="str">
        <f t="array" ref="J197">IFERROR(INDEX('Temp Hisfa'!J$3:J$200, SMALL(IF(ISERROR('Temp Hisfa'!J$3:J$200), "", ROW('Temp Hisfa'!J$3:J$200)-MIN(ROW('Temp Hisfa'!J$3:J$200))+1), ROW(195:394))),"")</f>
        <v/>
      </c>
      <c r="K197" s="30" t="str">
        <f t="array" ref="K197">IFERROR(INDEX('Temp Hisfa'!K$3:K$200, SMALL(IF(ISERROR('Temp Hisfa'!K$3:K$200), "", ROW('Temp Hisfa'!K$3:K$200)-MIN(ROW('Temp Hisfa'!K$3:K$200))+1), ROW(195:394))),"")</f>
        <v/>
      </c>
      <c r="L197" s="22" t="str">
        <f t="array" ref="L197">IFERROR(INDEX('Temp Hisfa'!L$3:L$200, SMALL(IF(ISERROR('Temp Hisfa'!L$3:L$200), "", ROW('Temp Hisfa'!L$3:L$200)-MIN(ROW('Temp Hisfa'!L$3:L$200))+1), ROW(195:394))),"")</f>
        <v/>
      </c>
      <c r="M197" s="22" t="str">
        <f t="array" ref="M197">IFERROR(INDEX('Temp Hisfa'!M$3:M$200, SMALL(IF(ISERROR('Temp Hisfa'!M$3:M$200), "", ROW('Temp Hisfa'!M$3:M$200)-MIN(ROW('Temp Hisfa'!M$3:M$200))+1), ROW(195:394))),"")</f>
        <v/>
      </c>
      <c r="N197" s="22" t="str">
        <f t="array" ref="N197">IFERROR(INDEX('Temp Hisfa'!N$3:N$200, SMALL(IF(ISERROR('Temp Hisfa'!N$3:N$200), "", ROW('Temp Hisfa'!N$3:N$200)-MIN(ROW('Temp Hisfa'!N$3:N$200))+1), ROW(195:394))),"")</f>
        <v/>
      </c>
      <c r="O197" s="22" t="str">
        <f t="array" ref="O197">IFERROR(INDEX('Temp Hisfa'!O$3:O$200, SMALL(IF(ISERROR('Temp Hisfa'!O$3:O$200), "", ROW('Temp Hisfa'!O$3:O$200)-MIN(ROW('Temp Hisfa'!O$3:O$200))+1), ROW(195:394))),"")</f>
        <v/>
      </c>
      <c r="P197" s="22" t="str">
        <f t="array" ref="P197">IFERROR(INDEX('Temp Hisfa'!P$3:P$200, SMALL(IF(ISERROR('Temp Hisfa'!P$3:P$200), "", ROW('Temp Hisfa'!P$3:P$200)-MIN(ROW('Temp Hisfa'!P$3:P$200))+1), ROW(195:394))),"")</f>
        <v/>
      </c>
      <c r="Q197" s="22" t="str">
        <f t="array" ref="Q197">IFERROR(INDEX('Temp Hisfa'!Q$3:Q$200, SMALL(IF(ISERROR('Temp Hisfa'!Q$3:Q$200), "", ROW('Temp Hisfa'!Q$3:Q$200)-MIN(ROW('Temp Hisfa'!Q$3:Q$200))+1), ROW(195:394))),"")</f>
        <v/>
      </c>
      <c r="R197" s="22" t="str">
        <f t="array" ref="R197">IFERROR(INDEX('Temp Hisfa'!R$3:R$200, SMALL(IF(ISERROR('Temp Hisfa'!R$3:R$200), "", ROW('Temp Hisfa'!R$3:R$200)-MIN(ROW('Temp Hisfa'!R$3:R$200))+1), ROW(195:394))),"")</f>
        <v/>
      </c>
      <c r="S197" s="22" t="str">
        <f t="array" ref="S197">IFERROR(INDEX('Temp Hisfa'!S$3:S$200, SMALL(IF(ISERROR('Temp Hisfa'!S$3:S$200), "", ROW('Temp Hisfa'!S$3:S$200)-MIN(ROW('Temp Hisfa'!S$3:S$200))+1), ROW(195:394))),"")</f>
        <v/>
      </c>
      <c r="T197" s="22" t="str">
        <f t="array" ref="T197">IFERROR(INDEX('Temp Hisfa'!T$3:T$200, SMALL(IF(ISERROR('Temp Hisfa'!T$3:T$200), "", ROW('Temp Hisfa'!T$3:T$200)-MIN(ROW('Temp Hisfa'!T$3:T$200))+1), ROW(195:394))),"")</f>
        <v/>
      </c>
      <c r="U197" s="22" t="str">
        <f t="array" ref="U197">IFERROR(INDEX('Temp Hisfa'!U$3:U$200, SMALL(IF(ISERROR('Temp Hisfa'!U$3:U$200), "", ROW('Temp Hisfa'!U$3:U$200)-MIN(ROW('Temp Hisfa'!U$3:U$200))+1), ROW(195:394))),"")</f>
        <v/>
      </c>
      <c r="V197" s="22" t="str">
        <f t="array" ref="V197">IFERROR(INDEX('Temp Hisfa'!V$3:V$200, SMALL(IF(ISERROR('Temp Hisfa'!V$3:V$200), "", ROW('Temp Hisfa'!V$3:V$200)-MIN(ROW('Temp Hisfa'!V$3:V$200))+1), ROW(195:394))),"")</f>
        <v/>
      </c>
      <c r="W197" s="22" t="str">
        <f t="array" ref="W197">IFERROR(INDEX('Temp Hisfa'!W$3:W$200, SMALL(IF(ISERROR('Temp Hisfa'!W$3:W$200), "", ROW('Temp Hisfa'!W$3:W$200)-MIN(ROW('Temp Hisfa'!W$3:W$200))+1), ROW(195:394))),"")</f>
        <v/>
      </c>
      <c r="X197" s="22" t="str">
        <f t="array" ref="X197">IFERROR(INDEX('Temp Hisfa'!X$3:X$200, SMALL(IF(ISERROR('Temp Hisfa'!X$3:X$200), "", ROW('Temp Hisfa'!X$3:X$200)-MIN(ROW('Temp Hisfa'!X$3:X$200))+1), ROW(195:394))),"")</f>
        <v/>
      </c>
      <c r="Y197" s="22" t="str">
        <f t="array" ref="Y197">IFERROR(INDEX('Temp Hisfa'!Y$3:Y$200, SMALL(IF(ISERROR('Temp Hisfa'!Y$3:Y$200), "", ROW('Temp Hisfa'!Y$3:Y$200)-MIN(ROW('Temp Hisfa'!Y$3:Y$200))+1), ROW(195:394))),"")</f>
        <v/>
      </c>
      <c r="Z197" s="22" t="str">
        <f t="array" ref="Z197">IFERROR(INDEX('Temp Hisfa'!Z$3:Z$200, SMALL(IF(ISERROR('Temp Hisfa'!Z$3:Z$200), "", ROW('Temp Hisfa'!Z$3:Z$200)-MIN(ROW('Temp Hisfa'!Z$3:Z$200))+1), ROW(195:394))),"")</f>
        <v/>
      </c>
      <c r="AA197" s="22" t="str">
        <f t="array" ref="AA197">IFERROR(INDEX('Temp Hisfa'!AA$3:AA$200, SMALL(IF(ISERROR('Temp Hisfa'!AA$3:AA$200), "", ROW('Temp Hisfa'!AA$3:AA$200)-MIN(ROW('Temp Hisfa'!AA$3:AA$200))+1), ROW(195:394))),"")</f>
        <v/>
      </c>
      <c r="AB197" s="22" t="str">
        <f t="array" ref="AB197">IFERROR(INDEX('Temp Hisfa'!AB$3:AB$200, SMALL(IF(ISERROR('Temp Hisfa'!AB$3:AB$200), "", ROW('Temp Hisfa'!AB$3:AB$200)-MIN(ROW('Temp Hisfa'!AB$3:AB$200))+1), ROW(195:394))),"")</f>
        <v/>
      </c>
    </row>
    <row r="198" spans="1:28" x14ac:dyDescent="0.3">
      <c r="A198" s="4" t="str">
        <f t="array" ref="A198">IFERROR(INDEX('Temp Hisfa'!A$3:A$200, SMALL(IF(ISERROR('Temp Hisfa'!A$3:A$200), "", ROW('Temp Hisfa'!A$3:A$200)-MIN(ROW('Temp Hisfa'!A$3:A$200))+1), ROW(196:394))),"")</f>
        <v/>
      </c>
      <c r="B198" s="4" t="str">
        <f t="array" ref="B198">IFERROR(INDEX('Temp Hisfa'!B$3:B$200, SMALL(IF(ISERROR('Temp Hisfa'!B$3:B$200), "", ROW('Temp Hisfa'!B$3:B$200)-MIN(ROW('Temp Hisfa'!B$3:B$200))+1), ROW(196:394))),"")</f>
        <v/>
      </c>
      <c r="C198" s="3" t="str">
        <f t="array" ref="C198">IFERROR(INDEX('Temp Hisfa'!C$3:C$200, SMALL(IF(ISERROR('Temp Hisfa'!C$3:C$200), "", ROW('Temp Hisfa'!C$3:C$200)-MIN(ROW('Temp Hisfa'!C$3:C$200))+1), ROW(196:394))),"")</f>
        <v/>
      </c>
      <c r="D198" s="3" t="str">
        <f t="array" ref="D198">IFERROR(INDEX('Temp Hisfa'!D$3:D$200, SMALL(IF(ISERROR('Temp Hisfa'!D$3:D$200), "", ROW('Temp Hisfa'!D$3:D$200)-MIN(ROW('Temp Hisfa'!D$3:D$200))+1), ROW(196:394))),"")</f>
        <v/>
      </c>
      <c r="E198" s="29" t="str">
        <f t="array" ref="E198">IFERROR(INDEX('Temp Hisfa'!E$3:E$200, SMALL(IF(ISERROR('Temp Hisfa'!E$3:E$200), "", ROW('Temp Hisfa'!E$3:E$200)-MIN(ROW('Temp Hisfa'!E$3:E$200))+1), ROW(196:395))),"")</f>
        <v/>
      </c>
      <c r="F198" s="22" t="str">
        <f t="array" ref="F198">IFERROR(INDEX('Temp Hisfa'!F$3:F$200, SMALL(IF(ISERROR('Temp Hisfa'!F$3:F$200), "", ROW('Temp Hisfa'!F$3:F$200)-MIN(ROW('Temp Hisfa'!F$3:F$200))+1), ROW(196:395))),"")</f>
        <v/>
      </c>
      <c r="G198" s="30" t="str">
        <f t="array" ref="G198">IFERROR(INDEX('Temp Hisfa'!G$3:G$200, SMALL(IF(ISERROR('Temp Hisfa'!G$3:G$200), "", ROW('Temp Hisfa'!G$3:G$200)-MIN(ROW('Temp Hisfa'!G$3:G$200))+1), ROW(196:395))),"")</f>
        <v/>
      </c>
      <c r="H198" s="22" t="str">
        <f t="array" ref="H198">IFERROR(INDEX('Temp Hisfa'!H$3:H$200, SMALL(IF(ISERROR('Temp Hisfa'!H$3:H$200), "", ROW('Temp Hisfa'!H$3:H$200)-MIN(ROW('Temp Hisfa'!H$3:H$200))+1), ROW(196:395))),"")</f>
        <v/>
      </c>
      <c r="I198" s="22" t="str">
        <f t="array" ref="I198">IFERROR(INDEX('Temp Hisfa'!I$3:I$200, SMALL(IF(ISERROR('Temp Hisfa'!I$3:I$200), "", ROW('Temp Hisfa'!I$3:I$200)-MIN(ROW('Temp Hisfa'!I$3:I$200))+1), ROW(196:395))),"")</f>
        <v/>
      </c>
      <c r="J198" s="22" t="str">
        <f t="array" ref="J198">IFERROR(INDEX('Temp Hisfa'!J$3:J$200, SMALL(IF(ISERROR('Temp Hisfa'!J$3:J$200), "", ROW('Temp Hisfa'!J$3:J$200)-MIN(ROW('Temp Hisfa'!J$3:J$200))+1), ROW(196:395))),"")</f>
        <v/>
      </c>
      <c r="K198" s="30" t="str">
        <f t="array" ref="K198">IFERROR(INDEX('Temp Hisfa'!K$3:K$200, SMALL(IF(ISERROR('Temp Hisfa'!K$3:K$200), "", ROW('Temp Hisfa'!K$3:K$200)-MIN(ROW('Temp Hisfa'!K$3:K$200))+1), ROW(196:395))),"")</f>
        <v/>
      </c>
      <c r="L198" s="22" t="str">
        <f t="array" ref="L198">IFERROR(INDEX('Temp Hisfa'!L$3:L$200, SMALL(IF(ISERROR('Temp Hisfa'!L$3:L$200), "", ROW('Temp Hisfa'!L$3:L$200)-MIN(ROW('Temp Hisfa'!L$3:L$200))+1), ROW(196:395))),"")</f>
        <v/>
      </c>
      <c r="M198" s="22" t="str">
        <f t="array" ref="M198">IFERROR(INDEX('Temp Hisfa'!M$3:M$200, SMALL(IF(ISERROR('Temp Hisfa'!M$3:M$200), "", ROW('Temp Hisfa'!M$3:M$200)-MIN(ROW('Temp Hisfa'!M$3:M$200))+1), ROW(196:395))),"")</f>
        <v/>
      </c>
      <c r="N198" s="22" t="str">
        <f t="array" ref="N198">IFERROR(INDEX('Temp Hisfa'!N$3:N$200, SMALL(IF(ISERROR('Temp Hisfa'!N$3:N$200), "", ROW('Temp Hisfa'!N$3:N$200)-MIN(ROW('Temp Hisfa'!N$3:N$200))+1), ROW(196:395))),"")</f>
        <v/>
      </c>
      <c r="O198" s="22" t="str">
        <f t="array" ref="O198">IFERROR(INDEX('Temp Hisfa'!O$3:O$200, SMALL(IF(ISERROR('Temp Hisfa'!O$3:O$200), "", ROW('Temp Hisfa'!O$3:O$200)-MIN(ROW('Temp Hisfa'!O$3:O$200))+1), ROW(196:395))),"")</f>
        <v/>
      </c>
      <c r="P198" s="22" t="str">
        <f t="array" ref="P198">IFERROR(INDEX('Temp Hisfa'!P$3:P$200, SMALL(IF(ISERROR('Temp Hisfa'!P$3:P$200), "", ROW('Temp Hisfa'!P$3:P$200)-MIN(ROW('Temp Hisfa'!P$3:P$200))+1), ROW(196:395))),"")</f>
        <v/>
      </c>
      <c r="Q198" s="22" t="str">
        <f t="array" ref="Q198">IFERROR(INDEX('Temp Hisfa'!Q$3:Q$200, SMALL(IF(ISERROR('Temp Hisfa'!Q$3:Q$200), "", ROW('Temp Hisfa'!Q$3:Q$200)-MIN(ROW('Temp Hisfa'!Q$3:Q$200))+1), ROW(196:395))),"")</f>
        <v/>
      </c>
      <c r="R198" s="22" t="str">
        <f t="array" ref="R198">IFERROR(INDEX('Temp Hisfa'!R$3:R$200, SMALL(IF(ISERROR('Temp Hisfa'!R$3:R$200), "", ROW('Temp Hisfa'!R$3:R$200)-MIN(ROW('Temp Hisfa'!R$3:R$200))+1), ROW(196:395))),"")</f>
        <v/>
      </c>
      <c r="S198" s="22" t="str">
        <f t="array" ref="S198">IFERROR(INDEX('Temp Hisfa'!S$3:S$200, SMALL(IF(ISERROR('Temp Hisfa'!S$3:S$200), "", ROW('Temp Hisfa'!S$3:S$200)-MIN(ROW('Temp Hisfa'!S$3:S$200))+1), ROW(196:395))),"")</f>
        <v/>
      </c>
      <c r="T198" s="22" t="str">
        <f t="array" ref="T198">IFERROR(INDEX('Temp Hisfa'!T$3:T$200, SMALL(IF(ISERROR('Temp Hisfa'!T$3:T$200), "", ROW('Temp Hisfa'!T$3:T$200)-MIN(ROW('Temp Hisfa'!T$3:T$200))+1), ROW(196:395))),"")</f>
        <v/>
      </c>
      <c r="U198" s="22" t="str">
        <f t="array" ref="U198">IFERROR(INDEX('Temp Hisfa'!U$3:U$200, SMALL(IF(ISERROR('Temp Hisfa'!U$3:U$200), "", ROW('Temp Hisfa'!U$3:U$200)-MIN(ROW('Temp Hisfa'!U$3:U$200))+1), ROW(196:395))),"")</f>
        <v/>
      </c>
      <c r="V198" s="22" t="str">
        <f t="array" ref="V198">IFERROR(INDEX('Temp Hisfa'!V$3:V$200, SMALL(IF(ISERROR('Temp Hisfa'!V$3:V$200), "", ROW('Temp Hisfa'!V$3:V$200)-MIN(ROW('Temp Hisfa'!V$3:V$200))+1), ROW(196:395))),"")</f>
        <v/>
      </c>
      <c r="W198" s="22" t="str">
        <f t="array" ref="W198">IFERROR(INDEX('Temp Hisfa'!W$3:W$200, SMALL(IF(ISERROR('Temp Hisfa'!W$3:W$200), "", ROW('Temp Hisfa'!W$3:W$200)-MIN(ROW('Temp Hisfa'!W$3:W$200))+1), ROW(196:395))),"")</f>
        <v/>
      </c>
      <c r="X198" s="22" t="str">
        <f t="array" ref="X198">IFERROR(INDEX('Temp Hisfa'!X$3:X$200, SMALL(IF(ISERROR('Temp Hisfa'!X$3:X$200), "", ROW('Temp Hisfa'!X$3:X$200)-MIN(ROW('Temp Hisfa'!X$3:X$200))+1), ROW(196:395))),"")</f>
        <v/>
      </c>
      <c r="Y198" s="22" t="str">
        <f t="array" ref="Y198">IFERROR(INDEX('Temp Hisfa'!Y$3:Y$200, SMALL(IF(ISERROR('Temp Hisfa'!Y$3:Y$200), "", ROW('Temp Hisfa'!Y$3:Y$200)-MIN(ROW('Temp Hisfa'!Y$3:Y$200))+1), ROW(196:395))),"")</f>
        <v/>
      </c>
      <c r="Z198" s="22" t="str">
        <f t="array" ref="Z198">IFERROR(INDEX('Temp Hisfa'!Z$3:Z$200, SMALL(IF(ISERROR('Temp Hisfa'!Z$3:Z$200), "", ROW('Temp Hisfa'!Z$3:Z$200)-MIN(ROW('Temp Hisfa'!Z$3:Z$200))+1), ROW(196:395))),"")</f>
        <v/>
      </c>
      <c r="AA198" s="22" t="str">
        <f t="array" ref="AA198">IFERROR(INDEX('Temp Hisfa'!AA$3:AA$200, SMALL(IF(ISERROR('Temp Hisfa'!AA$3:AA$200), "", ROW('Temp Hisfa'!AA$3:AA$200)-MIN(ROW('Temp Hisfa'!AA$3:AA$200))+1), ROW(196:395))),"")</f>
        <v/>
      </c>
      <c r="AB198" s="22" t="str">
        <f t="array" ref="AB198">IFERROR(INDEX('Temp Hisfa'!AB$3:AB$200, SMALL(IF(ISERROR('Temp Hisfa'!AB$3:AB$200), "", ROW('Temp Hisfa'!AB$3:AB$200)-MIN(ROW('Temp Hisfa'!AB$3:AB$200))+1), ROW(196:395))),"")</f>
        <v/>
      </c>
    </row>
    <row r="199" spans="1:28" x14ac:dyDescent="0.3">
      <c r="A199" s="4" t="str">
        <f t="array" ref="A199">IFERROR(INDEX('Temp Hisfa'!A$3:A$200, SMALL(IF(ISERROR('Temp Hisfa'!A$3:A$200), "", ROW('Temp Hisfa'!A$3:A$200)-MIN(ROW('Temp Hisfa'!A$3:A$200))+1), ROW(197:395))),"")</f>
        <v/>
      </c>
      <c r="B199" s="4" t="str">
        <f t="array" ref="B199">IFERROR(INDEX('Temp Hisfa'!B$3:B$200, SMALL(IF(ISERROR('Temp Hisfa'!B$3:B$200), "", ROW('Temp Hisfa'!B$3:B$200)-MIN(ROW('Temp Hisfa'!B$3:B$200))+1), ROW(197:395))),"")</f>
        <v/>
      </c>
      <c r="C199" s="3" t="str">
        <f t="array" ref="C199">IFERROR(INDEX('Temp Hisfa'!C$3:C$200, SMALL(IF(ISERROR('Temp Hisfa'!C$3:C$200), "", ROW('Temp Hisfa'!C$3:C$200)-MIN(ROW('Temp Hisfa'!C$3:C$200))+1), ROW(197:395))),"")</f>
        <v/>
      </c>
      <c r="D199" s="3" t="str">
        <f t="array" ref="D199">IFERROR(INDEX('Temp Hisfa'!D$3:D$200, SMALL(IF(ISERROR('Temp Hisfa'!D$3:D$200), "", ROW('Temp Hisfa'!D$3:D$200)-MIN(ROW('Temp Hisfa'!D$3:D$200))+1), ROW(197:395))),"")</f>
        <v/>
      </c>
      <c r="E199" s="29" t="str">
        <f t="array" ref="E199">IFERROR(INDEX('Temp Hisfa'!E$3:E$200, SMALL(IF(ISERROR('Temp Hisfa'!E$3:E$200), "", ROW('Temp Hisfa'!E$3:E$200)-MIN(ROW('Temp Hisfa'!E$3:E$200))+1), ROW(197:396))),"")</f>
        <v/>
      </c>
      <c r="F199" s="22" t="str">
        <f t="array" ref="F199">IFERROR(INDEX('Temp Hisfa'!F$3:F$200, SMALL(IF(ISERROR('Temp Hisfa'!F$3:F$200), "", ROW('Temp Hisfa'!F$3:F$200)-MIN(ROW('Temp Hisfa'!F$3:F$200))+1), ROW(197:396))),"")</f>
        <v/>
      </c>
      <c r="G199" s="30" t="str">
        <f t="array" ref="G199">IFERROR(INDEX('Temp Hisfa'!G$3:G$200, SMALL(IF(ISERROR('Temp Hisfa'!G$3:G$200), "", ROW('Temp Hisfa'!G$3:G$200)-MIN(ROW('Temp Hisfa'!G$3:G$200))+1), ROW(197:396))),"")</f>
        <v/>
      </c>
      <c r="H199" s="22" t="str">
        <f t="array" ref="H199">IFERROR(INDEX('Temp Hisfa'!H$3:H$200, SMALL(IF(ISERROR('Temp Hisfa'!H$3:H$200), "", ROW('Temp Hisfa'!H$3:H$200)-MIN(ROW('Temp Hisfa'!H$3:H$200))+1), ROW(197:396))),"")</f>
        <v/>
      </c>
      <c r="I199" s="22" t="str">
        <f t="array" ref="I199">IFERROR(INDEX('Temp Hisfa'!I$3:I$200, SMALL(IF(ISERROR('Temp Hisfa'!I$3:I$200), "", ROW('Temp Hisfa'!I$3:I$200)-MIN(ROW('Temp Hisfa'!I$3:I$200))+1), ROW(197:396))),"")</f>
        <v/>
      </c>
      <c r="J199" s="22" t="str">
        <f t="array" ref="J199">IFERROR(INDEX('Temp Hisfa'!J$3:J$200, SMALL(IF(ISERROR('Temp Hisfa'!J$3:J$200), "", ROW('Temp Hisfa'!J$3:J$200)-MIN(ROW('Temp Hisfa'!J$3:J$200))+1), ROW(197:396))),"")</f>
        <v/>
      </c>
      <c r="K199" s="30" t="str">
        <f t="array" ref="K199">IFERROR(INDEX('Temp Hisfa'!K$3:K$200, SMALL(IF(ISERROR('Temp Hisfa'!K$3:K$200), "", ROW('Temp Hisfa'!K$3:K$200)-MIN(ROW('Temp Hisfa'!K$3:K$200))+1), ROW(197:396))),"")</f>
        <v/>
      </c>
      <c r="L199" s="22" t="str">
        <f t="array" ref="L199">IFERROR(INDEX('Temp Hisfa'!L$3:L$200, SMALL(IF(ISERROR('Temp Hisfa'!L$3:L$200), "", ROW('Temp Hisfa'!L$3:L$200)-MIN(ROW('Temp Hisfa'!L$3:L$200))+1), ROW(197:396))),"")</f>
        <v/>
      </c>
      <c r="M199" s="22" t="str">
        <f t="array" ref="M199">IFERROR(INDEX('Temp Hisfa'!M$3:M$200, SMALL(IF(ISERROR('Temp Hisfa'!M$3:M$200), "", ROW('Temp Hisfa'!M$3:M$200)-MIN(ROW('Temp Hisfa'!M$3:M$200))+1), ROW(197:396))),"")</f>
        <v/>
      </c>
      <c r="N199" s="22" t="str">
        <f t="array" ref="N199">IFERROR(INDEX('Temp Hisfa'!N$3:N$200, SMALL(IF(ISERROR('Temp Hisfa'!N$3:N$200), "", ROW('Temp Hisfa'!N$3:N$200)-MIN(ROW('Temp Hisfa'!N$3:N$200))+1), ROW(197:396))),"")</f>
        <v/>
      </c>
      <c r="O199" s="22" t="str">
        <f t="array" ref="O199">IFERROR(INDEX('Temp Hisfa'!O$3:O$200, SMALL(IF(ISERROR('Temp Hisfa'!O$3:O$200), "", ROW('Temp Hisfa'!O$3:O$200)-MIN(ROW('Temp Hisfa'!O$3:O$200))+1), ROW(197:396))),"")</f>
        <v/>
      </c>
      <c r="P199" s="22" t="str">
        <f t="array" ref="P199">IFERROR(INDEX('Temp Hisfa'!P$3:P$200, SMALL(IF(ISERROR('Temp Hisfa'!P$3:P$200), "", ROW('Temp Hisfa'!P$3:P$200)-MIN(ROW('Temp Hisfa'!P$3:P$200))+1), ROW(197:396))),"")</f>
        <v/>
      </c>
      <c r="Q199" s="22" t="str">
        <f t="array" ref="Q199">IFERROR(INDEX('Temp Hisfa'!Q$3:Q$200, SMALL(IF(ISERROR('Temp Hisfa'!Q$3:Q$200), "", ROW('Temp Hisfa'!Q$3:Q$200)-MIN(ROW('Temp Hisfa'!Q$3:Q$200))+1), ROW(197:396))),"")</f>
        <v/>
      </c>
      <c r="R199" s="22" t="str">
        <f t="array" ref="R199">IFERROR(INDEX('Temp Hisfa'!R$3:R$200, SMALL(IF(ISERROR('Temp Hisfa'!R$3:R$200), "", ROW('Temp Hisfa'!R$3:R$200)-MIN(ROW('Temp Hisfa'!R$3:R$200))+1), ROW(197:396))),"")</f>
        <v/>
      </c>
      <c r="S199" s="22" t="str">
        <f t="array" ref="S199">IFERROR(INDEX('Temp Hisfa'!S$3:S$200, SMALL(IF(ISERROR('Temp Hisfa'!S$3:S$200), "", ROW('Temp Hisfa'!S$3:S$200)-MIN(ROW('Temp Hisfa'!S$3:S$200))+1), ROW(197:396))),"")</f>
        <v/>
      </c>
      <c r="T199" s="22" t="str">
        <f t="array" ref="T199">IFERROR(INDEX('Temp Hisfa'!T$3:T$200, SMALL(IF(ISERROR('Temp Hisfa'!T$3:T$200), "", ROW('Temp Hisfa'!T$3:T$200)-MIN(ROW('Temp Hisfa'!T$3:T$200))+1), ROW(197:396))),"")</f>
        <v/>
      </c>
      <c r="U199" s="22" t="str">
        <f t="array" ref="U199">IFERROR(INDEX('Temp Hisfa'!U$3:U$200, SMALL(IF(ISERROR('Temp Hisfa'!U$3:U$200), "", ROW('Temp Hisfa'!U$3:U$200)-MIN(ROW('Temp Hisfa'!U$3:U$200))+1), ROW(197:396))),"")</f>
        <v/>
      </c>
      <c r="V199" s="22" t="str">
        <f t="array" ref="V199">IFERROR(INDEX('Temp Hisfa'!V$3:V$200, SMALL(IF(ISERROR('Temp Hisfa'!V$3:V$200), "", ROW('Temp Hisfa'!V$3:V$200)-MIN(ROW('Temp Hisfa'!V$3:V$200))+1), ROW(197:396))),"")</f>
        <v/>
      </c>
      <c r="W199" s="22" t="str">
        <f t="array" ref="W199">IFERROR(INDEX('Temp Hisfa'!W$3:W$200, SMALL(IF(ISERROR('Temp Hisfa'!W$3:W$200), "", ROW('Temp Hisfa'!W$3:W$200)-MIN(ROW('Temp Hisfa'!W$3:W$200))+1), ROW(197:396))),"")</f>
        <v/>
      </c>
      <c r="X199" s="22" t="str">
        <f t="array" ref="X199">IFERROR(INDEX('Temp Hisfa'!X$3:X$200, SMALL(IF(ISERROR('Temp Hisfa'!X$3:X$200), "", ROW('Temp Hisfa'!X$3:X$200)-MIN(ROW('Temp Hisfa'!X$3:X$200))+1), ROW(197:396))),"")</f>
        <v/>
      </c>
      <c r="Y199" s="22" t="str">
        <f t="array" ref="Y199">IFERROR(INDEX('Temp Hisfa'!Y$3:Y$200, SMALL(IF(ISERROR('Temp Hisfa'!Y$3:Y$200), "", ROW('Temp Hisfa'!Y$3:Y$200)-MIN(ROW('Temp Hisfa'!Y$3:Y$200))+1), ROW(197:396))),"")</f>
        <v/>
      </c>
      <c r="Z199" s="22" t="str">
        <f t="array" ref="Z199">IFERROR(INDEX('Temp Hisfa'!Z$3:Z$200, SMALL(IF(ISERROR('Temp Hisfa'!Z$3:Z$200), "", ROW('Temp Hisfa'!Z$3:Z$200)-MIN(ROW('Temp Hisfa'!Z$3:Z$200))+1), ROW(197:396))),"")</f>
        <v/>
      </c>
      <c r="AA199" s="22" t="str">
        <f t="array" ref="AA199">IFERROR(INDEX('Temp Hisfa'!AA$3:AA$200, SMALL(IF(ISERROR('Temp Hisfa'!AA$3:AA$200), "", ROW('Temp Hisfa'!AA$3:AA$200)-MIN(ROW('Temp Hisfa'!AA$3:AA$200))+1), ROW(197:396))),"")</f>
        <v/>
      </c>
      <c r="AB199" s="22" t="str">
        <f t="array" ref="AB199">IFERROR(INDEX('Temp Hisfa'!AB$3:AB$200, SMALL(IF(ISERROR('Temp Hisfa'!AB$3:AB$200), "", ROW('Temp Hisfa'!AB$3:AB$200)-MIN(ROW('Temp Hisfa'!AB$3:AB$200))+1), ROW(197:396))),"")</f>
        <v/>
      </c>
    </row>
    <row r="200" spans="1:28" x14ac:dyDescent="0.3">
      <c r="A200" s="4" t="str">
        <f t="array" ref="A200">IFERROR(INDEX('Temp Hisfa'!A$3:A$200, SMALL(IF(ISERROR('Temp Hisfa'!A$3:A$200), "", ROW('Temp Hisfa'!A$3:A$200)-MIN(ROW('Temp Hisfa'!A$3:A$200))+1), ROW(198:396))),"")</f>
        <v/>
      </c>
      <c r="B200" s="4" t="str">
        <f t="array" ref="B200">IFERROR(INDEX('Temp Hisfa'!B$3:B$200, SMALL(IF(ISERROR('Temp Hisfa'!B$3:B$200), "", ROW('Temp Hisfa'!B$3:B$200)-MIN(ROW('Temp Hisfa'!B$3:B$200))+1), ROW(198:396))),"")</f>
        <v/>
      </c>
      <c r="C200" s="3" t="str">
        <f t="array" ref="C200">IFERROR(INDEX('Temp Hisfa'!C$3:C$200, SMALL(IF(ISERROR('Temp Hisfa'!C$3:C$200), "", ROW('Temp Hisfa'!C$3:C$200)-MIN(ROW('Temp Hisfa'!C$3:C$200))+1), ROW(198:396))),"")</f>
        <v/>
      </c>
      <c r="D200" s="3" t="str">
        <f t="array" ref="D200">IFERROR(INDEX('Temp Hisfa'!D$3:D$200, SMALL(IF(ISERROR('Temp Hisfa'!D$3:D$200), "", ROW('Temp Hisfa'!D$3:D$200)-MIN(ROW('Temp Hisfa'!D$3:D$200))+1), ROW(198:396))),"")</f>
        <v/>
      </c>
      <c r="E200" s="29" t="str">
        <f t="array" ref="E200">IFERROR(INDEX('Temp Hisfa'!E$3:E$200, SMALL(IF(ISERROR('Temp Hisfa'!E$3:E$200), "", ROW('Temp Hisfa'!E$3:E$200)-MIN(ROW('Temp Hisfa'!E$3:E$200))+1), ROW(198:397))),"")</f>
        <v/>
      </c>
      <c r="F200" s="22" t="str">
        <f t="array" ref="F200">IFERROR(INDEX('Temp Hisfa'!F$3:F$200, SMALL(IF(ISERROR('Temp Hisfa'!F$3:F$200), "", ROW('Temp Hisfa'!F$3:F$200)-MIN(ROW('Temp Hisfa'!F$3:F$200))+1), ROW(198:397))),"")</f>
        <v/>
      </c>
      <c r="G200" s="30" t="str">
        <f t="array" ref="G200">IFERROR(INDEX('Temp Hisfa'!G$3:G$200, SMALL(IF(ISERROR('Temp Hisfa'!G$3:G$200), "", ROW('Temp Hisfa'!G$3:G$200)-MIN(ROW('Temp Hisfa'!G$3:G$200))+1), ROW(198:397))),"")</f>
        <v/>
      </c>
      <c r="H200" s="22" t="str">
        <f t="array" ref="H200">IFERROR(INDEX('Temp Hisfa'!H$3:H$200, SMALL(IF(ISERROR('Temp Hisfa'!H$3:H$200), "", ROW('Temp Hisfa'!H$3:H$200)-MIN(ROW('Temp Hisfa'!H$3:H$200))+1), ROW(198:397))),"")</f>
        <v/>
      </c>
      <c r="I200" s="22" t="str">
        <f t="array" ref="I200">IFERROR(INDEX('Temp Hisfa'!I$3:I$200, SMALL(IF(ISERROR('Temp Hisfa'!I$3:I$200), "", ROW('Temp Hisfa'!I$3:I$200)-MIN(ROW('Temp Hisfa'!I$3:I$200))+1), ROW(198:397))),"")</f>
        <v/>
      </c>
      <c r="J200" s="22" t="str">
        <f t="array" ref="J200">IFERROR(INDEX('Temp Hisfa'!J$3:J$200, SMALL(IF(ISERROR('Temp Hisfa'!J$3:J$200), "", ROW('Temp Hisfa'!J$3:J$200)-MIN(ROW('Temp Hisfa'!J$3:J$200))+1), ROW(198:397))),"")</f>
        <v/>
      </c>
      <c r="K200" s="30" t="str">
        <f t="array" ref="K200">IFERROR(INDEX('Temp Hisfa'!K$3:K$200, SMALL(IF(ISERROR('Temp Hisfa'!K$3:K$200), "", ROW('Temp Hisfa'!K$3:K$200)-MIN(ROW('Temp Hisfa'!K$3:K$200))+1), ROW(198:397))),"")</f>
        <v/>
      </c>
      <c r="L200" s="22" t="str">
        <f t="array" ref="L200">IFERROR(INDEX('Temp Hisfa'!L$3:L$200, SMALL(IF(ISERROR('Temp Hisfa'!L$3:L$200), "", ROW('Temp Hisfa'!L$3:L$200)-MIN(ROW('Temp Hisfa'!L$3:L$200))+1), ROW(198:397))),"")</f>
        <v/>
      </c>
      <c r="M200" s="22" t="str">
        <f t="array" ref="M200">IFERROR(INDEX('Temp Hisfa'!M$3:M$200, SMALL(IF(ISERROR('Temp Hisfa'!M$3:M$200), "", ROW('Temp Hisfa'!M$3:M$200)-MIN(ROW('Temp Hisfa'!M$3:M$200))+1), ROW(198:397))),"")</f>
        <v/>
      </c>
      <c r="N200" s="22" t="str">
        <f t="array" ref="N200">IFERROR(INDEX('Temp Hisfa'!N$3:N$200, SMALL(IF(ISERROR('Temp Hisfa'!N$3:N$200), "", ROW('Temp Hisfa'!N$3:N$200)-MIN(ROW('Temp Hisfa'!N$3:N$200))+1), ROW(198:397))),"")</f>
        <v/>
      </c>
      <c r="O200" s="22" t="str">
        <f t="array" ref="O200">IFERROR(INDEX('Temp Hisfa'!O$3:O$200, SMALL(IF(ISERROR('Temp Hisfa'!O$3:O$200), "", ROW('Temp Hisfa'!O$3:O$200)-MIN(ROW('Temp Hisfa'!O$3:O$200))+1), ROW(198:397))),"")</f>
        <v/>
      </c>
      <c r="P200" s="22" t="str">
        <f t="array" ref="P200">IFERROR(INDEX('Temp Hisfa'!P$3:P$200, SMALL(IF(ISERROR('Temp Hisfa'!P$3:P$200), "", ROW('Temp Hisfa'!P$3:P$200)-MIN(ROW('Temp Hisfa'!P$3:P$200))+1), ROW(198:397))),"")</f>
        <v/>
      </c>
      <c r="Q200" s="22" t="str">
        <f t="array" ref="Q200">IFERROR(INDEX('Temp Hisfa'!Q$3:Q$200, SMALL(IF(ISERROR('Temp Hisfa'!Q$3:Q$200), "", ROW('Temp Hisfa'!Q$3:Q$200)-MIN(ROW('Temp Hisfa'!Q$3:Q$200))+1), ROW(198:397))),"")</f>
        <v/>
      </c>
      <c r="R200" s="22" t="str">
        <f t="array" ref="R200">IFERROR(INDEX('Temp Hisfa'!R$3:R$200, SMALL(IF(ISERROR('Temp Hisfa'!R$3:R$200), "", ROW('Temp Hisfa'!R$3:R$200)-MIN(ROW('Temp Hisfa'!R$3:R$200))+1), ROW(198:397))),"")</f>
        <v/>
      </c>
      <c r="S200" s="22" t="str">
        <f t="array" ref="S200">IFERROR(INDEX('Temp Hisfa'!S$3:S$200, SMALL(IF(ISERROR('Temp Hisfa'!S$3:S$200), "", ROW('Temp Hisfa'!S$3:S$200)-MIN(ROW('Temp Hisfa'!S$3:S$200))+1), ROW(198:397))),"")</f>
        <v/>
      </c>
      <c r="T200" s="22" t="str">
        <f t="array" ref="T200">IFERROR(INDEX('Temp Hisfa'!T$3:T$200, SMALL(IF(ISERROR('Temp Hisfa'!T$3:T$200), "", ROW('Temp Hisfa'!T$3:T$200)-MIN(ROW('Temp Hisfa'!T$3:T$200))+1), ROW(198:397))),"")</f>
        <v/>
      </c>
      <c r="U200" s="22" t="str">
        <f t="array" ref="U200">IFERROR(INDEX('Temp Hisfa'!U$3:U$200, SMALL(IF(ISERROR('Temp Hisfa'!U$3:U$200), "", ROW('Temp Hisfa'!U$3:U$200)-MIN(ROW('Temp Hisfa'!U$3:U$200))+1), ROW(198:397))),"")</f>
        <v/>
      </c>
      <c r="V200" s="22" t="str">
        <f t="array" ref="V200">IFERROR(INDEX('Temp Hisfa'!V$3:V$200, SMALL(IF(ISERROR('Temp Hisfa'!V$3:V$200), "", ROW('Temp Hisfa'!V$3:V$200)-MIN(ROW('Temp Hisfa'!V$3:V$200))+1), ROW(198:397))),"")</f>
        <v/>
      </c>
      <c r="W200" s="22" t="str">
        <f t="array" ref="W200">IFERROR(INDEX('Temp Hisfa'!W$3:W$200, SMALL(IF(ISERROR('Temp Hisfa'!W$3:W$200), "", ROW('Temp Hisfa'!W$3:W$200)-MIN(ROW('Temp Hisfa'!W$3:W$200))+1), ROW(198:397))),"")</f>
        <v/>
      </c>
      <c r="X200" s="22" t="str">
        <f t="array" ref="X200">IFERROR(INDEX('Temp Hisfa'!X$3:X$200, SMALL(IF(ISERROR('Temp Hisfa'!X$3:X$200), "", ROW('Temp Hisfa'!X$3:X$200)-MIN(ROW('Temp Hisfa'!X$3:X$200))+1), ROW(198:397))),"")</f>
        <v/>
      </c>
      <c r="Y200" s="22" t="str">
        <f t="array" ref="Y200">IFERROR(INDEX('Temp Hisfa'!Y$3:Y$200, SMALL(IF(ISERROR('Temp Hisfa'!Y$3:Y$200), "", ROW('Temp Hisfa'!Y$3:Y$200)-MIN(ROW('Temp Hisfa'!Y$3:Y$200))+1), ROW(198:397))),"")</f>
        <v/>
      </c>
      <c r="Z200" s="22" t="str">
        <f t="array" ref="Z200">IFERROR(INDEX('Temp Hisfa'!Z$3:Z$200, SMALL(IF(ISERROR('Temp Hisfa'!Z$3:Z$200), "", ROW('Temp Hisfa'!Z$3:Z$200)-MIN(ROW('Temp Hisfa'!Z$3:Z$200))+1), ROW(198:397))),"")</f>
        <v/>
      </c>
      <c r="AA200" s="22" t="str">
        <f t="array" ref="AA200">IFERROR(INDEX('Temp Hisfa'!AA$3:AA$200, SMALL(IF(ISERROR('Temp Hisfa'!AA$3:AA$200), "", ROW('Temp Hisfa'!AA$3:AA$200)-MIN(ROW('Temp Hisfa'!AA$3:AA$200))+1), ROW(198:397))),"")</f>
        <v/>
      </c>
      <c r="AB200" s="22" t="str">
        <f t="array" ref="AB200">IFERROR(INDEX('Temp Hisfa'!AB$3:AB$200, SMALL(IF(ISERROR('Temp Hisfa'!AB$3:AB$200), "", ROW('Temp Hisfa'!AB$3:AB$200)-MIN(ROW('Temp Hisfa'!AB$3:AB$200))+1), ROW(198:397))),"")</f>
        <v/>
      </c>
    </row>
    <row r="201" spans="1:28" x14ac:dyDescent="0.3">
      <c r="A201" s="53">
        <f>Resumen!D2</f>
        <v>0</v>
      </c>
    </row>
    <row r="202" spans="1:28" x14ac:dyDescent="0.3">
      <c r="A202" s="94">
        <f>Resumen!F1</f>
        <v>0</v>
      </c>
    </row>
  </sheetData>
  <autoFilter ref="A2:AB202" xr:uid="{00000000-0009-0000-0000-000005000000}">
    <filterColumn colId="3">
      <filters>
        <dateGroupItem year="2025" dateTimeGrouping="year"/>
        <dateGroupItem year="2024" dateTimeGrouping="year"/>
        <dateGroupItem year="2023" dateTimeGrouping="year"/>
        <dateGroupItem year="2022" dateTimeGrouping="year"/>
        <dateGroupItem year="2021" dateTimeGrouping="year"/>
        <dateGroupItem year="2020" dateTimeGrouping="year"/>
        <dateGroupItem year="2019" dateTimeGrouping="year"/>
        <dateGroupItem year="2018" dateTimeGrouping="year"/>
        <dateGroupItem year="2017" dateTimeGrouping="year"/>
        <dateGroupItem year="2016" dateTimeGrouping="year"/>
        <dateGroupItem year="2015" dateTimeGrouping="year"/>
      </filters>
    </filterColumn>
    <sortState xmlns:xlrd2="http://schemas.microsoft.com/office/spreadsheetml/2017/richdata2" ref="A3:AB202">
      <sortCondition ref="D2:D202"/>
    </sortState>
  </autoFilter>
  <mergeCells count="7">
    <mergeCell ref="AD39:AE39"/>
    <mergeCell ref="AD43:AE43"/>
    <mergeCell ref="A1:B1"/>
    <mergeCell ref="AD23:AE23"/>
    <mergeCell ref="AD27:AE27"/>
    <mergeCell ref="AD31:AE31"/>
    <mergeCell ref="AD35:AE35"/>
  </mergeCells>
  <conditionalFormatting sqref="F1:F2 F201:F1048576 G2">
    <cfRule type="dataBar" priority="31">
      <dataBar>
        <cfvo type="min"/>
        <cfvo type="max"/>
        <color rgb="FF63C384"/>
      </dataBar>
    </cfRule>
    <cfRule type="cellIs" dxfId="70" priority="32" operator="lessThan">
      <formula>0</formula>
    </cfRule>
  </conditionalFormatting>
  <conditionalFormatting sqref="H1:H2 H201:H1048576">
    <cfRule type="dataBar" priority="30">
      <dataBar>
        <cfvo type="min"/>
        <cfvo type="max"/>
        <color rgb="FF008AEF"/>
      </dataBar>
    </cfRule>
  </conditionalFormatting>
  <conditionalFormatting sqref="K1:K2 K201:K1048576">
    <cfRule type="dataBar" priority="29">
      <dataBar>
        <cfvo type="min"/>
        <cfvo type="max"/>
        <color rgb="FFD6007B"/>
      </dataBar>
    </cfRule>
  </conditionalFormatting>
  <conditionalFormatting sqref="D1:D2 D201:D1048576 E2">
    <cfRule type="duplicateValues" dxfId="69" priority="27"/>
  </conditionalFormatting>
  <conditionalFormatting sqref="C1:D1048576">
    <cfRule type="duplicateValues" dxfId="68" priority="26"/>
  </conditionalFormatting>
  <conditionalFormatting sqref="C1:C1048576">
    <cfRule type="duplicateValues" dxfId="67" priority="25"/>
  </conditionalFormatting>
  <conditionalFormatting sqref="D1:D1048576">
    <cfRule type="duplicateValues" dxfId="66" priority="24"/>
  </conditionalFormatting>
  <conditionalFormatting sqref="F3:F200">
    <cfRule type="dataBar" priority="2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{9E66E978-334F-4863-8505-451FAD7408B4}</x14:id>
        </ext>
      </extLst>
    </cfRule>
  </conditionalFormatting>
  <conditionalFormatting sqref="H3:H200">
    <cfRule type="dataBar" priority="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{B5E11793-E8F4-4416-A1A8-ADA72B9198A9}</x14:id>
        </ext>
      </extLst>
    </cfRule>
  </conditionalFormatting>
  <conditionalFormatting sqref="K1:K1048576">
    <cfRule type="dataBar" priority="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{276F412E-1355-4F53-A0F6-716FBDE2526C}</x14:id>
        </ext>
      </extLst>
    </cfRule>
  </conditionalFormatting>
  <conditionalFormatting sqref="F1:F1048576">
    <cfRule type="dataBar" priority="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{EDF7AF3F-3FF7-4AC0-BBD8-6B8D809ED1F7}</x14:id>
        </ext>
      </extLst>
    </cfRule>
  </conditionalFormatting>
  <conditionalFormatting sqref="H1:H1048576">
    <cfRule type="dataBar" priority="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{EF1914FA-ECCA-4791-AAA3-2B98DF853780}</x14:id>
        </ext>
      </extLst>
    </cfRule>
  </conditionalFormatting>
  <conditionalFormatting sqref="A1:A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scale="55" orientation="portrait" r:id="rId1"/>
  <headerFooter>
    <oddHeader>&amp;C&amp;"Arial"&amp;8&amp;K000000INTERNAL&amp;1#</oddHeader>
  </headerFooter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E66E978-334F-4863-8505-451FAD7408B4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F3:F200</xm:sqref>
        </x14:conditionalFormatting>
        <x14:conditionalFormatting xmlns:xm="http://schemas.microsoft.com/office/excel/2006/main">
          <x14:cfRule type="dataBar" id="{B5E11793-E8F4-4416-A1A8-ADA72B9198A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H3:H200</xm:sqref>
        </x14:conditionalFormatting>
        <x14:conditionalFormatting xmlns:xm="http://schemas.microsoft.com/office/excel/2006/main">
          <x14:cfRule type="dataBar" id="{276F412E-1355-4F53-A0F6-716FBDE2526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K1:K1048576</xm:sqref>
        </x14:conditionalFormatting>
        <x14:conditionalFormatting xmlns:xm="http://schemas.microsoft.com/office/excel/2006/main">
          <x14:cfRule type="dataBar" id="{EDF7AF3F-3FF7-4AC0-BBD8-6B8D809ED1F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F1:F1048576</xm:sqref>
        </x14:conditionalFormatting>
        <x14:conditionalFormatting xmlns:xm="http://schemas.microsoft.com/office/excel/2006/main">
          <x14:cfRule type="dataBar" id="{EF1914FA-ECCA-4791-AAA3-2B98DF85378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H1:H1048576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8"/>
  <dimension ref="A1:L202"/>
  <sheetViews>
    <sheetView showGridLines="0" view="pageBreakPreview" zoomScaleNormal="100" zoomScaleSheetLayoutView="100" workbookViewId="0">
      <selection activeCell="D2" sqref="D2"/>
    </sheetView>
  </sheetViews>
  <sheetFormatPr baseColWidth="10" defaultRowHeight="14.4" x14ac:dyDescent="0.3"/>
  <cols>
    <col min="1" max="1" width="9.109375" customWidth="1"/>
    <col min="2" max="9" width="12.6640625" customWidth="1"/>
    <col min="10" max="11" width="10.6640625" customWidth="1"/>
    <col min="12" max="12" width="11.44140625" customWidth="1"/>
  </cols>
  <sheetData>
    <row r="1" spans="1:10" ht="26.4" thickBot="1" x14ac:dyDescent="0.55000000000000004">
      <c r="C1" s="123" t="s">
        <v>161</v>
      </c>
      <c r="D1" s="124"/>
      <c r="E1" s="124"/>
      <c r="F1" s="97"/>
      <c r="G1" s="95"/>
      <c r="H1" s="95"/>
      <c r="I1" s="96"/>
    </row>
    <row r="2" spans="1:10" ht="39" customHeight="1" x14ac:dyDescent="0.3">
      <c r="C2" s="52" t="s">
        <v>47</v>
      </c>
      <c r="D2" s="91"/>
      <c r="E2" s="33"/>
      <c r="F2" s="33"/>
      <c r="G2" s="33"/>
      <c r="H2" s="93"/>
      <c r="I2" s="33"/>
    </row>
    <row r="3" spans="1:10" x14ac:dyDescent="0.3">
      <c r="B3" s="102"/>
      <c r="C3" s="102" t="s">
        <v>5</v>
      </c>
      <c r="D3" s="102"/>
      <c r="E3" s="102"/>
      <c r="F3" s="102"/>
      <c r="G3" s="102"/>
      <c r="H3" s="102"/>
      <c r="I3" s="102"/>
      <c r="J3" s="102"/>
    </row>
    <row r="4" spans="1:10" ht="57.6" x14ac:dyDescent="0.3">
      <c r="B4" s="102" t="s">
        <v>8</v>
      </c>
      <c r="C4" s="114" t="s">
        <v>10</v>
      </c>
      <c r="D4" s="114" t="s">
        <v>9</v>
      </c>
      <c r="E4" s="114" t="s">
        <v>6</v>
      </c>
      <c r="F4" s="114" t="s">
        <v>7</v>
      </c>
      <c r="G4" s="114" t="s">
        <v>24</v>
      </c>
      <c r="H4" s="114" t="s">
        <v>27</v>
      </c>
      <c r="I4" s="114" t="s">
        <v>36</v>
      </c>
      <c r="J4" s="114" t="s">
        <v>46</v>
      </c>
    </row>
    <row r="5" spans="1:10" x14ac:dyDescent="0.3">
      <c r="B5" s="102">
        <v>2018</v>
      </c>
      <c r="C5" s="105">
        <v>43108</v>
      </c>
      <c r="D5" s="105">
        <v>43472</v>
      </c>
      <c r="E5" s="102">
        <v>25</v>
      </c>
      <c r="F5" s="102">
        <v>0</v>
      </c>
      <c r="G5" s="106">
        <v>0</v>
      </c>
      <c r="H5" s="102">
        <v>12</v>
      </c>
      <c r="I5" s="102">
        <v>353</v>
      </c>
      <c r="J5" s="106">
        <v>7.0821529745042494E-2</v>
      </c>
    </row>
    <row r="6" spans="1:10" x14ac:dyDescent="0.3">
      <c r="B6" s="102">
        <v>2019</v>
      </c>
      <c r="C6" s="105">
        <v>43473</v>
      </c>
      <c r="D6" s="105">
        <v>43836</v>
      </c>
      <c r="E6" s="102">
        <v>2</v>
      </c>
      <c r="F6" s="102">
        <v>0</v>
      </c>
      <c r="G6" s="106">
        <v>0</v>
      </c>
      <c r="H6" s="102">
        <v>12</v>
      </c>
      <c r="I6" s="102">
        <v>352</v>
      </c>
      <c r="J6" s="106">
        <v>5.681818181818182E-3</v>
      </c>
    </row>
    <row r="7" spans="1:10" x14ac:dyDescent="0.3">
      <c r="B7" s="102">
        <v>2020</v>
      </c>
      <c r="C7" s="105">
        <v>43837</v>
      </c>
      <c r="D7" s="105">
        <v>44203</v>
      </c>
      <c r="E7" s="102">
        <v>0</v>
      </c>
      <c r="F7" s="102">
        <v>0</v>
      </c>
      <c r="G7" s="106">
        <v>0</v>
      </c>
      <c r="H7" s="102">
        <v>12</v>
      </c>
      <c r="I7" s="102">
        <v>355</v>
      </c>
      <c r="J7" s="106">
        <v>0</v>
      </c>
    </row>
    <row r="8" spans="1:10" x14ac:dyDescent="0.3">
      <c r="B8" s="102">
        <v>2021</v>
      </c>
      <c r="C8" s="105">
        <v>44204</v>
      </c>
      <c r="D8" s="105">
        <v>44561</v>
      </c>
      <c r="E8" s="102">
        <v>115</v>
      </c>
      <c r="F8" s="102">
        <v>0</v>
      </c>
      <c r="G8" s="106">
        <v>0</v>
      </c>
      <c r="H8" s="102">
        <v>12</v>
      </c>
      <c r="I8" s="102">
        <v>346</v>
      </c>
      <c r="J8" s="106">
        <v>0.33236994219653176</v>
      </c>
    </row>
    <row r="9" spans="1:10" x14ac:dyDescent="0.3">
      <c r="B9" s="102">
        <v>2022</v>
      </c>
      <c r="C9" s="105">
        <v>44562</v>
      </c>
      <c r="D9" s="105">
        <v>44917</v>
      </c>
      <c r="E9" s="102">
        <v>76</v>
      </c>
      <c r="F9" s="102">
        <v>0</v>
      </c>
      <c r="G9" s="106">
        <v>0</v>
      </c>
      <c r="H9" s="102">
        <v>12</v>
      </c>
      <c r="I9" s="102">
        <v>316</v>
      </c>
      <c r="J9" s="106">
        <v>0.24050632911392406</v>
      </c>
    </row>
    <row r="10" spans="1:10" x14ac:dyDescent="0.3">
      <c r="B10" s="102">
        <v>2023</v>
      </c>
      <c r="C10" s="105">
        <v>44949</v>
      </c>
      <c r="D10" s="105">
        <v>45311</v>
      </c>
      <c r="E10" s="102">
        <v>0</v>
      </c>
      <c r="F10" s="102">
        <v>0</v>
      </c>
      <c r="G10" s="106">
        <v>0</v>
      </c>
      <c r="H10" s="102">
        <v>12</v>
      </c>
      <c r="I10" s="102">
        <v>351</v>
      </c>
      <c r="J10" s="106">
        <v>0</v>
      </c>
    </row>
    <row r="11" spans="1:10" x14ac:dyDescent="0.3">
      <c r="B11" s="102">
        <v>2024</v>
      </c>
      <c r="C11" s="105">
        <v>45312</v>
      </c>
      <c r="D11" s="105">
        <v>45670</v>
      </c>
      <c r="E11" s="102">
        <v>25</v>
      </c>
      <c r="F11" s="102">
        <v>0</v>
      </c>
      <c r="G11" s="106">
        <v>0</v>
      </c>
      <c r="H11" s="102">
        <v>10</v>
      </c>
      <c r="I11" s="102">
        <v>292</v>
      </c>
      <c r="J11" s="106">
        <v>8.5616438356164379E-2</v>
      </c>
    </row>
    <row r="12" spans="1:10" x14ac:dyDescent="0.3">
      <c r="B12" s="102">
        <v>2025</v>
      </c>
      <c r="C12" s="105">
        <v>45671</v>
      </c>
      <c r="D12" s="105">
        <v>45908</v>
      </c>
      <c r="E12" s="102">
        <v>106</v>
      </c>
      <c r="F12" s="102">
        <v>0</v>
      </c>
      <c r="G12" s="106">
        <v>0</v>
      </c>
      <c r="H12" s="102">
        <v>8</v>
      </c>
      <c r="I12" s="102">
        <v>230</v>
      </c>
      <c r="J12" s="106">
        <v>0.46086956521739131</v>
      </c>
    </row>
    <row r="16" spans="1:10" x14ac:dyDescent="0.3">
      <c r="A16" s="14"/>
    </row>
    <row r="17" spans="1:9" x14ac:dyDescent="0.3">
      <c r="A17" s="14"/>
      <c r="B17" s="19"/>
      <c r="C17" s="19"/>
      <c r="D17" s="14"/>
      <c r="E17" s="14"/>
      <c r="F17" s="21"/>
      <c r="G17" s="14"/>
      <c r="H17" s="14"/>
      <c r="I17" s="20"/>
    </row>
    <row r="38" spans="1:11" x14ac:dyDescent="0.3">
      <c r="A38" s="1"/>
      <c r="B38" s="10"/>
      <c r="C38" s="10"/>
      <c r="D38" s="10"/>
      <c r="E38" s="10"/>
      <c r="F38" s="10"/>
      <c r="G38" s="10"/>
      <c r="H38" s="10"/>
      <c r="I38" s="10"/>
      <c r="J38" s="10"/>
      <c r="K38" s="10"/>
    </row>
    <row r="39" spans="1:11" x14ac:dyDescent="0.3">
      <c r="A39" s="1"/>
      <c r="B39" s="10"/>
      <c r="C39" s="10"/>
      <c r="D39" s="10"/>
      <c r="E39" s="10"/>
      <c r="F39" s="10"/>
      <c r="G39" s="10"/>
      <c r="H39" s="10"/>
      <c r="I39" s="10"/>
      <c r="J39" s="10"/>
      <c r="K39" s="10"/>
    </row>
    <row r="40" spans="1:11" x14ac:dyDescent="0.3">
      <c r="A40" s="1"/>
      <c r="B40" s="10"/>
      <c r="C40" s="10"/>
      <c r="D40" s="10"/>
      <c r="E40" s="10"/>
      <c r="F40" s="10"/>
      <c r="G40" s="10"/>
      <c r="H40" s="10"/>
      <c r="I40" s="10"/>
      <c r="J40" s="10"/>
      <c r="K40" s="10"/>
    </row>
    <row r="41" spans="1:11" x14ac:dyDescent="0.3">
      <c r="A41" s="1"/>
      <c r="B41" s="10"/>
      <c r="C41" s="10"/>
      <c r="D41" s="10"/>
      <c r="E41" s="10"/>
      <c r="F41" s="10"/>
      <c r="G41" s="10"/>
      <c r="H41" s="10"/>
      <c r="I41" s="10"/>
      <c r="J41" s="10"/>
      <c r="K41" s="10"/>
    </row>
    <row r="42" spans="1:11" x14ac:dyDescent="0.3">
      <c r="A42" s="1"/>
      <c r="B42" s="10"/>
      <c r="C42" s="10"/>
      <c r="D42" s="10"/>
      <c r="E42" s="10"/>
      <c r="F42" s="10"/>
      <c r="G42" s="10"/>
      <c r="H42" s="10"/>
      <c r="I42" s="10"/>
      <c r="J42" s="10"/>
      <c r="K42" s="10"/>
    </row>
    <row r="43" spans="1:11" x14ac:dyDescent="0.3">
      <c r="A43" s="1"/>
      <c r="B43" s="10"/>
      <c r="C43" s="10"/>
      <c r="D43" s="10"/>
      <c r="E43" s="10"/>
      <c r="F43" s="10"/>
      <c r="G43" s="10"/>
      <c r="H43" s="10"/>
      <c r="I43" s="10"/>
      <c r="J43" s="10"/>
      <c r="K43" s="10"/>
    </row>
    <row r="44" spans="1:11" x14ac:dyDescent="0.3">
      <c r="A44" s="1"/>
      <c r="B44" s="10"/>
      <c r="C44" s="10"/>
      <c r="D44" s="10"/>
      <c r="E44" s="10"/>
      <c r="F44" s="10"/>
      <c r="G44" s="10"/>
      <c r="H44" s="10"/>
      <c r="I44" s="10"/>
      <c r="J44" s="10"/>
      <c r="K44" s="10"/>
    </row>
    <row r="45" spans="1:11" x14ac:dyDescent="0.3">
      <c r="A45" s="1"/>
      <c r="B45" s="10"/>
      <c r="C45" s="10"/>
      <c r="D45" s="10"/>
      <c r="E45" s="10"/>
      <c r="F45" s="10"/>
      <c r="G45" s="10"/>
      <c r="H45" s="10"/>
      <c r="I45" s="10"/>
      <c r="J45" s="10"/>
      <c r="K45" s="10"/>
    </row>
    <row r="46" spans="1:11" x14ac:dyDescent="0.3">
      <c r="A46" s="1"/>
      <c r="B46" s="10"/>
      <c r="C46" s="10"/>
      <c r="D46" s="10"/>
      <c r="E46" s="10"/>
      <c r="F46" s="10"/>
      <c r="G46" s="10"/>
      <c r="H46" s="10"/>
      <c r="I46" s="10"/>
      <c r="J46" s="10"/>
      <c r="K46" s="10"/>
    </row>
    <row r="55" spans="1:9" x14ac:dyDescent="0.3">
      <c r="A55" s="109" t="s">
        <v>6</v>
      </c>
      <c r="B55" s="109" t="s">
        <v>8</v>
      </c>
      <c r="C55" s="113"/>
      <c r="D55" s="113"/>
      <c r="E55" s="113"/>
      <c r="F55" s="113"/>
      <c r="G55" s="113"/>
      <c r="H55" s="113"/>
      <c r="I55" s="113"/>
    </row>
    <row r="56" spans="1:9" x14ac:dyDescent="0.3">
      <c r="A56" s="109" t="s">
        <v>28</v>
      </c>
      <c r="B56" s="113">
        <v>2018</v>
      </c>
      <c r="C56" s="109">
        <v>2019</v>
      </c>
      <c r="D56" s="109">
        <v>2020</v>
      </c>
      <c r="E56" s="109">
        <v>2021</v>
      </c>
      <c r="F56" s="109">
        <v>2022</v>
      </c>
      <c r="G56" s="109">
        <v>2023</v>
      </c>
      <c r="H56" s="109">
        <v>2024</v>
      </c>
      <c r="I56" s="109">
        <v>2025</v>
      </c>
    </row>
    <row r="57" spans="1:9" x14ac:dyDescent="0.3">
      <c r="A57" s="109" t="s">
        <v>45</v>
      </c>
      <c r="B57" s="110">
        <v>9</v>
      </c>
      <c r="C57" s="110">
        <v>0</v>
      </c>
      <c r="D57" s="110">
        <v>0</v>
      </c>
      <c r="E57" s="110">
        <v>0</v>
      </c>
      <c r="F57" s="110">
        <v>64</v>
      </c>
      <c r="G57" s="110">
        <v>0</v>
      </c>
      <c r="H57" s="110">
        <v>0</v>
      </c>
      <c r="I57" s="110">
        <v>12</v>
      </c>
    </row>
    <row r="58" spans="1:9" x14ac:dyDescent="0.3">
      <c r="A58" s="109" t="s">
        <v>166</v>
      </c>
      <c r="B58" s="110">
        <v>4</v>
      </c>
      <c r="C58" s="110">
        <v>0</v>
      </c>
      <c r="D58" s="110">
        <v>0</v>
      </c>
      <c r="E58" s="110">
        <v>0</v>
      </c>
      <c r="F58" s="110">
        <v>0</v>
      </c>
      <c r="G58" s="110">
        <v>0</v>
      </c>
      <c r="H58" s="110">
        <v>0</v>
      </c>
      <c r="I58" s="110">
        <v>16</v>
      </c>
    </row>
    <row r="59" spans="1:9" x14ac:dyDescent="0.3">
      <c r="A59" s="109" t="s">
        <v>167</v>
      </c>
      <c r="B59" s="110">
        <v>2</v>
      </c>
      <c r="C59" s="110">
        <v>0</v>
      </c>
      <c r="D59" s="110">
        <v>0</v>
      </c>
      <c r="E59" s="110">
        <v>113</v>
      </c>
      <c r="F59" s="110">
        <v>3</v>
      </c>
      <c r="G59" s="110">
        <v>0</v>
      </c>
      <c r="H59" s="110">
        <v>0</v>
      </c>
      <c r="I59" s="110">
        <v>15</v>
      </c>
    </row>
    <row r="60" spans="1:9" x14ac:dyDescent="0.3">
      <c r="A60" s="109" t="s">
        <v>168</v>
      </c>
      <c r="B60" s="110">
        <v>3</v>
      </c>
      <c r="C60" s="110">
        <v>0</v>
      </c>
      <c r="D60" s="110">
        <v>0</v>
      </c>
      <c r="E60" s="110">
        <v>0</v>
      </c>
      <c r="F60" s="110">
        <v>1</v>
      </c>
      <c r="G60" s="110">
        <v>0</v>
      </c>
      <c r="H60" s="110">
        <v>0</v>
      </c>
      <c r="I60" s="110">
        <v>13</v>
      </c>
    </row>
    <row r="61" spans="1:9" x14ac:dyDescent="0.3">
      <c r="A61" s="109" t="s">
        <v>169</v>
      </c>
      <c r="B61" s="110">
        <v>3</v>
      </c>
      <c r="C61" s="110">
        <v>0</v>
      </c>
      <c r="D61" s="110">
        <v>0</v>
      </c>
      <c r="E61" s="110">
        <v>0</v>
      </c>
      <c r="F61" s="110">
        <v>0</v>
      </c>
      <c r="G61" s="110">
        <v>0</v>
      </c>
      <c r="H61" s="110" t="s">
        <v>170</v>
      </c>
      <c r="I61" s="110">
        <v>10</v>
      </c>
    </row>
    <row r="62" spans="1:9" x14ac:dyDescent="0.3">
      <c r="A62" s="109" t="s">
        <v>171</v>
      </c>
      <c r="B62" s="110">
        <v>2</v>
      </c>
      <c r="C62" s="110">
        <v>0</v>
      </c>
      <c r="D62" s="110">
        <v>0</v>
      </c>
      <c r="E62" s="110">
        <v>0</v>
      </c>
      <c r="F62" s="110" t="s">
        <v>170</v>
      </c>
      <c r="G62" s="110">
        <v>0</v>
      </c>
      <c r="H62" s="110">
        <v>0</v>
      </c>
      <c r="I62" s="110">
        <v>9</v>
      </c>
    </row>
    <row r="63" spans="1:9" x14ac:dyDescent="0.3">
      <c r="A63" s="109" t="s">
        <v>172</v>
      </c>
      <c r="B63" s="110">
        <v>2</v>
      </c>
      <c r="C63" s="110">
        <v>2</v>
      </c>
      <c r="D63" s="110">
        <v>0</v>
      </c>
      <c r="E63" s="110">
        <v>0</v>
      </c>
      <c r="F63" s="110">
        <v>0</v>
      </c>
      <c r="G63" s="110" t="s">
        <v>170</v>
      </c>
      <c r="H63" s="110" t="s">
        <v>170</v>
      </c>
      <c r="I63" s="110">
        <v>16</v>
      </c>
    </row>
    <row r="64" spans="1:9" x14ac:dyDescent="0.3">
      <c r="A64" s="109" t="s">
        <v>173</v>
      </c>
      <c r="B64" s="110">
        <v>0</v>
      </c>
      <c r="C64" s="110">
        <v>0</v>
      </c>
      <c r="D64" s="110">
        <v>0</v>
      </c>
      <c r="E64" s="110">
        <v>1</v>
      </c>
      <c r="F64" s="110">
        <v>8</v>
      </c>
      <c r="G64" s="110">
        <v>0</v>
      </c>
      <c r="H64" s="110">
        <v>0</v>
      </c>
      <c r="I64" s="110">
        <v>15</v>
      </c>
    </row>
    <row r="65" spans="1:12" x14ac:dyDescent="0.3">
      <c r="A65" s="109" t="s">
        <v>174</v>
      </c>
      <c r="B65" s="110">
        <v>0</v>
      </c>
      <c r="C65" s="110">
        <v>0</v>
      </c>
      <c r="D65" s="110">
        <v>0</v>
      </c>
      <c r="E65" s="110">
        <v>1</v>
      </c>
      <c r="F65" s="110">
        <v>0</v>
      </c>
      <c r="G65" s="110">
        <v>0</v>
      </c>
      <c r="H65" s="110">
        <v>0</v>
      </c>
      <c r="I65" s="110" t="s">
        <v>170</v>
      </c>
    </row>
    <row r="66" spans="1:12" x14ac:dyDescent="0.3">
      <c r="A66" s="109" t="s">
        <v>175</v>
      </c>
      <c r="B66" s="110">
        <v>0</v>
      </c>
      <c r="C66" s="110">
        <v>0</v>
      </c>
      <c r="D66" s="110">
        <v>0</v>
      </c>
      <c r="E66" s="110">
        <v>0</v>
      </c>
      <c r="F66" s="110" t="s">
        <v>170</v>
      </c>
      <c r="G66" s="110">
        <v>0</v>
      </c>
      <c r="H66" s="110">
        <v>0</v>
      </c>
      <c r="I66" s="110" t="s">
        <v>170</v>
      </c>
    </row>
    <row r="67" spans="1:12" x14ac:dyDescent="0.3">
      <c r="A67" s="109" t="s">
        <v>176</v>
      </c>
      <c r="B67" s="110">
        <v>0</v>
      </c>
      <c r="C67" s="110">
        <v>0</v>
      </c>
      <c r="D67" s="110">
        <v>0</v>
      </c>
      <c r="E67" s="110">
        <v>0</v>
      </c>
      <c r="F67" s="110">
        <v>0</v>
      </c>
      <c r="G67" s="110">
        <v>0</v>
      </c>
      <c r="H67" s="110">
        <v>13</v>
      </c>
      <c r="I67" s="110" t="s">
        <v>170</v>
      </c>
    </row>
    <row r="68" spans="1:12" x14ac:dyDescent="0.3">
      <c r="A68" s="109" t="s">
        <v>177</v>
      </c>
      <c r="B68" s="110">
        <v>0</v>
      </c>
      <c r="C68" s="110">
        <v>0</v>
      </c>
      <c r="D68" s="110">
        <v>0</v>
      </c>
      <c r="E68" s="110">
        <v>0</v>
      </c>
      <c r="F68" s="110" t="s">
        <v>170</v>
      </c>
      <c r="G68" s="110">
        <v>0</v>
      </c>
      <c r="H68" s="110">
        <v>12</v>
      </c>
      <c r="I68" s="110" t="s">
        <v>170</v>
      </c>
    </row>
    <row r="69" spans="1:12" ht="28.8" x14ac:dyDescent="0.3">
      <c r="A69" s="111" t="s">
        <v>30</v>
      </c>
      <c r="B69" s="112">
        <v>25</v>
      </c>
      <c r="C69" s="112">
        <v>2</v>
      </c>
      <c r="D69" s="112">
        <v>0</v>
      </c>
      <c r="E69" s="112">
        <v>115</v>
      </c>
      <c r="F69" s="112">
        <v>76</v>
      </c>
      <c r="G69" s="112">
        <v>0</v>
      </c>
      <c r="H69" s="112">
        <v>25</v>
      </c>
      <c r="I69" s="112">
        <v>106</v>
      </c>
    </row>
    <row r="71" spans="1:12" s="33" customFormat="1" ht="15" customHeight="1" x14ac:dyDescent="0.3">
      <c r="A71"/>
      <c r="B71"/>
      <c r="C71"/>
      <c r="D71"/>
      <c r="E71"/>
      <c r="F71"/>
      <c r="G71"/>
      <c r="H71"/>
      <c r="I71"/>
      <c r="J71"/>
      <c r="K71"/>
      <c r="L71"/>
    </row>
    <row r="73" spans="1:12" x14ac:dyDescent="0.3">
      <c r="A73" s="27" t="s">
        <v>37</v>
      </c>
    </row>
    <row r="201" spans="1:1" x14ac:dyDescent="0.3">
      <c r="A201">
        <f>D2</f>
        <v>0</v>
      </c>
    </row>
    <row r="202" spans="1:1" x14ac:dyDescent="0.3">
      <c r="A202" s="24">
        <f>F1</f>
        <v>0</v>
      </c>
    </row>
  </sheetData>
  <sheetProtection formatCells="0" formatColumns="0" formatRows="0" insertColumns="0" insertRows="0" insertHyperlinks="0" deleteColumns="0" deleteRows="0" sort="0" autoFilter="0" pivotTables="0"/>
  <mergeCells count="1">
    <mergeCell ref="C1:E1"/>
  </mergeCells>
  <conditionalFormatting pivot="1" sqref="B57:I69">
    <cfRule type="aboveAverage" dxfId="65" priority="14"/>
  </conditionalFormatting>
  <conditionalFormatting pivot="1" sqref="B57:I69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E5:E12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{112DC481-FACA-4F55-A79E-4C3CF5E962A4}</x14:id>
        </ext>
      </extLst>
    </cfRule>
  </conditionalFormatting>
  <conditionalFormatting pivot="1" sqref="G5:G12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{6292EC6A-C7FF-4C52-8793-0D294DFC8313}</x14:id>
        </ext>
      </extLst>
    </cfRule>
  </conditionalFormatting>
  <conditionalFormatting pivot="1" sqref="F5:F12">
    <cfRule type="dataBar" priority="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{AAA76D1C-E523-4486-BDE5-D8F5871043E8}</x14:id>
        </ext>
      </extLst>
    </cfRule>
  </conditionalFormatting>
  <conditionalFormatting sqref="I17">
    <cfRule type="dataBar" priority="2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{113890F0-8FFF-4CE1-AB4D-4A6CDE420959}</x14:id>
        </ext>
      </extLst>
    </cfRule>
  </conditionalFormatting>
  <conditionalFormatting pivot="1">
    <cfRule type="cellIs" dxfId="64" priority="7" operator="lessThan">
      <formula>1</formula>
    </cfRule>
  </conditionalFormatting>
  <conditionalFormatting pivot="1" sqref="J5:J12">
    <cfRule type="dataBar" priority="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{9C37EDDB-5973-47BC-80EE-5C7486860ACA}</x14:id>
        </ext>
      </extLst>
    </cfRule>
  </conditionalFormatting>
  <pageMargins left="0.7" right="0.7" top="0.75" bottom="0.75" header="0.3" footer="0.3"/>
  <pageSetup paperSize="9" scale="59" orientation="portrait" r:id="rId3"/>
  <headerFooter>
    <oddHeader>&amp;C&amp;"Arial"&amp;8&amp;K000000INTERNAL&amp;1#</oddHeader>
  </headerFooter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6" r:id="rId6" name="Option Button 8">
              <controlPr defaultSize="0" autoFill="0" autoLine="0" autoPict="0" macro="[0]!Campaña_Proactivo">
                <anchor moveWithCells="1">
                  <from>
                    <xdr:col>9</xdr:col>
                    <xdr:colOff>160020</xdr:colOff>
                    <xdr:row>0</xdr:row>
                    <xdr:rowOff>175260</xdr:rowOff>
                  </from>
                  <to>
                    <xdr:col>11</xdr:col>
                    <xdr:colOff>579120</xdr:colOff>
                    <xdr:row>1</xdr:row>
                    <xdr:rowOff>274320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 pivot="1">
          <x14:cfRule type="dataBar" id="{112DC481-FACA-4F55-A79E-4C3CF5E962A4}">
            <x14:dataBar border="1" negativeBarColorSameAsPositive="1" negativeBarBorderColorSameAsPositive="0" axisPosition="none">
              <x14:cfvo type="min"/>
              <x14:cfvo type="max"/>
              <x14:borderColor rgb="FF638EC6"/>
              <x14:negativeBorderColor rgb="FF63C384"/>
            </x14:dataBar>
          </x14:cfRule>
          <xm:sqref>E5:E12</xm:sqref>
        </x14:conditionalFormatting>
        <x14:conditionalFormatting xmlns:xm="http://schemas.microsoft.com/office/excel/2006/main" pivot="1">
          <x14:cfRule type="dataBar" id="{6292EC6A-C7FF-4C52-8793-0D294DFC831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G5:G12</xm:sqref>
        </x14:conditionalFormatting>
        <x14:conditionalFormatting xmlns:xm="http://schemas.microsoft.com/office/excel/2006/main" pivot="1">
          <x14:cfRule type="dataBar" id="{AAA76D1C-E523-4486-BDE5-D8F5871043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F5:F12</xm:sqref>
        </x14:conditionalFormatting>
        <x14:conditionalFormatting xmlns:xm="http://schemas.microsoft.com/office/excel/2006/main">
          <x14:cfRule type="dataBar" id="{113890F0-8FFF-4CE1-AB4D-4A6CDE420959}">
            <x14:dataBar border="1" negativeBarColorSameAsPositive="1" negativeBarBorderColorSameAsPositive="0" axisPosition="none">
              <x14:cfvo type="min"/>
              <x14:cfvo type="max"/>
              <x14:borderColor rgb="FFFFB628"/>
              <x14:negativeBorderColor rgb="FFFFB628"/>
            </x14:dataBar>
          </x14:cfRule>
          <xm:sqref>I17</xm:sqref>
        </x14:conditionalFormatting>
        <x14:conditionalFormatting xmlns:xm="http://schemas.microsoft.com/office/excel/2006/main" pivot="1">
          <x14:cfRule type="dataBar" id="{9C37EDDB-5973-47BC-80EE-5C7486860ACA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J5:J12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9" filterMode="1">
    <tabColor rgb="FFFFC000"/>
  </sheetPr>
  <dimension ref="A1:AA200"/>
  <sheetViews>
    <sheetView zoomScaleNormal="100" workbookViewId="0">
      <pane ySplit="4" topLeftCell="A5" activePane="bottomLeft" state="frozen"/>
      <selection pane="bottomLeft" activeCell="N14" sqref="N14"/>
    </sheetView>
  </sheetViews>
  <sheetFormatPr baseColWidth="10" defaultColWidth="11.44140625" defaultRowHeight="14.4" x14ac:dyDescent="0.3"/>
  <cols>
    <col min="1" max="1" width="13.33203125" style="1" bestFit="1" customWidth="1"/>
    <col min="2" max="2" width="7.88671875" style="1" customWidth="1"/>
    <col min="3" max="4" width="10.6640625" style="2" customWidth="1"/>
    <col min="5" max="5" width="7.6640625" style="1" customWidth="1"/>
    <col min="6" max="6" width="8.44140625" style="1" customWidth="1"/>
    <col min="7" max="7" width="8.5546875" style="1" customWidth="1"/>
    <col min="8" max="13" width="7.6640625" style="1" customWidth="1"/>
    <col min="14" max="14" width="8.44140625" style="1" customWidth="1"/>
    <col min="15" max="15" width="7.6640625" style="1" customWidth="1"/>
    <col min="16" max="18" width="9.6640625" style="1" customWidth="1"/>
    <col min="19" max="19" width="9" style="1" customWidth="1"/>
    <col min="20" max="20" width="11.44140625" style="1"/>
    <col min="21" max="21" width="11.6640625" style="1" customWidth="1"/>
    <col min="22" max="22" width="2" style="1" hidden="1" customWidth="1"/>
    <col min="23" max="24" width="11.6640625" style="1" hidden="1" customWidth="1"/>
    <col min="25" max="26" width="11.44140625" style="1" hidden="1" customWidth="1"/>
    <col min="27" max="27" width="10.6640625" style="1" hidden="1" customWidth="1"/>
    <col min="28" max="16384" width="11.44140625" style="1"/>
  </cols>
  <sheetData>
    <row r="1" spans="1:27" ht="15" customHeight="1" thickBot="1" x14ac:dyDescent="0.35">
      <c r="A1" s="125"/>
      <c r="B1" s="65"/>
      <c r="C1" s="65" t="s">
        <v>14</v>
      </c>
      <c r="D1" s="65" t="s">
        <v>90</v>
      </c>
      <c r="E1" s="66" t="s">
        <v>50</v>
      </c>
      <c r="F1" s="66" t="s">
        <v>51</v>
      </c>
      <c r="G1" s="66" t="s">
        <v>80</v>
      </c>
      <c r="H1" s="66" t="s">
        <v>91</v>
      </c>
      <c r="I1" s="66" t="s">
        <v>52</v>
      </c>
      <c r="J1" s="129" t="s">
        <v>72</v>
      </c>
      <c r="K1" s="130"/>
      <c r="L1" s="129" t="s">
        <v>53</v>
      </c>
      <c r="M1" s="130"/>
      <c r="N1" s="129" t="s">
        <v>86</v>
      </c>
      <c r="O1" s="135"/>
      <c r="P1" s="82"/>
      <c r="Q1" s="80"/>
      <c r="R1" s="86" t="s">
        <v>96</v>
      </c>
      <c r="S1" s="127"/>
      <c r="AA1" s="1" t="s">
        <v>73</v>
      </c>
    </row>
    <row r="2" spans="1:27" ht="27.75" customHeight="1" thickBot="1" x14ac:dyDescent="0.35">
      <c r="A2" s="126"/>
      <c r="B2" s="67"/>
      <c r="C2" s="67" t="e">
        <f>C5</f>
        <v>#REF!</v>
      </c>
      <c r="D2" s="67" t="e">
        <f>SUBTOTAL(4,D5:D200)</f>
        <v>#REF!</v>
      </c>
      <c r="E2" s="68"/>
      <c r="F2" s="68"/>
      <c r="G2" s="69">
        <f>MAX(Listado!AE29,Listado!AE37,Listado!AE45)</f>
        <v>0</v>
      </c>
      <c r="H2" s="68">
        <f>Listado!AE48</f>
        <v>0</v>
      </c>
      <c r="I2" s="68" t="e">
        <f>D2-C2</f>
        <v>#REF!</v>
      </c>
      <c r="J2" s="133" t="e">
        <f>SUBTOTAL(109,G5:L200)</f>
        <v>#REF!</v>
      </c>
      <c r="K2" s="134"/>
      <c r="L2" s="131">
        <f>SUBTOTAL(109,M5:R200)</f>
        <v>0</v>
      </c>
      <c r="M2" s="132"/>
      <c r="N2" s="131" t="e">
        <f>J2+L2</f>
        <v>#REF!</v>
      </c>
      <c r="O2" s="136"/>
      <c r="P2" s="83"/>
      <c r="Q2" s="81"/>
      <c r="R2" s="87" t="str">
        <f>ROMAN(MAX('Entrada datos'!O1:O109))</f>
        <v/>
      </c>
      <c r="S2" s="128"/>
      <c r="AA2" s="1" t="s">
        <v>94</v>
      </c>
    </row>
    <row r="3" spans="1:27" ht="11.25" customHeight="1" x14ac:dyDescent="0.3">
      <c r="A3" s="75"/>
      <c r="B3" s="76"/>
      <c r="C3" s="76"/>
      <c r="D3" s="76"/>
      <c r="E3" s="76"/>
      <c r="F3" s="76"/>
      <c r="G3" s="76"/>
      <c r="H3" s="76"/>
      <c r="I3" s="76"/>
      <c r="J3" s="76"/>
      <c r="K3" s="76"/>
      <c r="L3" s="76"/>
      <c r="M3" s="76"/>
      <c r="N3" s="76"/>
      <c r="O3" s="76"/>
      <c r="P3" s="76"/>
      <c r="Q3" s="76"/>
      <c r="R3" s="76"/>
      <c r="S3" s="76"/>
      <c r="AA3" s="1" t="s">
        <v>95</v>
      </c>
    </row>
    <row r="4" spans="1:27" s="9" customFormat="1" ht="28.8" x14ac:dyDescent="0.3">
      <c r="A4" s="77" t="s">
        <v>12</v>
      </c>
      <c r="B4" s="77" t="s">
        <v>55</v>
      </c>
      <c r="C4" s="78" t="s">
        <v>56</v>
      </c>
      <c r="D4" s="78" t="s">
        <v>57</v>
      </c>
      <c r="E4" s="77" t="s">
        <v>58</v>
      </c>
      <c r="F4" s="77" t="s">
        <v>59</v>
      </c>
      <c r="G4" s="77" t="s">
        <v>60</v>
      </c>
      <c r="H4" s="77" t="s">
        <v>61</v>
      </c>
      <c r="I4" s="77" t="s">
        <v>62</v>
      </c>
      <c r="J4" s="77" t="s">
        <v>63</v>
      </c>
      <c r="K4" s="77" t="s">
        <v>64</v>
      </c>
      <c r="L4" s="77" t="s">
        <v>65</v>
      </c>
      <c r="M4" s="77" t="s">
        <v>66</v>
      </c>
      <c r="N4" s="77" t="s">
        <v>67</v>
      </c>
      <c r="O4" s="77" t="s">
        <v>68</v>
      </c>
      <c r="P4" s="77" t="s">
        <v>69</v>
      </c>
      <c r="Q4" s="77" t="s">
        <v>70</v>
      </c>
      <c r="R4" s="77" t="s">
        <v>71</v>
      </c>
      <c r="S4" s="79" t="s">
        <v>93</v>
      </c>
      <c r="AA4" s="88" t="e">
        <f>SUBTOTAL(5,C5:C200)</f>
        <v>#REF!</v>
      </c>
    </row>
    <row r="5" spans="1:27" x14ac:dyDescent="0.3">
      <c r="A5" s="74" t="e">
        <f>'Entrada datos'!#REF!</f>
        <v>#REF!</v>
      </c>
      <c r="B5" s="70" t="e">
        <f>'Entrada datos'!#REF!</f>
        <v>#REF!</v>
      </c>
      <c r="C5" s="71" t="e">
        <f>'Entrada datos'!#REF!</f>
        <v>#REF!</v>
      </c>
      <c r="D5" s="71" t="e">
        <f>'Entrada datos'!#REF!</f>
        <v>#REF!</v>
      </c>
      <c r="E5" s="70" t="e">
        <f>D5-C5</f>
        <v>#REF!</v>
      </c>
      <c r="F5" s="64" t="e">
        <f>IF(D5&lt;=$C$2,"no procede","Refacturar")</f>
        <v>#REF!</v>
      </c>
      <c r="G5" s="70" t="e">
        <f>'Entrada datos'!#REF!</f>
        <v>#REF!</v>
      </c>
      <c r="H5" s="70" t="e">
        <f>'Entrada datos'!#REF!</f>
        <v>#REF!</v>
      </c>
      <c r="I5" s="70" t="e">
        <f>'Entrada datos'!#REF!</f>
        <v>#REF!</v>
      </c>
      <c r="J5" s="70" t="e">
        <f>'Entrada datos'!#REF!</f>
        <v>#REF!</v>
      </c>
      <c r="K5" s="70" t="e">
        <f>'Entrada datos'!#REF!</f>
        <v>#REF!</v>
      </c>
      <c r="L5" s="70" t="e">
        <f>'Entrada datos'!#REF!</f>
        <v>#REF!</v>
      </c>
      <c r="M5" s="72"/>
      <c r="N5" s="72"/>
      <c r="O5" s="72"/>
      <c r="P5" s="72"/>
      <c r="Q5" s="72"/>
      <c r="R5" s="72"/>
      <c r="S5" s="73" t="s">
        <v>73</v>
      </c>
      <c r="T5" s="73"/>
      <c r="U5" s="73"/>
      <c r="V5" s="73" t="e">
        <f>SUM(G5:L5)</f>
        <v>#REF!</v>
      </c>
      <c r="W5" s="73"/>
      <c r="X5" s="73"/>
      <c r="Y5" s="73"/>
      <c r="Z5" s="73"/>
      <c r="AA5" s="73"/>
    </row>
    <row r="6" spans="1:27" x14ac:dyDescent="0.3">
      <c r="A6" s="74" t="e">
        <f>'Entrada datos'!#REF!</f>
        <v>#REF!</v>
      </c>
      <c r="B6" s="70" t="e">
        <f>'Entrada datos'!#REF!</f>
        <v>#REF!</v>
      </c>
      <c r="C6" s="71" t="e">
        <f>'Entrada datos'!#REF!</f>
        <v>#REF!</v>
      </c>
      <c r="D6" s="71" t="e">
        <f>'Entrada datos'!#REF!</f>
        <v>#REF!</v>
      </c>
      <c r="E6" s="70" t="e">
        <f t="shared" ref="E6:E69" si="0">D6-C6</f>
        <v>#REF!</v>
      </c>
      <c r="F6" s="64" t="e">
        <f t="shared" ref="F6:F69" si="1">IF(D6&lt;=$C$2,"no procede","Refacturar")</f>
        <v>#REF!</v>
      </c>
      <c r="G6" s="70" t="e">
        <f>'Entrada datos'!#REF!</f>
        <v>#REF!</v>
      </c>
      <c r="H6" s="70" t="e">
        <f>'Entrada datos'!#REF!</f>
        <v>#REF!</v>
      </c>
      <c r="I6" s="70" t="e">
        <f>'Entrada datos'!#REF!</f>
        <v>#REF!</v>
      </c>
      <c r="J6" s="70" t="e">
        <f>'Entrada datos'!#REF!</f>
        <v>#REF!</v>
      </c>
      <c r="K6" s="70" t="e">
        <f>'Entrada datos'!#REF!</f>
        <v>#REF!</v>
      </c>
      <c r="L6" s="70" t="e">
        <f>'Entrada datos'!#REF!</f>
        <v>#REF!</v>
      </c>
      <c r="M6" s="72"/>
      <c r="N6" s="72"/>
      <c r="O6" s="72"/>
      <c r="P6" s="72"/>
      <c r="Q6" s="72"/>
      <c r="R6" s="72"/>
      <c r="S6" s="73" t="s">
        <v>73</v>
      </c>
      <c r="T6" s="73"/>
      <c r="U6" s="73"/>
      <c r="V6" s="73" t="e">
        <f t="shared" ref="V6:V69" si="2">SUM(G6:L6)</f>
        <v>#REF!</v>
      </c>
      <c r="W6" s="73"/>
      <c r="X6" s="73"/>
      <c r="Y6" s="73"/>
      <c r="Z6" s="73"/>
      <c r="AA6" s="73"/>
    </row>
    <row r="7" spans="1:27" x14ac:dyDescent="0.3">
      <c r="A7" s="74" t="e">
        <f>'Entrada datos'!#REF!</f>
        <v>#REF!</v>
      </c>
      <c r="B7" s="70" t="e">
        <f>'Entrada datos'!#REF!</f>
        <v>#REF!</v>
      </c>
      <c r="C7" s="71" t="e">
        <f>'Entrada datos'!#REF!</f>
        <v>#REF!</v>
      </c>
      <c r="D7" s="71" t="e">
        <f>'Entrada datos'!#REF!</f>
        <v>#REF!</v>
      </c>
      <c r="E7" s="70" t="e">
        <f t="shared" si="0"/>
        <v>#REF!</v>
      </c>
      <c r="F7" s="64" t="e">
        <f t="shared" si="1"/>
        <v>#REF!</v>
      </c>
      <c r="G7" s="70" t="e">
        <f>'Entrada datos'!#REF!</f>
        <v>#REF!</v>
      </c>
      <c r="H7" s="70" t="e">
        <f>'Entrada datos'!#REF!</f>
        <v>#REF!</v>
      </c>
      <c r="I7" s="70" t="e">
        <f>'Entrada datos'!#REF!</f>
        <v>#REF!</v>
      </c>
      <c r="J7" s="70" t="e">
        <f>'Entrada datos'!#REF!</f>
        <v>#REF!</v>
      </c>
      <c r="K7" s="70" t="e">
        <f>'Entrada datos'!#REF!</f>
        <v>#REF!</v>
      </c>
      <c r="L7" s="70" t="e">
        <f>'Entrada datos'!#REF!</f>
        <v>#REF!</v>
      </c>
      <c r="M7" s="72"/>
      <c r="N7" s="72"/>
      <c r="O7" s="72"/>
      <c r="P7" s="72"/>
      <c r="Q7" s="72"/>
      <c r="R7" s="72"/>
      <c r="S7" s="73" t="s">
        <v>73</v>
      </c>
      <c r="T7" s="73"/>
      <c r="U7" s="73"/>
      <c r="V7" s="73" t="e">
        <f t="shared" si="2"/>
        <v>#REF!</v>
      </c>
      <c r="W7" s="73"/>
      <c r="X7" s="73"/>
      <c r="Y7" s="73"/>
      <c r="Z7" s="73"/>
      <c r="AA7" s="73"/>
    </row>
    <row r="8" spans="1:27" x14ac:dyDescent="0.3">
      <c r="A8" s="74" t="e">
        <f>'Entrada datos'!#REF!</f>
        <v>#REF!</v>
      </c>
      <c r="B8" s="70" t="e">
        <f>'Entrada datos'!#REF!</f>
        <v>#REF!</v>
      </c>
      <c r="C8" s="71" t="e">
        <f>'Entrada datos'!#REF!</f>
        <v>#REF!</v>
      </c>
      <c r="D8" s="71" t="e">
        <f>'Entrada datos'!#REF!</f>
        <v>#REF!</v>
      </c>
      <c r="E8" s="70" t="e">
        <f t="shared" si="0"/>
        <v>#REF!</v>
      </c>
      <c r="F8" s="64" t="e">
        <f t="shared" si="1"/>
        <v>#REF!</v>
      </c>
      <c r="G8" s="70" t="e">
        <f>'Entrada datos'!#REF!</f>
        <v>#REF!</v>
      </c>
      <c r="H8" s="70" t="e">
        <f>'Entrada datos'!#REF!</f>
        <v>#REF!</v>
      </c>
      <c r="I8" s="70" t="e">
        <f>'Entrada datos'!#REF!</f>
        <v>#REF!</v>
      </c>
      <c r="J8" s="70" t="e">
        <f>'Entrada datos'!#REF!</f>
        <v>#REF!</v>
      </c>
      <c r="K8" s="70" t="e">
        <f>'Entrada datos'!#REF!</f>
        <v>#REF!</v>
      </c>
      <c r="L8" s="70" t="e">
        <f>'Entrada datos'!#REF!</f>
        <v>#REF!</v>
      </c>
      <c r="M8" s="72"/>
      <c r="N8" s="72"/>
      <c r="O8" s="72"/>
      <c r="P8" s="72"/>
      <c r="Q8" s="72"/>
      <c r="R8" s="72"/>
      <c r="S8" s="73" t="s">
        <v>73</v>
      </c>
      <c r="T8" s="73"/>
      <c r="U8" s="73"/>
      <c r="V8" s="73" t="e">
        <f t="shared" si="2"/>
        <v>#REF!</v>
      </c>
      <c r="W8" s="73"/>
      <c r="X8" s="73"/>
      <c r="Y8" s="73"/>
      <c r="Z8" s="73"/>
      <c r="AA8" s="73"/>
    </row>
    <row r="9" spans="1:27" x14ac:dyDescent="0.3">
      <c r="A9" s="74" t="e">
        <f>'Entrada datos'!#REF!</f>
        <v>#REF!</v>
      </c>
      <c r="B9" s="70" t="e">
        <f>'Entrada datos'!#REF!</f>
        <v>#REF!</v>
      </c>
      <c r="C9" s="71" t="e">
        <f>'Entrada datos'!#REF!</f>
        <v>#REF!</v>
      </c>
      <c r="D9" s="71" t="e">
        <f>'Entrada datos'!#REF!</f>
        <v>#REF!</v>
      </c>
      <c r="E9" s="70" t="e">
        <f t="shared" si="0"/>
        <v>#REF!</v>
      </c>
      <c r="F9" s="64" t="e">
        <f t="shared" si="1"/>
        <v>#REF!</v>
      </c>
      <c r="G9" s="70" t="e">
        <f>'Entrada datos'!#REF!</f>
        <v>#REF!</v>
      </c>
      <c r="H9" s="70" t="e">
        <f>'Entrada datos'!#REF!</f>
        <v>#REF!</v>
      </c>
      <c r="I9" s="70" t="e">
        <f>'Entrada datos'!#REF!</f>
        <v>#REF!</v>
      </c>
      <c r="J9" s="70" t="e">
        <f>'Entrada datos'!#REF!</f>
        <v>#REF!</v>
      </c>
      <c r="K9" s="70" t="e">
        <f>'Entrada datos'!#REF!</f>
        <v>#REF!</v>
      </c>
      <c r="L9" s="70" t="e">
        <f>'Entrada datos'!#REF!</f>
        <v>#REF!</v>
      </c>
      <c r="M9" s="72"/>
      <c r="N9" s="72"/>
      <c r="O9" s="72"/>
      <c r="P9" s="72"/>
      <c r="Q9" s="72"/>
      <c r="R9" s="72"/>
      <c r="S9" s="73" t="s">
        <v>73</v>
      </c>
      <c r="T9" s="73"/>
      <c r="U9" s="73"/>
      <c r="V9" s="73" t="e">
        <f t="shared" si="2"/>
        <v>#REF!</v>
      </c>
      <c r="W9" s="73"/>
      <c r="X9" s="73"/>
      <c r="Y9" s="73"/>
      <c r="Z9" s="73"/>
      <c r="AA9" s="73"/>
    </row>
    <row r="10" spans="1:27" x14ac:dyDescent="0.3">
      <c r="A10" s="74" t="e">
        <f>'Entrada datos'!#REF!</f>
        <v>#REF!</v>
      </c>
      <c r="B10" s="70" t="e">
        <f>'Entrada datos'!#REF!</f>
        <v>#REF!</v>
      </c>
      <c r="C10" s="71" t="e">
        <f>'Entrada datos'!#REF!</f>
        <v>#REF!</v>
      </c>
      <c r="D10" s="71" t="e">
        <f>'Entrada datos'!#REF!</f>
        <v>#REF!</v>
      </c>
      <c r="E10" s="70" t="e">
        <f t="shared" si="0"/>
        <v>#REF!</v>
      </c>
      <c r="F10" s="64" t="e">
        <f t="shared" si="1"/>
        <v>#REF!</v>
      </c>
      <c r="G10" s="70" t="e">
        <f>'Entrada datos'!#REF!</f>
        <v>#REF!</v>
      </c>
      <c r="H10" s="70" t="e">
        <f>'Entrada datos'!#REF!</f>
        <v>#REF!</v>
      </c>
      <c r="I10" s="70" t="e">
        <f>'Entrada datos'!#REF!</f>
        <v>#REF!</v>
      </c>
      <c r="J10" s="70" t="e">
        <f>'Entrada datos'!#REF!</f>
        <v>#REF!</v>
      </c>
      <c r="K10" s="70" t="e">
        <f>'Entrada datos'!#REF!</f>
        <v>#REF!</v>
      </c>
      <c r="L10" s="70" t="e">
        <f>'Entrada datos'!#REF!</f>
        <v>#REF!</v>
      </c>
      <c r="M10" s="72"/>
      <c r="N10" s="72"/>
      <c r="O10" s="72"/>
      <c r="P10" s="72"/>
      <c r="Q10" s="72"/>
      <c r="R10" s="72"/>
      <c r="S10" s="73" t="s">
        <v>73</v>
      </c>
      <c r="T10" s="73"/>
      <c r="U10" s="73"/>
      <c r="V10" s="73" t="e">
        <f t="shared" si="2"/>
        <v>#REF!</v>
      </c>
      <c r="W10" s="73"/>
      <c r="X10" s="73"/>
      <c r="Y10" s="73"/>
      <c r="Z10" s="73"/>
      <c r="AA10" s="73"/>
    </row>
    <row r="11" spans="1:27" x14ac:dyDescent="0.3">
      <c r="A11" s="74" t="e">
        <f>'Entrada datos'!#REF!</f>
        <v>#REF!</v>
      </c>
      <c r="B11" s="70" t="e">
        <f>'Entrada datos'!#REF!</f>
        <v>#REF!</v>
      </c>
      <c r="C11" s="71" t="e">
        <f>'Entrada datos'!#REF!</f>
        <v>#REF!</v>
      </c>
      <c r="D11" s="71" t="e">
        <f>'Entrada datos'!#REF!</f>
        <v>#REF!</v>
      </c>
      <c r="E11" s="70" t="e">
        <f t="shared" si="0"/>
        <v>#REF!</v>
      </c>
      <c r="F11" s="64" t="e">
        <f t="shared" si="1"/>
        <v>#REF!</v>
      </c>
      <c r="G11" s="70" t="e">
        <f>'Entrada datos'!#REF!</f>
        <v>#REF!</v>
      </c>
      <c r="H11" s="70" t="e">
        <f>'Entrada datos'!#REF!</f>
        <v>#REF!</v>
      </c>
      <c r="I11" s="70" t="e">
        <f>'Entrada datos'!#REF!</f>
        <v>#REF!</v>
      </c>
      <c r="J11" s="70" t="e">
        <f>'Entrada datos'!#REF!</f>
        <v>#REF!</v>
      </c>
      <c r="K11" s="70" t="e">
        <f>'Entrada datos'!#REF!</f>
        <v>#REF!</v>
      </c>
      <c r="L11" s="70" t="e">
        <f>'Entrada datos'!#REF!</f>
        <v>#REF!</v>
      </c>
      <c r="M11" s="72"/>
      <c r="N11" s="72"/>
      <c r="O11" s="72"/>
      <c r="P11" s="72"/>
      <c r="Q11" s="72"/>
      <c r="R11" s="72"/>
      <c r="S11" s="73" t="s">
        <v>73</v>
      </c>
      <c r="T11" s="73"/>
      <c r="U11" s="73"/>
      <c r="V11" s="73" t="e">
        <f t="shared" si="2"/>
        <v>#REF!</v>
      </c>
      <c r="W11" s="73"/>
      <c r="X11" s="73"/>
      <c r="Y11" s="73"/>
      <c r="Z11" s="73"/>
      <c r="AA11" s="73"/>
    </row>
    <row r="12" spans="1:27" x14ac:dyDescent="0.3">
      <c r="A12" s="74" t="e">
        <f>'Entrada datos'!#REF!</f>
        <v>#REF!</v>
      </c>
      <c r="B12" s="70" t="e">
        <f>'Entrada datos'!#REF!</f>
        <v>#REF!</v>
      </c>
      <c r="C12" s="71" t="e">
        <f>'Entrada datos'!#REF!</f>
        <v>#REF!</v>
      </c>
      <c r="D12" s="71" t="e">
        <f>'Entrada datos'!#REF!</f>
        <v>#REF!</v>
      </c>
      <c r="E12" s="70" t="e">
        <f t="shared" si="0"/>
        <v>#REF!</v>
      </c>
      <c r="F12" s="64" t="e">
        <f t="shared" si="1"/>
        <v>#REF!</v>
      </c>
      <c r="G12" s="70" t="e">
        <f>'Entrada datos'!#REF!</f>
        <v>#REF!</v>
      </c>
      <c r="H12" s="70" t="e">
        <f>'Entrada datos'!#REF!</f>
        <v>#REF!</v>
      </c>
      <c r="I12" s="70" t="e">
        <f>'Entrada datos'!#REF!</f>
        <v>#REF!</v>
      </c>
      <c r="J12" s="70" t="e">
        <f>'Entrada datos'!#REF!</f>
        <v>#REF!</v>
      </c>
      <c r="K12" s="70" t="e">
        <f>'Entrada datos'!#REF!</f>
        <v>#REF!</v>
      </c>
      <c r="L12" s="70" t="e">
        <f>'Entrada datos'!#REF!</f>
        <v>#REF!</v>
      </c>
      <c r="M12" s="72"/>
      <c r="N12" s="72"/>
      <c r="O12" s="72"/>
      <c r="P12" s="72"/>
      <c r="Q12" s="72"/>
      <c r="R12" s="72"/>
      <c r="S12" s="73" t="s">
        <v>73</v>
      </c>
      <c r="T12" s="73"/>
      <c r="U12" s="73"/>
      <c r="V12" s="73" t="e">
        <f t="shared" si="2"/>
        <v>#REF!</v>
      </c>
      <c r="W12" s="73"/>
      <c r="X12" s="73"/>
      <c r="Y12" s="73"/>
      <c r="Z12" s="73"/>
      <c r="AA12" s="73"/>
    </row>
    <row r="13" spans="1:27" x14ac:dyDescent="0.3">
      <c r="A13" s="74" t="e">
        <f>'Entrada datos'!#REF!</f>
        <v>#REF!</v>
      </c>
      <c r="B13" s="70" t="e">
        <f>'Entrada datos'!#REF!</f>
        <v>#REF!</v>
      </c>
      <c r="C13" s="71" t="e">
        <f>'Entrada datos'!#REF!</f>
        <v>#REF!</v>
      </c>
      <c r="D13" s="71" t="e">
        <f>'Entrada datos'!#REF!</f>
        <v>#REF!</v>
      </c>
      <c r="E13" s="70" t="e">
        <f t="shared" si="0"/>
        <v>#REF!</v>
      </c>
      <c r="F13" s="64" t="e">
        <f t="shared" si="1"/>
        <v>#REF!</v>
      </c>
      <c r="G13" s="70" t="e">
        <f>'Entrada datos'!#REF!</f>
        <v>#REF!</v>
      </c>
      <c r="H13" s="70" t="e">
        <f>'Entrada datos'!#REF!</f>
        <v>#REF!</v>
      </c>
      <c r="I13" s="70" t="e">
        <f>'Entrada datos'!#REF!</f>
        <v>#REF!</v>
      </c>
      <c r="J13" s="70" t="e">
        <f>'Entrada datos'!#REF!</f>
        <v>#REF!</v>
      </c>
      <c r="K13" s="70" t="e">
        <f>'Entrada datos'!#REF!</f>
        <v>#REF!</v>
      </c>
      <c r="L13" s="70" t="e">
        <f>'Entrada datos'!#REF!</f>
        <v>#REF!</v>
      </c>
      <c r="M13" s="72"/>
      <c r="N13" s="72"/>
      <c r="O13" s="72"/>
      <c r="P13" s="72"/>
      <c r="Q13" s="72"/>
      <c r="R13" s="72"/>
      <c r="S13" s="73" t="s">
        <v>73</v>
      </c>
      <c r="T13" s="73"/>
      <c r="U13" s="73"/>
      <c r="V13" s="73" t="e">
        <f t="shared" si="2"/>
        <v>#REF!</v>
      </c>
      <c r="W13" s="73"/>
      <c r="X13" s="73"/>
      <c r="Y13" s="73"/>
      <c r="Z13" s="73"/>
      <c r="AA13" s="73"/>
    </row>
    <row r="14" spans="1:27" x14ac:dyDescent="0.3">
      <c r="A14" s="74" t="e">
        <f>'Entrada datos'!#REF!</f>
        <v>#REF!</v>
      </c>
      <c r="B14" s="70" t="e">
        <f>'Entrada datos'!#REF!</f>
        <v>#REF!</v>
      </c>
      <c r="C14" s="71" t="e">
        <f>'Entrada datos'!#REF!</f>
        <v>#REF!</v>
      </c>
      <c r="D14" s="71" t="e">
        <f>'Entrada datos'!#REF!</f>
        <v>#REF!</v>
      </c>
      <c r="E14" s="70" t="e">
        <f t="shared" si="0"/>
        <v>#REF!</v>
      </c>
      <c r="F14" s="64" t="e">
        <f t="shared" si="1"/>
        <v>#REF!</v>
      </c>
      <c r="G14" s="70" t="e">
        <f>'Entrada datos'!#REF!</f>
        <v>#REF!</v>
      </c>
      <c r="H14" s="70" t="e">
        <f>'Entrada datos'!#REF!</f>
        <v>#REF!</v>
      </c>
      <c r="I14" s="70" t="e">
        <f>'Entrada datos'!#REF!</f>
        <v>#REF!</v>
      </c>
      <c r="J14" s="70" t="e">
        <f>'Entrada datos'!#REF!</f>
        <v>#REF!</v>
      </c>
      <c r="K14" s="70" t="e">
        <f>'Entrada datos'!#REF!</f>
        <v>#REF!</v>
      </c>
      <c r="L14" s="70" t="e">
        <f>'Entrada datos'!#REF!</f>
        <v>#REF!</v>
      </c>
      <c r="M14" s="72"/>
      <c r="N14" s="72"/>
      <c r="O14" s="72"/>
      <c r="P14" s="72"/>
      <c r="Q14" s="72"/>
      <c r="R14" s="72"/>
      <c r="S14" s="73" t="s">
        <v>73</v>
      </c>
      <c r="T14" s="73"/>
      <c r="U14" s="73"/>
      <c r="V14" s="73" t="e">
        <f t="shared" si="2"/>
        <v>#REF!</v>
      </c>
      <c r="W14" s="73"/>
      <c r="X14" s="73"/>
      <c r="Y14" s="73"/>
      <c r="Z14" s="73"/>
      <c r="AA14" s="73"/>
    </row>
    <row r="15" spans="1:27" x14ac:dyDescent="0.3">
      <c r="A15" s="74" t="e">
        <f>'Entrada datos'!#REF!</f>
        <v>#REF!</v>
      </c>
      <c r="B15" s="70" t="e">
        <f>'Entrada datos'!#REF!</f>
        <v>#REF!</v>
      </c>
      <c r="C15" s="71" t="e">
        <f>'Entrada datos'!#REF!</f>
        <v>#REF!</v>
      </c>
      <c r="D15" s="71" t="e">
        <f>'Entrada datos'!#REF!</f>
        <v>#REF!</v>
      </c>
      <c r="E15" s="70" t="e">
        <f t="shared" si="0"/>
        <v>#REF!</v>
      </c>
      <c r="F15" s="64" t="e">
        <f t="shared" si="1"/>
        <v>#REF!</v>
      </c>
      <c r="G15" s="70" t="e">
        <f>'Entrada datos'!#REF!</f>
        <v>#REF!</v>
      </c>
      <c r="H15" s="70" t="e">
        <f>'Entrada datos'!#REF!</f>
        <v>#REF!</v>
      </c>
      <c r="I15" s="70" t="e">
        <f>'Entrada datos'!#REF!</f>
        <v>#REF!</v>
      </c>
      <c r="J15" s="70" t="e">
        <f>'Entrada datos'!#REF!</f>
        <v>#REF!</v>
      </c>
      <c r="K15" s="70" t="e">
        <f>'Entrada datos'!#REF!</f>
        <v>#REF!</v>
      </c>
      <c r="L15" s="70" t="e">
        <f>'Entrada datos'!#REF!</f>
        <v>#REF!</v>
      </c>
      <c r="M15" s="72"/>
      <c r="N15" s="72"/>
      <c r="O15" s="72"/>
      <c r="P15" s="72"/>
      <c r="Q15" s="72"/>
      <c r="R15" s="72"/>
      <c r="S15" s="73" t="s">
        <v>73</v>
      </c>
      <c r="T15" s="73"/>
      <c r="U15" s="73"/>
      <c r="V15" s="73" t="e">
        <f t="shared" si="2"/>
        <v>#REF!</v>
      </c>
      <c r="W15" s="73"/>
      <c r="X15" s="73"/>
      <c r="Y15" s="73"/>
      <c r="Z15" s="73"/>
      <c r="AA15" s="73"/>
    </row>
    <row r="16" spans="1:27" x14ac:dyDescent="0.3">
      <c r="A16" s="74" t="e">
        <f>'Entrada datos'!#REF!</f>
        <v>#REF!</v>
      </c>
      <c r="B16" s="70" t="e">
        <f>'Entrada datos'!#REF!</f>
        <v>#REF!</v>
      </c>
      <c r="C16" s="71" t="e">
        <f>'Entrada datos'!#REF!</f>
        <v>#REF!</v>
      </c>
      <c r="D16" s="71" t="e">
        <f>'Entrada datos'!#REF!</f>
        <v>#REF!</v>
      </c>
      <c r="E16" s="70" t="e">
        <f t="shared" si="0"/>
        <v>#REF!</v>
      </c>
      <c r="F16" s="64" t="e">
        <f t="shared" si="1"/>
        <v>#REF!</v>
      </c>
      <c r="G16" s="70" t="e">
        <f>'Entrada datos'!#REF!</f>
        <v>#REF!</v>
      </c>
      <c r="H16" s="70" t="e">
        <f>'Entrada datos'!#REF!</f>
        <v>#REF!</v>
      </c>
      <c r="I16" s="70" t="e">
        <f>'Entrada datos'!#REF!</f>
        <v>#REF!</v>
      </c>
      <c r="J16" s="70" t="e">
        <f>'Entrada datos'!#REF!</f>
        <v>#REF!</v>
      </c>
      <c r="K16" s="70" t="e">
        <f>'Entrada datos'!#REF!</f>
        <v>#REF!</v>
      </c>
      <c r="L16" s="70" t="e">
        <f>'Entrada datos'!#REF!</f>
        <v>#REF!</v>
      </c>
      <c r="M16" s="72"/>
      <c r="N16" s="72"/>
      <c r="O16" s="72"/>
      <c r="P16" s="72"/>
      <c r="Q16" s="72"/>
      <c r="R16" s="72"/>
      <c r="S16" s="73" t="s">
        <v>73</v>
      </c>
      <c r="T16" s="73"/>
      <c r="U16" s="73"/>
      <c r="V16" s="73" t="e">
        <f t="shared" si="2"/>
        <v>#REF!</v>
      </c>
      <c r="W16" s="73"/>
      <c r="X16" s="73"/>
      <c r="Y16" s="73"/>
      <c r="Z16" s="73"/>
      <c r="AA16" s="73"/>
    </row>
    <row r="17" spans="1:22" x14ac:dyDescent="0.3">
      <c r="A17" s="74" t="e">
        <f>'Entrada datos'!#REF!</f>
        <v>#REF!</v>
      </c>
      <c r="B17" s="70" t="e">
        <f>'Entrada datos'!#REF!</f>
        <v>#REF!</v>
      </c>
      <c r="C17" s="71" t="e">
        <f>'Entrada datos'!#REF!</f>
        <v>#REF!</v>
      </c>
      <c r="D17" s="71" t="e">
        <f>'Entrada datos'!#REF!</f>
        <v>#REF!</v>
      </c>
      <c r="E17" s="70" t="e">
        <f t="shared" si="0"/>
        <v>#REF!</v>
      </c>
      <c r="F17" s="64" t="e">
        <f t="shared" si="1"/>
        <v>#REF!</v>
      </c>
      <c r="G17" s="70" t="e">
        <f>'Entrada datos'!#REF!</f>
        <v>#REF!</v>
      </c>
      <c r="H17" s="70" t="e">
        <f>'Entrada datos'!#REF!</f>
        <v>#REF!</v>
      </c>
      <c r="I17" s="70" t="e">
        <f>'Entrada datos'!#REF!</f>
        <v>#REF!</v>
      </c>
      <c r="J17" s="70" t="e">
        <f>'Entrada datos'!#REF!</f>
        <v>#REF!</v>
      </c>
      <c r="K17" s="70" t="e">
        <f>'Entrada datos'!#REF!</f>
        <v>#REF!</v>
      </c>
      <c r="L17" s="70" t="e">
        <f>'Entrada datos'!#REF!</f>
        <v>#REF!</v>
      </c>
      <c r="M17" s="72"/>
      <c r="N17" s="72"/>
      <c r="O17" s="72"/>
      <c r="P17" s="72"/>
      <c r="Q17" s="72"/>
      <c r="R17" s="72"/>
      <c r="S17" s="73" t="s">
        <v>73</v>
      </c>
      <c r="T17" s="73"/>
      <c r="U17" s="73"/>
      <c r="V17" s="73" t="e">
        <f t="shared" si="2"/>
        <v>#REF!</v>
      </c>
    </row>
    <row r="18" spans="1:22" x14ac:dyDescent="0.3">
      <c r="A18" s="74" t="e">
        <f>'Entrada datos'!#REF!</f>
        <v>#REF!</v>
      </c>
      <c r="B18" s="70" t="e">
        <f>'Entrada datos'!#REF!</f>
        <v>#REF!</v>
      </c>
      <c r="C18" s="71" t="e">
        <f>'Entrada datos'!#REF!</f>
        <v>#REF!</v>
      </c>
      <c r="D18" s="71" t="e">
        <f>'Entrada datos'!#REF!</f>
        <v>#REF!</v>
      </c>
      <c r="E18" s="70" t="e">
        <f t="shared" si="0"/>
        <v>#REF!</v>
      </c>
      <c r="F18" s="64" t="e">
        <f t="shared" si="1"/>
        <v>#REF!</v>
      </c>
      <c r="G18" s="70" t="e">
        <f>'Entrada datos'!#REF!</f>
        <v>#REF!</v>
      </c>
      <c r="H18" s="70" t="e">
        <f>'Entrada datos'!#REF!</f>
        <v>#REF!</v>
      </c>
      <c r="I18" s="70" t="e">
        <f>'Entrada datos'!#REF!</f>
        <v>#REF!</v>
      </c>
      <c r="J18" s="70" t="e">
        <f>'Entrada datos'!#REF!</f>
        <v>#REF!</v>
      </c>
      <c r="K18" s="70" t="e">
        <f>'Entrada datos'!#REF!</f>
        <v>#REF!</v>
      </c>
      <c r="L18" s="70" t="e">
        <f>'Entrada datos'!#REF!</f>
        <v>#REF!</v>
      </c>
      <c r="M18" s="72"/>
      <c r="N18" s="72"/>
      <c r="O18" s="72"/>
      <c r="P18" s="72"/>
      <c r="Q18" s="72"/>
      <c r="R18" s="72"/>
      <c r="S18" s="73" t="s">
        <v>73</v>
      </c>
      <c r="T18" s="73"/>
      <c r="U18" s="73"/>
      <c r="V18" s="73" t="e">
        <f t="shared" si="2"/>
        <v>#REF!</v>
      </c>
    </row>
    <row r="19" spans="1:22" x14ac:dyDescent="0.3">
      <c r="A19" s="74" t="e">
        <f>'Entrada datos'!#REF!</f>
        <v>#REF!</v>
      </c>
      <c r="B19" s="70" t="e">
        <f>'Entrada datos'!#REF!</f>
        <v>#REF!</v>
      </c>
      <c r="C19" s="71" t="e">
        <f>'Entrada datos'!#REF!</f>
        <v>#REF!</v>
      </c>
      <c r="D19" s="71" t="e">
        <f>'Entrada datos'!#REF!</f>
        <v>#REF!</v>
      </c>
      <c r="E19" s="70" t="e">
        <f t="shared" si="0"/>
        <v>#REF!</v>
      </c>
      <c r="F19" s="64" t="e">
        <f t="shared" si="1"/>
        <v>#REF!</v>
      </c>
      <c r="G19" s="70" t="e">
        <f>'Entrada datos'!#REF!</f>
        <v>#REF!</v>
      </c>
      <c r="H19" s="70" t="e">
        <f>'Entrada datos'!#REF!</f>
        <v>#REF!</v>
      </c>
      <c r="I19" s="70" t="e">
        <f>'Entrada datos'!#REF!</f>
        <v>#REF!</v>
      </c>
      <c r="J19" s="70" t="e">
        <f>'Entrada datos'!#REF!</f>
        <v>#REF!</v>
      </c>
      <c r="K19" s="70" t="e">
        <f>'Entrada datos'!#REF!</f>
        <v>#REF!</v>
      </c>
      <c r="L19" s="70" t="e">
        <f>'Entrada datos'!#REF!</f>
        <v>#REF!</v>
      </c>
      <c r="M19" s="72"/>
      <c r="N19" s="72"/>
      <c r="O19" s="72"/>
      <c r="P19" s="72"/>
      <c r="Q19" s="72"/>
      <c r="R19" s="72"/>
      <c r="S19" s="73" t="s">
        <v>73</v>
      </c>
      <c r="T19" s="73"/>
      <c r="U19" s="73"/>
      <c r="V19" s="73" t="e">
        <f t="shared" si="2"/>
        <v>#REF!</v>
      </c>
    </row>
    <row r="20" spans="1:22" x14ac:dyDescent="0.3">
      <c r="A20" s="74" t="e">
        <f>'Entrada datos'!#REF!</f>
        <v>#REF!</v>
      </c>
      <c r="B20" s="70" t="e">
        <f>'Entrada datos'!#REF!</f>
        <v>#REF!</v>
      </c>
      <c r="C20" s="71" t="e">
        <f>'Entrada datos'!#REF!</f>
        <v>#REF!</v>
      </c>
      <c r="D20" s="71" t="e">
        <f>'Entrada datos'!#REF!</f>
        <v>#REF!</v>
      </c>
      <c r="E20" s="70" t="e">
        <f t="shared" si="0"/>
        <v>#REF!</v>
      </c>
      <c r="F20" s="64" t="e">
        <f t="shared" si="1"/>
        <v>#REF!</v>
      </c>
      <c r="G20" s="70" t="e">
        <f>'Entrada datos'!#REF!</f>
        <v>#REF!</v>
      </c>
      <c r="H20" s="70" t="e">
        <f>'Entrada datos'!#REF!</f>
        <v>#REF!</v>
      </c>
      <c r="I20" s="70" t="e">
        <f>'Entrada datos'!#REF!</f>
        <v>#REF!</v>
      </c>
      <c r="J20" s="70" t="e">
        <f>'Entrada datos'!#REF!</f>
        <v>#REF!</v>
      </c>
      <c r="K20" s="70" t="e">
        <f>'Entrada datos'!#REF!</f>
        <v>#REF!</v>
      </c>
      <c r="L20" s="70" t="e">
        <f>'Entrada datos'!#REF!</f>
        <v>#REF!</v>
      </c>
      <c r="M20" s="72"/>
      <c r="N20" s="72"/>
      <c r="O20" s="72"/>
      <c r="P20" s="72"/>
      <c r="Q20" s="72"/>
      <c r="R20" s="72"/>
      <c r="S20" s="73" t="s">
        <v>73</v>
      </c>
      <c r="T20" s="73"/>
      <c r="U20" s="73"/>
      <c r="V20" s="73" t="e">
        <f t="shared" si="2"/>
        <v>#REF!</v>
      </c>
    </row>
    <row r="21" spans="1:22" x14ac:dyDescent="0.3">
      <c r="A21" s="74" t="e">
        <f>'Entrada datos'!#REF!</f>
        <v>#REF!</v>
      </c>
      <c r="B21" s="70" t="e">
        <f>'Entrada datos'!#REF!</f>
        <v>#REF!</v>
      </c>
      <c r="C21" s="71" t="e">
        <f>'Entrada datos'!#REF!</f>
        <v>#REF!</v>
      </c>
      <c r="D21" s="71" t="e">
        <f>'Entrada datos'!#REF!</f>
        <v>#REF!</v>
      </c>
      <c r="E21" s="70" t="e">
        <f t="shared" si="0"/>
        <v>#REF!</v>
      </c>
      <c r="F21" s="64" t="e">
        <f t="shared" si="1"/>
        <v>#REF!</v>
      </c>
      <c r="G21" s="70" t="e">
        <f>'Entrada datos'!#REF!</f>
        <v>#REF!</v>
      </c>
      <c r="H21" s="70" t="e">
        <f>'Entrada datos'!#REF!</f>
        <v>#REF!</v>
      </c>
      <c r="I21" s="70" t="e">
        <f>'Entrada datos'!#REF!</f>
        <v>#REF!</v>
      </c>
      <c r="J21" s="70" t="e">
        <f>'Entrada datos'!#REF!</f>
        <v>#REF!</v>
      </c>
      <c r="K21" s="70" t="e">
        <f>'Entrada datos'!#REF!</f>
        <v>#REF!</v>
      </c>
      <c r="L21" s="70" t="e">
        <f>'Entrada datos'!#REF!</f>
        <v>#REF!</v>
      </c>
      <c r="M21" s="72"/>
      <c r="N21" s="72"/>
      <c r="O21" s="72"/>
      <c r="P21" s="72"/>
      <c r="Q21" s="72"/>
      <c r="R21" s="72"/>
      <c r="S21" s="73" t="s">
        <v>73</v>
      </c>
      <c r="T21" s="73"/>
      <c r="U21" s="73"/>
      <c r="V21" s="73" t="e">
        <f t="shared" si="2"/>
        <v>#REF!</v>
      </c>
    </row>
    <row r="22" spans="1:22" x14ac:dyDescent="0.3">
      <c r="A22" s="74" t="e">
        <f>'Entrada datos'!#REF!</f>
        <v>#REF!</v>
      </c>
      <c r="B22" s="70" t="e">
        <f>'Entrada datos'!#REF!</f>
        <v>#REF!</v>
      </c>
      <c r="C22" s="71" t="e">
        <f>'Entrada datos'!#REF!</f>
        <v>#REF!</v>
      </c>
      <c r="D22" s="71" t="e">
        <f>'Entrada datos'!#REF!</f>
        <v>#REF!</v>
      </c>
      <c r="E22" s="70" t="e">
        <f t="shared" si="0"/>
        <v>#REF!</v>
      </c>
      <c r="F22" s="64" t="e">
        <f t="shared" si="1"/>
        <v>#REF!</v>
      </c>
      <c r="G22" s="70" t="e">
        <f>'Entrada datos'!#REF!</f>
        <v>#REF!</v>
      </c>
      <c r="H22" s="70" t="e">
        <f>'Entrada datos'!#REF!</f>
        <v>#REF!</v>
      </c>
      <c r="I22" s="70" t="e">
        <f>'Entrada datos'!#REF!</f>
        <v>#REF!</v>
      </c>
      <c r="J22" s="70" t="e">
        <f>'Entrada datos'!#REF!</f>
        <v>#REF!</v>
      </c>
      <c r="K22" s="70" t="e">
        <f>'Entrada datos'!#REF!</f>
        <v>#REF!</v>
      </c>
      <c r="L22" s="70" t="e">
        <f>'Entrada datos'!#REF!</f>
        <v>#REF!</v>
      </c>
      <c r="M22" s="72"/>
      <c r="N22" s="72"/>
      <c r="O22" s="72"/>
      <c r="P22" s="72"/>
      <c r="Q22" s="72"/>
      <c r="R22" s="72"/>
      <c r="S22" s="73" t="s">
        <v>73</v>
      </c>
      <c r="T22" s="73"/>
      <c r="U22" s="73"/>
      <c r="V22" s="73" t="e">
        <f t="shared" si="2"/>
        <v>#REF!</v>
      </c>
    </row>
    <row r="23" spans="1:22" x14ac:dyDescent="0.3">
      <c r="A23" s="74" t="e">
        <f>'Entrada datos'!#REF!</f>
        <v>#REF!</v>
      </c>
      <c r="B23" s="70" t="e">
        <f>'Entrada datos'!#REF!</f>
        <v>#REF!</v>
      </c>
      <c r="C23" s="71" t="e">
        <f>'Entrada datos'!#REF!</f>
        <v>#REF!</v>
      </c>
      <c r="D23" s="71" t="e">
        <f>'Entrada datos'!#REF!</f>
        <v>#REF!</v>
      </c>
      <c r="E23" s="70" t="e">
        <f t="shared" si="0"/>
        <v>#REF!</v>
      </c>
      <c r="F23" s="64" t="e">
        <f t="shared" si="1"/>
        <v>#REF!</v>
      </c>
      <c r="G23" s="70" t="e">
        <f>'Entrada datos'!#REF!</f>
        <v>#REF!</v>
      </c>
      <c r="H23" s="70" t="e">
        <f>'Entrada datos'!#REF!</f>
        <v>#REF!</v>
      </c>
      <c r="I23" s="70" t="e">
        <f>'Entrada datos'!#REF!</f>
        <v>#REF!</v>
      </c>
      <c r="J23" s="70" t="e">
        <f>'Entrada datos'!#REF!</f>
        <v>#REF!</v>
      </c>
      <c r="K23" s="70" t="e">
        <f>'Entrada datos'!#REF!</f>
        <v>#REF!</v>
      </c>
      <c r="L23" s="70" t="e">
        <f>'Entrada datos'!#REF!</f>
        <v>#REF!</v>
      </c>
      <c r="M23" s="72"/>
      <c r="N23" s="72"/>
      <c r="O23" s="72"/>
      <c r="P23" s="72"/>
      <c r="Q23" s="72"/>
      <c r="R23" s="72"/>
      <c r="S23" s="73" t="s">
        <v>73</v>
      </c>
      <c r="T23" s="73"/>
      <c r="U23" s="73"/>
      <c r="V23" s="73" t="e">
        <f t="shared" si="2"/>
        <v>#REF!</v>
      </c>
    </row>
    <row r="24" spans="1:22" x14ac:dyDescent="0.3">
      <c r="A24" s="74" t="e">
        <f>'Entrada datos'!#REF!</f>
        <v>#REF!</v>
      </c>
      <c r="B24" s="70" t="e">
        <f>'Entrada datos'!#REF!</f>
        <v>#REF!</v>
      </c>
      <c r="C24" s="71" t="e">
        <f>'Entrada datos'!#REF!</f>
        <v>#REF!</v>
      </c>
      <c r="D24" s="71" t="e">
        <f>'Entrada datos'!#REF!</f>
        <v>#REF!</v>
      </c>
      <c r="E24" s="70" t="e">
        <f t="shared" si="0"/>
        <v>#REF!</v>
      </c>
      <c r="F24" s="64" t="e">
        <f t="shared" si="1"/>
        <v>#REF!</v>
      </c>
      <c r="G24" s="70" t="e">
        <f>'Entrada datos'!#REF!</f>
        <v>#REF!</v>
      </c>
      <c r="H24" s="70" t="e">
        <f>'Entrada datos'!#REF!</f>
        <v>#REF!</v>
      </c>
      <c r="I24" s="70" t="e">
        <f>'Entrada datos'!#REF!</f>
        <v>#REF!</v>
      </c>
      <c r="J24" s="70" t="e">
        <f>'Entrada datos'!#REF!</f>
        <v>#REF!</v>
      </c>
      <c r="K24" s="70" t="e">
        <f>'Entrada datos'!#REF!</f>
        <v>#REF!</v>
      </c>
      <c r="L24" s="70" t="e">
        <f>'Entrada datos'!#REF!</f>
        <v>#REF!</v>
      </c>
      <c r="M24" s="72"/>
      <c r="N24" s="72"/>
      <c r="O24" s="72"/>
      <c r="P24" s="72"/>
      <c r="Q24" s="72"/>
      <c r="R24" s="72"/>
      <c r="S24" s="73" t="s">
        <v>73</v>
      </c>
      <c r="T24" s="73"/>
      <c r="U24" s="73"/>
      <c r="V24" s="73" t="e">
        <f t="shared" si="2"/>
        <v>#REF!</v>
      </c>
    </row>
    <row r="25" spans="1:22" x14ac:dyDescent="0.3">
      <c r="A25" s="74" t="e">
        <f>'Entrada datos'!#REF!</f>
        <v>#REF!</v>
      </c>
      <c r="B25" s="70" t="e">
        <f>'Entrada datos'!#REF!</f>
        <v>#REF!</v>
      </c>
      <c r="C25" s="71" t="e">
        <f>'Entrada datos'!#REF!</f>
        <v>#REF!</v>
      </c>
      <c r="D25" s="71" t="e">
        <f>'Entrada datos'!#REF!</f>
        <v>#REF!</v>
      </c>
      <c r="E25" s="70" t="e">
        <f t="shared" si="0"/>
        <v>#REF!</v>
      </c>
      <c r="F25" s="64" t="e">
        <f t="shared" si="1"/>
        <v>#REF!</v>
      </c>
      <c r="G25" s="70" t="e">
        <f>'Entrada datos'!#REF!</f>
        <v>#REF!</v>
      </c>
      <c r="H25" s="70" t="e">
        <f>'Entrada datos'!#REF!</f>
        <v>#REF!</v>
      </c>
      <c r="I25" s="70" t="e">
        <f>'Entrada datos'!#REF!</f>
        <v>#REF!</v>
      </c>
      <c r="J25" s="70" t="e">
        <f>'Entrada datos'!#REF!</f>
        <v>#REF!</v>
      </c>
      <c r="K25" s="70" t="e">
        <f>'Entrada datos'!#REF!</f>
        <v>#REF!</v>
      </c>
      <c r="L25" s="70" t="e">
        <f>'Entrada datos'!#REF!</f>
        <v>#REF!</v>
      </c>
      <c r="M25" s="72"/>
      <c r="N25" s="72"/>
      <c r="O25" s="72"/>
      <c r="P25" s="72"/>
      <c r="Q25" s="72"/>
      <c r="R25" s="72"/>
      <c r="S25" s="73" t="s">
        <v>73</v>
      </c>
      <c r="T25" s="73"/>
      <c r="U25" s="73"/>
      <c r="V25" s="73" t="e">
        <f t="shared" si="2"/>
        <v>#REF!</v>
      </c>
    </row>
    <row r="26" spans="1:22" x14ac:dyDescent="0.3">
      <c r="A26" s="74" t="e">
        <f>'Entrada datos'!#REF!</f>
        <v>#REF!</v>
      </c>
      <c r="B26" s="70" t="e">
        <f>'Entrada datos'!#REF!</f>
        <v>#REF!</v>
      </c>
      <c r="C26" s="71" t="e">
        <f>'Entrada datos'!#REF!</f>
        <v>#REF!</v>
      </c>
      <c r="D26" s="71" t="e">
        <f>'Entrada datos'!#REF!</f>
        <v>#REF!</v>
      </c>
      <c r="E26" s="70" t="e">
        <f t="shared" si="0"/>
        <v>#REF!</v>
      </c>
      <c r="F26" s="64" t="e">
        <f t="shared" si="1"/>
        <v>#REF!</v>
      </c>
      <c r="G26" s="70" t="e">
        <f>'Entrada datos'!#REF!</f>
        <v>#REF!</v>
      </c>
      <c r="H26" s="70" t="e">
        <f>'Entrada datos'!#REF!</f>
        <v>#REF!</v>
      </c>
      <c r="I26" s="70" t="e">
        <f>'Entrada datos'!#REF!</f>
        <v>#REF!</v>
      </c>
      <c r="J26" s="70" t="e">
        <f>'Entrada datos'!#REF!</f>
        <v>#REF!</v>
      </c>
      <c r="K26" s="70" t="e">
        <f>'Entrada datos'!#REF!</f>
        <v>#REF!</v>
      </c>
      <c r="L26" s="70" t="e">
        <f>'Entrada datos'!#REF!</f>
        <v>#REF!</v>
      </c>
      <c r="M26" s="72"/>
      <c r="N26" s="72"/>
      <c r="O26" s="72"/>
      <c r="P26" s="72"/>
      <c r="Q26" s="72"/>
      <c r="R26" s="72"/>
      <c r="S26" s="73" t="s">
        <v>73</v>
      </c>
      <c r="T26" s="73"/>
      <c r="U26" s="73"/>
      <c r="V26" s="73" t="e">
        <f t="shared" si="2"/>
        <v>#REF!</v>
      </c>
    </row>
    <row r="27" spans="1:22" x14ac:dyDescent="0.3">
      <c r="A27" s="74" t="e">
        <f>'Entrada datos'!#REF!</f>
        <v>#REF!</v>
      </c>
      <c r="B27" s="70" t="e">
        <f>'Entrada datos'!#REF!</f>
        <v>#REF!</v>
      </c>
      <c r="C27" s="71" t="e">
        <f>'Entrada datos'!#REF!</f>
        <v>#REF!</v>
      </c>
      <c r="D27" s="71" t="e">
        <f>'Entrada datos'!#REF!</f>
        <v>#REF!</v>
      </c>
      <c r="E27" s="70" t="e">
        <f t="shared" si="0"/>
        <v>#REF!</v>
      </c>
      <c r="F27" s="64" t="e">
        <f t="shared" si="1"/>
        <v>#REF!</v>
      </c>
      <c r="G27" s="70" t="e">
        <f>'Entrada datos'!#REF!</f>
        <v>#REF!</v>
      </c>
      <c r="H27" s="70" t="e">
        <f>'Entrada datos'!#REF!</f>
        <v>#REF!</v>
      </c>
      <c r="I27" s="70" t="e">
        <f>'Entrada datos'!#REF!</f>
        <v>#REF!</v>
      </c>
      <c r="J27" s="70" t="e">
        <f>'Entrada datos'!#REF!</f>
        <v>#REF!</v>
      </c>
      <c r="K27" s="70" t="e">
        <f>'Entrada datos'!#REF!</f>
        <v>#REF!</v>
      </c>
      <c r="L27" s="70" t="e">
        <f>'Entrada datos'!#REF!</f>
        <v>#REF!</v>
      </c>
      <c r="M27" s="72"/>
      <c r="N27" s="72"/>
      <c r="O27" s="72"/>
      <c r="P27" s="72"/>
      <c r="Q27" s="72"/>
      <c r="R27" s="72"/>
      <c r="S27" s="73" t="s">
        <v>73</v>
      </c>
      <c r="T27" s="73"/>
      <c r="U27" s="73"/>
      <c r="V27" s="73" t="e">
        <f t="shared" si="2"/>
        <v>#REF!</v>
      </c>
    </row>
    <row r="28" spans="1:22" x14ac:dyDescent="0.3">
      <c r="A28" s="74" t="e">
        <f>'Entrada datos'!#REF!</f>
        <v>#REF!</v>
      </c>
      <c r="B28" s="70" t="e">
        <f>'Entrada datos'!#REF!</f>
        <v>#REF!</v>
      </c>
      <c r="C28" s="71" t="e">
        <f>'Entrada datos'!#REF!</f>
        <v>#REF!</v>
      </c>
      <c r="D28" s="71" t="e">
        <f>'Entrada datos'!#REF!</f>
        <v>#REF!</v>
      </c>
      <c r="E28" s="70" t="e">
        <f t="shared" si="0"/>
        <v>#REF!</v>
      </c>
      <c r="F28" s="64" t="e">
        <f t="shared" si="1"/>
        <v>#REF!</v>
      </c>
      <c r="G28" s="70" t="e">
        <f>'Entrada datos'!#REF!</f>
        <v>#REF!</v>
      </c>
      <c r="H28" s="70" t="e">
        <f>'Entrada datos'!#REF!</f>
        <v>#REF!</v>
      </c>
      <c r="I28" s="70" t="e">
        <f>'Entrada datos'!#REF!</f>
        <v>#REF!</v>
      </c>
      <c r="J28" s="70" t="e">
        <f>'Entrada datos'!#REF!</f>
        <v>#REF!</v>
      </c>
      <c r="K28" s="70" t="e">
        <f>'Entrada datos'!#REF!</f>
        <v>#REF!</v>
      </c>
      <c r="L28" s="70" t="e">
        <f>'Entrada datos'!#REF!</f>
        <v>#REF!</v>
      </c>
      <c r="M28" s="72"/>
      <c r="N28" s="72"/>
      <c r="O28" s="72"/>
      <c r="P28" s="72"/>
      <c r="Q28" s="72"/>
      <c r="R28" s="72"/>
      <c r="S28" s="73" t="s">
        <v>73</v>
      </c>
      <c r="T28" s="73"/>
      <c r="U28" s="73"/>
      <c r="V28" s="73" t="e">
        <f t="shared" si="2"/>
        <v>#REF!</v>
      </c>
    </row>
    <row r="29" spans="1:22" x14ac:dyDescent="0.3">
      <c r="A29" s="74" t="e">
        <f>'Entrada datos'!#REF!</f>
        <v>#REF!</v>
      </c>
      <c r="B29" s="70" t="e">
        <f>'Entrada datos'!#REF!</f>
        <v>#REF!</v>
      </c>
      <c r="C29" s="71" t="e">
        <f>'Entrada datos'!#REF!</f>
        <v>#REF!</v>
      </c>
      <c r="D29" s="71" t="e">
        <f>'Entrada datos'!#REF!</f>
        <v>#REF!</v>
      </c>
      <c r="E29" s="70" t="e">
        <f t="shared" si="0"/>
        <v>#REF!</v>
      </c>
      <c r="F29" s="64" t="e">
        <f t="shared" si="1"/>
        <v>#REF!</v>
      </c>
      <c r="G29" s="70" t="e">
        <f>'Entrada datos'!#REF!</f>
        <v>#REF!</v>
      </c>
      <c r="H29" s="70" t="e">
        <f>'Entrada datos'!#REF!</f>
        <v>#REF!</v>
      </c>
      <c r="I29" s="70" t="e">
        <f>'Entrada datos'!#REF!</f>
        <v>#REF!</v>
      </c>
      <c r="J29" s="70" t="e">
        <f>'Entrada datos'!#REF!</f>
        <v>#REF!</v>
      </c>
      <c r="K29" s="70" t="e">
        <f>'Entrada datos'!#REF!</f>
        <v>#REF!</v>
      </c>
      <c r="L29" s="70" t="e">
        <f>'Entrada datos'!#REF!</f>
        <v>#REF!</v>
      </c>
      <c r="M29" s="72"/>
      <c r="N29" s="72"/>
      <c r="O29" s="72"/>
      <c r="P29" s="72"/>
      <c r="Q29" s="72"/>
      <c r="R29" s="72"/>
      <c r="S29" s="73" t="s">
        <v>73</v>
      </c>
      <c r="T29" s="73"/>
      <c r="U29" s="73"/>
      <c r="V29" s="73" t="e">
        <f t="shared" si="2"/>
        <v>#REF!</v>
      </c>
    </row>
    <row r="30" spans="1:22" x14ac:dyDescent="0.3">
      <c r="A30" s="74" t="e">
        <f>'Entrada datos'!#REF!</f>
        <v>#REF!</v>
      </c>
      <c r="B30" s="70" t="e">
        <f>'Entrada datos'!#REF!</f>
        <v>#REF!</v>
      </c>
      <c r="C30" s="71" t="e">
        <f>'Entrada datos'!#REF!</f>
        <v>#REF!</v>
      </c>
      <c r="D30" s="71" t="e">
        <f>'Entrada datos'!#REF!</f>
        <v>#REF!</v>
      </c>
      <c r="E30" s="70" t="e">
        <f t="shared" si="0"/>
        <v>#REF!</v>
      </c>
      <c r="F30" s="64" t="e">
        <f t="shared" si="1"/>
        <v>#REF!</v>
      </c>
      <c r="G30" s="70" t="e">
        <f>'Entrada datos'!#REF!</f>
        <v>#REF!</v>
      </c>
      <c r="H30" s="70" t="e">
        <f>'Entrada datos'!#REF!</f>
        <v>#REF!</v>
      </c>
      <c r="I30" s="70" t="e">
        <f>'Entrada datos'!#REF!</f>
        <v>#REF!</v>
      </c>
      <c r="J30" s="70" t="e">
        <f>'Entrada datos'!#REF!</f>
        <v>#REF!</v>
      </c>
      <c r="K30" s="70" t="e">
        <f>'Entrada datos'!#REF!</f>
        <v>#REF!</v>
      </c>
      <c r="L30" s="70" t="e">
        <f>'Entrada datos'!#REF!</f>
        <v>#REF!</v>
      </c>
      <c r="M30" s="72"/>
      <c r="N30" s="72"/>
      <c r="O30" s="72"/>
      <c r="P30" s="72"/>
      <c r="Q30" s="72"/>
      <c r="R30" s="72"/>
      <c r="S30" s="73" t="s">
        <v>73</v>
      </c>
      <c r="T30" s="73"/>
      <c r="U30" s="73"/>
      <c r="V30" s="73" t="e">
        <f t="shared" si="2"/>
        <v>#REF!</v>
      </c>
    </row>
    <row r="31" spans="1:22" x14ac:dyDescent="0.3">
      <c r="A31" s="74" t="e">
        <f>'Entrada datos'!#REF!</f>
        <v>#REF!</v>
      </c>
      <c r="B31" s="70" t="e">
        <f>'Entrada datos'!#REF!</f>
        <v>#REF!</v>
      </c>
      <c r="C31" s="71" t="e">
        <f>'Entrada datos'!#REF!</f>
        <v>#REF!</v>
      </c>
      <c r="D31" s="71" t="e">
        <f>'Entrada datos'!#REF!</f>
        <v>#REF!</v>
      </c>
      <c r="E31" s="70" t="e">
        <f t="shared" si="0"/>
        <v>#REF!</v>
      </c>
      <c r="F31" s="64" t="e">
        <f t="shared" si="1"/>
        <v>#REF!</v>
      </c>
      <c r="G31" s="70" t="e">
        <f>'Entrada datos'!#REF!</f>
        <v>#REF!</v>
      </c>
      <c r="H31" s="70" t="e">
        <f>'Entrada datos'!#REF!</f>
        <v>#REF!</v>
      </c>
      <c r="I31" s="70" t="e">
        <f>'Entrada datos'!#REF!</f>
        <v>#REF!</v>
      </c>
      <c r="J31" s="70" t="e">
        <f>'Entrada datos'!#REF!</f>
        <v>#REF!</v>
      </c>
      <c r="K31" s="70" t="e">
        <f>'Entrada datos'!#REF!</f>
        <v>#REF!</v>
      </c>
      <c r="L31" s="70" t="e">
        <f>'Entrada datos'!#REF!</f>
        <v>#REF!</v>
      </c>
      <c r="M31" s="72"/>
      <c r="N31" s="72"/>
      <c r="O31" s="72"/>
      <c r="P31" s="72"/>
      <c r="Q31" s="72"/>
      <c r="R31" s="72"/>
      <c r="S31" s="73" t="s">
        <v>73</v>
      </c>
      <c r="T31" s="73"/>
      <c r="U31" s="73"/>
      <c r="V31" s="73" t="e">
        <f t="shared" si="2"/>
        <v>#REF!</v>
      </c>
    </row>
    <row r="32" spans="1:22" x14ac:dyDescent="0.3">
      <c r="A32" s="74" t="e">
        <f>'Entrada datos'!#REF!</f>
        <v>#REF!</v>
      </c>
      <c r="B32" s="70" t="e">
        <f>'Entrada datos'!#REF!</f>
        <v>#REF!</v>
      </c>
      <c r="C32" s="71" t="e">
        <f>'Entrada datos'!#REF!</f>
        <v>#REF!</v>
      </c>
      <c r="D32" s="71" t="e">
        <f>'Entrada datos'!#REF!</f>
        <v>#REF!</v>
      </c>
      <c r="E32" s="70" t="e">
        <f t="shared" si="0"/>
        <v>#REF!</v>
      </c>
      <c r="F32" s="64" t="e">
        <f t="shared" si="1"/>
        <v>#REF!</v>
      </c>
      <c r="G32" s="70" t="e">
        <f>'Entrada datos'!#REF!</f>
        <v>#REF!</v>
      </c>
      <c r="H32" s="70" t="e">
        <f>'Entrada datos'!#REF!</f>
        <v>#REF!</v>
      </c>
      <c r="I32" s="70" t="e">
        <f>'Entrada datos'!#REF!</f>
        <v>#REF!</v>
      </c>
      <c r="J32" s="70" t="e">
        <f>'Entrada datos'!#REF!</f>
        <v>#REF!</v>
      </c>
      <c r="K32" s="70" t="e">
        <f>'Entrada datos'!#REF!</f>
        <v>#REF!</v>
      </c>
      <c r="L32" s="70" t="e">
        <f>'Entrada datos'!#REF!</f>
        <v>#REF!</v>
      </c>
      <c r="M32" s="72"/>
      <c r="N32" s="72"/>
      <c r="O32" s="72"/>
      <c r="P32" s="72"/>
      <c r="Q32" s="72"/>
      <c r="R32" s="72"/>
      <c r="S32" s="73" t="s">
        <v>73</v>
      </c>
      <c r="T32" s="73"/>
      <c r="U32" s="73"/>
      <c r="V32" s="73" t="e">
        <f t="shared" si="2"/>
        <v>#REF!</v>
      </c>
    </row>
    <row r="33" spans="1:22" x14ac:dyDescent="0.3">
      <c r="A33" s="74" t="e">
        <f>'Entrada datos'!#REF!</f>
        <v>#REF!</v>
      </c>
      <c r="B33" s="70" t="e">
        <f>'Entrada datos'!#REF!</f>
        <v>#REF!</v>
      </c>
      <c r="C33" s="71" t="e">
        <f>'Entrada datos'!#REF!</f>
        <v>#REF!</v>
      </c>
      <c r="D33" s="71" t="e">
        <f>'Entrada datos'!#REF!</f>
        <v>#REF!</v>
      </c>
      <c r="E33" s="70" t="e">
        <f t="shared" si="0"/>
        <v>#REF!</v>
      </c>
      <c r="F33" s="64" t="e">
        <f t="shared" si="1"/>
        <v>#REF!</v>
      </c>
      <c r="G33" s="70" t="e">
        <f>'Entrada datos'!#REF!</f>
        <v>#REF!</v>
      </c>
      <c r="H33" s="70" t="e">
        <f>'Entrada datos'!#REF!</f>
        <v>#REF!</v>
      </c>
      <c r="I33" s="70" t="e">
        <f>'Entrada datos'!#REF!</f>
        <v>#REF!</v>
      </c>
      <c r="J33" s="70" t="e">
        <f>'Entrada datos'!#REF!</f>
        <v>#REF!</v>
      </c>
      <c r="K33" s="70" t="e">
        <f>'Entrada datos'!#REF!</f>
        <v>#REF!</v>
      </c>
      <c r="L33" s="70" t="e">
        <f>'Entrada datos'!#REF!</f>
        <v>#REF!</v>
      </c>
      <c r="M33" s="72"/>
      <c r="N33" s="72"/>
      <c r="O33" s="72"/>
      <c r="P33" s="72"/>
      <c r="Q33" s="72"/>
      <c r="R33" s="72"/>
      <c r="S33" s="73" t="s">
        <v>73</v>
      </c>
      <c r="T33" s="73"/>
      <c r="U33" s="73"/>
      <c r="V33" s="73" t="e">
        <f t="shared" si="2"/>
        <v>#REF!</v>
      </c>
    </row>
    <row r="34" spans="1:22" x14ac:dyDescent="0.3">
      <c r="A34" s="74" t="e">
        <f>'Entrada datos'!#REF!</f>
        <v>#REF!</v>
      </c>
      <c r="B34" s="70" t="e">
        <f>'Entrada datos'!#REF!</f>
        <v>#REF!</v>
      </c>
      <c r="C34" s="71" t="e">
        <f>'Entrada datos'!#REF!</f>
        <v>#REF!</v>
      </c>
      <c r="D34" s="71" t="e">
        <f>'Entrada datos'!#REF!</f>
        <v>#REF!</v>
      </c>
      <c r="E34" s="70" t="e">
        <f t="shared" si="0"/>
        <v>#REF!</v>
      </c>
      <c r="F34" s="64" t="e">
        <f t="shared" si="1"/>
        <v>#REF!</v>
      </c>
      <c r="G34" s="70" t="e">
        <f>'Entrada datos'!#REF!</f>
        <v>#REF!</v>
      </c>
      <c r="H34" s="70" t="e">
        <f>'Entrada datos'!#REF!</f>
        <v>#REF!</v>
      </c>
      <c r="I34" s="70" t="e">
        <f>'Entrada datos'!#REF!</f>
        <v>#REF!</v>
      </c>
      <c r="J34" s="70" t="e">
        <f>'Entrada datos'!#REF!</f>
        <v>#REF!</v>
      </c>
      <c r="K34" s="70" t="e">
        <f>'Entrada datos'!#REF!</f>
        <v>#REF!</v>
      </c>
      <c r="L34" s="70" t="e">
        <f>'Entrada datos'!#REF!</f>
        <v>#REF!</v>
      </c>
      <c r="M34" s="72"/>
      <c r="N34" s="72"/>
      <c r="O34" s="72"/>
      <c r="P34" s="72"/>
      <c r="Q34" s="72"/>
      <c r="R34" s="72"/>
      <c r="S34" s="73" t="s">
        <v>73</v>
      </c>
      <c r="T34" s="73"/>
      <c r="U34" s="73"/>
      <c r="V34" s="73" t="e">
        <f t="shared" si="2"/>
        <v>#REF!</v>
      </c>
    </row>
    <row r="35" spans="1:22" x14ac:dyDescent="0.3">
      <c r="A35" s="74" t="e">
        <f>'Entrada datos'!#REF!</f>
        <v>#REF!</v>
      </c>
      <c r="B35" s="70" t="e">
        <f>'Entrada datos'!#REF!</f>
        <v>#REF!</v>
      </c>
      <c r="C35" s="71" t="e">
        <f>'Entrada datos'!#REF!</f>
        <v>#REF!</v>
      </c>
      <c r="D35" s="71" t="e">
        <f>'Entrada datos'!#REF!</f>
        <v>#REF!</v>
      </c>
      <c r="E35" s="70" t="e">
        <f t="shared" si="0"/>
        <v>#REF!</v>
      </c>
      <c r="F35" s="64" t="e">
        <f t="shared" si="1"/>
        <v>#REF!</v>
      </c>
      <c r="G35" s="70" t="e">
        <f>'Entrada datos'!#REF!</f>
        <v>#REF!</v>
      </c>
      <c r="H35" s="70" t="e">
        <f>'Entrada datos'!#REF!</f>
        <v>#REF!</v>
      </c>
      <c r="I35" s="70" t="e">
        <f>'Entrada datos'!#REF!</f>
        <v>#REF!</v>
      </c>
      <c r="J35" s="70" t="e">
        <f>'Entrada datos'!#REF!</f>
        <v>#REF!</v>
      </c>
      <c r="K35" s="70" t="e">
        <f>'Entrada datos'!#REF!</f>
        <v>#REF!</v>
      </c>
      <c r="L35" s="70" t="e">
        <f>'Entrada datos'!#REF!</f>
        <v>#REF!</v>
      </c>
      <c r="M35" s="72"/>
      <c r="N35" s="72"/>
      <c r="O35" s="72"/>
      <c r="P35" s="72"/>
      <c r="Q35" s="72"/>
      <c r="R35" s="72"/>
      <c r="S35" s="73" t="s">
        <v>73</v>
      </c>
      <c r="T35" s="73"/>
      <c r="U35" s="73"/>
      <c r="V35" s="73" t="e">
        <f t="shared" si="2"/>
        <v>#REF!</v>
      </c>
    </row>
    <row r="36" spans="1:22" x14ac:dyDescent="0.3">
      <c r="A36" s="74" t="e">
        <f>'Entrada datos'!#REF!</f>
        <v>#REF!</v>
      </c>
      <c r="B36" s="70" t="e">
        <f>'Entrada datos'!#REF!</f>
        <v>#REF!</v>
      </c>
      <c r="C36" s="71" t="e">
        <f>'Entrada datos'!#REF!</f>
        <v>#REF!</v>
      </c>
      <c r="D36" s="71" t="e">
        <f>'Entrada datos'!#REF!</f>
        <v>#REF!</v>
      </c>
      <c r="E36" s="70" t="e">
        <f t="shared" si="0"/>
        <v>#REF!</v>
      </c>
      <c r="F36" s="64" t="e">
        <f t="shared" si="1"/>
        <v>#REF!</v>
      </c>
      <c r="G36" s="70" t="e">
        <f>'Entrada datos'!#REF!</f>
        <v>#REF!</v>
      </c>
      <c r="H36" s="70" t="e">
        <f>'Entrada datos'!#REF!</f>
        <v>#REF!</v>
      </c>
      <c r="I36" s="70" t="e">
        <f>'Entrada datos'!#REF!</f>
        <v>#REF!</v>
      </c>
      <c r="J36" s="70" t="e">
        <f>'Entrada datos'!#REF!</f>
        <v>#REF!</v>
      </c>
      <c r="K36" s="70" t="e">
        <f>'Entrada datos'!#REF!</f>
        <v>#REF!</v>
      </c>
      <c r="L36" s="70" t="e">
        <f>'Entrada datos'!#REF!</f>
        <v>#REF!</v>
      </c>
      <c r="M36" s="72"/>
      <c r="N36" s="72"/>
      <c r="O36" s="72"/>
      <c r="P36" s="72"/>
      <c r="Q36" s="72"/>
      <c r="R36" s="72"/>
      <c r="S36" s="73" t="s">
        <v>73</v>
      </c>
      <c r="T36" s="73"/>
      <c r="U36" s="73"/>
      <c r="V36" s="73" t="e">
        <f t="shared" si="2"/>
        <v>#REF!</v>
      </c>
    </row>
    <row r="37" spans="1:22" x14ac:dyDescent="0.3">
      <c r="A37" s="74" t="e">
        <f>'Entrada datos'!#REF!</f>
        <v>#REF!</v>
      </c>
      <c r="B37" s="70" t="e">
        <f>'Entrada datos'!#REF!</f>
        <v>#REF!</v>
      </c>
      <c r="C37" s="71" t="e">
        <f>'Entrada datos'!#REF!</f>
        <v>#REF!</v>
      </c>
      <c r="D37" s="71" t="e">
        <f>'Entrada datos'!#REF!</f>
        <v>#REF!</v>
      </c>
      <c r="E37" s="70" t="e">
        <f t="shared" si="0"/>
        <v>#REF!</v>
      </c>
      <c r="F37" s="64" t="e">
        <f t="shared" si="1"/>
        <v>#REF!</v>
      </c>
      <c r="G37" s="70" t="e">
        <f>'Entrada datos'!#REF!</f>
        <v>#REF!</v>
      </c>
      <c r="H37" s="70" t="e">
        <f>'Entrada datos'!#REF!</f>
        <v>#REF!</v>
      </c>
      <c r="I37" s="70" t="e">
        <f>'Entrada datos'!#REF!</f>
        <v>#REF!</v>
      </c>
      <c r="J37" s="70" t="e">
        <f>'Entrada datos'!#REF!</f>
        <v>#REF!</v>
      </c>
      <c r="K37" s="70" t="e">
        <f>'Entrada datos'!#REF!</f>
        <v>#REF!</v>
      </c>
      <c r="L37" s="70" t="e">
        <f>'Entrada datos'!#REF!</f>
        <v>#REF!</v>
      </c>
      <c r="M37" s="72"/>
      <c r="N37" s="72"/>
      <c r="O37" s="72"/>
      <c r="P37" s="72"/>
      <c r="Q37" s="72"/>
      <c r="R37" s="72"/>
      <c r="S37" s="73" t="s">
        <v>73</v>
      </c>
      <c r="T37" s="73"/>
      <c r="U37" s="73"/>
      <c r="V37" s="73" t="e">
        <f t="shared" si="2"/>
        <v>#REF!</v>
      </c>
    </row>
    <row r="38" spans="1:22" x14ac:dyDescent="0.3">
      <c r="A38" s="74" t="e">
        <f>'Entrada datos'!#REF!</f>
        <v>#REF!</v>
      </c>
      <c r="B38" s="70" t="e">
        <f>'Entrada datos'!#REF!</f>
        <v>#REF!</v>
      </c>
      <c r="C38" s="71" t="e">
        <f>'Entrada datos'!#REF!</f>
        <v>#REF!</v>
      </c>
      <c r="D38" s="71" t="e">
        <f>'Entrada datos'!#REF!</f>
        <v>#REF!</v>
      </c>
      <c r="E38" s="70" t="e">
        <f t="shared" si="0"/>
        <v>#REF!</v>
      </c>
      <c r="F38" s="64" t="e">
        <f t="shared" si="1"/>
        <v>#REF!</v>
      </c>
      <c r="G38" s="70" t="e">
        <f>'Entrada datos'!#REF!</f>
        <v>#REF!</v>
      </c>
      <c r="H38" s="70" t="e">
        <f>'Entrada datos'!#REF!</f>
        <v>#REF!</v>
      </c>
      <c r="I38" s="70" t="e">
        <f>'Entrada datos'!#REF!</f>
        <v>#REF!</v>
      </c>
      <c r="J38" s="70" t="e">
        <f>'Entrada datos'!#REF!</f>
        <v>#REF!</v>
      </c>
      <c r="K38" s="70" t="e">
        <f>'Entrada datos'!#REF!</f>
        <v>#REF!</v>
      </c>
      <c r="L38" s="70" t="e">
        <f>'Entrada datos'!#REF!</f>
        <v>#REF!</v>
      </c>
      <c r="M38" s="72"/>
      <c r="N38" s="72"/>
      <c r="O38" s="72"/>
      <c r="P38" s="72"/>
      <c r="Q38" s="72"/>
      <c r="R38" s="72"/>
      <c r="S38" s="73" t="s">
        <v>73</v>
      </c>
      <c r="T38" s="73"/>
      <c r="U38" s="73"/>
      <c r="V38" s="73" t="e">
        <f t="shared" si="2"/>
        <v>#REF!</v>
      </c>
    </row>
    <row r="39" spans="1:22" x14ac:dyDescent="0.3">
      <c r="A39" s="74" t="e">
        <f>'Entrada datos'!#REF!</f>
        <v>#REF!</v>
      </c>
      <c r="B39" s="70" t="e">
        <f>'Entrada datos'!#REF!</f>
        <v>#REF!</v>
      </c>
      <c r="C39" s="71" t="e">
        <f>'Entrada datos'!#REF!</f>
        <v>#REF!</v>
      </c>
      <c r="D39" s="71" t="e">
        <f>'Entrada datos'!#REF!</f>
        <v>#REF!</v>
      </c>
      <c r="E39" s="70" t="e">
        <f t="shared" si="0"/>
        <v>#REF!</v>
      </c>
      <c r="F39" s="64" t="e">
        <f t="shared" si="1"/>
        <v>#REF!</v>
      </c>
      <c r="G39" s="70" t="e">
        <f>'Entrada datos'!#REF!</f>
        <v>#REF!</v>
      </c>
      <c r="H39" s="70" t="e">
        <f>'Entrada datos'!#REF!</f>
        <v>#REF!</v>
      </c>
      <c r="I39" s="70" t="e">
        <f>'Entrada datos'!#REF!</f>
        <v>#REF!</v>
      </c>
      <c r="J39" s="70" t="e">
        <f>'Entrada datos'!#REF!</f>
        <v>#REF!</v>
      </c>
      <c r="K39" s="70" t="e">
        <f>'Entrada datos'!#REF!</f>
        <v>#REF!</v>
      </c>
      <c r="L39" s="70" t="e">
        <f>'Entrada datos'!#REF!</f>
        <v>#REF!</v>
      </c>
      <c r="M39" s="72"/>
      <c r="N39" s="72"/>
      <c r="O39" s="72"/>
      <c r="P39" s="72"/>
      <c r="Q39" s="72"/>
      <c r="R39" s="72"/>
      <c r="S39" s="73" t="s">
        <v>73</v>
      </c>
      <c r="T39" s="73"/>
      <c r="U39" s="73"/>
      <c r="V39" s="73" t="e">
        <f t="shared" si="2"/>
        <v>#REF!</v>
      </c>
    </row>
    <row r="40" spans="1:22" x14ac:dyDescent="0.3">
      <c r="A40" s="74" t="e">
        <f>'Entrada datos'!#REF!</f>
        <v>#REF!</v>
      </c>
      <c r="B40" s="70" t="e">
        <f>'Entrada datos'!#REF!</f>
        <v>#REF!</v>
      </c>
      <c r="C40" s="71" t="e">
        <f>'Entrada datos'!#REF!</f>
        <v>#REF!</v>
      </c>
      <c r="D40" s="71" t="e">
        <f>'Entrada datos'!#REF!</f>
        <v>#REF!</v>
      </c>
      <c r="E40" s="70" t="e">
        <f t="shared" si="0"/>
        <v>#REF!</v>
      </c>
      <c r="F40" s="64" t="e">
        <f t="shared" si="1"/>
        <v>#REF!</v>
      </c>
      <c r="G40" s="70" t="e">
        <f>'Entrada datos'!#REF!</f>
        <v>#REF!</v>
      </c>
      <c r="H40" s="70" t="e">
        <f>'Entrada datos'!#REF!</f>
        <v>#REF!</v>
      </c>
      <c r="I40" s="70" t="e">
        <f>'Entrada datos'!#REF!</f>
        <v>#REF!</v>
      </c>
      <c r="J40" s="70" t="e">
        <f>'Entrada datos'!#REF!</f>
        <v>#REF!</v>
      </c>
      <c r="K40" s="70" t="e">
        <f>'Entrada datos'!#REF!</f>
        <v>#REF!</v>
      </c>
      <c r="L40" s="70" t="e">
        <f>'Entrada datos'!#REF!</f>
        <v>#REF!</v>
      </c>
      <c r="M40" s="72"/>
      <c r="N40" s="72"/>
      <c r="O40" s="72"/>
      <c r="P40" s="72"/>
      <c r="Q40" s="72"/>
      <c r="R40" s="72"/>
      <c r="S40" s="73" t="s">
        <v>73</v>
      </c>
      <c r="T40" s="73"/>
      <c r="U40" s="73"/>
      <c r="V40" s="73" t="e">
        <f t="shared" si="2"/>
        <v>#REF!</v>
      </c>
    </row>
    <row r="41" spans="1:22" x14ac:dyDescent="0.3">
      <c r="A41" s="74" t="e">
        <f>'Entrada datos'!#REF!</f>
        <v>#REF!</v>
      </c>
      <c r="B41" s="70" t="e">
        <f>'Entrada datos'!#REF!</f>
        <v>#REF!</v>
      </c>
      <c r="C41" s="71" t="e">
        <f>'Entrada datos'!#REF!</f>
        <v>#REF!</v>
      </c>
      <c r="D41" s="71" t="e">
        <f>'Entrada datos'!#REF!</f>
        <v>#REF!</v>
      </c>
      <c r="E41" s="70" t="e">
        <f t="shared" si="0"/>
        <v>#REF!</v>
      </c>
      <c r="F41" s="64" t="e">
        <f t="shared" si="1"/>
        <v>#REF!</v>
      </c>
      <c r="G41" s="70" t="e">
        <f>'Entrada datos'!#REF!</f>
        <v>#REF!</v>
      </c>
      <c r="H41" s="70" t="e">
        <f>'Entrada datos'!#REF!</f>
        <v>#REF!</v>
      </c>
      <c r="I41" s="70" t="e">
        <f>'Entrada datos'!#REF!</f>
        <v>#REF!</v>
      </c>
      <c r="J41" s="70" t="e">
        <f>'Entrada datos'!#REF!</f>
        <v>#REF!</v>
      </c>
      <c r="K41" s="70" t="e">
        <f>'Entrada datos'!#REF!</f>
        <v>#REF!</v>
      </c>
      <c r="L41" s="70" t="e">
        <f>'Entrada datos'!#REF!</f>
        <v>#REF!</v>
      </c>
      <c r="M41" s="72"/>
      <c r="N41" s="72"/>
      <c r="O41" s="72"/>
      <c r="P41" s="72"/>
      <c r="Q41" s="72"/>
      <c r="R41" s="72"/>
      <c r="S41" s="73" t="s">
        <v>73</v>
      </c>
      <c r="T41" s="73"/>
      <c r="U41" s="73"/>
      <c r="V41" s="73" t="e">
        <f t="shared" si="2"/>
        <v>#REF!</v>
      </c>
    </row>
    <row r="42" spans="1:22" x14ac:dyDescent="0.3">
      <c r="A42" s="74" t="e">
        <f>'Entrada datos'!#REF!</f>
        <v>#REF!</v>
      </c>
      <c r="B42" s="70" t="e">
        <f>'Entrada datos'!#REF!</f>
        <v>#REF!</v>
      </c>
      <c r="C42" s="71" t="e">
        <f>'Entrada datos'!#REF!</f>
        <v>#REF!</v>
      </c>
      <c r="D42" s="71" t="e">
        <f>'Entrada datos'!#REF!</f>
        <v>#REF!</v>
      </c>
      <c r="E42" s="70" t="e">
        <f t="shared" si="0"/>
        <v>#REF!</v>
      </c>
      <c r="F42" s="64" t="e">
        <f t="shared" si="1"/>
        <v>#REF!</v>
      </c>
      <c r="G42" s="70" t="e">
        <f>'Entrada datos'!#REF!</f>
        <v>#REF!</v>
      </c>
      <c r="H42" s="70" t="e">
        <f>'Entrada datos'!#REF!</f>
        <v>#REF!</v>
      </c>
      <c r="I42" s="70" t="e">
        <f>'Entrada datos'!#REF!</f>
        <v>#REF!</v>
      </c>
      <c r="J42" s="70" t="e">
        <f>'Entrada datos'!#REF!</f>
        <v>#REF!</v>
      </c>
      <c r="K42" s="70" t="e">
        <f>'Entrada datos'!#REF!</f>
        <v>#REF!</v>
      </c>
      <c r="L42" s="70" t="e">
        <f>'Entrada datos'!#REF!</f>
        <v>#REF!</v>
      </c>
      <c r="M42" s="72"/>
      <c r="N42" s="72"/>
      <c r="O42" s="72"/>
      <c r="P42" s="72"/>
      <c r="Q42" s="72"/>
      <c r="R42" s="72"/>
      <c r="S42" s="73" t="s">
        <v>73</v>
      </c>
      <c r="T42" s="73"/>
      <c r="U42" s="73"/>
      <c r="V42" s="73" t="e">
        <f t="shared" si="2"/>
        <v>#REF!</v>
      </c>
    </row>
    <row r="43" spans="1:22" x14ac:dyDescent="0.3">
      <c r="A43" s="74" t="e">
        <f>'Entrada datos'!#REF!</f>
        <v>#REF!</v>
      </c>
      <c r="B43" s="70" t="e">
        <f>'Entrada datos'!#REF!</f>
        <v>#REF!</v>
      </c>
      <c r="C43" s="71" t="e">
        <f>'Entrada datos'!#REF!</f>
        <v>#REF!</v>
      </c>
      <c r="D43" s="71" t="e">
        <f>'Entrada datos'!#REF!</f>
        <v>#REF!</v>
      </c>
      <c r="E43" s="70" t="e">
        <f t="shared" si="0"/>
        <v>#REF!</v>
      </c>
      <c r="F43" s="64" t="e">
        <f t="shared" si="1"/>
        <v>#REF!</v>
      </c>
      <c r="G43" s="70" t="e">
        <f>'Entrada datos'!#REF!</f>
        <v>#REF!</v>
      </c>
      <c r="H43" s="70" t="e">
        <f>'Entrada datos'!#REF!</f>
        <v>#REF!</v>
      </c>
      <c r="I43" s="70" t="e">
        <f>'Entrada datos'!#REF!</f>
        <v>#REF!</v>
      </c>
      <c r="J43" s="70" t="e">
        <f>'Entrada datos'!#REF!</f>
        <v>#REF!</v>
      </c>
      <c r="K43" s="70" t="e">
        <f>'Entrada datos'!#REF!</f>
        <v>#REF!</v>
      </c>
      <c r="L43" s="70" t="e">
        <f>'Entrada datos'!#REF!</f>
        <v>#REF!</v>
      </c>
      <c r="M43" s="72"/>
      <c r="N43" s="72"/>
      <c r="O43" s="72"/>
      <c r="P43" s="72"/>
      <c r="Q43" s="72"/>
      <c r="R43" s="72"/>
      <c r="S43" s="73" t="s">
        <v>73</v>
      </c>
      <c r="T43" s="73"/>
      <c r="U43" s="73"/>
      <c r="V43" s="73" t="e">
        <f t="shared" si="2"/>
        <v>#REF!</v>
      </c>
    </row>
    <row r="44" spans="1:22" x14ac:dyDescent="0.3">
      <c r="A44" s="74" t="e">
        <f>'Entrada datos'!#REF!</f>
        <v>#REF!</v>
      </c>
      <c r="B44" s="70" t="e">
        <f>'Entrada datos'!#REF!</f>
        <v>#REF!</v>
      </c>
      <c r="C44" s="71" t="e">
        <f>'Entrada datos'!#REF!</f>
        <v>#REF!</v>
      </c>
      <c r="D44" s="71" t="e">
        <f>'Entrada datos'!#REF!</f>
        <v>#REF!</v>
      </c>
      <c r="E44" s="70" t="e">
        <f t="shared" si="0"/>
        <v>#REF!</v>
      </c>
      <c r="F44" s="64" t="e">
        <f t="shared" si="1"/>
        <v>#REF!</v>
      </c>
      <c r="G44" s="70" t="e">
        <f>'Entrada datos'!#REF!</f>
        <v>#REF!</v>
      </c>
      <c r="H44" s="70" t="e">
        <f>'Entrada datos'!#REF!</f>
        <v>#REF!</v>
      </c>
      <c r="I44" s="70" t="e">
        <f>'Entrada datos'!#REF!</f>
        <v>#REF!</v>
      </c>
      <c r="J44" s="70" t="e">
        <f>'Entrada datos'!#REF!</f>
        <v>#REF!</v>
      </c>
      <c r="K44" s="70" t="e">
        <f>'Entrada datos'!#REF!</f>
        <v>#REF!</v>
      </c>
      <c r="L44" s="70" t="e">
        <f>'Entrada datos'!#REF!</f>
        <v>#REF!</v>
      </c>
      <c r="M44" s="72"/>
      <c r="N44" s="72"/>
      <c r="O44" s="72"/>
      <c r="P44" s="72"/>
      <c r="Q44" s="72"/>
      <c r="R44" s="72"/>
      <c r="S44" s="73" t="s">
        <v>73</v>
      </c>
      <c r="T44" s="73"/>
      <c r="U44" s="73"/>
      <c r="V44" s="73" t="e">
        <f t="shared" si="2"/>
        <v>#REF!</v>
      </c>
    </row>
    <row r="45" spans="1:22" x14ac:dyDescent="0.3">
      <c r="A45" s="74" t="e">
        <f>'Entrada datos'!#REF!</f>
        <v>#REF!</v>
      </c>
      <c r="B45" s="70" t="e">
        <f>'Entrada datos'!#REF!</f>
        <v>#REF!</v>
      </c>
      <c r="C45" s="71" t="e">
        <f>'Entrada datos'!#REF!</f>
        <v>#REF!</v>
      </c>
      <c r="D45" s="71" t="e">
        <f>'Entrada datos'!#REF!</f>
        <v>#REF!</v>
      </c>
      <c r="E45" s="70" t="e">
        <f t="shared" si="0"/>
        <v>#REF!</v>
      </c>
      <c r="F45" s="64" t="e">
        <f t="shared" si="1"/>
        <v>#REF!</v>
      </c>
      <c r="G45" s="70" t="e">
        <f>'Entrada datos'!#REF!</f>
        <v>#REF!</v>
      </c>
      <c r="H45" s="70" t="e">
        <f>'Entrada datos'!#REF!</f>
        <v>#REF!</v>
      </c>
      <c r="I45" s="70" t="e">
        <f>'Entrada datos'!#REF!</f>
        <v>#REF!</v>
      </c>
      <c r="J45" s="70" t="e">
        <f>'Entrada datos'!#REF!</f>
        <v>#REF!</v>
      </c>
      <c r="K45" s="70" t="e">
        <f>'Entrada datos'!#REF!</f>
        <v>#REF!</v>
      </c>
      <c r="L45" s="70" t="e">
        <f>'Entrada datos'!#REF!</f>
        <v>#REF!</v>
      </c>
      <c r="M45" s="72"/>
      <c r="N45" s="72"/>
      <c r="O45" s="72"/>
      <c r="P45" s="72"/>
      <c r="Q45" s="72"/>
      <c r="R45" s="72"/>
      <c r="S45" s="73" t="s">
        <v>73</v>
      </c>
      <c r="T45" s="73"/>
      <c r="U45" s="73"/>
      <c r="V45" s="73" t="e">
        <f t="shared" si="2"/>
        <v>#REF!</v>
      </c>
    </row>
    <row r="46" spans="1:22" x14ac:dyDescent="0.3">
      <c r="A46" s="74" t="e">
        <f>'Entrada datos'!#REF!</f>
        <v>#REF!</v>
      </c>
      <c r="B46" s="70" t="e">
        <f>'Entrada datos'!#REF!</f>
        <v>#REF!</v>
      </c>
      <c r="C46" s="71" t="e">
        <f>'Entrada datos'!#REF!</f>
        <v>#REF!</v>
      </c>
      <c r="D46" s="71" t="e">
        <f>'Entrada datos'!#REF!</f>
        <v>#REF!</v>
      </c>
      <c r="E46" s="70" t="e">
        <f t="shared" si="0"/>
        <v>#REF!</v>
      </c>
      <c r="F46" s="64" t="e">
        <f t="shared" si="1"/>
        <v>#REF!</v>
      </c>
      <c r="G46" s="70" t="e">
        <f>'Entrada datos'!#REF!</f>
        <v>#REF!</v>
      </c>
      <c r="H46" s="70" t="e">
        <f>'Entrada datos'!#REF!</f>
        <v>#REF!</v>
      </c>
      <c r="I46" s="70" t="e">
        <f>'Entrada datos'!#REF!</f>
        <v>#REF!</v>
      </c>
      <c r="J46" s="70" t="e">
        <f>'Entrada datos'!#REF!</f>
        <v>#REF!</v>
      </c>
      <c r="K46" s="70" t="e">
        <f>'Entrada datos'!#REF!</f>
        <v>#REF!</v>
      </c>
      <c r="L46" s="70" t="e">
        <f>'Entrada datos'!#REF!</f>
        <v>#REF!</v>
      </c>
      <c r="M46" s="72"/>
      <c r="N46" s="72"/>
      <c r="O46" s="72"/>
      <c r="P46" s="72"/>
      <c r="Q46" s="72"/>
      <c r="R46" s="72"/>
      <c r="S46" s="73" t="s">
        <v>73</v>
      </c>
      <c r="T46" s="73"/>
      <c r="U46" s="73"/>
      <c r="V46" s="73" t="e">
        <f t="shared" si="2"/>
        <v>#REF!</v>
      </c>
    </row>
    <row r="47" spans="1:22" x14ac:dyDescent="0.3">
      <c r="A47" s="74" t="e">
        <f>'Entrada datos'!#REF!</f>
        <v>#REF!</v>
      </c>
      <c r="B47" s="70" t="e">
        <f>'Entrada datos'!#REF!</f>
        <v>#REF!</v>
      </c>
      <c r="C47" s="71" t="e">
        <f>'Entrada datos'!#REF!</f>
        <v>#REF!</v>
      </c>
      <c r="D47" s="71" t="e">
        <f>'Entrada datos'!#REF!</f>
        <v>#REF!</v>
      </c>
      <c r="E47" s="70" t="e">
        <f t="shared" si="0"/>
        <v>#REF!</v>
      </c>
      <c r="F47" s="64" t="e">
        <f t="shared" si="1"/>
        <v>#REF!</v>
      </c>
      <c r="G47" s="70" t="e">
        <f>'Entrada datos'!#REF!</f>
        <v>#REF!</v>
      </c>
      <c r="H47" s="70" t="e">
        <f>'Entrada datos'!#REF!</f>
        <v>#REF!</v>
      </c>
      <c r="I47" s="70" t="e">
        <f>'Entrada datos'!#REF!</f>
        <v>#REF!</v>
      </c>
      <c r="J47" s="70" t="e">
        <f>'Entrada datos'!#REF!</f>
        <v>#REF!</v>
      </c>
      <c r="K47" s="70" t="e">
        <f>'Entrada datos'!#REF!</f>
        <v>#REF!</v>
      </c>
      <c r="L47" s="70" t="e">
        <f>'Entrada datos'!#REF!</f>
        <v>#REF!</v>
      </c>
      <c r="M47" s="72"/>
      <c r="N47" s="72"/>
      <c r="O47" s="72"/>
      <c r="P47" s="72"/>
      <c r="Q47" s="72"/>
      <c r="R47" s="72"/>
      <c r="S47" s="73" t="s">
        <v>73</v>
      </c>
      <c r="T47" s="73"/>
      <c r="U47" s="73"/>
      <c r="V47" s="73" t="e">
        <f t="shared" si="2"/>
        <v>#REF!</v>
      </c>
    </row>
    <row r="48" spans="1:22" x14ac:dyDescent="0.3">
      <c r="A48" s="74" t="e">
        <f>'Entrada datos'!#REF!</f>
        <v>#REF!</v>
      </c>
      <c r="B48" s="70" t="e">
        <f>'Entrada datos'!#REF!</f>
        <v>#REF!</v>
      </c>
      <c r="C48" s="71" t="e">
        <f>'Entrada datos'!#REF!</f>
        <v>#REF!</v>
      </c>
      <c r="D48" s="71" t="e">
        <f>'Entrada datos'!#REF!</f>
        <v>#REF!</v>
      </c>
      <c r="E48" s="70" t="e">
        <f t="shared" si="0"/>
        <v>#REF!</v>
      </c>
      <c r="F48" s="64" t="e">
        <f t="shared" si="1"/>
        <v>#REF!</v>
      </c>
      <c r="G48" s="70" t="e">
        <f>'Entrada datos'!#REF!</f>
        <v>#REF!</v>
      </c>
      <c r="H48" s="70" t="e">
        <f>'Entrada datos'!#REF!</f>
        <v>#REF!</v>
      </c>
      <c r="I48" s="70" t="e">
        <f>'Entrada datos'!#REF!</f>
        <v>#REF!</v>
      </c>
      <c r="J48" s="70" t="e">
        <f>'Entrada datos'!#REF!</f>
        <v>#REF!</v>
      </c>
      <c r="K48" s="70" t="e">
        <f>'Entrada datos'!#REF!</f>
        <v>#REF!</v>
      </c>
      <c r="L48" s="70" t="e">
        <f>'Entrada datos'!#REF!</f>
        <v>#REF!</v>
      </c>
      <c r="M48" s="72"/>
      <c r="N48" s="72"/>
      <c r="O48" s="72"/>
      <c r="P48" s="72"/>
      <c r="Q48" s="72"/>
      <c r="R48" s="72"/>
      <c r="S48" s="73" t="s">
        <v>73</v>
      </c>
      <c r="T48" s="73"/>
      <c r="U48" s="73"/>
      <c r="V48" s="73" t="e">
        <f t="shared" si="2"/>
        <v>#REF!</v>
      </c>
    </row>
    <row r="49" spans="1:22" x14ac:dyDescent="0.3">
      <c r="A49" s="74" t="e">
        <f>'Entrada datos'!#REF!</f>
        <v>#REF!</v>
      </c>
      <c r="B49" s="70" t="e">
        <f>'Entrada datos'!#REF!</f>
        <v>#REF!</v>
      </c>
      <c r="C49" s="71" t="e">
        <f>'Entrada datos'!#REF!</f>
        <v>#REF!</v>
      </c>
      <c r="D49" s="71" t="e">
        <f>'Entrada datos'!#REF!</f>
        <v>#REF!</v>
      </c>
      <c r="E49" s="70" t="e">
        <f t="shared" si="0"/>
        <v>#REF!</v>
      </c>
      <c r="F49" s="64" t="e">
        <f t="shared" si="1"/>
        <v>#REF!</v>
      </c>
      <c r="G49" s="70" t="e">
        <f>'Entrada datos'!#REF!</f>
        <v>#REF!</v>
      </c>
      <c r="H49" s="70" t="e">
        <f>'Entrada datos'!#REF!</f>
        <v>#REF!</v>
      </c>
      <c r="I49" s="70" t="e">
        <f>'Entrada datos'!#REF!</f>
        <v>#REF!</v>
      </c>
      <c r="J49" s="70" t="e">
        <f>'Entrada datos'!#REF!</f>
        <v>#REF!</v>
      </c>
      <c r="K49" s="70" t="e">
        <f>'Entrada datos'!#REF!</f>
        <v>#REF!</v>
      </c>
      <c r="L49" s="70" t="e">
        <f>'Entrada datos'!#REF!</f>
        <v>#REF!</v>
      </c>
      <c r="M49" s="72"/>
      <c r="N49" s="72"/>
      <c r="O49" s="72"/>
      <c r="P49" s="72"/>
      <c r="Q49" s="72"/>
      <c r="R49" s="72"/>
      <c r="S49" s="73" t="s">
        <v>73</v>
      </c>
      <c r="T49" s="73"/>
      <c r="U49" s="73"/>
      <c r="V49" s="73" t="e">
        <f t="shared" si="2"/>
        <v>#REF!</v>
      </c>
    </row>
    <row r="50" spans="1:22" x14ac:dyDescent="0.3">
      <c r="A50" s="74" t="e">
        <f>'Entrada datos'!#REF!</f>
        <v>#REF!</v>
      </c>
      <c r="B50" s="70" t="e">
        <f>'Entrada datos'!#REF!</f>
        <v>#REF!</v>
      </c>
      <c r="C50" s="71" t="e">
        <f>'Entrada datos'!#REF!</f>
        <v>#REF!</v>
      </c>
      <c r="D50" s="71" t="e">
        <f>'Entrada datos'!#REF!</f>
        <v>#REF!</v>
      </c>
      <c r="E50" s="70" t="e">
        <f t="shared" si="0"/>
        <v>#REF!</v>
      </c>
      <c r="F50" s="64" t="e">
        <f t="shared" si="1"/>
        <v>#REF!</v>
      </c>
      <c r="G50" s="70" t="e">
        <f>'Entrada datos'!#REF!</f>
        <v>#REF!</v>
      </c>
      <c r="H50" s="70" t="e">
        <f>'Entrada datos'!#REF!</f>
        <v>#REF!</v>
      </c>
      <c r="I50" s="70" t="e">
        <f>'Entrada datos'!#REF!</f>
        <v>#REF!</v>
      </c>
      <c r="J50" s="70" t="e">
        <f>'Entrada datos'!#REF!</f>
        <v>#REF!</v>
      </c>
      <c r="K50" s="70" t="e">
        <f>'Entrada datos'!#REF!</f>
        <v>#REF!</v>
      </c>
      <c r="L50" s="70" t="e">
        <f>'Entrada datos'!#REF!</f>
        <v>#REF!</v>
      </c>
      <c r="M50" s="72"/>
      <c r="N50" s="72"/>
      <c r="O50" s="72"/>
      <c r="P50" s="72"/>
      <c r="Q50" s="72"/>
      <c r="R50" s="72"/>
      <c r="S50" s="73" t="s">
        <v>73</v>
      </c>
      <c r="T50" s="73"/>
      <c r="U50" s="73"/>
      <c r="V50" s="73" t="e">
        <f t="shared" si="2"/>
        <v>#REF!</v>
      </c>
    </row>
    <row r="51" spans="1:22" x14ac:dyDescent="0.3">
      <c r="A51" s="74" t="e">
        <f>'Entrada datos'!#REF!</f>
        <v>#REF!</v>
      </c>
      <c r="B51" s="70" t="e">
        <f>'Entrada datos'!#REF!</f>
        <v>#REF!</v>
      </c>
      <c r="C51" s="71" t="e">
        <f>'Entrada datos'!#REF!</f>
        <v>#REF!</v>
      </c>
      <c r="D51" s="71" t="e">
        <f>'Entrada datos'!#REF!</f>
        <v>#REF!</v>
      </c>
      <c r="E51" s="70" t="e">
        <f t="shared" si="0"/>
        <v>#REF!</v>
      </c>
      <c r="F51" s="64" t="e">
        <f t="shared" si="1"/>
        <v>#REF!</v>
      </c>
      <c r="G51" s="70" t="e">
        <f>'Entrada datos'!#REF!</f>
        <v>#REF!</v>
      </c>
      <c r="H51" s="70" t="e">
        <f>'Entrada datos'!#REF!</f>
        <v>#REF!</v>
      </c>
      <c r="I51" s="70" t="e">
        <f>'Entrada datos'!#REF!</f>
        <v>#REF!</v>
      </c>
      <c r="J51" s="70" t="e">
        <f>'Entrada datos'!#REF!</f>
        <v>#REF!</v>
      </c>
      <c r="K51" s="70" t="e">
        <f>'Entrada datos'!#REF!</f>
        <v>#REF!</v>
      </c>
      <c r="L51" s="70" t="e">
        <f>'Entrada datos'!#REF!</f>
        <v>#REF!</v>
      </c>
      <c r="M51" s="72"/>
      <c r="N51" s="72"/>
      <c r="O51" s="72"/>
      <c r="P51" s="72"/>
      <c r="Q51" s="72"/>
      <c r="R51" s="72"/>
      <c r="S51" s="73" t="s">
        <v>73</v>
      </c>
      <c r="T51" s="73"/>
      <c r="U51" s="73"/>
      <c r="V51" s="73" t="e">
        <f t="shared" si="2"/>
        <v>#REF!</v>
      </c>
    </row>
    <row r="52" spans="1:22" x14ac:dyDescent="0.3">
      <c r="A52" s="74" t="e">
        <f>'Entrada datos'!#REF!</f>
        <v>#REF!</v>
      </c>
      <c r="B52" s="70" t="e">
        <f>'Entrada datos'!#REF!</f>
        <v>#REF!</v>
      </c>
      <c r="C52" s="71" t="e">
        <f>'Entrada datos'!#REF!</f>
        <v>#REF!</v>
      </c>
      <c r="D52" s="71" t="e">
        <f>'Entrada datos'!#REF!</f>
        <v>#REF!</v>
      </c>
      <c r="E52" s="70" t="e">
        <f t="shared" si="0"/>
        <v>#REF!</v>
      </c>
      <c r="F52" s="64" t="e">
        <f t="shared" si="1"/>
        <v>#REF!</v>
      </c>
      <c r="G52" s="70" t="e">
        <f>'Entrada datos'!#REF!</f>
        <v>#REF!</v>
      </c>
      <c r="H52" s="70" t="e">
        <f>'Entrada datos'!#REF!</f>
        <v>#REF!</v>
      </c>
      <c r="I52" s="70" t="e">
        <f>'Entrada datos'!#REF!</f>
        <v>#REF!</v>
      </c>
      <c r="J52" s="70" t="e">
        <f>'Entrada datos'!#REF!</f>
        <v>#REF!</v>
      </c>
      <c r="K52" s="70" t="e">
        <f>'Entrada datos'!#REF!</f>
        <v>#REF!</v>
      </c>
      <c r="L52" s="70" t="e">
        <f>'Entrada datos'!#REF!</f>
        <v>#REF!</v>
      </c>
      <c r="M52" s="72"/>
      <c r="N52" s="72"/>
      <c r="O52" s="72"/>
      <c r="P52" s="72"/>
      <c r="Q52" s="72"/>
      <c r="R52" s="72"/>
      <c r="S52" s="73" t="s">
        <v>73</v>
      </c>
      <c r="T52" s="73"/>
      <c r="U52" s="73"/>
      <c r="V52" s="73" t="e">
        <f t="shared" si="2"/>
        <v>#REF!</v>
      </c>
    </row>
    <row r="53" spans="1:22" x14ac:dyDescent="0.3">
      <c r="A53" s="74" t="e">
        <f>'Entrada datos'!#REF!</f>
        <v>#REF!</v>
      </c>
      <c r="B53" s="70" t="e">
        <f>'Entrada datos'!#REF!</f>
        <v>#REF!</v>
      </c>
      <c r="C53" s="71" t="e">
        <f>'Entrada datos'!#REF!</f>
        <v>#REF!</v>
      </c>
      <c r="D53" s="71" t="e">
        <f>'Entrada datos'!#REF!</f>
        <v>#REF!</v>
      </c>
      <c r="E53" s="70" t="e">
        <f t="shared" si="0"/>
        <v>#REF!</v>
      </c>
      <c r="F53" s="64" t="e">
        <f t="shared" si="1"/>
        <v>#REF!</v>
      </c>
      <c r="G53" s="70" t="e">
        <f>'Entrada datos'!#REF!</f>
        <v>#REF!</v>
      </c>
      <c r="H53" s="70" t="e">
        <f>'Entrada datos'!#REF!</f>
        <v>#REF!</v>
      </c>
      <c r="I53" s="70" t="e">
        <f>'Entrada datos'!#REF!</f>
        <v>#REF!</v>
      </c>
      <c r="J53" s="70" t="e">
        <f>'Entrada datos'!#REF!</f>
        <v>#REF!</v>
      </c>
      <c r="K53" s="70" t="e">
        <f>'Entrada datos'!#REF!</f>
        <v>#REF!</v>
      </c>
      <c r="L53" s="70" t="e">
        <f>'Entrada datos'!#REF!</f>
        <v>#REF!</v>
      </c>
      <c r="M53" s="72"/>
      <c r="N53" s="72"/>
      <c r="O53" s="72"/>
      <c r="P53" s="72"/>
      <c r="Q53" s="72"/>
      <c r="R53" s="72"/>
      <c r="S53" s="73" t="s">
        <v>73</v>
      </c>
      <c r="T53" s="73"/>
      <c r="U53" s="73"/>
      <c r="V53" s="73" t="e">
        <f t="shared" si="2"/>
        <v>#REF!</v>
      </c>
    </row>
    <row r="54" spans="1:22" x14ac:dyDescent="0.3">
      <c r="A54" s="74" t="e">
        <f>'Entrada datos'!#REF!</f>
        <v>#REF!</v>
      </c>
      <c r="B54" s="70" t="e">
        <f>'Entrada datos'!#REF!</f>
        <v>#REF!</v>
      </c>
      <c r="C54" s="71" t="e">
        <f>'Entrada datos'!#REF!</f>
        <v>#REF!</v>
      </c>
      <c r="D54" s="71" t="e">
        <f>'Entrada datos'!#REF!</f>
        <v>#REF!</v>
      </c>
      <c r="E54" s="70" t="e">
        <f t="shared" si="0"/>
        <v>#REF!</v>
      </c>
      <c r="F54" s="64" t="e">
        <f t="shared" si="1"/>
        <v>#REF!</v>
      </c>
      <c r="G54" s="70" t="e">
        <f>'Entrada datos'!#REF!</f>
        <v>#REF!</v>
      </c>
      <c r="H54" s="70" t="e">
        <f>'Entrada datos'!#REF!</f>
        <v>#REF!</v>
      </c>
      <c r="I54" s="70" t="e">
        <f>'Entrada datos'!#REF!</f>
        <v>#REF!</v>
      </c>
      <c r="J54" s="70" t="e">
        <f>'Entrada datos'!#REF!</f>
        <v>#REF!</v>
      </c>
      <c r="K54" s="70" t="e">
        <f>'Entrada datos'!#REF!</f>
        <v>#REF!</v>
      </c>
      <c r="L54" s="70" t="e">
        <f>'Entrada datos'!#REF!</f>
        <v>#REF!</v>
      </c>
      <c r="M54" s="72"/>
      <c r="N54" s="72"/>
      <c r="O54" s="72"/>
      <c r="P54" s="72"/>
      <c r="Q54" s="72"/>
      <c r="R54" s="72"/>
      <c r="S54" s="73" t="s">
        <v>73</v>
      </c>
      <c r="T54" s="73"/>
      <c r="U54" s="73"/>
      <c r="V54" s="73" t="e">
        <f t="shared" si="2"/>
        <v>#REF!</v>
      </c>
    </row>
    <row r="55" spans="1:22" x14ac:dyDescent="0.3">
      <c r="A55" s="74" t="e">
        <f>'Entrada datos'!#REF!</f>
        <v>#REF!</v>
      </c>
      <c r="B55" s="70" t="e">
        <f>'Entrada datos'!#REF!</f>
        <v>#REF!</v>
      </c>
      <c r="C55" s="71" t="e">
        <f>'Entrada datos'!#REF!</f>
        <v>#REF!</v>
      </c>
      <c r="D55" s="71" t="e">
        <f>'Entrada datos'!#REF!</f>
        <v>#REF!</v>
      </c>
      <c r="E55" s="70" t="e">
        <f t="shared" si="0"/>
        <v>#REF!</v>
      </c>
      <c r="F55" s="64" t="e">
        <f t="shared" si="1"/>
        <v>#REF!</v>
      </c>
      <c r="G55" s="70" t="e">
        <f>'Entrada datos'!#REF!</f>
        <v>#REF!</v>
      </c>
      <c r="H55" s="70" t="e">
        <f>'Entrada datos'!#REF!</f>
        <v>#REF!</v>
      </c>
      <c r="I55" s="70" t="e">
        <f>'Entrada datos'!#REF!</f>
        <v>#REF!</v>
      </c>
      <c r="J55" s="70" t="e">
        <f>'Entrada datos'!#REF!</f>
        <v>#REF!</v>
      </c>
      <c r="K55" s="70" t="e">
        <f>'Entrada datos'!#REF!</f>
        <v>#REF!</v>
      </c>
      <c r="L55" s="70" t="e">
        <f>'Entrada datos'!#REF!</f>
        <v>#REF!</v>
      </c>
      <c r="M55" s="72"/>
      <c r="N55" s="72"/>
      <c r="O55" s="72"/>
      <c r="P55" s="72"/>
      <c r="Q55" s="72"/>
      <c r="R55" s="72"/>
      <c r="S55" s="73" t="s">
        <v>73</v>
      </c>
      <c r="T55" s="73"/>
      <c r="U55" s="73"/>
      <c r="V55" s="73" t="e">
        <f t="shared" si="2"/>
        <v>#REF!</v>
      </c>
    </row>
    <row r="56" spans="1:22" x14ac:dyDescent="0.3">
      <c r="A56" s="74" t="e">
        <f>'Entrada datos'!#REF!</f>
        <v>#REF!</v>
      </c>
      <c r="B56" s="70" t="e">
        <f>'Entrada datos'!#REF!</f>
        <v>#REF!</v>
      </c>
      <c r="C56" s="71" t="e">
        <f>'Entrada datos'!#REF!</f>
        <v>#REF!</v>
      </c>
      <c r="D56" s="71" t="e">
        <f>'Entrada datos'!#REF!</f>
        <v>#REF!</v>
      </c>
      <c r="E56" s="70" t="e">
        <f t="shared" si="0"/>
        <v>#REF!</v>
      </c>
      <c r="F56" s="64" t="e">
        <f t="shared" si="1"/>
        <v>#REF!</v>
      </c>
      <c r="G56" s="70" t="e">
        <f>'Entrada datos'!#REF!</f>
        <v>#REF!</v>
      </c>
      <c r="H56" s="70" t="e">
        <f>'Entrada datos'!#REF!</f>
        <v>#REF!</v>
      </c>
      <c r="I56" s="70" t="e">
        <f>'Entrada datos'!#REF!</f>
        <v>#REF!</v>
      </c>
      <c r="J56" s="70" t="e">
        <f>'Entrada datos'!#REF!</f>
        <v>#REF!</v>
      </c>
      <c r="K56" s="70" t="e">
        <f>'Entrada datos'!#REF!</f>
        <v>#REF!</v>
      </c>
      <c r="L56" s="70" t="e">
        <f>'Entrada datos'!#REF!</f>
        <v>#REF!</v>
      </c>
      <c r="M56" s="72"/>
      <c r="N56" s="72"/>
      <c r="O56" s="72"/>
      <c r="P56" s="72"/>
      <c r="Q56" s="72"/>
      <c r="R56" s="72"/>
      <c r="S56" s="73" t="s">
        <v>73</v>
      </c>
      <c r="T56" s="73"/>
      <c r="U56" s="73"/>
      <c r="V56" s="73" t="e">
        <f t="shared" si="2"/>
        <v>#REF!</v>
      </c>
    </row>
    <row r="57" spans="1:22" x14ac:dyDescent="0.3">
      <c r="A57" s="74" t="e">
        <f>'Entrada datos'!#REF!</f>
        <v>#REF!</v>
      </c>
      <c r="B57" s="70" t="e">
        <f>'Entrada datos'!#REF!</f>
        <v>#REF!</v>
      </c>
      <c r="C57" s="71" t="e">
        <f>'Entrada datos'!#REF!</f>
        <v>#REF!</v>
      </c>
      <c r="D57" s="71" t="e">
        <f>'Entrada datos'!#REF!</f>
        <v>#REF!</v>
      </c>
      <c r="E57" s="70" t="e">
        <f t="shared" si="0"/>
        <v>#REF!</v>
      </c>
      <c r="F57" s="64" t="e">
        <f t="shared" si="1"/>
        <v>#REF!</v>
      </c>
      <c r="G57" s="70" t="e">
        <f>'Entrada datos'!#REF!</f>
        <v>#REF!</v>
      </c>
      <c r="H57" s="70" t="e">
        <f>'Entrada datos'!#REF!</f>
        <v>#REF!</v>
      </c>
      <c r="I57" s="70" t="e">
        <f>'Entrada datos'!#REF!</f>
        <v>#REF!</v>
      </c>
      <c r="J57" s="70" t="e">
        <f>'Entrada datos'!#REF!</f>
        <v>#REF!</v>
      </c>
      <c r="K57" s="70" t="e">
        <f>'Entrada datos'!#REF!</f>
        <v>#REF!</v>
      </c>
      <c r="L57" s="70" t="e">
        <f>'Entrada datos'!#REF!</f>
        <v>#REF!</v>
      </c>
      <c r="M57" s="72"/>
      <c r="N57" s="72"/>
      <c r="O57" s="72"/>
      <c r="P57" s="72"/>
      <c r="Q57" s="72"/>
      <c r="R57" s="72"/>
      <c r="S57" s="73" t="s">
        <v>73</v>
      </c>
      <c r="T57" s="73"/>
      <c r="U57" s="73"/>
      <c r="V57" s="73" t="e">
        <f t="shared" si="2"/>
        <v>#REF!</v>
      </c>
    </row>
    <row r="58" spans="1:22" x14ac:dyDescent="0.3">
      <c r="A58" s="74" t="e">
        <f>'Entrada datos'!#REF!</f>
        <v>#REF!</v>
      </c>
      <c r="B58" s="70" t="e">
        <f>'Entrada datos'!#REF!</f>
        <v>#REF!</v>
      </c>
      <c r="C58" s="71" t="e">
        <f>'Entrada datos'!#REF!</f>
        <v>#REF!</v>
      </c>
      <c r="D58" s="71" t="e">
        <f>'Entrada datos'!#REF!</f>
        <v>#REF!</v>
      </c>
      <c r="E58" s="70" t="e">
        <f t="shared" si="0"/>
        <v>#REF!</v>
      </c>
      <c r="F58" s="64" t="e">
        <f t="shared" si="1"/>
        <v>#REF!</v>
      </c>
      <c r="G58" s="70" t="e">
        <f>'Entrada datos'!#REF!</f>
        <v>#REF!</v>
      </c>
      <c r="H58" s="70" t="e">
        <f>'Entrada datos'!#REF!</f>
        <v>#REF!</v>
      </c>
      <c r="I58" s="70" t="e">
        <f>'Entrada datos'!#REF!</f>
        <v>#REF!</v>
      </c>
      <c r="J58" s="70" t="e">
        <f>'Entrada datos'!#REF!</f>
        <v>#REF!</v>
      </c>
      <c r="K58" s="70" t="e">
        <f>'Entrada datos'!#REF!</f>
        <v>#REF!</v>
      </c>
      <c r="L58" s="70" t="e">
        <f>'Entrada datos'!#REF!</f>
        <v>#REF!</v>
      </c>
      <c r="M58" s="72"/>
      <c r="N58" s="72"/>
      <c r="O58" s="72"/>
      <c r="P58" s="72"/>
      <c r="Q58" s="72"/>
      <c r="R58" s="72"/>
      <c r="S58" s="73" t="s">
        <v>73</v>
      </c>
      <c r="T58" s="73"/>
      <c r="U58" s="73"/>
      <c r="V58" s="73" t="e">
        <f t="shared" si="2"/>
        <v>#REF!</v>
      </c>
    </row>
    <row r="59" spans="1:22" x14ac:dyDescent="0.3">
      <c r="A59" s="74" t="e">
        <f>'Entrada datos'!#REF!</f>
        <v>#REF!</v>
      </c>
      <c r="B59" s="70" t="e">
        <f>'Entrada datos'!#REF!</f>
        <v>#REF!</v>
      </c>
      <c r="C59" s="71" t="e">
        <f>'Entrada datos'!#REF!</f>
        <v>#REF!</v>
      </c>
      <c r="D59" s="71" t="e">
        <f>'Entrada datos'!#REF!</f>
        <v>#REF!</v>
      </c>
      <c r="E59" s="70" t="e">
        <f t="shared" si="0"/>
        <v>#REF!</v>
      </c>
      <c r="F59" s="64" t="e">
        <f t="shared" si="1"/>
        <v>#REF!</v>
      </c>
      <c r="G59" s="70" t="e">
        <f>'Entrada datos'!#REF!</f>
        <v>#REF!</v>
      </c>
      <c r="H59" s="70" t="e">
        <f>'Entrada datos'!#REF!</f>
        <v>#REF!</v>
      </c>
      <c r="I59" s="70" t="e">
        <f>'Entrada datos'!#REF!</f>
        <v>#REF!</v>
      </c>
      <c r="J59" s="70" t="e">
        <f>'Entrada datos'!#REF!</f>
        <v>#REF!</v>
      </c>
      <c r="K59" s="70" t="e">
        <f>'Entrada datos'!#REF!</f>
        <v>#REF!</v>
      </c>
      <c r="L59" s="70" t="e">
        <f>'Entrada datos'!#REF!</f>
        <v>#REF!</v>
      </c>
      <c r="M59" s="72"/>
      <c r="N59" s="72"/>
      <c r="O59" s="72"/>
      <c r="P59" s="72"/>
      <c r="Q59" s="72"/>
      <c r="R59" s="72"/>
      <c r="S59" s="73" t="s">
        <v>73</v>
      </c>
      <c r="T59" s="73"/>
      <c r="U59" s="73"/>
      <c r="V59" s="73" t="e">
        <f t="shared" si="2"/>
        <v>#REF!</v>
      </c>
    </row>
    <row r="60" spans="1:22" x14ac:dyDescent="0.3">
      <c r="A60" s="74" t="e">
        <f>'Entrada datos'!#REF!</f>
        <v>#REF!</v>
      </c>
      <c r="B60" s="70" t="e">
        <f>'Entrada datos'!#REF!</f>
        <v>#REF!</v>
      </c>
      <c r="C60" s="71" t="e">
        <f>'Entrada datos'!#REF!</f>
        <v>#REF!</v>
      </c>
      <c r="D60" s="71" t="e">
        <f>'Entrada datos'!#REF!</f>
        <v>#REF!</v>
      </c>
      <c r="E60" s="70" t="e">
        <f t="shared" si="0"/>
        <v>#REF!</v>
      </c>
      <c r="F60" s="64" t="e">
        <f t="shared" si="1"/>
        <v>#REF!</v>
      </c>
      <c r="G60" s="70" t="e">
        <f>'Entrada datos'!#REF!</f>
        <v>#REF!</v>
      </c>
      <c r="H60" s="70" t="e">
        <f>'Entrada datos'!#REF!</f>
        <v>#REF!</v>
      </c>
      <c r="I60" s="70" t="e">
        <f>'Entrada datos'!#REF!</f>
        <v>#REF!</v>
      </c>
      <c r="J60" s="70" t="e">
        <f>'Entrada datos'!#REF!</f>
        <v>#REF!</v>
      </c>
      <c r="K60" s="70" t="e">
        <f>'Entrada datos'!#REF!</f>
        <v>#REF!</v>
      </c>
      <c r="L60" s="70" t="e">
        <f>'Entrada datos'!#REF!</f>
        <v>#REF!</v>
      </c>
      <c r="M60" s="72"/>
      <c r="N60" s="72"/>
      <c r="O60" s="72"/>
      <c r="P60" s="72"/>
      <c r="Q60" s="72"/>
      <c r="R60" s="72"/>
      <c r="S60" s="73" t="s">
        <v>73</v>
      </c>
      <c r="T60" s="73"/>
      <c r="U60" s="73"/>
      <c r="V60" s="73" t="e">
        <f t="shared" si="2"/>
        <v>#REF!</v>
      </c>
    </row>
    <row r="61" spans="1:22" x14ac:dyDescent="0.3">
      <c r="A61" s="74" t="e">
        <f>'Entrada datos'!#REF!</f>
        <v>#REF!</v>
      </c>
      <c r="B61" s="70" t="e">
        <f>'Entrada datos'!#REF!</f>
        <v>#REF!</v>
      </c>
      <c r="C61" s="71" t="e">
        <f>'Entrada datos'!#REF!</f>
        <v>#REF!</v>
      </c>
      <c r="D61" s="71" t="e">
        <f>'Entrada datos'!#REF!</f>
        <v>#REF!</v>
      </c>
      <c r="E61" s="70" t="e">
        <f t="shared" si="0"/>
        <v>#REF!</v>
      </c>
      <c r="F61" s="64" t="e">
        <f t="shared" si="1"/>
        <v>#REF!</v>
      </c>
      <c r="G61" s="70" t="e">
        <f>'Entrada datos'!#REF!</f>
        <v>#REF!</v>
      </c>
      <c r="H61" s="70" t="e">
        <f>'Entrada datos'!#REF!</f>
        <v>#REF!</v>
      </c>
      <c r="I61" s="70" t="e">
        <f>'Entrada datos'!#REF!</f>
        <v>#REF!</v>
      </c>
      <c r="J61" s="70" t="e">
        <f>'Entrada datos'!#REF!</f>
        <v>#REF!</v>
      </c>
      <c r="K61" s="70" t="e">
        <f>'Entrada datos'!#REF!</f>
        <v>#REF!</v>
      </c>
      <c r="L61" s="70" t="e">
        <f>'Entrada datos'!#REF!</f>
        <v>#REF!</v>
      </c>
      <c r="M61" s="72"/>
      <c r="N61" s="72"/>
      <c r="O61" s="72"/>
      <c r="P61" s="72"/>
      <c r="Q61" s="72"/>
      <c r="R61" s="72"/>
      <c r="S61" s="73" t="s">
        <v>73</v>
      </c>
      <c r="T61" s="73"/>
      <c r="U61" s="73"/>
      <c r="V61" s="73" t="e">
        <f t="shared" si="2"/>
        <v>#REF!</v>
      </c>
    </row>
    <row r="62" spans="1:22" x14ac:dyDescent="0.3">
      <c r="A62" s="74" t="e">
        <f>'Entrada datos'!#REF!</f>
        <v>#REF!</v>
      </c>
      <c r="B62" s="70" t="e">
        <f>'Entrada datos'!#REF!</f>
        <v>#REF!</v>
      </c>
      <c r="C62" s="71" t="e">
        <f>'Entrada datos'!#REF!</f>
        <v>#REF!</v>
      </c>
      <c r="D62" s="71" t="e">
        <f>'Entrada datos'!#REF!</f>
        <v>#REF!</v>
      </c>
      <c r="E62" s="70" t="e">
        <f t="shared" si="0"/>
        <v>#REF!</v>
      </c>
      <c r="F62" s="64" t="e">
        <f t="shared" si="1"/>
        <v>#REF!</v>
      </c>
      <c r="G62" s="70" t="e">
        <f>'Entrada datos'!#REF!</f>
        <v>#REF!</v>
      </c>
      <c r="H62" s="70" t="e">
        <f>'Entrada datos'!#REF!</f>
        <v>#REF!</v>
      </c>
      <c r="I62" s="70" t="e">
        <f>'Entrada datos'!#REF!</f>
        <v>#REF!</v>
      </c>
      <c r="J62" s="70" t="e">
        <f>'Entrada datos'!#REF!</f>
        <v>#REF!</v>
      </c>
      <c r="K62" s="70" t="e">
        <f>'Entrada datos'!#REF!</f>
        <v>#REF!</v>
      </c>
      <c r="L62" s="70" t="e">
        <f>'Entrada datos'!#REF!</f>
        <v>#REF!</v>
      </c>
      <c r="M62" s="72"/>
      <c r="N62" s="72"/>
      <c r="O62" s="72"/>
      <c r="P62" s="72"/>
      <c r="Q62" s="72"/>
      <c r="R62" s="72"/>
      <c r="S62" s="73" t="s">
        <v>73</v>
      </c>
      <c r="T62" s="73"/>
      <c r="U62" s="73"/>
      <c r="V62" s="73" t="e">
        <f t="shared" si="2"/>
        <v>#REF!</v>
      </c>
    </row>
    <row r="63" spans="1:22" x14ac:dyDescent="0.3">
      <c r="A63" s="74" t="e">
        <f>'Entrada datos'!#REF!</f>
        <v>#REF!</v>
      </c>
      <c r="B63" s="70" t="e">
        <f>'Entrada datos'!#REF!</f>
        <v>#REF!</v>
      </c>
      <c r="C63" s="71" t="e">
        <f>'Entrada datos'!#REF!</f>
        <v>#REF!</v>
      </c>
      <c r="D63" s="71" t="e">
        <f>'Entrada datos'!#REF!</f>
        <v>#REF!</v>
      </c>
      <c r="E63" s="70" t="e">
        <f t="shared" si="0"/>
        <v>#REF!</v>
      </c>
      <c r="F63" s="64" t="e">
        <f t="shared" si="1"/>
        <v>#REF!</v>
      </c>
      <c r="G63" s="70" t="e">
        <f>'Entrada datos'!#REF!</f>
        <v>#REF!</v>
      </c>
      <c r="H63" s="70" t="e">
        <f>'Entrada datos'!#REF!</f>
        <v>#REF!</v>
      </c>
      <c r="I63" s="70" t="e">
        <f>'Entrada datos'!#REF!</f>
        <v>#REF!</v>
      </c>
      <c r="J63" s="70" t="e">
        <f>'Entrada datos'!#REF!</f>
        <v>#REF!</v>
      </c>
      <c r="K63" s="70" t="e">
        <f>'Entrada datos'!#REF!</f>
        <v>#REF!</v>
      </c>
      <c r="L63" s="70" t="e">
        <f>'Entrada datos'!#REF!</f>
        <v>#REF!</v>
      </c>
      <c r="M63" s="72"/>
      <c r="N63" s="72"/>
      <c r="O63" s="72"/>
      <c r="P63" s="72"/>
      <c r="Q63" s="72"/>
      <c r="R63" s="72"/>
      <c r="S63" s="73" t="s">
        <v>73</v>
      </c>
      <c r="T63" s="73"/>
      <c r="U63" s="73"/>
      <c r="V63" s="73" t="e">
        <f t="shared" si="2"/>
        <v>#REF!</v>
      </c>
    </row>
    <row r="64" spans="1:22" x14ac:dyDescent="0.3">
      <c r="A64" s="74" t="e">
        <f>'Entrada datos'!#REF!</f>
        <v>#REF!</v>
      </c>
      <c r="B64" s="70" t="e">
        <f>'Entrada datos'!#REF!</f>
        <v>#REF!</v>
      </c>
      <c r="C64" s="71" t="e">
        <f>'Entrada datos'!#REF!</f>
        <v>#REF!</v>
      </c>
      <c r="D64" s="71" t="e">
        <f>'Entrada datos'!#REF!</f>
        <v>#REF!</v>
      </c>
      <c r="E64" s="70" t="e">
        <f t="shared" si="0"/>
        <v>#REF!</v>
      </c>
      <c r="F64" s="64" t="e">
        <f t="shared" si="1"/>
        <v>#REF!</v>
      </c>
      <c r="G64" s="70" t="e">
        <f>'Entrada datos'!#REF!</f>
        <v>#REF!</v>
      </c>
      <c r="H64" s="70" t="e">
        <f>'Entrada datos'!#REF!</f>
        <v>#REF!</v>
      </c>
      <c r="I64" s="70" t="e">
        <f>'Entrada datos'!#REF!</f>
        <v>#REF!</v>
      </c>
      <c r="J64" s="70" t="e">
        <f>'Entrada datos'!#REF!</f>
        <v>#REF!</v>
      </c>
      <c r="K64" s="70" t="e">
        <f>'Entrada datos'!#REF!</f>
        <v>#REF!</v>
      </c>
      <c r="L64" s="70" t="e">
        <f>'Entrada datos'!#REF!</f>
        <v>#REF!</v>
      </c>
      <c r="M64" s="72"/>
      <c r="N64" s="72"/>
      <c r="O64" s="72"/>
      <c r="P64" s="72"/>
      <c r="Q64" s="72"/>
      <c r="R64" s="72"/>
      <c r="S64" s="73" t="s">
        <v>73</v>
      </c>
      <c r="T64" s="73"/>
      <c r="U64" s="73"/>
      <c r="V64" s="73" t="e">
        <f t="shared" si="2"/>
        <v>#REF!</v>
      </c>
    </row>
    <row r="65" spans="1:22" x14ac:dyDescent="0.3">
      <c r="A65" s="74" t="e">
        <f>'Entrada datos'!#REF!</f>
        <v>#REF!</v>
      </c>
      <c r="B65" s="70" t="e">
        <f>'Entrada datos'!#REF!</f>
        <v>#REF!</v>
      </c>
      <c r="C65" s="71" t="e">
        <f>'Entrada datos'!#REF!</f>
        <v>#REF!</v>
      </c>
      <c r="D65" s="71" t="e">
        <f>'Entrada datos'!#REF!</f>
        <v>#REF!</v>
      </c>
      <c r="E65" s="70" t="e">
        <f t="shared" si="0"/>
        <v>#REF!</v>
      </c>
      <c r="F65" s="64" t="e">
        <f t="shared" si="1"/>
        <v>#REF!</v>
      </c>
      <c r="G65" s="70" t="e">
        <f>'Entrada datos'!#REF!</f>
        <v>#REF!</v>
      </c>
      <c r="H65" s="70" t="e">
        <f>'Entrada datos'!#REF!</f>
        <v>#REF!</v>
      </c>
      <c r="I65" s="70" t="e">
        <f>'Entrada datos'!#REF!</f>
        <v>#REF!</v>
      </c>
      <c r="J65" s="70" t="e">
        <f>'Entrada datos'!#REF!</f>
        <v>#REF!</v>
      </c>
      <c r="K65" s="70" t="e">
        <f>'Entrada datos'!#REF!</f>
        <v>#REF!</v>
      </c>
      <c r="L65" s="70" t="e">
        <f>'Entrada datos'!#REF!</f>
        <v>#REF!</v>
      </c>
      <c r="M65" s="72"/>
      <c r="N65" s="72"/>
      <c r="O65" s="72"/>
      <c r="P65" s="72"/>
      <c r="Q65" s="72"/>
      <c r="R65" s="72"/>
      <c r="S65" s="73" t="s">
        <v>73</v>
      </c>
      <c r="T65" s="73"/>
      <c r="U65" s="73"/>
      <c r="V65" s="73" t="e">
        <f t="shared" si="2"/>
        <v>#REF!</v>
      </c>
    </row>
    <row r="66" spans="1:22" x14ac:dyDescent="0.3">
      <c r="A66" s="74" t="e">
        <f>'Entrada datos'!#REF!</f>
        <v>#REF!</v>
      </c>
      <c r="B66" s="70" t="e">
        <f>'Entrada datos'!#REF!</f>
        <v>#REF!</v>
      </c>
      <c r="C66" s="71" t="e">
        <f>'Entrada datos'!#REF!</f>
        <v>#REF!</v>
      </c>
      <c r="D66" s="71" t="e">
        <f>'Entrada datos'!#REF!</f>
        <v>#REF!</v>
      </c>
      <c r="E66" s="70" t="e">
        <f t="shared" si="0"/>
        <v>#REF!</v>
      </c>
      <c r="F66" s="64" t="e">
        <f t="shared" si="1"/>
        <v>#REF!</v>
      </c>
      <c r="G66" s="70" t="e">
        <f>'Entrada datos'!#REF!</f>
        <v>#REF!</v>
      </c>
      <c r="H66" s="70" t="e">
        <f>'Entrada datos'!#REF!</f>
        <v>#REF!</v>
      </c>
      <c r="I66" s="70" t="e">
        <f>'Entrada datos'!#REF!</f>
        <v>#REF!</v>
      </c>
      <c r="J66" s="70" t="e">
        <f>'Entrada datos'!#REF!</f>
        <v>#REF!</v>
      </c>
      <c r="K66" s="70" t="e">
        <f>'Entrada datos'!#REF!</f>
        <v>#REF!</v>
      </c>
      <c r="L66" s="70" t="e">
        <f>'Entrada datos'!#REF!</f>
        <v>#REF!</v>
      </c>
      <c r="M66" s="72"/>
      <c r="N66" s="72"/>
      <c r="O66" s="72"/>
      <c r="P66" s="72"/>
      <c r="Q66" s="72"/>
      <c r="R66" s="72"/>
      <c r="S66" s="73" t="s">
        <v>73</v>
      </c>
      <c r="T66" s="73"/>
      <c r="U66" s="73"/>
      <c r="V66" s="73" t="e">
        <f t="shared" si="2"/>
        <v>#REF!</v>
      </c>
    </row>
    <row r="67" spans="1:22" x14ac:dyDescent="0.3">
      <c r="A67" s="74" t="e">
        <f>'Entrada datos'!#REF!</f>
        <v>#REF!</v>
      </c>
      <c r="B67" s="70" t="e">
        <f>'Entrada datos'!#REF!</f>
        <v>#REF!</v>
      </c>
      <c r="C67" s="71" t="e">
        <f>'Entrada datos'!#REF!</f>
        <v>#REF!</v>
      </c>
      <c r="D67" s="71" t="e">
        <f>'Entrada datos'!#REF!</f>
        <v>#REF!</v>
      </c>
      <c r="E67" s="70" t="e">
        <f t="shared" si="0"/>
        <v>#REF!</v>
      </c>
      <c r="F67" s="64" t="e">
        <f t="shared" si="1"/>
        <v>#REF!</v>
      </c>
      <c r="G67" s="70" t="e">
        <f>'Entrada datos'!#REF!</f>
        <v>#REF!</v>
      </c>
      <c r="H67" s="70" t="e">
        <f>'Entrada datos'!#REF!</f>
        <v>#REF!</v>
      </c>
      <c r="I67" s="70" t="e">
        <f>'Entrada datos'!#REF!</f>
        <v>#REF!</v>
      </c>
      <c r="J67" s="70" t="e">
        <f>'Entrada datos'!#REF!</f>
        <v>#REF!</v>
      </c>
      <c r="K67" s="70" t="e">
        <f>'Entrada datos'!#REF!</f>
        <v>#REF!</v>
      </c>
      <c r="L67" s="70" t="e">
        <f>'Entrada datos'!#REF!</f>
        <v>#REF!</v>
      </c>
      <c r="M67" s="72"/>
      <c r="N67" s="72"/>
      <c r="O67" s="72"/>
      <c r="P67" s="72"/>
      <c r="Q67" s="72"/>
      <c r="R67" s="72"/>
      <c r="S67" s="73" t="s">
        <v>73</v>
      </c>
      <c r="T67" s="73"/>
      <c r="U67" s="73"/>
      <c r="V67" s="73" t="e">
        <f t="shared" si="2"/>
        <v>#REF!</v>
      </c>
    </row>
    <row r="68" spans="1:22" x14ac:dyDescent="0.3">
      <c r="A68" s="74" t="e">
        <f>'Entrada datos'!#REF!</f>
        <v>#REF!</v>
      </c>
      <c r="B68" s="70" t="e">
        <f>'Entrada datos'!#REF!</f>
        <v>#REF!</v>
      </c>
      <c r="C68" s="71" t="e">
        <f>'Entrada datos'!#REF!</f>
        <v>#REF!</v>
      </c>
      <c r="D68" s="71" t="e">
        <f>'Entrada datos'!#REF!</f>
        <v>#REF!</v>
      </c>
      <c r="E68" s="70" t="e">
        <f t="shared" si="0"/>
        <v>#REF!</v>
      </c>
      <c r="F68" s="64" t="e">
        <f t="shared" si="1"/>
        <v>#REF!</v>
      </c>
      <c r="G68" s="70" t="e">
        <f>'Entrada datos'!#REF!</f>
        <v>#REF!</v>
      </c>
      <c r="H68" s="70" t="e">
        <f>'Entrada datos'!#REF!</f>
        <v>#REF!</v>
      </c>
      <c r="I68" s="70" t="e">
        <f>'Entrada datos'!#REF!</f>
        <v>#REF!</v>
      </c>
      <c r="J68" s="70" t="e">
        <f>'Entrada datos'!#REF!</f>
        <v>#REF!</v>
      </c>
      <c r="K68" s="70" t="e">
        <f>'Entrada datos'!#REF!</f>
        <v>#REF!</v>
      </c>
      <c r="L68" s="70" t="e">
        <f>'Entrada datos'!#REF!</f>
        <v>#REF!</v>
      </c>
      <c r="M68" s="72"/>
      <c r="N68" s="72"/>
      <c r="O68" s="72"/>
      <c r="P68" s="72"/>
      <c r="Q68" s="72"/>
      <c r="R68" s="72"/>
      <c r="S68" s="73" t="s">
        <v>73</v>
      </c>
      <c r="T68" s="73"/>
      <c r="U68" s="73"/>
      <c r="V68" s="73" t="e">
        <f t="shared" si="2"/>
        <v>#REF!</v>
      </c>
    </row>
    <row r="69" spans="1:22" x14ac:dyDescent="0.3">
      <c r="A69" s="74" t="e">
        <f>'Entrada datos'!#REF!</f>
        <v>#REF!</v>
      </c>
      <c r="B69" s="70" t="e">
        <f>'Entrada datos'!#REF!</f>
        <v>#REF!</v>
      </c>
      <c r="C69" s="71" t="e">
        <f>'Entrada datos'!#REF!</f>
        <v>#REF!</v>
      </c>
      <c r="D69" s="71" t="e">
        <f>'Entrada datos'!#REF!</f>
        <v>#REF!</v>
      </c>
      <c r="E69" s="70" t="e">
        <f t="shared" si="0"/>
        <v>#REF!</v>
      </c>
      <c r="F69" s="64" t="e">
        <f t="shared" si="1"/>
        <v>#REF!</v>
      </c>
      <c r="G69" s="70" t="e">
        <f>'Entrada datos'!#REF!</f>
        <v>#REF!</v>
      </c>
      <c r="H69" s="70" t="e">
        <f>'Entrada datos'!#REF!</f>
        <v>#REF!</v>
      </c>
      <c r="I69" s="70" t="e">
        <f>'Entrada datos'!#REF!</f>
        <v>#REF!</v>
      </c>
      <c r="J69" s="70" t="e">
        <f>'Entrada datos'!#REF!</f>
        <v>#REF!</v>
      </c>
      <c r="K69" s="70" t="e">
        <f>'Entrada datos'!#REF!</f>
        <v>#REF!</v>
      </c>
      <c r="L69" s="70" t="e">
        <f>'Entrada datos'!#REF!</f>
        <v>#REF!</v>
      </c>
      <c r="M69" s="72"/>
      <c r="N69" s="72"/>
      <c r="O69" s="72"/>
      <c r="P69" s="72"/>
      <c r="Q69" s="72"/>
      <c r="R69" s="72"/>
      <c r="S69" s="73" t="s">
        <v>73</v>
      </c>
      <c r="T69" s="73"/>
      <c r="U69" s="73"/>
      <c r="V69" s="73" t="e">
        <f t="shared" si="2"/>
        <v>#REF!</v>
      </c>
    </row>
    <row r="70" spans="1:22" x14ac:dyDescent="0.3">
      <c r="A70" s="74" t="e">
        <f>'Entrada datos'!#REF!</f>
        <v>#REF!</v>
      </c>
      <c r="B70" s="70" t="e">
        <f>'Entrada datos'!#REF!</f>
        <v>#REF!</v>
      </c>
      <c r="C70" s="71" t="e">
        <f>'Entrada datos'!#REF!</f>
        <v>#REF!</v>
      </c>
      <c r="D70" s="71" t="e">
        <f>'Entrada datos'!#REF!</f>
        <v>#REF!</v>
      </c>
      <c r="E70" s="70" t="e">
        <f t="shared" ref="E70:E133" si="3">D70-C70</f>
        <v>#REF!</v>
      </c>
      <c r="F70" s="64" t="e">
        <f t="shared" ref="F70:F133" si="4">IF(D70&lt;=$C$2,"no procede","Refacturar")</f>
        <v>#REF!</v>
      </c>
      <c r="G70" s="70" t="e">
        <f>'Entrada datos'!#REF!</f>
        <v>#REF!</v>
      </c>
      <c r="H70" s="70" t="e">
        <f>'Entrada datos'!#REF!</f>
        <v>#REF!</v>
      </c>
      <c r="I70" s="70" t="e">
        <f>'Entrada datos'!#REF!</f>
        <v>#REF!</v>
      </c>
      <c r="J70" s="70" t="e">
        <f>'Entrada datos'!#REF!</f>
        <v>#REF!</v>
      </c>
      <c r="K70" s="70" t="e">
        <f>'Entrada datos'!#REF!</f>
        <v>#REF!</v>
      </c>
      <c r="L70" s="70" t="e">
        <f>'Entrada datos'!#REF!</f>
        <v>#REF!</v>
      </c>
      <c r="M70" s="72"/>
      <c r="N70" s="72"/>
      <c r="O70" s="72"/>
      <c r="P70" s="72"/>
      <c r="Q70" s="72"/>
      <c r="R70" s="72"/>
      <c r="S70" s="73" t="s">
        <v>73</v>
      </c>
      <c r="T70" s="73"/>
      <c r="U70" s="73"/>
      <c r="V70" s="73" t="e">
        <f t="shared" ref="V70:V133" si="5">SUM(G70:L70)</f>
        <v>#REF!</v>
      </c>
    </row>
    <row r="71" spans="1:22" x14ac:dyDescent="0.3">
      <c r="A71" s="74" t="e">
        <f>'Entrada datos'!#REF!</f>
        <v>#REF!</v>
      </c>
      <c r="B71" s="70" t="e">
        <f>'Entrada datos'!#REF!</f>
        <v>#REF!</v>
      </c>
      <c r="C71" s="71" t="e">
        <f>'Entrada datos'!#REF!</f>
        <v>#REF!</v>
      </c>
      <c r="D71" s="71" t="e">
        <f>'Entrada datos'!#REF!</f>
        <v>#REF!</v>
      </c>
      <c r="E71" s="70" t="e">
        <f t="shared" si="3"/>
        <v>#REF!</v>
      </c>
      <c r="F71" s="64" t="e">
        <f t="shared" si="4"/>
        <v>#REF!</v>
      </c>
      <c r="G71" s="70" t="e">
        <f>'Entrada datos'!#REF!</f>
        <v>#REF!</v>
      </c>
      <c r="H71" s="70" t="e">
        <f>'Entrada datos'!#REF!</f>
        <v>#REF!</v>
      </c>
      <c r="I71" s="70" t="e">
        <f>'Entrada datos'!#REF!</f>
        <v>#REF!</v>
      </c>
      <c r="J71" s="70" t="e">
        <f>'Entrada datos'!#REF!</f>
        <v>#REF!</v>
      </c>
      <c r="K71" s="70" t="e">
        <f>'Entrada datos'!#REF!</f>
        <v>#REF!</v>
      </c>
      <c r="L71" s="70" t="e">
        <f>'Entrada datos'!#REF!</f>
        <v>#REF!</v>
      </c>
      <c r="M71" s="72"/>
      <c r="N71" s="72"/>
      <c r="O71" s="72"/>
      <c r="P71" s="72"/>
      <c r="Q71" s="72"/>
      <c r="R71" s="72"/>
      <c r="S71" s="73" t="s">
        <v>73</v>
      </c>
      <c r="T71" s="73"/>
      <c r="U71" s="73"/>
      <c r="V71" s="73" t="e">
        <f t="shared" si="5"/>
        <v>#REF!</v>
      </c>
    </row>
    <row r="72" spans="1:22" x14ac:dyDescent="0.3">
      <c r="A72" s="74" t="e">
        <f>'Entrada datos'!#REF!</f>
        <v>#REF!</v>
      </c>
      <c r="B72" s="70" t="e">
        <f>'Entrada datos'!#REF!</f>
        <v>#REF!</v>
      </c>
      <c r="C72" s="71" t="e">
        <f>'Entrada datos'!#REF!</f>
        <v>#REF!</v>
      </c>
      <c r="D72" s="71" t="e">
        <f>'Entrada datos'!#REF!</f>
        <v>#REF!</v>
      </c>
      <c r="E72" s="70" t="e">
        <f t="shared" si="3"/>
        <v>#REF!</v>
      </c>
      <c r="F72" s="64" t="e">
        <f t="shared" si="4"/>
        <v>#REF!</v>
      </c>
      <c r="G72" s="70" t="e">
        <f>'Entrada datos'!#REF!</f>
        <v>#REF!</v>
      </c>
      <c r="H72" s="70" t="e">
        <f>'Entrada datos'!#REF!</f>
        <v>#REF!</v>
      </c>
      <c r="I72" s="70" t="e">
        <f>'Entrada datos'!#REF!</f>
        <v>#REF!</v>
      </c>
      <c r="J72" s="70" t="e">
        <f>'Entrada datos'!#REF!</f>
        <v>#REF!</v>
      </c>
      <c r="K72" s="70" t="e">
        <f>'Entrada datos'!#REF!</f>
        <v>#REF!</v>
      </c>
      <c r="L72" s="70" t="e">
        <f>'Entrada datos'!#REF!</f>
        <v>#REF!</v>
      </c>
      <c r="M72" s="72"/>
      <c r="N72" s="72"/>
      <c r="O72" s="72"/>
      <c r="P72" s="72"/>
      <c r="Q72" s="72"/>
      <c r="R72" s="72"/>
      <c r="S72" s="73" t="s">
        <v>73</v>
      </c>
      <c r="T72" s="73"/>
      <c r="U72" s="73"/>
      <c r="V72" s="73" t="e">
        <f t="shared" si="5"/>
        <v>#REF!</v>
      </c>
    </row>
    <row r="73" spans="1:22" x14ac:dyDescent="0.3">
      <c r="A73" s="74" t="e">
        <f>'Entrada datos'!#REF!</f>
        <v>#REF!</v>
      </c>
      <c r="B73" s="70" t="e">
        <f>'Entrada datos'!#REF!</f>
        <v>#REF!</v>
      </c>
      <c r="C73" s="71" t="e">
        <f>'Entrada datos'!#REF!</f>
        <v>#REF!</v>
      </c>
      <c r="D73" s="71" t="e">
        <f>'Entrada datos'!#REF!</f>
        <v>#REF!</v>
      </c>
      <c r="E73" s="70" t="e">
        <f t="shared" si="3"/>
        <v>#REF!</v>
      </c>
      <c r="F73" s="64" t="e">
        <f t="shared" si="4"/>
        <v>#REF!</v>
      </c>
      <c r="G73" s="70" t="e">
        <f>'Entrada datos'!#REF!</f>
        <v>#REF!</v>
      </c>
      <c r="H73" s="70" t="e">
        <f>'Entrada datos'!#REF!</f>
        <v>#REF!</v>
      </c>
      <c r="I73" s="70" t="e">
        <f>'Entrada datos'!#REF!</f>
        <v>#REF!</v>
      </c>
      <c r="J73" s="70" t="e">
        <f>'Entrada datos'!#REF!</f>
        <v>#REF!</v>
      </c>
      <c r="K73" s="70" t="e">
        <f>'Entrada datos'!#REF!</f>
        <v>#REF!</v>
      </c>
      <c r="L73" s="70" t="e">
        <f>'Entrada datos'!#REF!</f>
        <v>#REF!</v>
      </c>
      <c r="M73" s="72"/>
      <c r="N73" s="72"/>
      <c r="O73" s="72"/>
      <c r="P73" s="72"/>
      <c r="Q73" s="72"/>
      <c r="R73" s="72"/>
      <c r="S73" s="73" t="s">
        <v>73</v>
      </c>
      <c r="T73" s="73"/>
      <c r="U73" s="73"/>
      <c r="V73" s="73" t="e">
        <f t="shared" si="5"/>
        <v>#REF!</v>
      </c>
    </row>
    <row r="74" spans="1:22" x14ac:dyDescent="0.3">
      <c r="A74" s="74" t="e">
        <f>'Entrada datos'!#REF!</f>
        <v>#REF!</v>
      </c>
      <c r="B74" s="70" t="e">
        <f>'Entrada datos'!#REF!</f>
        <v>#REF!</v>
      </c>
      <c r="C74" s="71" t="e">
        <f>'Entrada datos'!#REF!</f>
        <v>#REF!</v>
      </c>
      <c r="D74" s="71" t="e">
        <f>'Entrada datos'!#REF!</f>
        <v>#REF!</v>
      </c>
      <c r="E74" s="70" t="e">
        <f t="shared" si="3"/>
        <v>#REF!</v>
      </c>
      <c r="F74" s="64" t="e">
        <f t="shared" si="4"/>
        <v>#REF!</v>
      </c>
      <c r="G74" s="70" t="e">
        <f>'Entrada datos'!#REF!</f>
        <v>#REF!</v>
      </c>
      <c r="H74" s="70" t="e">
        <f>'Entrada datos'!#REF!</f>
        <v>#REF!</v>
      </c>
      <c r="I74" s="70" t="e">
        <f>'Entrada datos'!#REF!</f>
        <v>#REF!</v>
      </c>
      <c r="J74" s="70" t="e">
        <f>'Entrada datos'!#REF!</f>
        <v>#REF!</v>
      </c>
      <c r="K74" s="70" t="e">
        <f>'Entrada datos'!#REF!</f>
        <v>#REF!</v>
      </c>
      <c r="L74" s="70" t="e">
        <f>'Entrada datos'!#REF!</f>
        <v>#REF!</v>
      </c>
      <c r="M74" s="72"/>
      <c r="N74" s="72"/>
      <c r="O74" s="72"/>
      <c r="P74" s="72"/>
      <c r="Q74" s="72"/>
      <c r="R74" s="72"/>
      <c r="S74" s="73" t="s">
        <v>73</v>
      </c>
      <c r="T74" s="73"/>
      <c r="U74" s="73"/>
      <c r="V74" s="73" t="e">
        <f t="shared" si="5"/>
        <v>#REF!</v>
      </c>
    </row>
    <row r="75" spans="1:22" x14ac:dyDescent="0.3">
      <c r="A75" s="74" t="e">
        <f>'Entrada datos'!#REF!</f>
        <v>#REF!</v>
      </c>
      <c r="B75" s="70" t="e">
        <f>'Entrada datos'!#REF!</f>
        <v>#REF!</v>
      </c>
      <c r="C75" s="71" t="e">
        <f>'Entrada datos'!#REF!</f>
        <v>#REF!</v>
      </c>
      <c r="D75" s="71" t="e">
        <f>'Entrada datos'!#REF!</f>
        <v>#REF!</v>
      </c>
      <c r="E75" s="70" t="e">
        <f t="shared" si="3"/>
        <v>#REF!</v>
      </c>
      <c r="F75" s="64" t="e">
        <f t="shared" si="4"/>
        <v>#REF!</v>
      </c>
      <c r="G75" s="70" t="e">
        <f>'Entrada datos'!#REF!</f>
        <v>#REF!</v>
      </c>
      <c r="H75" s="70" t="e">
        <f>'Entrada datos'!#REF!</f>
        <v>#REF!</v>
      </c>
      <c r="I75" s="70" t="e">
        <f>'Entrada datos'!#REF!</f>
        <v>#REF!</v>
      </c>
      <c r="J75" s="70" t="e">
        <f>'Entrada datos'!#REF!</f>
        <v>#REF!</v>
      </c>
      <c r="K75" s="70" t="e">
        <f>'Entrada datos'!#REF!</f>
        <v>#REF!</v>
      </c>
      <c r="L75" s="70" t="e">
        <f>'Entrada datos'!#REF!</f>
        <v>#REF!</v>
      </c>
      <c r="M75" s="72"/>
      <c r="N75" s="72"/>
      <c r="O75" s="72"/>
      <c r="P75" s="72"/>
      <c r="Q75" s="72"/>
      <c r="R75" s="72"/>
      <c r="S75" s="73" t="s">
        <v>73</v>
      </c>
      <c r="T75" s="73"/>
      <c r="U75" s="73"/>
      <c r="V75" s="73" t="e">
        <f t="shared" si="5"/>
        <v>#REF!</v>
      </c>
    </row>
    <row r="76" spans="1:22" x14ac:dyDescent="0.3">
      <c r="A76" s="74" t="e">
        <f>'Entrada datos'!#REF!</f>
        <v>#REF!</v>
      </c>
      <c r="B76" s="70" t="e">
        <f>'Entrada datos'!#REF!</f>
        <v>#REF!</v>
      </c>
      <c r="C76" s="71" t="e">
        <f>'Entrada datos'!#REF!</f>
        <v>#REF!</v>
      </c>
      <c r="D76" s="71" t="e">
        <f>'Entrada datos'!#REF!</f>
        <v>#REF!</v>
      </c>
      <c r="E76" s="70" t="e">
        <f t="shared" si="3"/>
        <v>#REF!</v>
      </c>
      <c r="F76" s="64" t="e">
        <f t="shared" si="4"/>
        <v>#REF!</v>
      </c>
      <c r="G76" s="70" t="e">
        <f>'Entrada datos'!#REF!</f>
        <v>#REF!</v>
      </c>
      <c r="H76" s="70" t="e">
        <f>'Entrada datos'!#REF!</f>
        <v>#REF!</v>
      </c>
      <c r="I76" s="70" t="e">
        <f>'Entrada datos'!#REF!</f>
        <v>#REF!</v>
      </c>
      <c r="J76" s="70" t="e">
        <f>'Entrada datos'!#REF!</f>
        <v>#REF!</v>
      </c>
      <c r="K76" s="70" t="e">
        <f>'Entrada datos'!#REF!</f>
        <v>#REF!</v>
      </c>
      <c r="L76" s="70" t="e">
        <f>'Entrada datos'!#REF!</f>
        <v>#REF!</v>
      </c>
      <c r="M76" s="72"/>
      <c r="N76" s="72"/>
      <c r="O76" s="72"/>
      <c r="P76" s="72"/>
      <c r="Q76" s="72"/>
      <c r="R76" s="72"/>
      <c r="S76" s="73" t="s">
        <v>73</v>
      </c>
      <c r="T76" s="73"/>
      <c r="U76" s="73"/>
      <c r="V76" s="73" t="e">
        <f t="shared" si="5"/>
        <v>#REF!</v>
      </c>
    </row>
    <row r="77" spans="1:22" x14ac:dyDescent="0.3">
      <c r="A77" s="74" t="e">
        <f>'Entrada datos'!#REF!</f>
        <v>#REF!</v>
      </c>
      <c r="B77" s="70" t="e">
        <f>'Entrada datos'!#REF!</f>
        <v>#REF!</v>
      </c>
      <c r="C77" s="71" t="e">
        <f>'Entrada datos'!#REF!</f>
        <v>#REF!</v>
      </c>
      <c r="D77" s="71" t="e">
        <f>'Entrada datos'!#REF!</f>
        <v>#REF!</v>
      </c>
      <c r="E77" s="70" t="e">
        <f t="shared" si="3"/>
        <v>#REF!</v>
      </c>
      <c r="F77" s="64" t="e">
        <f t="shared" si="4"/>
        <v>#REF!</v>
      </c>
      <c r="G77" s="70" t="e">
        <f>'Entrada datos'!#REF!</f>
        <v>#REF!</v>
      </c>
      <c r="H77" s="70" t="e">
        <f>'Entrada datos'!#REF!</f>
        <v>#REF!</v>
      </c>
      <c r="I77" s="70" t="e">
        <f>'Entrada datos'!#REF!</f>
        <v>#REF!</v>
      </c>
      <c r="J77" s="70" t="e">
        <f>'Entrada datos'!#REF!</f>
        <v>#REF!</v>
      </c>
      <c r="K77" s="70" t="e">
        <f>'Entrada datos'!#REF!</f>
        <v>#REF!</v>
      </c>
      <c r="L77" s="70" t="e">
        <f>'Entrada datos'!#REF!</f>
        <v>#REF!</v>
      </c>
      <c r="M77" s="72"/>
      <c r="N77" s="72"/>
      <c r="O77" s="72"/>
      <c r="P77" s="72"/>
      <c r="Q77" s="72"/>
      <c r="R77" s="72"/>
      <c r="S77" s="73" t="s">
        <v>73</v>
      </c>
      <c r="T77" s="73"/>
      <c r="U77" s="73"/>
      <c r="V77" s="73" t="e">
        <f t="shared" si="5"/>
        <v>#REF!</v>
      </c>
    </row>
    <row r="78" spans="1:22" x14ac:dyDescent="0.3">
      <c r="A78" s="74" t="e">
        <f>'Entrada datos'!#REF!</f>
        <v>#REF!</v>
      </c>
      <c r="B78" s="70" t="e">
        <f>'Entrada datos'!#REF!</f>
        <v>#REF!</v>
      </c>
      <c r="C78" s="71" t="e">
        <f>'Entrada datos'!#REF!</f>
        <v>#REF!</v>
      </c>
      <c r="D78" s="71" t="e">
        <f>'Entrada datos'!#REF!</f>
        <v>#REF!</v>
      </c>
      <c r="E78" s="70" t="e">
        <f t="shared" si="3"/>
        <v>#REF!</v>
      </c>
      <c r="F78" s="64" t="e">
        <f t="shared" si="4"/>
        <v>#REF!</v>
      </c>
      <c r="G78" s="70" t="e">
        <f>'Entrada datos'!#REF!</f>
        <v>#REF!</v>
      </c>
      <c r="H78" s="70" t="e">
        <f>'Entrada datos'!#REF!</f>
        <v>#REF!</v>
      </c>
      <c r="I78" s="70" t="e">
        <f>'Entrada datos'!#REF!</f>
        <v>#REF!</v>
      </c>
      <c r="J78" s="70" t="e">
        <f>'Entrada datos'!#REF!</f>
        <v>#REF!</v>
      </c>
      <c r="K78" s="70" t="e">
        <f>'Entrada datos'!#REF!</f>
        <v>#REF!</v>
      </c>
      <c r="L78" s="70" t="e">
        <f>'Entrada datos'!#REF!</f>
        <v>#REF!</v>
      </c>
      <c r="M78" s="72"/>
      <c r="N78" s="72"/>
      <c r="O78" s="72"/>
      <c r="P78" s="72"/>
      <c r="Q78" s="72"/>
      <c r="R78" s="72"/>
      <c r="S78" s="73" t="s">
        <v>73</v>
      </c>
      <c r="T78" s="73"/>
      <c r="U78" s="73"/>
      <c r="V78" s="73" t="e">
        <f t="shared" si="5"/>
        <v>#REF!</v>
      </c>
    </row>
    <row r="79" spans="1:22" x14ac:dyDescent="0.3">
      <c r="A79" s="74" t="e">
        <f>'Entrada datos'!#REF!</f>
        <v>#REF!</v>
      </c>
      <c r="B79" s="70" t="e">
        <f>'Entrada datos'!#REF!</f>
        <v>#REF!</v>
      </c>
      <c r="C79" s="71" t="e">
        <f>'Entrada datos'!#REF!</f>
        <v>#REF!</v>
      </c>
      <c r="D79" s="71" t="e">
        <f>'Entrada datos'!#REF!</f>
        <v>#REF!</v>
      </c>
      <c r="E79" s="70" t="e">
        <f t="shared" si="3"/>
        <v>#REF!</v>
      </c>
      <c r="F79" s="64" t="e">
        <f t="shared" si="4"/>
        <v>#REF!</v>
      </c>
      <c r="G79" s="70" t="e">
        <f>'Entrada datos'!#REF!</f>
        <v>#REF!</v>
      </c>
      <c r="H79" s="70" t="e">
        <f>'Entrada datos'!#REF!</f>
        <v>#REF!</v>
      </c>
      <c r="I79" s="70" t="e">
        <f>'Entrada datos'!#REF!</f>
        <v>#REF!</v>
      </c>
      <c r="J79" s="70" t="e">
        <f>'Entrada datos'!#REF!</f>
        <v>#REF!</v>
      </c>
      <c r="K79" s="70" t="e">
        <f>'Entrada datos'!#REF!</f>
        <v>#REF!</v>
      </c>
      <c r="L79" s="70" t="e">
        <f>'Entrada datos'!#REF!</f>
        <v>#REF!</v>
      </c>
      <c r="M79" s="72"/>
      <c r="N79" s="72"/>
      <c r="O79" s="72"/>
      <c r="P79" s="72"/>
      <c r="Q79" s="72"/>
      <c r="R79" s="72"/>
      <c r="S79" s="73" t="s">
        <v>73</v>
      </c>
      <c r="T79" s="73"/>
      <c r="U79" s="73"/>
      <c r="V79" s="73" t="e">
        <f t="shared" si="5"/>
        <v>#REF!</v>
      </c>
    </row>
    <row r="80" spans="1:22" x14ac:dyDescent="0.3">
      <c r="A80" s="74" t="e">
        <f>'Entrada datos'!#REF!</f>
        <v>#REF!</v>
      </c>
      <c r="B80" s="70" t="e">
        <f>'Entrada datos'!#REF!</f>
        <v>#REF!</v>
      </c>
      <c r="C80" s="71" t="e">
        <f>'Entrada datos'!#REF!</f>
        <v>#REF!</v>
      </c>
      <c r="D80" s="71" t="e">
        <f>'Entrada datos'!#REF!</f>
        <v>#REF!</v>
      </c>
      <c r="E80" s="70" t="e">
        <f t="shared" si="3"/>
        <v>#REF!</v>
      </c>
      <c r="F80" s="64" t="e">
        <f t="shared" si="4"/>
        <v>#REF!</v>
      </c>
      <c r="G80" s="70" t="e">
        <f>'Entrada datos'!#REF!</f>
        <v>#REF!</v>
      </c>
      <c r="H80" s="70" t="e">
        <f>'Entrada datos'!#REF!</f>
        <v>#REF!</v>
      </c>
      <c r="I80" s="70" t="e">
        <f>'Entrada datos'!#REF!</f>
        <v>#REF!</v>
      </c>
      <c r="J80" s="70" t="e">
        <f>'Entrada datos'!#REF!</f>
        <v>#REF!</v>
      </c>
      <c r="K80" s="70" t="e">
        <f>'Entrada datos'!#REF!</f>
        <v>#REF!</v>
      </c>
      <c r="L80" s="70" t="e">
        <f>'Entrada datos'!#REF!</f>
        <v>#REF!</v>
      </c>
      <c r="M80" s="72"/>
      <c r="N80" s="72"/>
      <c r="O80" s="72"/>
      <c r="P80" s="72"/>
      <c r="Q80" s="72"/>
      <c r="R80" s="72"/>
      <c r="S80" s="73" t="s">
        <v>73</v>
      </c>
      <c r="T80" s="73"/>
      <c r="U80" s="73"/>
      <c r="V80" s="73" t="e">
        <f t="shared" si="5"/>
        <v>#REF!</v>
      </c>
    </row>
    <row r="81" spans="1:22" x14ac:dyDescent="0.3">
      <c r="A81" s="74" t="e">
        <f>'Entrada datos'!#REF!</f>
        <v>#REF!</v>
      </c>
      <c r="B81" s="70" t="e">
        <f>'Entrada datos'!#REF!</f>
        <v>#REF!</v>
      </c>
      <c r="C81" s="71" t="e">
        <f>'Entrada datos'!#REF!</f>
        <v>#REF!</v>
      </c>
      <c r="D81" s="71" t="e">
        <f>'Entrada datos'!#REF!</f>
        <v>#REF!</v>
      </c>
      <c r="E81" s="70" t="e">
        <f t="shared" si="3"/>
        <v>#REF!</v>
      </c>
      <c r="F81" s="64" t="e">
        <f t="shared" si="4"/>
        <v>#REF!</v>
      </c>
      <c r="G81" s="70" t="e">
        <f>'Entrada datos'!#REF!</f>
        <v>#REF!</v>
      </c>
      <c r="H81" s="70" t="e">
        <f>'Entrada datos'!#REF!</f>
        <v>#REF!</v>
      </c>
      <c r="I81" s="70" t="e">
        <f>'Entrada datos'!#REF!</f>
        <v>#REF!</v>
      </c>
      <c r="J81" s="70" t="e">
        <f>'Entrada datos'!#REF!</f>
        <v>#REF!</v>
      </c>
      <c r="K81" s="70" t="e">
        <f>'Entrada datos'!#REF!</f>
        <v>#REF!</v>
      </c>
      <c r="L81" s="70" t="e">
        <f>'Entrada datos'!#REF!</f>
        <v>#REF!</v>
      </c>
      <c r="M81" s="72"/>
      <c r="N81" s="72"/>
      <c r="O81" s="72"/>
      <c r="P81" s="72"/>
      <c r="Q81" s="72"/>
      <c r="R81" s="72"/>
      <c r="S81" s="73" t="s">
        <v>73</v>
      </c>
      <c r="T81" s="73"/>
      <c r="U81" s="73"/>
      <c r="V81" s="73" t="e">
        <f t="shared" si="5"/>
        <v>#REF!</v>
      </c>
    </row>
    <row r="82" spans="1:22" x14ac:dyDescent="0.3">
      <c r="A82" s="74" t="e">
        <f>'Entrada datos'!#REF!</f>
        <v>#REF!</v>
      </c>
      <c r="B82" s="70" t="e">
        <f>'Entrada datos'!#REF!</f>
        <v>#REF!</v>
      </c>
      <c r="C82" s="71" t="e">
        <f>'Entrada datos'!#REF!</f>
        <v>#REF!</v>
      </c>
      <c r="D82" s="71" t="e">
        <f>'Entrada datos'!#REF!</f>
        <v>#REF!</v>
      </c>
      <c r="E82" s="70" t="e">
        <f t="shared" si="3"/>
        <v>#REF!</v>
      </c>
      <c r="F82" s="64" t="e">
        <f t="shared" si="4"/>
        <v>#REF!</v>
      </c>
      <c r="G82" s="70" t="e">
        <f>'Entrada datos'!#REF!</f>
        <v>#REF!</v>
      </c>
      <c r="H82" s="70" t="e">
        <f>'Entrada datos'!#REF!</f>
        <v>#REF!</v>
      </c>
      <c r="I82" s="70" t="e">
        <f>'Entrada datos'!#REF!</f>
        <v>#REF!</v>
      </c>
      <c r="J82" s="70" t="e">
        <f>'Entrada datos'!#REF!</f>
        <v>#REF!</v>
      </c>
      <c r="K82" s="70" t="e">
        <f>'Entrada datos'!#REF!</f>
        <v>#REF!</v>
      </c>
      <c r="L82" s="70" t="e">
        <f>'Entrada datos'!#REF!</f>
        <v>#REF!</v>
      </c>
      <c r="M82" s="72"/>
      <c r="N82" s="72"/>
      <c r="O82" s="72"/>
      <c r="P82" s="72"/>
      <c r="Q82" s="72"/>
      <c r="R82" s="72"/>
      <c r="S82" s="73" t="s">
        <v>73</v>
      </c>
      <c r="T82" s="73"/>
      <c r="U82" s="73"/>
      <c r="V82" s="73" t="e">
        <f t="shared" si="5"/>
        <v>#REF!</v>
      </c>
    </row>
    <row r="83" spans="1:22" x14ac:dyDescent="0.3">
      <c r="A83" s="74" t="e">
        <f>'Entrada datos'!#REF!</f>
        <v>#REF!</v>
      </c>
      <c r="B83" s="70" t="e">
        <f>'Entrada datos'!#REF!</f>
        <v>#REF!</v>
      </c>
      <c r="C83" s="71" t="e">
        <f>'Entrada datos'!#REF!</f>
        <v>#REF!</v>
      </c>
      <c r="D83" s="71" t="e">
        <f>'Entrada datos'!#REF!</f>
        <v>#REF!</v>
      </c>
      <c r="E83" s="70" t="e">
        <f t="shared" si="3"/>
        <v>#REF!</v>
      </c>
      <c r="F83" s="64" t="e">
        <f t="shared" si="4"/>
        <v>#REF!</v>
      </c>
      <c r="G83" s="70" t="e">
        <f>'Entrada datos'!#REF!</f>
        <v>#REF!</v>
      </c>
      <c r="H83" s="70" t="e">
        <f>'Entrada datos'!#REF!</f>
        <v>#REF!</v>
      </c>
      <c r="I83" s="70" t="e">
        <f>'Entrada datos'!#REF!</f>
        <v>#REF!</v>
      </c>
      <c r="J83" s="70" t="e">
        <f>'Entrada datos'!#REF!</f>
        <v>#REF!</v>
      </c>
      <c r="K83" s="70" t="e">
        <f>'Entrada datos'!#REF!</f>
        <v>#REF!</v>
      </c>
      <c r="L83" s="70" t="e">
        <f>'Entrada datos'!#REF!</f>
        <v>#REF!</v>
      </c>
      <c r="M83" s="72"/>
      <c r="N83" s="72"/>
      <c r="O83" s="72"/>
      <c r="P83" s="72"/>
      <c r="Q83" s="72"/>
      <c r="R83" s="72"/>
      <c r="S83" s="73" t="s">
        <v>73</v>
      </c>
      <c r="T83" s="73"/>
      <c r="U83" s="73"/>
      <c r="V83" s="73" t="e">
        <f t="shared" si="5"/>
        <v>#REF!</v>
      </c>
    </row>
    <row r="84" spans="1:22" x14ac:dyDescent="0.3">
      <c r="A84" s="74" t="e">
        <f>'Entrada datos'!#REF!</f>
        <v>#REF!</v>
      </c>
      <c r="B84" s="70" t="e">
        <f>'Entrada datos'!#REF!</f>
        <v>#REF!</v>
      </c>
      <c r="C84" s="71" t="e">
        <f>'Entrada datos'!#REF!</f>
        <v>#REF!</v>
      </c>
      <c r="D84" s="71" t="e">
        <f>'Entrada datos'!#REF!</f>
        <v>#REF!</v>
      </c>
      <c r="E84" s="70" t="e">
        <f t="shared" si="3"/>
        <v>#REF!</v>
      </c>
      <c r="F84" s="64" t="e">
        <f t="shared" si="4"/>
        <v>#REF!</v>
      </c>
      <c r="G84" s="70" t="e">
        <f>'Entrada datos'!#REF!</f>
        <v>#REF!</v>
      </c>
      <c r="H84" s="70" t="e">
        <f>'Entrada datos'!#REF!</f>
        <v>#REF!</v>
      </c>
      <c r="I84" s="70" t="e">
        <f>'Entrada datos'!#REF!</f>
        <v>#REF!</v>
      </c>
      <c r="J84" s="70" t="e">
        <f>'Entrada datos'!#REF!</f>
        <v>#REF!</v>
      </c>
      <c r="K84" s="70" t="e">
        <f>'Entrada datos'!#REF!</f>
        <v>#REF!</v>
      </c>
      <c r="L84" s="70" t="e">
        <f>'Entrada datos'!#REF!</f>
        <v>#REF!</v>
      </c>
      <c r="M84" s="72"/>
      <c r="N84" s="72"/>
      <c r="O84" s="72"/>
      <c r="P84" s="72"/>
      <c r="Q84" s="72"/>
      <c r="R84" s="72"/>
      <c r="S84" s="73" t="s">
        <v>73</v>
      </c>
      <c r="T84" s="73"/>
      <c r="U84" s="73"/>
      <c r="V84" s="73" t="e">
        <f t="shared" si="5"/>
        <v>#REF!</v>
      </c>
    </row>
    <row r="85" spans="1:22" x14ac:dyDescent="0.3">
      <c r="A85" s="74" t="e">
        <f>'Entrada datos'!#REF!</f>
        <v>#REF!</v>
      </c>
      <c r="B85" s="70" t="e">
        <f>'Entrada datos'!#REF!</f>
        <v>#REF!</v>
      </c>
      <c r="C85" s="71" t="e">
        <f>'Entrada datos'!#REF!</f>
        <v>#REF!</v>
      </c>
      <c r="D85" s="71" t="e">
        <f>'Entrada datos'!#REF!</f>
        <v>#REF!</v>
      </c>
      <c r="E85" s="70" t="e">
        <f t="shared" si="3"/>
        <v>#REF!</v>
      </c>
      <c r="F85" s="64" t="e">
        <f t="shared" si="4"/>
        <v>#REF!</v>
      </c>
      <c r="G85" s="70" t="e">
        <f>'Entrada datos'!#REF!</f>
        <v>#REF!</v>
      </c>
      <c r="H85" s="70" t="e">
        <f>'Entrada datos'!#REF!</f>
        <v>#REF!</v>
      </c>
      <c r="I85" s="70" t="e">
        <f>'Entrada datos'!#REF!</f>
        <v>#REF!</v>
      </c>
      <c r="J85" s="70" t="e">
        <f>'Entrada datos'!#REF!</f>
        <v>#REF!</v>
      </c>
      <c r="K85" s="70" t="e">
        <f>'Entrada datos'!#REF!</f>
        <v>#REF!</v>
      </c>
      <c r="L85" s="70" t="e">
        <f>'Entrada datos'!#REF!</f>
        <v>#REF!</v>
      </c>
      <c r="M85" s="72"/>
      <c r="N85" s="72"/>
      <c r="O85" s="72"/>
      <c r="P85" s="72"/>
      <c r="Q85" s="72"/>
      <c r="R85" s="72"/>
      <c r="S85" s="73" t="s">
        <v>73</v>
      </c>
      <c r="T85" s="73"/>
      <c r="U85" s="73"/>
      <c r="V85" s="73" t="e">
        <f t="shared" si="5"/>
        <v>#REF!</v>
      </c>
    </row>
    <row r="86" spans="1:22" x14ac:dyDescent="0.3">
      <c r="A86" s="74" t="e">
        <f>'Entrada datos'!#REF!</f>
        <v>#REF!</v>
      </c>
      <c r="B86" s="70" t="e">
        <f>'Entrada datos'!#REF!</f>
        <v>#REF!</v>
      </c>
      <c r="C86" s="71" t="e">
        <f>'Entrada datos'!#REF!</f>
        <v>#REF!</v>
      </c>
      <c r="D86" s="71" t="e">
        <f>'Entrada datos'!#REF!</f>
        <v>#REF!</v>
      </c>
      <c r="E86" s="70" t="e">
        <f t="shared" si="3"/>
        <v>#REF!</v>
      </c>
      <c r="F86" s="64" t="e">
        <f t="shared" si="4"/>
        <v>#REF!</v>
      </c>
      <c r="G86" s="70" t="e">
        <f>'Entrada datos'!#REF!</f>
        <v>#REF!</v>
      </c>
      <c r="H86" s="70" t="e">
        <f>'Entrada datos'!#REF!</f>
        <v>#REF!</v>
      </c>
      <c r="I86" s="70" t="e">
        <f>'Entrada datos'!#REF!</f>
        <v>#REF!</v>
      </c>
      <c r="J86" s="70" t="e">
        <f>'Entrada datos'!#REF!</f>
        <v>#REF!</v>
      </c>
      <c r="K86" s="70" t="e">
        <f>'Entrada datos'!#REF!</f>
        <v>#REF!</v>
      </c>
      <c r="L86" s="70" t="e">
        <f>'Entrada datos'!#REF!</f>
        <v>#REF!</v>
      </c>
      <c r="M86" s="72"/>
      <c r="N86" s="72"/>
      <c r="O86" s="72"/>
      <c r="P86" s="72"/>
      <c r="Q86" s="72"/>
      <c r="R86" s="72"/>
      <c r="S86" s="73" t="s">
        <v>73</v>
      </c>
      <c r="T86" s="73"/>
      <c r="U86" s="73"/>
      <c r="V86" s="73" t="e">
        <f t="shared" si="5"/>
        <v>#REF!</v>
      </c>
    </row>
    <row r="87" spans="1:22" x14ac:dyDescent="0.3">
      <c r="A87" s="74" t="e">
        <f>'Entrada datos'!#REF!</f>
        <v>#REF!</v>
      </c>
      <c r="B87" s="70" t="e">
        <f>'Entrada datos'!#REF!</f>
        <v>#REF!</v>
      </c>
      <c r="C87" s="71" t="e">
        <f>'Entrada datos'!#REF!</f>
        <v>#REF!</v>
      </c>
      <c r="D87" s="71" t="e">
        <f>'Entrada datos'!#REF!</f>
        <v>#REF!</v>
      </c>
      <c r="E87" s="70" t="e">
        <f t="shared" si="3"/>
        <v>#REF!</v>
      </c>
      <c r="F87" s="64" t="e">
        <f t="shared" si="4"/>
        <v>#REF!</v>
      </c>
      <c r="G87" s="70" t="e">
        <f>'Entrada datos'!#REF!</f>
        <v>#REF!</v>
      </c>
      <c r="H87" s="70" t="e">
        <f>'Entrada datos'!#REF!</f>
        <v>#REF!</v>
      </c>
      <c r="I87" s="70" t="e">
        <f>'Entrada datos'!#REF!</f>
        <v>#REF!</v>
      </c>
      <c r="J87" s="70" t="e">
        <f>'Entrada datos'!#REF!</f>
        <v>#REF!</v>
      </c>
      <c r="K87" s="70" t="e">
        <f>'Entrada datos'!#REF!</f>
        <v>#REF!</v>
      </c>
      <c r="L87" s="70" t="e">
        <f>'Entrada datos'!#REF!</f>
        <v>#REF!</v>
      </c>
      <c r="M87" s="72"/>
      <c r="N87" s="72"/>
      <c r="O87" s="72"/>
      <c r="P87" s="72"/>
      <c r="Q87" s="72"/>
      <c r="R87" s="72"/>
      <c r="S87" s="73" t="s">
        <v>73</v>
      </c>
      <c r="T87" s="73"/>
      <c r="U87" s="73"/>
      <c r="V87" s="73" t="e">
        <f t="shared" si="5"/>
        <v>#REF!</v>
      </c>
    </row>
    <row r="88" spans="1:22" x14ac:dyDescent="0.3">
      <c r="A88" s="74" t="e">
        <f>'Entrada datos'!#REF!</f>
        <v>#REF!</v>
      </c>
      <c r="B88" s="70" t="e">
        <f>'Entrada datos'!#REF!</f>
        <v>#REF!</v>
      </c>
      <c r="C88" s="71" t="e">
        <f>'Entrada datos'!#REF!</f>
        <v>#REF!</v>
      </c>
      <c r="D88" s="71" t="e">
        <f>'Entrada datos'!#REF!</f>
        <v>#REF!</v>
      </c>
      <c r="E88" s="70" t="e">
        <f t="shared" si="3"/>
        <v>#REF!</v>
      </c>
      <c r="F88" s="64" t="e">
        <f t="shared" si="4"/>
        <v>#REF!</v>
      </c>
      <c r="G88" s="70" t="e">
        <f>'Entrada datos'!#REF!</f>
        <v>#REF!</v>
      </c>
      <c r="H88" s="70" t="e">
        <f>'Entrada datos'!#REF!</f>
        <v>#REF!</v>
      </c>
      <c r="I88" s="70" t="e">
        <f>'Entrada datos'!#REF!</f>
        <v>#REF!</v>
      </c>
      <c r="J88" s="70" t="e">
        <f>'Entrada datos'!#REF!</f>
        <v>#REF!</v>
      </c>
      <c r="K88" s="70" t="e">
        <f>'Entrada datos'!#REF!</f>
        <v>#REF!</v>
      </c>
      <c r="L88" s="70" t="e">
        <f>'Entrada datos'!#REF!</f>
        <v>#REF!</v>
      </c>
      <c r="M88" s="72"/>
      <c r="N88" s="72"/>
      <c r="O88" s="72"/>
      <c r="P88" s="72"/>
      <c r="Q88" s="72"/>
      <c r="R88" s="72"/>
      <c r="S88" s="73" t="s">
        <v>73</v>
      </c>
      <c r="T88" s="73"/>
      <c r="U88" s="73"/>
      <c r="V88" s="73" t="e">
        <f t="shared" si="5"/>
        <v>#REF!</v>
      </c>
    </row>
    <row r="89" spans="1:22" x14ac:dyDescent="0.3">
      <c r="A89" s="74" t="e">
        <f>'Entrada datos'!#REF!</f>
        <v>#REF!</v>
      </c>
      <c r="B89" s="70" t="e">
        <f>'Entrada datos'!#REF!</f>
        <v>#REF!</v>
      </c>
      <c r="C89" s="71" t="e">
        <f>'Entrada datos'!#REF!</f>
        <v>#REF!</v>
      </c>
      <c r="D89" s="71" t="e">
        <f>'Entrada datos'!#REF!</f>
        <v>#REF!</v>
      </c>
      <c r="E89" s="70" t="e">
        <f t="shared" si="3"/>
        <v>#REF!</v>
      </c>
      <c r="F89" s="64" t="e">
        <f t="shared" si="4"/>
        <v>#REF!</v>
      </c>
      <c r="G89" s="70" t="e">
        <f>'Entrada datos'!#REF!</f>
        <v>#REF!</v>
      </c>
      <c r="H89" s="70" t="e">
        <f>'Entrada datos'!#REF!</f>
        <v>#REF!</v>
      </c>
      <c r="I89" s="70" t="e">
        <f>'Entrada datos'!#REF!</f>
        <v>#REF!</v>
      </c>
      <c r="J89" s="70" t="e">
        <f>'Entrada datos'!#REF!</f>
        <v>#REF!</v>
      </c>
      <c r="K89" s="70" t="e">
        <f>'Entrada datos'!#REF!</f>
        <v>#REF!</v>
      </c>
      <c r="L89" s="70" t="e">
        <f>'Entrada datos'!#REF!</f>
        <v>#REF!</v>
      </c>
      <c r="M89" s="72"/>
      <c r="N89" s="72"/>
      <c r="O89" s="72"/>
      <c r="P89" s="72"/>
      <c r="Q89" s="72"/>
      <c r="R89" s="72"/>
      <c r="S89" s="73" t="s">
        <v>73</v>
      </c>
      <c r="T89" s="73"/>
      <c r="U89" s="73"/>
      <c r="V89" s="73" t="e">
        <f t="shared" si="5"/>
        <v>#REF!</v>
      </c>
    </row>
    <row r="90" spans="1:22" x14ac:dyDescent="0.3">
      <c r="A90" s="74" t="e">
        <f>'Entrada datos'!#REF!</f>
        <v>#REF!</v>
      </c>
      <c r="B90" s="70" t="e">
        <f>'Entrada datos'!#REF!</f>
        <v>#REF!</v>
      </c>
      <c r="C90" s="71" t="e">
        <f>'Entrada datos'!#REF!</f>
        <v>#REF!</v>
      </c>
      <c r="D90" s="71" t="e">
        <f>'Entrada datos'!#REF!</f>
        <v>#REF!</v>
      </c>
      <c r="E90" s="70" t="e">
        <f t="shared" si="3"/>
        <v>#REF!</v>
      </c>
      <c r="F90" s="64" t="e">
        <f t="shared" si="4"/>
        <v>#REF!</v>
      </c>
      <c r="G90" s="70" t="e">
        <f>'Entrada datos'!#REF!</f>
        <v>#REF!</v>
      </c>
      <c r="H90" s="70" t="e">
        <f>'Entrada datos'!#REF!</f>
        <v>#REF!</v>
      </c>
      <c r="I90" s="70" t="e">
        <f>'Entrada datos'!#REF!</f>
        <v>#REF!</v>
      </c>
      <c r="J90" s="70" t="e">
        <f>'Entrada datos'!#REF!</f>
        <v>#REF!</v>
      </c>
      <c r="K90" s="70" t="e">
        <f>'Entrada datos'!#REF!</f>
        <v>#REF!</v>
      </c>
      <c r="L90" s="70" t="e">
        <f>'Entrada datos'!#REF!</f>
        <v>#REF!</v>
      </c>
      <c r="M90" s="72"/>
      <c r="N90" s="72"/>
      <c r="O90" s="72"/>
      <c r="P90" s="72"/>
      <c r="Q90" s="72"/>
      <c r="R90" s="72"/>
      <c r="S90" s="73" t="s">
        <v>73</v>
      </c>
      <c r="T90" s="73"/>
      <c r="U90" s="73"/>
      <c r="V90" s="73" t="e">
        <f t="shared" si="5"/>
        <v>#REF!</v>
      </c>
    </row>
    <row r="91" spans="1:22" x14ac:dyDescent="0.3">
      <c r="A91" s="74" t="e">
        <f>'Entrada datos'!#REF!</f>
        <v>#REF!</v>
      </c>
      <c r="B91" s="70" t="e">
        <f>'Entrada datos'!#REF!</f>
        <v>#REF!</v>
      </c>
      <c r="C91" s="71" t="e">
        <f>'Entrada datos'!#REF!</f>
        <v>#REF!</v>
      </c>
      <c r="D91" s="71" t="e">
        <f>'Entrada datos'!#REF!</f>
        <v>#REF!</v>
      </c>
      <c r="E91" s="70" t="e">
        <f t="shared" si="3"/>
        <v>#REF!</v>
      </c>
      <c r="F91" s="64" t="e">
        <f t="shared" si="4"/>
        <v>#REF!</v>
      </c>
      <c r="G91" s="70" t="e">
        <f>'Entrada datos'!#REF!</f>
        <v>#REF!</v>
      </c>
      <c r="H91" s="70" t="e">
        <f>'Entrada datos'!#REF!</f>
        <v>#REF!</v>
      </c>
      <c r="I91" s="70" t="e">
        <f>'Entrada datos'!#REF!</f>
        <v>#REF!</v>
      </c>
      <c r="J91" s="70" t="e">
        <f>'Entrada datos'!#REF!</f>
        <v>#REF!</v>
      </c>
      <c r="K91" s="70" t="e">
        <f>'Entrada datos'!#REF!</f>
        <v>#REF!</v>
      </c>
      <c r="L91" s="70" t="e">
        <f>'Entrada datos'!#REF!</f>
        <v>#REF!</v>
      </c>
      <c r="M91" s="72"/>
      <c r="N91" s="72"/>
      <c r="O91" s="72"/>
      <c r="P91" s="72"/>
      <c r="Q91" s="72"/>
      <c r="R91" s="72"/>
      <c r="S91" s="73" t="s">
        <v>73</v>
      </c>
      <c r="T91" s="73"/>
      <c r="U91" s="73"/>
      <c r="V91" s="73" t="e">
        <f t="shared" si="5"/>
        <v>#REF!</v>
      </c>
    </row>
    <row r="92" spans="1:22" x14ac:dyDescent="0.3">
      <c r="A92" s="74" t="e">
        <f>'Entrada datos'!#REF!</f>
        <v>#REF!</v>
      </c>
      <c r="B92" s="70" t="e">
        <f>'Entrada datos'!#REF!</f>
        <v>#REF!</v>
      </c>
      <c r="C92" s="71" t="e">
        <f>'Entrada datos'!#REF!</f>
        <v>#REF!</v>
      </c>
      <c r="D92" s="71" t="e">
        <f>'Entrada datos'!#REF!</f>
        <v>#REF!</v>
      </c>
      <c r="E92" s="70" t="e">
        <f t="shared" si="3"/>
        <v>#REF!</v>
      </c>
      <c r="F92" s="64" t="e">
        <f t="shared" si="4"/>
        <v>#REF!</v>
      </c>
      <c r="G92" s="70" t="e">
        <f>'Entrada datos'!#REF!</f>
        <v>#REF!</v>
      </c>
      <c r="H92" s="70" t="e">
        <f>'Entrada datos'!#REF!</f>
        <v>#REF!</v>
      </c>
      <c r="I92" s="70" t="e">
        <f>'Entrada datos'!#REF!</f>
        <v>#REF!</v>
      </c>
      <c r="J92" s="70" t="e">
        <f>'Entrada datos'!#REF!</f>
        <v>#REF!</v>
      </c>
      <c r="K92" s="70" t="e">
        <f>'Entrada datos'!#REF!</f>
        <v>#REF!</v>
      </c>
      <c r="L92" s="70" t="e">
        <f>'Entrada datos'!#REF!</f>
        <v>#REF!</v>
      </c>
      <c r="M92" s="72"/>
      <c r="N92" s="72"/>
      <c r="O92" s="72"/>
      <c r="P92" s="72"/>
      <c r="Q92" s="72"/>
      <c r="R92" s="72"/>
      <c r="S92" s="73" t="s">
        <v>73</v>
      </c>
      <c r="T92" s="73"/>
      <c r="U92" s="73"/>
      <c r="V92" s="73" t="e">
        <f t="shared" si="5"/>
        <v>#REF!</v>
      </c>
    </row>
    <row r="93" spans="1:22" x14ac:dyDescent="0.3">
      <c r="A93" s="74" t="e">
        <f>'Entrada datos'!#REF!</f>
        <v>#REF!</v>
      </c>
      <c r="B93" s="70" t="e">
        <f>'Entrada datos'!#REF!</f>
        <v>#REF!</v>
      </c>
      <c r="C93" s="71" t="e">
        <f>'Entrada datos'!#REF!</f>
        <v>#REF!</v>
      </c>
      <c r="D93" s="71" t="e">
        <f>'Entrada datos'!#REF!</f>
        <v>#REF!</v>
      </c>
      <c r="E93" s="70" t="e">
        <f t="shared" si="3"/>
        <v>#REF!</v>
      </c>
      <c r="F93" s="64" t="e">
        <f t="shared" si="4"/>
        <v>#REF!</v>
      </c>
      <c r="G93" s="70" t="e">
        <f>'Entrada datos'!#REF!</f>
        <v>#REF!</v>
      </c>
      <c r="H93" s="70" t="e">
        <f>'Entrada datos'!#REF!</f>
        <v>#REF!</v>
      </c>
      <c r="I93" s="70" t="e">
        <f>'Entrada datos'!#REF!</f>
        <v>#REF!</v>
      </c>
      <c r="J93" s="70" t="e">
        <f>'Entrada datos'!#REF!</f>
        <v>#REF!</v>
      </c>
      <c r="K93" s="70" t="e">
        <f>'Entrada datos'!#REF!</f>
        <v>#REF!</v>
      </c>
      <c r="L93" s="70" t="e">
        <f>'Entrada datos'!#REF!</f>
        <v>#REF!</v>
      </c>
      <c r="M93" s="72"/>
      <c r="N93" s="72"/>
      <c r="O93" s="72"/>
      <c r="P93" s="72"/>
      <c r="Q93" s="72"/>
      <c r="R93" s="72"/>
      <c r="S93" s="73" t="s">
        <v>73</v>
      </c>
      <c r="T93" s="73"/>
      <c r="U93" s="73"/>
      <c r="V93" s="73" t="e">
        <f t="shared" si="5"/>
        <v>#REF!</v>
      </c>
    </row>
    <row r="94" spans="1:22" x14ac:dyDescent="0.3">
      <c r="A94" s="74" t="e">
        <f>'Entrada datos'!#REF!</f>
        <v>#REF!</v>
      </c>
      <c r="B94" s="70" t="e">
        <f>'Entrada datos'!#REF!</f>
        <v>#REF!</v>
      </c>
      <c r="C94" s="71" t="e">
        <f>'Entrada datos'!#REF!</f>
        <v>#REF!</v>
      </c>
      <c r="D94" s="71" t="e">
        <f>'Entrada datos'!#REF!</f>
        <v>#REF!</v>
      </c>
      <c r="E94" s="70" t="e">
        <f t="shared" si="3"/>
        <v>#REF!</v>
      </c>
      <c r="F94" s="64" t="e">
        <f t="shared" si="4"/>
        <v>#REF!</v>
      </c>
      <c r="G94" s="70" t="e">
        <f>'Entrada datos'!#REF!</f>
        <v>#REF!</v>
      </c>
      <c r="H94" s="70" t="e">
        <f>'Entrada datos'!#REF!</f>
        <v>#REF!</v>
      </c>
      <c r="I94" s="70" t="e">
        <f>'Entrada datos'!#REF!</f>
        <v>#REF!</v>
      </c>
      <c r="J94" s="70" t="e">
        <f>'Entrada datos'!#REF!</f>
        <v>#REF!</v>
      </c>
      <c r="K94" s="70" t="e">
        <f>'Entrada datos'!#REF!</f>
        <v>#REF!</v>
      </c>
      <c r="L94" s="70" t="e">
        <f>'Entrada datos'!#REF!</f>
        <v>#REF!</v>
      </c>
      <c r="M94" s="72"/>
      <c r="N94" s="72"/>
      <c r="O94" s="72"/>
      <c r="P94" s="72"/>
      <c r="Q94" s="72"/>
      <c r="R94" s="72"/>
      <c r="S94" s="73" t="s">
        <v>73</v>
      </c>
      <c r="T94" s="73"/>
      <c r="U94" s="73"/>
      <c r="V94" s="73" t="e">
        <f t="shared" si="5"/>
        <v>#REF!</v>
      </c>
    </row>
    <row r="95" spans="1:22" x14ac:dyDescent="0.3">
      <c r="A95" s="74">
        <f>'Entrada datos'!C2</f>
        <v>0</v>
      </c>
      <c r="B95" s="70">
        <f>'Entrada datos'!D2</f>
        <v>0</v>
      </c>
      <c r="C95" s="71">
        <f>'Entrada datos'!G2</f>
        <v>0</v>
      </c>
      <c r="D95" s="71">
        <f>'Entrada datos'!H2</f>
        <v>0</v>
      </c>
      <c r="E95" s="70">
        <f t="shared" si="3"/>
        <v>0</v>
      </c>
      <c r="F95" s="64" t="e">
        <f t="shared" si="4"/>
        <v>#REF!</v>
      </c>
      <c r="G95" s="70">
        <f>'Entrada datos'!P2</f>
        <v>0</v>
      </c>
      <c r="H95" s="70">
        <f>'Entrada datos'!Q2</f>
        <v>0</v>
      </c>
      <c r="I95" s="70">
        <f>'Entrada datos'!R2</f>
        <v>0</v>
      </c>
      <c r="J95" s="70">
        <f>'Entrada datos'!S2</f>
        <v>0</v>
      </c>
      <c r="K95" s="70">
        <f>'Entrada datos'!T2</f>
        <v>0</v>
      </c>
      <c r="L95" s="70">
        <f>'Entrada datos'!U2</f>
        <v>0</v>
      </c>
      <c r="M95" s="72"/>
      <c r="N95" s="72"/>
      <c r="O95" s="72"/>
      <c r="P95" s="72"/>
      <c r="Q95" s="72"/>
      <c r="R95" s="72"/>
      <c r="S95" s="73" t="s">
        <v>73</v>
      </c>
      <c r="T95" s="73"/>
      <c r="U95" s="73"/>
      <c r="V95" s="73">
        <f t="shared" si="5"/>
        <v>0</v>
      </c>
    </row>
    <row r="96" spans="1:22" x14ac:dyDescent="0.3">
      <c r="A96" s="74">
        <f>'Entrada datos'!C3</f>
        <v>0</v>
      </c>
      <c r="B96" s="70">
        <f>'Entrada datos'!D3</f>
        <v>0</v>
      </c>
      <c r="C96" s="71">
        <f>'Entrada datos'!G3</f>
        <v>0</v>
      </c>
      <c r="D96" s="71">
        <f>'Entrada datos'!H3</f>
        <v>0</v>
      </c>
      <c r="E96" s="70">
        <f t="shared" si="3"/>
        <v>0</v>
      </c>
      <c r="F96" s="64" t="e">
        <f t="shared" si="4"/>
        <v>#REF!</v>
      </c>
      <c r="G96" s="70">
        <f>'Entrada datos'!P3</f>
        <v>0</v>
      </c>
      <c r="H96" s="70">
        <f>'Entrada datos'!Q3</f>
        <v>0</v>
      </c>
      <c r="I96" s="70">
        <f>'Entrada datos'!R3</f>
        <v>0</v>
      </c>
      <c r="J96" s="70">
        <f>'Entrada datos'!S3</f>
        <v>0</v>
      </c>
      <c r="K96" s="70">
        <f>'Entrada datos'!T3</f>
        <v>0</v>
      </c>
      <c r="L96" s="70">
        <f>'Entrada datos'!U3</f>
        <v>0</v>
      </c>
      <c r="M96" s="72"/>
      <c r="N96" s="72"/>
      <c r="O96" s="72"/>
      <c r="P96" s="72"/>
      <c r="Q96" s="72"/>
      <c r="R96" s="72"/>
      <c r="S96" s="73" t="s">
        <v>73</v>
      </c>
      <c r="T96" s="73"/>
      <c r="U96" s="73"/>
      <c r="V96" s="73">
        <f t="shared" si="5"/>
        <v>0</v>
      </c>
    </row>
    <row r="97" spans="1:22" x14ac:dyDescent="0.3">
      <c r="A97" s="74">
        <f>'Entrada datos'!C4</f>
        <v>0</v>
      </c>
      <c r="B97" s="70">
        <f>'Entrada datos'!D4</f>
        <v>0</v>
      </c>
      <c r="C97" s="71">
        <f>'Entrada datos'!G4</f>
        <v>0</v>
      </c>
      <c r="D97" s="71">
        <f>'Entrada datos'!H4</f>
        <v>0</v>
      </c>
      <c r="E97" s="70">
        <f t="shared" si="3"/>
        <v>0</v>
      </c>
      <c r="F97" s="64" t="e">
        <f t="shared" si="4"/>
        <v>#REF!</v>
      </c>
      <c r="G97" s="70">
        <f>'Entrada datos'!P4</f>
        <v>0</v>
      </c>
      <c r="H97" s="70">
        <f>'Entrada datos'!Q4</f>
        <v>0</v>
      </c>
      <c r="I97" s="70">
        <f>'Entrada datos'!R4</f>
        <v>0</v>
      </c>
      <c r="J97" s="70">
        <f>'Entrada datos'!S4</f>
        <v>0</v>
      </c>
      <c r="K97" s="70">
        <f>'Entrada datos'!T4</f>
        <v>0</v>
      </c>
      <c r="L97" s="70">
        <f>'Entrada datos'!U4</f>
        <v>0</v>
      </c>
      <c r="M97" s="72"/>
      <c r="N97" s="72"/>
      <c r="O97" s="72"/>
      <c r="P97" s="72"/>
      <c r="Q97" s="72"/>
      <c r="R97" s="72"/>
      <c r="S97" s="73" t="s">
        <v>73</v>
      </c>
      <c r="T97" s="73"/>
      <c r="U97" s="73"/>
      <c r="V97" s="73">
        <f t="shared" si="5"/>
        <v>0</v>
      </c>
    </row>
    <row r="98" spans="1:22" x14ac:dyDescent="0.3">
      <c r="A98" s="74">
        <f>'Entrada datos'!C5</f>
        <v>0</v>
      </c>
      <c r="B98" s="70">
        <f>'Entrada datos'!D5</f>
        <v>0</v>
      </c>
      <c r="C98" s="71">
        <f>'Entrada datos'!G5</f>
        <v>0</v>
      </c>
      <c r="D98" s="71">
        <f>'Entrada datos'!H5</f>
        <v>0</v>
      </c>
      <c r="E98" s="70">
        <f t="shared" si="3"/>
        <v>0</v>
      </c>
      <c r="F98" s="64" t="e">
        <f t="shared" si="4"/>
        <v>#REF!</v>
      </c>
      <c r="G98" s="70">
        <f>'Entrada datos'!P5</f>
        <v>0</v>
      </c>
      <c r="H98" s="70">
        <f>'Entrada datos'!Q5</f>
        <v>0</v>
      </c>
      <c r="I98" s="70">
        <f>'Entrada datos'!R5</f>
        <v>0</v>
      </c>
      <c r="J98" s="70">
        <f>'Entrada datos'!S5</f>
        <v>0</v>
      </c>
      <c r="K98" s="70">
        <f>'Entrada datos'!T5</f>
        <v>0</v>
      </c>
      <c r="L98" s="70">
        <f>'Entrada datos'!U5</f>
        <v>0</v>
      </c>
      <c r="M98" s="72"/>
      <c r="N98" s="72"/>
      <c r="O98" s="72"/>
      <c r="P98" s="72"/>
      <c r="Q98" s="72"/>
      <c r="R98" s="72"/>
      <c r="S98" s="73" t="s">
        <v>73</v>
      </c>
      <c r="T98" s="73"/>
      <c r="U98" s="73"/>
      <c r="V98" s="73">
        <f t="shared" si="5"/>
        <v>0</v>
      </c>
    </row>
    <row r="99" spans="1:22" x14ac:dyDescent="0.3">
      <c r="A99" s="74">
        <f>'Entrada datos'!C6</f>
        <v>0</v>
      </c>
      <c r="B99" s="70">
        <f>'Entrada datos'!D6</f>
        <v>0</v>
      </c>
      <c r="C99" s="71">
        <f>'Entrada datos'!G6</f>
        <v>0</v>
      </c>
      <c r="D99" s="71">
        <f>'Entrada datos'!H6</f>
        <v>0</v>
      </c>
      <c r="E99" s="70">
        <f t="shared" si="3"/>
        <v>0</v>
      </c>
      <c r="F99" s="64" t="e">
        <f t="shared" si="4"/>
        <v>#REF!</v>
      </c>
      <c r="G99" s="70">
        <f>'Entrada datos'!P6</f>
        <v>0</v>
      </c>
      <c r="H99" s="70">
        <f>'Entrada datos'!Q6</f>
        <v>0</v>
      </c>
      <c r="I99" s="70">
        <f>'Entrada datos'!R6</f>
        <v>0</v>
      </c>
      <c r="J99" s="70">
        <f>'Entrada datos'!S6</f>
        <v>0</v>
      </c>
      <c r="K99" s="70">
        <f>'Entrada datos'!T6</f>
        <v>0</v>
      </c>
      <c r="L99" s="70">
        <f>'Entrada datos'!U6</f>
        <v>0</v>
      </c>
      <c r="M99" s="72"/>
      <c r="N99" s="72"/>
      <c r="O99" s="72"/>
      <c r="P99" s="72"/>
      <c r="Q99" s="72"/>
      <c r="R99" s="72"/>
      <c r="S99" s="73" t="s">
        <v>73</v>
      </c>
      <c r="T99" s="73"/>
      <c r="U99" s="73"/>
      <c r="V99" s="73">
        <f t="shared" si="5"/>
        <v>0</v>
      </c>
    </row>
    <row r="100" spans="1:22" x14ac:dyDescent="0.3">
      <c r="A100" s="74">
        <f>'Entrada datos'!C7</f>
        <v>0</v>
      </c>
      <c r="B100" s="70">
        <f>'Entrada datos'!D7</f>
        <v>0</v>
      </c>
      <c r="C100" s="71">
        <f>'Entrada datos'!G7</f>
        <v>0</v>
      </c>
      <c r="D100" s="71">
        <f>'Entrada datos'!H7</f>
        <v>0</v>
      </c>
      <c r="E100" s="70">
        <f t="shared" si="3"/>
        <v>0</v>
      </c>
      <c r="F100" s="64" t="e">
        <f t="shared" si="4"/>
        <v>#REF!</v>
      </c>
      <c r="G100" s="70">
        <f>'Entrada datos'!P7</f>
        <v>0</v>
      </c>
      <c r="H100" s="70">
        <f>'Entrada datos'!Q7</f>
        <v>0</v>
      </c>
      <c r="I100" s="70">
        <f>'Entrada datos'!R7</f>
        <v>0</v>
      </c>
      <c r="J100" s="70">
        <f>'Entrada datos'!S7</f>
        <v>0</v>
      </c>
      <c r="K100" s="70">
        <f>'Entrada datos'!T7</f>
        <v>0</v>
      </c>
      <c r="L100" s="70">
        <f>'Entrada datos'!U7</f>
        <v>0</v>
      </c>
      <c r="M100" s="72"/>
      <c r="N100" s="72"/>
      <c r="O100" s="72"/>
      <c r="P100" s="72"/>
      <c r="Q100" s="72"/>
      <c r="R100" s="72"/>
      <c r="S100" s="73" t="s">
        <v>73</v>
      </c>
      <c r="T100" s="73"/>
      <c r="U100" s="73"/>
      <c r="V100" s="73">
        <f t="shared" si="5"/>
        <v>0</v>
      </c>
    </row>
    <row r="101" spans="1:22" x14ac:dyDescent="0.3">
      <c r="A101" s="74">
        <f>'Entrada datos'!C8</f>
        <v>0</v>
      </c>
      <c r="B101" s="70">
        <f>'Entrada datos'!D8</f>
        <v>0</v>
      </c>
      <c r="C101" s="71">
        <f>'Entrada datos'!G8</f>
        <v>0</v>
      </c>
      <c r="D101" s="71">
        <f>'Entrada datos'!H8</f>
        <v>0</v>
      </c>
      <c r="E101" s="70">
        <f t="shared" si="3"/>
        <v>0</v>
      </c>
      <c r="F101" s="64" t="e">
        <f t="shared" si="4"/>
        <v>#REF!</v>
      </c>
      <c r="G101" s="70">
        <f>'Entrada datos'!P8</f>
        <v>0</v>
      </c>
      <c r="H101" s="70">
        <f>'Entrada datos'!Q8</f>
        <v>0</v>
      </c>
      <c r="I101" s="70">
        <f>'Entrada datos'!R8</f>
        <v>0</v>
      </c>
      <c r="J101" s="70">
        <f>'Entrada datos'!S8</f>
        <v>0</v>
      </c>
      <c r="K101" s="70">
        <f>'Entrada datos'!T8</f>
        <v>0</v>
      </c>
      <c r="L101" s="70">
        <f>'Entrada datos'!U8</f>
        <v>0</v>
      </c>
      <c r="M101" s="72"/>
      <c r="N101" s="72"/>
      <c r="O101" s="72"/>
      <c r="P101" s="72"/>
      <c r="Q101" s="72"/>
      <c r="R101" s="72"/>
      <c r="S101" s="73" t="s">
        <v>73</v>
      </c>
      <c r="T101" s="73"/>
      <c r="U101" s="73"/>
      <c r="V101" s="73">
        <f t="shared" si="5"/>
        <v>0</v>
      </c>
    </row>
    <row r="102" spans="1:22" x14ac:dyDescent="0.3">
      <c r="A102" s="74">
        <f>'Entrada datos'!C9</f>
        <v>0</v>
      </c>
      <c r="B102" s="70">
        <f>'Entrada datos'!D9</f>
        <v>0</v>
      </c>
      <c r="C102" s="71">
        <f>'Entrada datos'!G9</f>
        <v>0</v>
      </c>
      <c r="D102" s="71">
        <f>'Entrada datos'!H9</f>
        <v>0</v>
      </c>
      <c r="E102" s="70">
        <f t="shared" si="3"/>
        <v>0</v>
      </c>
      <c r="F102" s="64" t="e">
        <f t="shared" si="4"/>
        <v>#REF!</v>
      </c>
      <c r="G102" s="70">
        <f>'Entrada datos'!P9</f>
        <v>0</v>
      </c>
      <c r="H102" s="70">
        <f>'Entrada datos'!Q9</f>
        <v>0</v>
      </c>
      <c r="I102" s="70">
        <f>'Entrada datos'!R9</f>
        <v>0</v>
      </c>
      <c r="J102" s="70">
        <f>'Entrada datos'!S9</f>
        <v>0</v>
      </c>
      <c r="K102" s="70">
        <f>'Entrada datos'!T9</f>
        <v>0</v>
      </c>
      <c r="L102" s="70">
        <f>'Entrada datos'!U9</f>
        <v>0</v>
      </c>
      <c r="M102" s="72"/>
      <c r="N102" s="72"/>
      <c r="O102" s="72"/>
      <c r="P102" s="72"/>
      <c r="Q102" s="72"/>
      <c r="R102" s="72"/>
      <c r="S102" s="73" t="s">
        <v>73</v>
      </c>
      <c r="T102" s="73"/>
      <c r="U102" s="73"/>
      <c r="V102" s="73">
        <f t="shared" si="5"/>
        <v>0</v>
      </c>
    </row>
    <row r="103" spans="1:22" x14ac:dyDescent="0.3">
      <c r="A103" s="74">
        <f>'Entrada datos'!C10</f>
        <v>0</v>
      </c>
      <c r="B103" s="70">
        <f>'Entrada datos'!D10</f>
        <v>0</v>
      </c>
      <c r="C103" s="71">
        <f>'Entrada datos'!G10</f>
        <v>0</v>
      </c>
      <c r="D103" s="71">
        <f>'Entrada datos'!H10</f>
        <v>0</v>
      </c>
      <c r="E103" s="70">
        <f t="shared" si="3"/>
        <v>0</v>
      </c>
      <c r="F103" s="64" t="e">
        <f t="shared" si="4"/>
        <v>#REF!</v>
      </c>
      <c r="G103" s="70">
        <f>'Entrada datos'!P10</f>
        <v>0</v>
      </c>
      <c r="H103" s="70">
        <f>'Entrada datos'!Q10</f>
        <v>0</v>
      </c>
      <c r="I103" s="70">
        <f>'Entrada datos'!R10</f>
        <v>0</v>
      </c>
      <c r="J103" s="70">
        <f>'Entrada datos'!S10</f>
        <v>0</v>
      </c>
      <c r="K103" s="70">
        <f>'Entrada datos'!T10</f>
        <v>0</v>
      </c>
      <c r="L103" s="70">
        <f>'Entrada datos'!U10</f>
        <v>0</v>
      </c>
      <c r="M103" s="72"/>
      <c r="N103" s="72"/>
      <c r="O103" s="72"/>
      <c r="P103" s="72"/>
      <c r="Q103" s="72"/>
      <c r="R103" s="72"/>
      <c r="S103" s="73" t="s">
        <v>73</v>
      </c>
      <c r="T103" s="73"/>
      <c r="U103" s="73"/>
      <c r="V103" s="73">
        <f t="shared" si="5"/>
        <v>0</v>
      </c>
    </row>
    <row r="104" spans="1:22" x14ac:dyDescent="0.3">
      <c r="A104" s="74">
        <f>'Entrada datos'!C11</f>
        <v>0</v>
      </c>
      <c r="B104" s="70">
        <f>'Entrada datos'!D11</f>
        <v>0</v>
      </c>
      <c r="C104" s="71">
        <f>'Entrada datos'!G11</f>
        <v>0</v>
      </c>
      <c r="D104" s="71">
        <f>'Entrada datos'!H11</f>
        <v>0</v>
      </c>
      <c r="E104" s="70">
        <f t="shared" si="3"/>
        <v>0</v>
      </c>
      <c r="F104" s="64" t="e">
        <f t="shared" si="4"/>
        <v>#REF!</v>
      </c>
      <c r="G104" s="70">
        <f>'Entrada datos'!P11</f>
        <v>0</v>
      </c>
      <c r="H104" s="70">
        <f>'Entrada datos'!Q11</f>
        <v>0</v>
      </c>
      <c r="I104" s="70">
        <f>'Entrada datos'!R11</f>
        <v>0</v>
      </c>
      <c r="J104" s="70">
        <f>'Entrada datos'!S11</f>
        <v>0</v>
      </c>
      <c r="K104" s="70">
        <f>'Entrada datos'!T11</f>
        <v>0</v>
      </c>
      <c r="L104" s="70">
        <f>'Entrada datos'!U11</f>
        <v>0</v>
      </c>
      <c r="M104" s="72"/>
      <c r="N104" s="72"/>
      <c r="O104" s="72"/>
      <c r="P104" s="72"/>
      <c r="Q104" s="72"/>
      <c r="R104" s="72"/>
      <c r="S104" s="73" t="s">
        <v>73</v>
      </c>
      <c r="T104" s="73"/>
      <c r="U104" s="73"/>
      <c r="V104" s="73">
        <f t="shared" si="5"/>
        <v>0</v>
      </c>
    </row>
    <row r="105" spans="1:22" x14ac:dyDescent="0.3">
      <c r="A105" s="74">
        <f>'Entrada datos'!C12</f>
        <v>0</v>
      </c>
      <c r="B105" s="70">
        <f>'Entrada datos'!D12</f>
        <v>0</v>
      </c>
      <c r="C105" s="71">
        <f>'Entrada datos'!G12</f>
        <v>0</v>
      </c>
      <c r="D105" s="71">
        <f>'Entrada datos'!H12</f>
        <v>0</v>
      </c>
      <c r="E105" s="70">
        <f t="shared" si="3"/>
        <v>0</v>
      </c>
      <c r="F105" s="64" t="e">
        <f t="shared" si="4"/>
        <v>#REF!</v>
      </c>
      <c r="G105" s="70">
        <f>'Entrada datos'!P12</f>
        <v>0</v>
      </c>
      <c r="H105" s="70">
        <f>'Entrada datos'!Q12</f>
        <v>0</v>
      </c>
      <c r="I105" s="70">
        <f>'Entrada datos'!R12</f>
        <v>0</v>
      </c>
      <c r="J105" s="70">
        <f>'Entrada datos'!S12</f>
        <v>0</v>
      </c>
      <c r="K105" s="70">
        <f>'Entrada datos'!T12</f>
        <v>0</v>
      </c>
      <c r="L105" s="70">
        <f>'Entrada datos'!U12</f>
        <v>0</v>
      </c>
      <c r="M105" s="72"/>
      <c r="N105" s="72"/>
      <c r="O105" s="72"/>
      <c r="P105" s="72"/>
      <c r="Q105" s="72"/>
      <c r="R105" s="72"/>
      <c r="S105" s="73" t="s">
        <v>73</v>
      </c>
      <c r="T105" s="73"/>
      <c r="U105" s="73"/>
      <c r="V105" s="73">
        <f t="shared" si="5"/>
        <v>0</v>
      </c>
    </row>
    <row r="106" spans="1:22" x14ac:dyDescent="0.3">
      <c r="A106" s="74">
        <f>'Entrada datos'!C13</f>
        <v>0</v>
      </c>
      <c r="B106" s="70">
        <f>'Entrada datos'!D13</f>
        <v>0</v>
      </c>
      <c r="C106" s="71">
        <f>'Entrada datos'!G13</f>
        <v>0</v>
      </c>
      <c r="D106" s="71">
        <f>'Entrada datos'!H13</f>
        <v>0</v>
      </c>
      <c r="E106" s="70">
        <f t="shared" si="3"/>
        <v>0</v>
      </c>
      <c r="F106" s="64" t="e">
        <f t="shared" si="4"/>
        <v>#REF!</v>
      </c>
      <c r="G106" s="70">
        <f>'Entrada datos'!P13</f>
        <v>0</v>
      </c>
      <c r="H106" s="70">
        <f>'Entrada datos'!Q13</f>
        <v>0</v>
      </c>
      <c r="I106" s="70">
        <f>'Entrada datos'!R13</f>
        <v>0</v>
      </c>
      <c r="J106" s="70">
        <f>'Entrada datos'!S13</f>
        <v>0</v>
      </c>
      <c r="K106" s="70">
        <f>'Entrada datos'!T13</f>
        <v>0</v>
      </c>
      <c r="L106" s="70">
        <f>'Entrada datos'!U13</f>
        <v>0</v>
      </c>
      <c r="M106" s="72"/>
      <c r="N106" s="72"/>
      <c r="O106" s="72"/>
      <c r="P106" s="72"/>
      <c r="Q106" s="72"/>
      <c r="R106" s="72"/>
      <c r="S106" s="73" t="s">
        <v>73</v>
      </c>
      <c r="T106" s="73"/>
      <c r="U106" s="73"/>
      <c r="V106" s="73">
        <f t="shared" si="5"/>
        <v>0</v>
      </c>
    </row>
    <row r="107" spans="1:22" x14ac:dyDescent="0.3">
      <c r="A107" s="74">
        <f>'Entrada datos'!C14</f>
        <v>0</v>
      </c>
      <c r="B107" s="70">
        <f>'Entrada datos'!D14</f>
        <v>0</v>
      </c>
      <c r="C107" s="71">
        <f>'Entrada datos'!G14</f>
        <v>0</v>
      </c>
      <c r="D107" s="71">
        <f>'Entrada datos'!H14</f>
        <v>0</v>
      </c>
      <c r="E107" s="70">
        <f t="shared" si="3"/>
        <v>0</v>
      </c>
      <c r="F107" s="64" t="e">
        <f t="shared" si="4"/>
        <v>#REF!</v>
      </c>
      <c r="G107" s="70">
        <f>'Entrada datos'!P14</f>
        <v>0</v>
      </c>
      <c r="H107" s="70">
        <f>'Entrada datos'!Q14</f>
        <v>0</v>
      </c>
      <c r="I107" s="70">
        <f>'Entrada datos'!R14</f>
        <v>0</v>
      </c>
      <c r="J107" s="70">
        <f>'Entrada datos'!S14</f>
        <v>0</v>
      </c>
      <c r="K107" s="70">
        <f>'Entrada datos'!T14</f>
        <v>0</v>
      </c>
      <c r="L107" s="70">
        <f>'Entrada datos'!U14</f>
        <v>0</v>
      </c>
      <c r="M107" s="72"/>
      <c r="N107" s="72"/>
      <c r="O107" s="72"/>
      <c r="P107" s="72"/>
      <c r="Q107" s="72"/>
      <c r="R107" s="72"/>
      <c r="S107" s="73" t="s">
        <v>73</v>
      </c>
      <c r="T107" s="73"/>
      <c r="U107" s="73"/>
      <c r="V107" s="73">
        <f t="shared" si="5"/>
        <v>0</v>
      </c>
    </row>
    <row r="108" spans="1:22" x14ac:dyDescent="0.3">
      <c r="A108" s="74">
        <f>'Entrada datos'!C15</f>
        <v>0</v>
      </c>
      <c r="B108" s="70">
        <f>'Entrada datos'!D15</f>
        <v>0</v>
      </c>
      <c r="C108" s="71">
        <f>'Entrada datos'!G15</f>
        <v>0</v>
      </c>
      <c r="D108" s="71">
        <f>'Entrada datos'!H15</f>
        <v>0</v>
      </c>
      <c r="E108" s="70">
        <f t="shared" si="3"/>
        <v>0</v>
      </c>
      <c r="F108" s="64" t="e">
        <f t="shared" si="4"/>
        <v>#REF!</v>
      </c>
      <c r="G108" s="70">
        <f>'Entrada datos'!P15</f>
        <v>0</v>
      </c>
      <c r="H108" s="70">
        <f>'Entrada datos'!Q15</f>
        <v>0</v>
      </c>
      <c r="I108" s="70">
        <f>'Entrada datos'!R15</f>
        <v>0</v>
      </c>
      <c r="J108" s="70">
        <f>'Entrada datos'!S15</f>
        <v>0</v>
      </c>
      <c r="K108" s="70">
        <f>'Entrada datos'!T15</f>
        <v>0</v>
      </c>
      <c r="L108" s="70">
        <f>'Entrada datos'!U15</f>
        <v>0</v>
      </c>
      <c r="M108" s="72"/>
      <c r="N108" s="72"/>
      <c r="O108" s="72"/>
      <c r="P108" s="72"/>
      <c r="Q108" s="72"/>
      <c r="R108" s="72"/>
      <c r="S108" s="73" t="s">
        <v>73</v>
      </c>
      <c r="T108" s="73"/>
      <c r="U108" s="73"/>
      <c r="V108" s="73">
        <f t="shared" si="5"/>
        <v>0</v>
      </c>
    </row>
    <row r="109" spans="1:22" x14ac:dyDescent="0.3">
      <c r="A109" s="74">
        <f>'Entrada datos'!C16</f>
        <v>0</v>
      </c>
      <c r="B109" s="70">
        <f>'Entrada datos'!D16</f>
        <v>0</v>
      </c>
      <c r="C109" s="71">
        <f>'Entrada datos'!G16</f>
        <v>0</v>
      </c>
      <c r="D109" s="71">
        <f>'Entrada datos'!H16</f>
        <v>0</v>
      </c>
      <c r="E109" s="70">
        <f t="shared" si="3"/>
        <v>0</v>
      </c>
      <c r="F109" s="64" t="e">
        <f t="shared" si="4"/>
        <v>#REF!</v>
      </c>
      <c r="G109" s="70">
        <f>'Entrada datos'!P16</f>
        <v>0</v>
      </c>
      <c r="H109" s="70">
        <f>'Entrada datos'!Q16</f>
        <v>0</v>
      </c>
      <c r="I109" s="70">
        <f>'Entrada datos'!R16</f>
        <v>0</v>
      </c>
      <c r="J109" s="70">
        <f>'Entrada datos'!S16</f>
        <v>0</v>
      </c>
      <c r="K109" s="70">
        <f>'Entrada datos'!T16</f>
        <v>0</v>
      </c>
      <c r="L109" s="70">
        <f>'Entrada datos'!U16</f>
        <v>0</v>
      </c>
      <c r="M109" s="72"/>
      <c r="N109" s="72"/>
      <c r="O109" s="72"/>
      <c r="P109" s="72"/>
      <c r="Q109" s="72"/>
      <c r="R109" s="72"/>
      <c r="S109" s="73" t="s">
        <v>73</v>
      </c>
      <c r="T109" s="73"/>
      <c r="U109" s="73"/>
      <c r="V109" s="73">
        <f t="shared" si="5"/>
        <v>0</v>
      </c>
    </row>
    <row r="110" spans="1:22" x14ac:dyDescent="0.3">
      <c r="A110" s="74">
        <f>'Entrada datos'!C17</f>
        <v>0</v>
      </c>
      <c r="B110" s="70">
        <f>'Entrada datos'!D17</f>
        <v>0</v>
      </c>
      <c r="C110" s="71">
        <f>'Entrada datos'!G17</f>
        <v>0</v>
      </c>
      <c r="D110" s="71">
        <f>'Entrada datos'!H17</f>
        <v>0</v>
      </c>
      <c r="E110" s="70">
        <f t="shared" si="3"/>
        <v>0</v>
      </c>
      <c r="F110" s="64" t="e">
        <f t="shared" si="4"/>
        <v>#REF!</v>
      </c>
      <c r="G110" s="70">
        <f>'Entrada datos'!P17</f>
        <v>0</v>
      </c>
      <c r="H110" s="70">
        <f>'Entrada datos'!Q17</f>
        <v>0</v>
      </c>
      <c r="I110" s="70">
        <f>'Entrada datos'!R17</f>
        <v>0</v>
      </c>
      <c r="J110" s="70">
        <f>'Entrada datos'!S17</f>
        <v>0</v>
      </c>
      <c r="K110" s="70">
        <f>'Entrada datos'!T17</f>
        <v>0</v>
      </c>
      <c r="L110" s="70">
        <f>'Entrada datos'!U17</f>
        <v>0</v>
      </c>
      <c r="M110" s="72"/>
      <c r="N110" s="72"/>
      <c r="O110" s="72"/>
      <c r="P110" s="72"/>
      <c r="Q110" s="72"/>
      <c r="R110" s="72"/>
      <c r="S110" s="73" t="s">
        <v>73</v>
      </c>
      <c r="T110" s="73"/>
      <c r="U110" s="73"/>
      <c r="V110" s="73">
        <f t="shared" si="5"/>
        <v>0</v>
      </c>
    </row>
    <row r="111" spans="1:22" x14ac:dyDescent="0.3">
      <c r="A111" s="74">
        <f>'Entrada datos'!C18</f>
        <v>0</v>
      </c>
      <c r="B111" s="70">
        <f>'Entrada datos'!D18</f>
        <v>0</v>
      </c>
      <c r="C111" s="71">
        <f>'Entrada datos'!G18</f>
        <v>0</v>
      </c>
      <c r="D111" s="71">
        <f>'Entrada datos'!H18</f>
        <v>0</v>
      </c>
      <c r="E111" s="70">
        <f t="shared" si="3"/>
        <v>0</v>
      </c>
      <c r="F111" s="64" t="e">
        <f t="shared" si="4"/>
        <v>#REF!</v>
      </c>
      <c r="G111" s="70">
        <f>'Entrada datos'!P18</f>
        <v>0</v>
      </c>
      <c r="H111" s="70">
        <f>'Entrada datos'!Q18</f>
        <v>0</v>
      </c>
      <c r="I111" s="70">
        <f>'Entrada datos'!R18</f>
        <v>0</v>
      </c>
      <c r="J111" s="70">
        <f>'Entrada datos'!S18</f>
        <v>0</v>
      </c>
      <c r="K111" s="70">
        <f>'Entrada datos'!T18</f>
        <v>0</v>
      </c>
      <c r="L111" s="70">
        <f>'Entrada datos'!U18</f>
        <v>0</v>
      </c>
      <c r="M111" s="72"/>
      <c r="N111" s="72"/>
      <c r="O111" s="72"/>
      <c r="P111" s="72"/>
      <c r="Q111" s="72"/>
      <c r="R111" s="72"/>
      <c r="S111" s="73" t="s">
        <v>73</v>
      </c>
      <c r="T111" s="73"/>
      <c r="U111" s="73"/>
      <c r="V111" s="73">
        <f t="shared" si="5"/>
        <v>0</v>
      </c>
    </row>
    <row r="112" spans="1:22" x14ac:dyDescent="0.3">
      <c r="A112" s="74">
        <f>'Entrada datos'!C19</f>
        <v>0</v>
      </c>
      <c r="B112" s="70">
        <f>'Entrada datos'!D19</f>
        <v>0</v>
      </c>
      <c r="C112" s="71">
        <f>'Entrada datos'!G19</f>
        <v>0</v>
      </c>
      <c r="D112" s="71">
        <f>'Entrada datos'!H19</f>
        <v>0</v>
      </c>
      <c r="E112" s="70">
        <f t="shared" si="3"/>
        <v>0</v>
      </c>
      <c r="F112" s="64" t="e">
        <f t="shared" si="4"/>
        <v>#REF!</v>
      </c>
      <c r="G112" s="70">
        <f>'Entrada datos'!P19</f>
        <v>0</v>
      </c>
      <c r="H112" s="70">
        <f>'Entrada datos'!Q19</f>
        <v>0</v>
      </c>
      <c r="I112" s="70">
        <f>'Entrada datos'!R19</f>
        <v>0</v>
      </c>
      <c r="J112" s="70">
        <f>'Entrada datos'!S19</f>
        <v>0</v>
      </c>
      <c r="K112" s="70">
        <f>'Entrada datos'!T19</f>
        <v>0</v>
      </c>
      <c r="L112" s="70">
        <f>'Entrada datos'!U19</f>
        <v>0</v>
      </c>
      <c r="M112" s="72"/>
      <c r="N112" s="72"/>
      <c r="O112" s="72"/>
      <c r="P112" s="72"/>
      <c r="Q112" s="72"/>
      <c r="R112" s="72"/>
      <c r="S112" s="73" t="s">
        <v>73</v>
      </c>
      <c r="T112" s="73"/>
      <c r="U112" s="73"/>
      <c r="V112" s="73">
        <f t="shared" si="5"/>
        <v>0</v>
      </c>
    </row>
    <row r="113" spans="1:22" x14ac:dyDescent="0.3">
      <c r="A113" s="74">
        <f>'Entrada datos'!C20</f>
        <v>0</v>
      </c>
      <c r="B113" s="70">
        <f>'Entrada datos'!D20</f>
        <v>0</v>
      </c>
      <c r="C113" s="71">
        <f>'Entrada datos'!G20</f>
        <v>0</v>
      </c>
      <c r="D113" s="71">
        <f>'Entrada datos'!H20</f>
        <v>0</v>
      </c>
      <c r="E113" s="70">
        <f t="shared" si="3"/>
        <v>0</v>
      </c>
      <c r="F113" s="64" t="e">
        <f t="shared" si="4"/>
        <v>#REF!</v>
      </c>
      <c r="G113" s="70">
        <f>'Entrada datos'!P20</f>
        <v>0</v>
      </c>
      <c r="H113" s="70">
        <f>'Entrada datos'!Q20</f>
        <v>0</v>
      </c>
      <c r="I113" s="70">
        <f>'Entrada datos'!R20</f>
        <v>0</v>
      </c>
      <c r="J113" s="70">
        <f>'Entrada datos'!S20</f>
        <v>0</v>
      </c>
      <c r="K113" s="70">
        <f>'Entrada datos'!T20</f>
        <v>0</v>
      </c>
      <c r="L113" s="70">
        <f>'Entrada datos'!U20</f>
        <v>0</v>
      </c>
      <c r="M113" s="72"/>
      <c r="N113" s="72"/>
      <c r="O113" s="72"/>
      <c r="P113" s="72"/>
      <c r="Q113" s="72"/>
      <c r="R113" s="72"/>
      <c r="S113" s="73" t="s">
        <v>73</v>
      </c>
      <c r="T113" s="73"/>
      <c r="U113" s="73"/>
      <c r="V113" s="73">
        <f t="shared" si="5"/>
        <v>0</v>
      </c>
    </row>
    <row r="114" spans="1:22" x14ac:dyDescent="0.3">
      <c r="A114" s="74">
        <f>'Entrada datos'!C21</f>
        <v>0</v>
      </c>
      <c r="B114" s="70">
        <f>'Entrada datos'!D21</f>
        <v>0</v>
      </c>
      <c r="C114" s="71">
        <f>'Entrada datos'!G21</f>
        <v>0</v>
      </c>
      <c r="D114" s="71">
        <f>'Entrada datos'!H21</f>
        <v>0</v>
      </c>
      <c r="E114" s="70">
        <f t="shared" si="3"/>
        <v>0</v>
      </c>
      <c r="F114" s="64" t="e">
        <f t="shared" si="4"/>
        <v>#REF!</v>
      </c>
      <c r="G114" s="70">
        <f>'Entrada datos'!P21</f>
        <v>0</v>
      </c>
      <c r="H114" s="70">
        <f>'Entrada datos'!Q21</f>
        <v>0</v>
      </c>
      <c r="I114" s="70">
        <f>'Entrada datos'!R21</f>
        <v>0</v>
      </c>
      <c r="J114" s="70">
        <f>'Entrada datos'!S21</f>
        <v>0</v>
      </c>
      <c r="K114" s="70">
        <f>'Entrada datos'!T21</f>
        <v>0</v>
      </c>
      <c r="L114" s="70">
        <f>'Entrada datos'!U21</f>
        <v>0</v>
      </c>
      <c r="M114" s="72"/>
      <c r="N114" s="72"/>
      <c r="O114" s="72"/>
      <c r="P114" s="72"/>
      <c r="Q114" s="72"/>
      <c r="R114" s="72"/>
      <c r="S114" s="73" t="s">
        <v>73</v>
      </c>
      <c r="T114" s="73"/>
      <c r="U114" s="73"/>
      <c r="V114" s="73">
        <f t="shared" si="5"/>
        <v>0</v>
      </c>
    </row>
    <row r="115" spans="1:22" x14ac:dyDescent="0.3">
      <c r="A115" s="74">
        <f>'Entrada datos'!C22</f>
        <v>0</v>
      </c>
      <c r="B115" s="70">
        <f>'Entrada datos'!D22</f>
        <v>0</v>
      </c>
      <c r="C115" s="71">
        <f>'Entrada datos'!G22</f>
        <v>0</v>
      </c>
      <c r="D115" s="71">
        <f>'Entrada datos'!H22</f>
        <v>0</v>
      </c>
      <c r="E115" s="70">
        <f t="shared" si="3"/>
        <v>0</v>
      </c>
      <c r="F115" s="64" t="e">
        <f t="shared" si="4"/>
        <v>#REF!</v>
      </c>
      <c r="G115" s="70">
        <f>'Entrada datos'!P22</f>
        <v>0</v>
      </c>
      <c r="H115" s="70">
        <f>'Entrada datos'!Q22</f>
        <v>0</v>
      </c>
      <c r="I115" s="70">
        <f>'Entrada datos'!R22</f>
        <v>0</v>
      </c>
      <c r="J115" s="70">
        <f>'Entrada datos'!S22</f>
        <v>0</v>
      </c>
      <c r="K115" s="70">
        <f>'Entrada datos'!T22</f>
        <v>0</v>
      </c>
      <c r="L115" s="70">
        <f>'Entrada datos'!U22</f>
        <v>0</v>
      </c>
      <c r="M115" s="72"/>
      <c r="N115" s="72"/>
      <c r="O115" s="72"/>
      <c r="P115" s="72"/>
      <c r="Q115" s="72"/>
      <c r="R115" s="72"/>
      <c r="S115" s="73" t="s">
        <v>73</v>
      </c>
      <c r="T115" s="73"/>
      <c r="U115" s="73"/>
      <c r="V115" s="73">
        <f t="shared" si="5"/>
        <v>0</v>
      </c>
    </row>
    <row r="116" spans="1:22" x14ac:dyDescent="0.3">
      <c r="A116" s="74">
        <f>'Entrada datos'!C23</f>
        <v>0</v>
      </c>
      <c r="B116" s="70">
        <f>'Entrada datos'!D23</f>
        <v>0</v>
      </c>
      <c r="C116" s="71">
        <f>'Entrada datos'!G23</f>
        <v>0</v>
      </c>
      <c r="D116" s="71">
        <f>'Entrada datos'!H23</f>
        <v>0</v>
      </c>
      <c r="E116" s="70">
        <f t="shared" si="3"/>
        <v>0</v>
      </c>
      <c r="F116" s="64" t="e">
        <f t="shared" si="4"/>
        <v>#REF!</v>
      </c>
      <c r="G116" s="70">
        <f>'Entrada datos'!P23</f>
        <v>0</v>
      </c>
      <c r="H116" s="70">
        <f>'Entrada datos'!Q23</f>
        <v>0</v>
      </c>
      <c r="I116" s="70">
        <f>'Entrada datos'!R23</f>
        <v>0</v>
      </c>
      <c r="J116" s="70">
        <f>'Entrada datos'!S23</f>
        <v>0</v>
      </c>
      <c r="K116" s="70">
        <f>'Entrada datos'!T23</f>
        <v>0</v>
      </c>
      <c r="L116" s="70">
        <f>'Entrada datos'!U23</f>
        <v>0</v>
      </c>
      <c r="M116" s="72"/>
      <c r="N116" s="72"/>
      <c r="O116" s="72"/>
      <c r="P116" s="72"/>
      <c r="Q116" s="72"/>
      <c r="R116" s="72"/>
      <c r="S116" s="73" t="s">
        <v>73</v>
      </c>
      <c r="T116" s="73"/>
      <c r="U116" s="73"/>
      <c r="V116" s="73">
        <f t="shared" si="5"/>
        <v>0</v>
      </c>
    </row>
    <row r="117" spans="1:22" x14ac:dyDescent="0.3">
      <c r="A117" s="74">
        <f>'Entrada datos'!C24</f>
        <v>0</v>
      </c>
      <c r="B117" s="70">
        <f>'Entrada datos'!D24</f>
        <v>0</v>
      </c>
      <c r="C117" s="71">
        <f>'Entrada datos'!G24</f>
        <v>0</v>
      </c>
      <c r="D117" s="71">
        <f>'Entrada datos'!H24</f>
        <v>0</v>
      </c>
      <c r="E117" s="70">
        <f t="shared" si="3"/>
        <v>0</v>
      </c>
      <c r="F117" s="64" t="e">
        <f t="shared" si="4"/>
        <v>#REF!</v>
      </c>
      <c r="G117" s="70">
        <f>'Entrada datos'!P24</f>
        <v>0</v>
      </c>
      <c r="H117" s="70">
        <f>'Entrada datos'!Q24</f>
        <v>0</v>
      </c>
      <c r="I117" s="70">
        <f>'Entrada datos'!R24</f>
        <v>0</v>
      </c>
      <c r="J117" s="70">
        <f>'Entrada datos'!S24</f>
        <v>0</v>
      </c>
      <c r="K117" s="70">
        <f>'Entrada datos'!T24</f>
        <v>0</v>
      </c>
      <c r="L117" s="70">
        <f>'Entrada datos'!U24</f>
        <v>0</v>
      </c>
      <c r="M117" s="72"/>
      <c r="N117" s="72"/>
      <c r="O117" s="72"/>
      <c r="P117" s="72"/>
      <c r="Q117" s="72"/>
      <c r="R117" s="72"/>
      <c r="S117" s="73" t="s">
        <v>73</v>
      </c>
      <c r="T117" s="73"/>
      <c r="U117" s="73"/>
      <c r="V117" s="73">
        <f t="shared" si="5"/>
        <v>0</v>
      </c>
    </row>
    <row r="118" spans="1:22" x14ac:dyDescent="0.3">
      <c r="A118" s="74">
        <f>'Entrada datos'!C25</f>
        <v>0</v>
      </c>
      <c r="B118" s="70">
        <f>'Entrada datos'!D25</f>
        <v>0</v>
      </c>
      <c r="C118" s="71">
        <f>'Entrada datos'!G25</f>
        <v>0</v>
      </c>
      <c r="D118" s="71">
        <f>'Entrada datos'!H25</f>
        <v>0</v>
      </c>
      <c r="E118" s="70">
        <f t="shared" si="3"/>
        <v>0</v>
      </c>
      <c r="F118" s="64" t="e">
        <f t="shared" si="4"/>
        <v>#REF!</v>
      </c>
      <c r="G118" s="70">
        <f>'Entrada datos'!P25</f>
        <v>0</v>
      </c>
      <c r="H118" s="70">
        <f>'Entrada datos'!Q25</f>
        <v>0</v>
      </c>
      <c r="I118" s="70">
        <f>'Entrada datos'!R25</f>
        <v>0</v>
      </c>
      <c r="J118" s="70">
        <f>'Entrada datos'!S25</f>
        <v>0</v>
      </c>
      <c r="K118" s="70">
        <f>'Entrada datos'!T25</f>
        <v>0</v>
      </c>
      <c r="L118" s="70">
        <f>'Entrada datos'!U25</f>
        <v>0</v>
      </c>
      <c r="M118" s="72"/>
      <c r="N118" s="72"/>
      <c r="O118" s="72"/>
      <c r="P118" s="72"/>
      <c r="Q118" s="72"/>
      <c r="R118" s="72"/>
      <c r="S118" s="73" t="s">
        <v>73</v>
      </c>
      <c r="T118" s="73"/>
      <c r="U118" s="73"/>
      <c r="V118" s="73">
        <f t="shared" si="5"/>
        <v>0</v>
      </c>
    </row>
    <row r="119" spans="1:22" x14ac:dyDescent="0.3">
      <c r="A119" s="74">
        <f>'Entrada datos'!C26</f>
        <v>0</v>
      </c>
      <c r="B119" s="70">
        <f>'Entrada datos'!D26</f>
        <v>0</v>
      </c>
      <c r="C119" s="71">
        <f>'Entrada datos'!G26</f>
        <v>0</v>
      </c>
      <c r="D119" s="71">
        <f>'Entrada datos'!H26</f>
        <v>0</v>
      </c>
      <c r="E119" s="70">
        <f t="shared" si="3"/>
        <v>0</v>
      </c>
      <c r="F119" s="64" t="e">
        <f t="shared" si="4"/>
        <v>#REF!</v>
      </c>
      <c r="G119" s="70">
        <f>'Entrada datos'!P26</f>
        <v>0</v>
      </c>
      <c r="H119" s="70">
        <f>'Entrada datos'!Q26</f>
        <v>0</v>
      </c>
      <c r="I119" s="70">
        <f>'Entrada datos'!R26</f>
        <v>0</v>
      </c>
      <c r="J119" s="70">
        <f>'Entrada datos'!S26</f>
        <v>0</v>
      </c>
      <c r="K119" s="70">
        <f>'Entrada datos'!T26</f>
        <v>0</v>
      </c>
      <c r="L119" s="70">
        <f>'Entrada datos'!U26</f>
        <v>0</v>
      </c>
      <c r="M119" s="72"/>
      <c r="N119" s="72"/>
      <c r="O119" s="72"/>
      <c r="P119" s="72"/>
      <c r="Q119" s="72"/>
      <c r="R119" s="72"/>
      <c r="S119" s="73" t="s">
        <v>73</v>
      </c>
      <c r="T119" s="73"/>
      <c r="U119" s="73"/>
      <c r="V119" s="73">
        <f t="shared" si="5"/>
        <v>0</v>
      </c>
    </row>
    <row r="120" spans="1:22" x14ac:dyDescent="0.3">
      <c r="A120" s="74">
        <f>'Entrada datos'!C27</f>
        <v>0</v>
      </c>
      <c r="B120" s="70">
        <f>'Entrada datos'!D27</f>
        <v>0</v>
      </c>
      <c r="C120" s="71">
        <f>'Entrada datos'!G27</f>
        <v>0</v>
      </c>
      <c r="D120" s="71">
        <f>'Entrada datos'!H27</f>
        <v>0</v>
      </c>
      <c r="E120" s="70">
        <f t="shared" si="3"/>
        <v>0</v>
      </c>
      <c r="F120" s="64" t="e">
        <f t="shared" si="4"/>
        <v>#REF!</v>
      </c>
      <c r="G120" s="70">
        <f>'Entrada datos'!P27</f>
        <v>0</v>
      </c>
      <c r="H120" s="70">
        <f>'Entrada datos'!Q27</f>
        <v>0</v>
      </c>
      <c r="I120" s="70">
        <f>'Entrada datos'!R27</f>
        <v>0</v>
      </c>
      <c r="J120" s="70">
        <f>'Entrada datos'!S27</f>
        <v>0</v>
      </c>
      <c r="K120" s="70">
        <f>'Entrada datos'!T27</f>
        <v>0</v>
      </c>
      <c r="L120" s="70">
        <f>'Entrada datos'!U27</f>
        <v>0</v>
      </c>
      <c r="M120" s="72"/>
      <c r="N120" s="72"/>
      <c r="O120" s="72"/>
      <c r="P120" s="72"/>
      <c r="Q120" s="72"/>
      <c r="R120" s="72"/>
      <c r="S120" s="73" t="s">
        <v>73</v>
      </c>
      <c r="T120" s="73"/>
      <c r="U120" s="73"/>
      <c r="V120" s="73">
        <f t="shared" si="5"/>
        <v>0</v>
      </c>
    </row>
    <row r="121" spans="1:22" x14ac:dyDescent="0.3">
      <c r="A121" s="74">
        <f>'Entrada datos'!C28</f>
        <v>0</v>
      </c>
      <c r="B121" s="70">
        <f>'Entrada datos'!D28</f>
        <v>0</v>
      </c>
      <c r="C121" s="71">
        <f>'Entrada datos'!G28</f>
        <v>0</v>
      </c>
      <c r="D121" s="71">
        <f>'Entrada datos'!H28</f>
        <v>0</v>
      </c>
      <c r="E121" s="70">
        <f t="shared" si="3"/>
        <v>0</v>
      </c>
      <c r="F121" s="64" t="e">
        <f t="shared" si="4"/>
        <v>#REF!</v>
      </c>
      <c r="G121" s="70">
        <f>'Entrada datos'!P28</f>
        <v>0</v>
      </c>
      <c r="H121" s="70">
        <f>'Entrada datos'!Q28</f>
        <v>0</v>
      </c>
      <c r="I121" s="70">
        <f>'Entrada datos'!R28</f>
        <v>0</v>
      </c>
      <c r="J121" s="70">
        <f>'Entrada datos'!S28</f>
        <v>0</v>
      </c>
      <c r="K121" s="70">
        <f>'Entrada datos'!T28</f>
        <v>0</v>
      </c>
      <c r="L121" s="70">
        <f>'Entrada datos'!U28</f>
        <v>0</v>
      </c>
      <c r="M121" s="72"/>
      <c r="N121" s="72"/>
      <c r="O121" s="72"/>
      <c r="P121" s="72"/>
      <c r="Q121" s="72"/>
      <c r="R121" s="72"/>
      <c r="S121" s="73" t="s">
        <v>73</v>
      </c>
      <c r="T121" s="73"/>
      <c r="U121" s="73"/>
      <c r="V121" s="73">
        <f t="shared" si="5"/>
        <v>0</v>
      </c>
    </row>
    <row r="122" spans="1:22" x14ac:dyDescent="0.3">
      <c r="A122" s="74">
        <f>'Entrada datos'!C29</f>
        <v>0</v>
      </c>
      <c r="B122" s="70">
        <f>'Entrada datos'!D29</f>
        <v>0</v>
      </c>
      <c r="C122" s="71">
        <f>'Entrada datos'!G29</f>
        <v>0</v>
      </c>
      <c r="D122" s="71">
        <f>'Entrada datos'!H29</f>
        <v>0</v>
      </c>
      <c r="E122" s="70">
        <f t="shared" si="3"/>
        <v>0</v>
      </c>
      <c r="F122" s="64" t="e">
        <f t="shared" si="4"/>
        <v>#REF!</v>
      </c>
      <c r="G122" s="70">
        <f>'Entrada datos'!P29</f>
        <v>0</v>
      </c>
      <c r="H122" s="70">
        <f>'Entrada datos'!Q29</f>
        <v>0</v>
      </c>
      <c r="I122" s="70">
        <f>'Entrada datos'!R29</f>
        <v>0</v>
      </c>
      <c r="J122" s="70">
        <f>'Entrada datos'!S29</f>
        <v>0</v>
      </c>
      <c r="K122" s="70">
        <f>'Entrada datos'!T29</f>
        <v>0</v>
      </c>
      <c r="L122" s="70">
        <f>'Entrada datos'!U29</f>
        <v>0</v>
      </c>
      <c r="M122" s="72"/>
      <c r="N122" s="72"/>
      <c r="O122" s="72"/>
      <c r="P122" s="72"/>
      <c r="Q122" s="72"/>
      <c r="R122" s="72"/>
      <c r="S122" s="73" t="s">
        <v>73</v>
      </c>
      <c r="T122" s="73"/>
      <c r="U122" s="73"/>
      <c r="V122" s="73">
        <f t="shared" si="5"/>
        <v>0</v>
      </c>
    </row>
    <row r="123" spans="1:22" x14ac:dyDescent="0.3">
      <c r="A123" s="74">
        <f>'Entrada datos'!C30</f>
        <v>0</v>
      </c>
      <c r="B123" s="70">
        <f>'Entrada datos'!D30</f>
        <v>0</v>
      </c>
      <c r="C123" s="71">
        <f>'Entrada datos'!G30</f>
        <v>0</v>
      </c>
      <c r="D123" s="71">
        <f>'Entrada datos'!H30</f>
        <v>0</v>
      </c>
      <c r="E123" s="70">
        <f t="shared" si="3"/>
        <v>0</v>
      </c>
      <c r="F123" s="64" t="e">
        <f t="shared" si="4"/>
        <v>#REF!</v>
      </c>
      <c r="G123" s="70">
        <f>'Entrada datos'!P30</f>
        <v>0</v>
      </c>
      <c r="H123" s="70">
        <f>'Entrada datos'!Q30</f>
        <v>0</v>
      </c>
      <c r="I123" s="70">
        <f>'Entrada datos'!R30</f>
        <v>0</v>
      </c>
      <c r="J123" s="70">
        <f>'Entrada datos'!S30</f>
        <v>0</v>
      </c>
      <c r="K123" s="70">
        <f>'Entrada datos'!T30</f>
        <v>0</v>
      </c>
      <c r="L123" s="70">
        <f>'Entrada datos'!U30</f>
        <v>0</v>
      </c>
      <c r="M123" s="72"/>
      <c r="N123" s="72"/>
      <c r="O123" s="72"/>
      <c r="P123" s="72"/>
      <c r="Q123" s="72"/>
      <c r="R123" s="72"/>
      <c r="S123" s="73" t="s">
        <v>73</v>
      </c>
      <c r="T123" s="73"/>
      <c r="U123" s="73"/>
      <c r="V123" s="73">
        <f t="shared" si="5"/>
        <v>0</v>
      </c>
    </row>
    <row r="124" spans="1:22" x14ac:dyDescent="0.3">
      <c r="A124" s="74">
        <f>'Entrada datos'!C31</f>
        <v>0</v>
      </c>
      <c r="B124" s="70">
        <f>'Entrada datos'!D31</f>
        <v>0</v>
      </c>
      <c r="C124" s="71">
        <f>'Entrada datos'!G31</f>
        <v>0</v>
      </c>
      <c r="D124" s="71">
        <f>'Entrada datos'!H31</f>
        <v>0</v>
      </c>
      <c r="E124" s="70">
        <f t="shared" si="3"/>
        <v>0</v>
      </c>
      <c r="F124" s="64" t="e">
        <f t="shared" si="4"/>
        <v>#REF!</v>
      </c>
      <c r="G124" s="70">
        <f>'Entrada datos'!P31</f>
        <v>0</v>
      </c>
      <c r="H124" s="70">
        <f>'Entrada datos'!Q31</f>
        <v>0</v>
      </c>
      <c r="I124" s="70">
        <f>'Entrada datos'!R31</f>
        <v>0</v>
      </c>
      <c r="J124" s="70">
        <f>'Entrada datos'!S31</f>
        <v>0</v>
      </c>
      <c r="K124" s="70">
        <f>'Entrada datos'!T31</f>
        <v>0</v>
      </c>
      <c r="L124" s="70">
        <f>'Entrada datos'!U31</f>
        <v>0</v>
      </c>
      <c r="M124" s="72"/>
      <c r="N124" s="72"/>
      <c r="O124" s="72"/>
      <c r="P124" s="72"/>
      <c r="Q124" s="72"/>
      <c r="R124" s="72"/>
      <c r="S124" s="73" t="s">
        <v>73</v>
      </c>
      <c r="T124" s="73"/>
      <c r="U124" s="73"/>
      <c r="V124" s="73">
        <f t="shared" si="5"/>
        <v>0</v>
      </c>
    </row>
    <row r="125" spans="1:22" x14ac:dyDescent="0.3">
      <c r="A125" s="74">
        <f>'Entrada datos'!C32</f>
        <v>0</v>
      </c>
      <c r="B125" s="70">
        <f>'Entrada datos'!D32</f>
        <v>0</v>
      </c>
      <c r="C125" s="71">
        <f>'Entrada datos'!G32</f>
        <v>0</v>
      </c>
      <c r="D125" s="71">
        <f>'Entrada datos'!H32</f>
        <v>0</v>
      </c>
      <c r="E125" s="70">
        <f t="shared" si="3"/>
        <v>0</v>
      </c>
      <c r="F125" s="64" t="e">
        <f t="shared" si="4"/>
        <v>#REF!</v>
      </c>
      <c r="G125" s="70">
        <f>'Entrada datos'!P32</f>
        <v>0</v>
      </c>
      <c r="H125" s="70">
        <f>'Entrada datos'!Q32</f>
        <v>0</v>
      </c>
      <c r="I125" s="70">
        <f>'Entrada datos'!R32</f>
        <v>0</v>
      </c>
      <c r="J125" s="70">
        <f>'Entrada datos'!S32</f>
        <v>0</v>
      </c>
      <c r="K125" s="70">
        <f>'Entrada datos'!T32</f>
        <v>0</v>
      </c>
      <c r="L125" s="70">
        <f>'Entrada datos'!U32</f>
        <v>0</v>
      </c>
      <c r="M125" s="72"/>
      <c r="N125" s="72"/>
      <c r="O125" s="72"/>
      <c r="P125" s="72"/>
      <c r="Q125" s="72"/>
      <c r="R125" s="72"/>
      <c r="S125" s="73" t="s">
        <v>73</v>
      </c>
      <c r="T125" s="73"/>
      <c r="U125" s="73"/>
      <c r="V125" s="73">
        <f t="shared" si="5"/>
        <v>0</v>
      </c>
    </row>
    <row r="126" spans="1:22" x14ac:dyDescent="0.3">
      <c r="A126" s="74">
        <f>'Entrada datos'!C33</f>
        <v>0</v>
      </c>
      <c r="B126" s="70">
        <f>'Entrada datos'!D33</f>
        <v>0</v>
      </c>
      <c r="C126" s="71">
        <f>'Entrada datos'!G33</f>
        <v>0</v>
      </c>
      <c r="D126" s="71">
        <f>'Entrada datos'!H33</f>
        <v>0</v>
      </c>
      <c r="E126" s="70">
        <f t="shared" si="3"/>
        <v>0</v>
      </c>
      <c r="F126" s="64" t="e">
        <f t="shared" si="4"/>
        <v>#REF!</v>
      </c>
      <c r="G126" s="70">
        <f>'Entrada datos'!P33</f>
        <v>0</v>
      </c>
      <c r="H126" s="70">
        <f>'Entrada datos'!Q33</f>
        <v>0</v>
      </c>
      <c r="I126" s="70">
        <f>'Entrada datos'!R33</f>
        <v>0</v>
      </c>
      <c r="J126" s="70">
        <f>'Entrada datos'!S33</f>
        <v>0</v>
      </c>
      <c r="K126" s="70">
        <f>'Entrada datos'!T33</f>
        <v>0</v>
      </c>
      <c r="L126" s="70">
        <f>'Entrada datos'!U33</f>
        <v>0</v>
      </c>
      <c r="M126" s="72"/>
      <c r="N126" s="72"/>
      <c r="O126" s="72"/>
      <c r="P126" s="72"/>
      <c r="Q126" s="72"/>
      <c r="R126" s="72"/>
      <c r="S126" s="73" t="s">
        <v>73</v>
      </c>
      <c r="T126" s="73"/>
      <c r="U126" s="73"/>
      <c r="V126" s="73">
        <f t="shared" si="5"/>
        <v>0</v>
      </c>
    </row>
    <row r="127" spans="1:22" x14ac:dyDescent="0.3">
      <c r="A127" s="74">
        <f>'Entrada datos'!C34</f>
        <v>0</v>
      </c>
      <c r="B127" s="70">
        <f>'Entrada datos'!D34</f>
        <v>0</v>
      </c>
      <c r="C127" s="71">
        <f>'Entrada datos'!G34</f>
        <v>0</v>
      </c>
      <c r="D127" s="71">
        <f>'Entrada datos'!H34</f>
        <v>0</v>
      </c>
      <c r="E127" s="70">
        <f t="shared" si="3"/>
        <v>0</v>
      </c>
      <c r="F127" s="64" t="e">
        <f t="shared" si="4"/>
        <v>#REF!</v>
      </c>
      <c r="G127" s="70">
        <f>'Entrada datos'!P34</f>
        <v>0</v>
      </c>
      <c r="H127" s="70">
        <f>'Entrada datos'!Q34</f>
        <v>0</v>
      </c>
      <c r="I127" s="70">
        <f>'Entrada datos'!R34</f>
        <v>0</v>
      </c>
      <c r="J127" s="70">
        <f>'Entrada datos'!S34</f>
        <v>0</v>
      </c>
      <c r="K127" s="70">
        <f>'Entrada datos'!T34</f>
        <v>0</v>
      </c>
      <c r="L127" s="70">
        <f>'Entrada datos'!U34</f>
        <v>0</v>
      </c>
      <c r="M127" s="72"/>
      <c r="N127" s="72"/>
      <c r="O127" s="72"/>
      <c r="P127" s="72"/>
      <c r="Q127" s="72"/>
      <c r="R127" s="72"/>
      <c r="S127" s="73" t="s">
        <v>73</v>
      </c>
      <c r="T127" s="73"/>
      <c r="U127" s="73"/>
      <c r="V127" s="73">
        <f t="shared" si="5"/>
        <v>0</v>
      </c>
    </row>
    <row r="128" spans="1:22" x14ac:dyDescent="0.3">
      <c r="A128" s="74">
        <f>'Entrada datos'!C35</f>
        <v>0</v>
      </c>
      <c r="B128" s="70">
        <f>'Entrada datos'!D35</f>
        <v>0</v>
      </c>
      <c r="C128" s="71">
        <f>'Entrada datos'!G35</f>
        <v>0</v>
      </c>
      <c r="D128" s="71">
        <f>'Entrada datos'!H35</f>
        <v>0</v>
      </c>
      <c r="E128" s="70">
        <f t="shared" si="3"/>
        <v>0</v>
      </c>
      <c r="F128" s="64" t="e">
        <f t="shared" si="4"/>
        <v>#REF!</v>
      </c>
      <c r="G128" s="70">
        <f>'Entrada datos'!P35</f>
        <v>0</v>
      </c>
      <c r="H128" s="70">
        <f>'Entrada datos'!Q35</f>
        <v>0</v>
      </c>
      <c r="I128" s="70">
        <f>'Entrada datos'!R35</f>
        <v>0</v>
      </c>
      <c r="J128" s="70">
        <f>'Entrada datos'!S35</f>
        <v>0</v>
      </c>
      <c r="K128" s="70">
        <f>'Entrada datos'!T35</f>
        <v>0</v>
      </c>
      <c r="L128" s="70">
        <f>'Entrada datos'!U35</f>
        <v>0</v>
      </c>
      <c r="M128" s="72"/>
      <c r="N128" s="72"/>
      <c r="O128" s="72"/>
      <c r="P128" s="72"/>
      <c r="Q128" s="72"/>
      <c r="R128" s="72"/>
      <c r="S128" s="73" t="s">
        <v>73</v>
      </c>
      <c r="T128" s="73"/>
      <c r="U128" s="73"/>
      <c r="V128" s="73">
        <f t="shared" si="5"/>
        <v>0</v>
      </c>
    </row>
    <row r="129" spans="1:22" x14ac:dyDescent="0.3">
      <c r="A129" s="74">
        <f>'Entrada datos'!C36</f>
        <v>0</v>
      </c>
      <c r="B129" s="70">
        <f>'Entrada datos'!D36</f>
        <v>0</v>
      </c>
      <c r="C129" s="71">
        <f>'Entrada datos'!G36</f>
        <v>0</v>
      </c>
      <c r="D129" s="71">
        <f>'Entrada datos'!H36</f>
        <v>0</v>
      </c>
      <c r="E129" s="70">
        <f t="shared" si="3"/>
        <v>0</v>
      </c>
      <c r="F129" s="64" t="e">
        <f t="shared" si="4"/>
        <v>#REF!</v>
      </c>
      <c r="G129" s="70">
        <f>'Entrada datos'!P36</f>
        <v>0</v>
      </c>
      <c r="H129" s="70">
        <f>'Entrada datos'!Q36</f>
        <v>0</v>
      </c>
      <c r="I129" s="70">
        <f>'Entrada datos'!R36</f>
        <v>0</v>
      </c>
      <c r="J129" s="70">
        <f>'Entrada datos'!S36</f>
        <v>0</v>
      </c>
      <c r="K129" s="70">
        <f>'Entrada datos'!T36</f>
        <v>0</v>
      </c>
      <c r="L129" s="70">
        <f>'Entrada datos'!U36</f>
        <v>0</v>
      </c>
      <c r="M129" s="72"/>
      <c r="N129" s="72"/>
      <c r="O129" s="72"/>
      <c r="P129" s="72"/>
      <c r="Q129" s="72"/>
      <c r="R129" s="72"/>
      <c r="S129" s="73" t="s">
        <v>73</v>
      </c>
      <c r="T129" s="73"/>
      <c r="U129" s="73"/>
      <c r="V129" s="73">
        <f t="shared" si="5"/>
        <v>0</v>
      </c>
    </row>
    <row r="130" spans="1:22" x14ac:dyDescent="0.3">
      <c r="A130" s="74">
        <f>'Entrada datos'!C37</f>
        <v>0</v>
      </c>
      <c r="B130" s="70">
        <f>'Entrada datos'!D37</f>
        <v>0</v>
      </c>
      <c r="C130" s="71">
        <f>'Entrada datos'!G37</f>
        <v>0</v>
      </c>
      <c r="D130" s="71">
        <f>'Entrada datos'!H37</f>
        <v>0</v>
      </c>
      <c r="E130" s="70">
        <f t="shared" si="3"/>
        <v>0</v>
      </c>
      <c r="F130" s="64" t="e">
        <f t="shared" si="4"/>
        <v>#REF!</v>
      </c>
      <c r="G130" s="70">
        <f>'Entrada datos'!P37</f>
        <v>0</v>
      </c>
      <c r="H130" s="70">
        <f>'Entrada datos'!Q37</f>
        <v>0</v>
      </c>
      <c r="I130" s="70">
        <f>'Entrada datos'!R37</f>
        <v>0</v>
      </c>
      <c r="J130" s="70">
        <f>'Entrada datos'!S37</f>
        <v>0</v>
      </c>
      <c r="K130" s="70">
        <f>'Entrada datos'!T37</f>
        <v>0</v>
      </c>
      <c r="L130" s="70">
        <f>'Entrada datos'!U37</f>
        <v>0</v>
      </c>
      <c r="M130" s="72"/>
      <c r="N130" s="72"/>
      <c r="O130" s="72"/>
      <c r="P130" s="72"/>
      <c r="Q130" s="72"/>
      <c r="R130" s="72"/>
      <c r="S130" s="73" t="s">
        <v>73</v>
      </c>
      <c r="T130" s="73"/>
      <c r="U130" s="73"/>
      <c r="V130" s="73">
        <f t="shared" si="5"/>
        <v>0</v>
      </c>
    </row>
    <row r="131" spans="1:22" x14ac:dyDescent="0.3">
      <c r="A131" s="74">
        <f>'Entrada datos'!C38</f>
        <v>0</v>
      </c>
      <c r="B131" s="70">
        <f>'Entrada datos'!D38</f>
        <v>0</v>
      </c>
      <c r="C131" s="71">
        <f>'Entrada datos'!G38</f>
        <v>0</v>
      </c>
      <c r="D131" s="71">
        <f>'Entrada datos'!H38</f>
        <v>0</v>
      </c>
      <c r="E131" s="70">
        <f t="shared" si="3"/>
        <v>0</v>
      </c>
      <c r="F131" s="64" t="e">
        <f t="shared" si="4"/>
        <v>#REF!</v>
      </c>
      <c r="G131" s="70">
        <f>'Entrada datos'!P38</f>
        <v>0</v>
      </c>
      <c r="H131" s="70">
        <f>'Entrada datos'!Q38</f>
        <v>0</v>
      </c>
      <c r="I131" s="70">
        <f>'Entrada datos'!R38</f>
        <v>0</v>
      </c>
      <c r="J131" s="70">
        <f>'Entrada datos'!S38</f>
        <v>0</v>
      </c>
      <c r="K131" s="70">
        <f>'Entrada datos'!T38</f>
        <v>0</v>
      </c>
      <c r="L131" s="70">
        <f>'Entrada datos'!U38</f>
        <v>0</v>
      </c>
      <c r="M131" s="72"/>
      <c r="N131" s="72"/>
      <c r="O131" s="72"/>
      <c r="P131" s="72"/>
      <c r="Q131" s="72"/>
      <c r="R131" s="72"/>
      <c r="S131" s="73" t="s">
        <v>73</v>
      </c>
      <c r="T131" s="73"/>
      <c r="U131" s="73"/>
      <c r="V131" s="73">
        <f t="shared" si="5"/>
        <v>0</v>
      </c>
    </row>
    <row r="132" spans="1:22" x14ac:dyDescent="0.3">
      <c r="A132" s="74">
        <f>'Entrada datos'!C39</f>
        <v>0</v>
      </c>
      <c r="B132" s="70">
        <f>'Entrada datos'!D39</f>
        <v>0</v>
      </c>
      <c r="C132" s="71">
        <f>'Entrada datos'!G39</f>
        <v>0</v>
      </c>
      <c r="D132" s="71">
        <f>'Entrada datos'!H39</f>
        <v>0</v>
      </c>
      <c r="E132" s="70">
        <f t="shared" si="3"/>
        <v>0</v>
      </c>
      <c r="F132" s="64" t="e">
        <f t="shared" si="4"/>
        <v>#REF!</v>
      </c>
      <c r="G132" s="70">
        <f>'Entrada datos'!P39</f>
        <v>0</v>
      </c>
      <c r="H132" s="70">
        <f>'Entrada datos'!Q39</f>
        <v>0</v>
      </c>
      <c r="I132" s="70">
        <f>'Entrada datos'!R39</f>
        <v>0</v>
      </c>
      <c r="J132" s="70">
        <f>'Entrada datos'!S39</f>
        <v>0</v>
      </c>
      <c r="K132" s="70">
        <f>'Entrada datos'!T39</f>
        <v>0</v>
      </c>
      <c r="L132" s="70">
        <f>'Entrada datos'!U39</f>
        <v>0</v>
      </c>
      <c r="M132" s="72"/>
      <c r="N132" s="72"/>
      <c r="O132" s="72"/>
      <c r="P132" s="72"/>
      <c r="Q132" s="72"/>
      <c r="R132" s="72"/>
      <c r="S132" s="73" t="s">
        <v>73</v>
      </c>
      <c r="T132" s="73"/>
      <c r="U132" s="73"/>
      <c r="V132" s="73">
        <f t="shared" si="5"/>
        <v>0</v>
      </c>
    </row>
    <row r="133" spans="1:22" x14ac:dyDescent="0.3">
      <c r="A133" s="74">
        <f>'Entrada datos'!C40</f>
        <v>0</v>
      </c>
      <c r="B133" s="70">
        <f>'Entrada datos'!D40</f>
        <v>0</v>
      </c>
      <c r="C133" s="71">
        <f>'Entrada datos'!G40</f>
        <v>0</v>
      </c>
      <c r="D133" s="71">
        <f>'Entrada datos'!H40</f>
        <v>0</v>
      </c>
      <c r="E133" s="70">
        <f t="shared" si="3"/>
        <v>0</v>
      </c>
      <c r="F133" s="64" t="e">
        <f t="shared" si="4"/>
        <v>#REF!</v>
      </c>
      <c r="G133" s="70">
        <f>'Entrada datos'!P40</f>
        <v>0</v>
      </c>
      <c r="H133" s="70">
        <f>'Entrada datos'!Q40</f>
        <v>0</v>
      </c>
      <c r="I133" s="70">
        <f>'Entrada datos'!R40</f>
        <v>0</v>
      </c>
      <c r="J133" s="70">
        <f>'Entrada datos'!S40</f>
        <v>0</v>
      </c>
      <c r="K133" s="70">
        <f>'Entrada datos'!T40</f>
        <v>0</v>
      </c>
      <c r="L133" s="70">
        <f>'Entrada datos'!U40</f>
        <v>0</v>
      </c>
      <c r="M133" s="72"/>
      <c r="N133" s="72"/>
      <c r="O133" s="72"/>
      <c r="P133" s="72"/>
      <c r="Q133" s="72"/>
      <c r="R133" s="72"/>
      <c r="S133" s="73" t="s">
        <v>73</v>
      </c>
      <c r="T133" s="73"/>
      <c r="U133" s="73"/>
      <c r="V133" s="73">
        <f t="shared" si="5"/>
        <v>0</v>
      </c>
    </row>
    <row r="134" spans="1:22" x14ac:dyDescent="0.3">
      <c r="A134" s="74">
        <f>'Entrada datos'!C41</f>
        <v>0</v>
      </c>
      <c r="B134" s="70">
        <f>'Entrada datos'!D41</f>
        <v>0</v>
      </c>
      <c r="C134" s="71">
        <f>'Entrada datos'!G41</f>
        <v>0</v>
      </c>
      <c r="D134" s="71">
        <f>'Entrada datos'!H41</f>
        <v>0</v>
      </c>
      <c r="E134" s="70">
        <f t="shared" ref="E134:E197" si="6">D134-C134</f>
        <v>0</v>
      </c>
      <c r="F134" s="64" t="e">
        <f t="shared" ref="F134:F197" si="7">IF(D134&lt;=$C$2,"no procede","Refacturar")</f>
        <v>#REF!</v>
      </c>
      <c r="G134" s="70">
        <f>'Entrada datos'!P41</f>
        <v>0</v>
      </c>
      <c r="H134" s="70">
        <f>'Entrada datos'!Q41</f>
        <v>0</v>
      </c>
      <c r="I134" s="70">
        <f>'Entrada datos'!R41</f>
        <v>0</v>
      </c>
      <c r="J134" s="70">
        <f>'Entrada datos'!S41</f>
        <v>0</v>
      </c>
      <c r="K134" s="70">
        <f>'Entrada datos'!T41</f>
        <v>0</v>
      </c>
      <c r="L134" s="70">
        <f>'Entrada datos'!U41</f>
        <v>0</v>
      </c>
      <c r="M134" s="72"/>
      <c r="N134" s="72"/>
      <c r="O134" s="72"/>
      <c r="P134" s="72"/>
      <c r="Q134" s="72"/>
      <c r="R134" s="72"/>
      <c r="S134" s="73" t="s">
        <v>73</v>
      </c>
      <c r="T134" s="73"/>
      <c r="U134" s="73"/>
      <c r="V134" s="73">
        <f t="shared" ref="V134:V197" si="8">SUM(G134:L134)</f>
        <v>0</v>
      </c>
    </row>
    <row r="135" spans="1:22" x14ac:dyDescent="0.3">
      <c r="A135" s="74">
        <f>'Entrada datos'!C42</f>
        <v>0</v>
      </c>
      <c r="B135" s="70">
        <f>'Entrada datos'!D42</f>
        <v>0</v>
      </c>
      <c r="C135" s="71">
        <f>'Entrada datos'!G42</f>
        <v>0</v>
      </c>
      <c r="D135" s="71">
        <f>'Entrada datos'!H42</f>
        <v>0</v>
      </c>
      <c r="E135" s="70">
        <f t="shared" si="6"/>
        <v>0</v>
      </c>
      <c r="F135" s="64" t="e">
        <f t="shared" si="7"/>
        <v>#REF!</v>
      </c>
      <c r="G135" s="70">
        <f>'Entrada datos'!P42</f>
        <v>0</v>
      </c>
      <c r="H135" s="70">
        <f>'Entrada datos'!Q42</f>
        <v>0</v>
      </c>
      <c r="I135" s="70">
        <f>'Entrada datos'!R42</f>
        <v>0</v>
      </c>
      <c r="J135" s="70">
        <f>'Entrada datos'!S42</f>
        <v>0</v>
      </c>
      <c r="K135" s="70">
        <f>'Entrada datos'!T42</f>
        <v>0</v>
      </c>
      <c r="L135" s="70">
        <f>'Entrada datos'!U42</f>
        <v>0</v>
      </c>
      <c r="M135" s="72"/>
      <c r="N135" s="72"/>
      <c r="O135" s="72"/>
      <c r="P135" s="72"/>
      <c r="Q135" s="72"/>
      <c r="R135" s="72"/>
      <c r="S135" s="73" t="s">
        <v>73</v>
      </c>
      <c r="T135" s="73"/>
      <c r="U135" s="73"/>
      <c r="V135" s="73">
        <f t="shared" si="8"/>
        <v>0</v>
      </c>
    </row>
    <row r="136" spans="1:22" x14ac:dyDescent="0.3">
      <c r="A136" s="74">
        <f>'Entrada datos'!C43</f>
        <v>0</v>
      </c>
      <c r="B136" s="70">
        <f>'Entrada datos'!D43</f>
        <v>0</v>
      </c>
      <c r="C136" s="71">
        <f>'Entrada datos'!G43</f>
        <v>0</v>
      </c>
      <c r="D136" s="71">
        <f>'Entrada datos'!H43</f>
        <v>0</v>
      </c>
      <c r="E136" s="70">
        <f t="shared" si="6"/>
        <v>0</v>
      </c>
      <c r="F136" s="64" t="e">
        <f t="shared" si="7"/>
        <v>#REF!</v>
      </c>
      <c r="G136" s="70">
        <f>'Entrada datos'!P43</f>
        <v>0</v>
      </c>
      <c r="H136" s="70">
        <f>'Entrada datos'!Q43</f>
        <v>0</v>
      </c>
      <c r="I136" s="70">
        <f>'Entrada datos'!R43</f>
        <v>0</v>
      </c>
      <c r="J136" s="70">
        <f>'Entrada datos'!S43</f>
        <v>0</v>
      </c>
      <c r="K136" s="70">
        <f>'Entrada datos'!T43</f>
        <v>0</v>
      </c>
      <c r="L136" s="70">
        <f>'Entrada datos'!U43</f>
        <v>0</v>
      </c>
      <c r="M136" s="72"/>
      <c r="N136" s="72"/>
      <c r="O136" s="72"/>
      <c r="P136" s="72"/>
      <c r="Q136" s="72"/>
      <c r="R136" s="72"/>
      <c r="S136" s="73" t="s">
        <v>73</v>
      </c>
      <c r="T136" s="73"/>
      <c r="U136" s="73"/>
      <c r="V136" s="73">
        <f t="shared" si="8"/>
        <v>0</v>
      </c>
    </row>
    <row r="137" spans="1:22" x14ac:dyDescent="0.3">
      <c r="A137" s="74">
        <f>'Entrada datos'!C44</f>
        <v>0</v>
      </c>
      <c r="B137" s="70">
        <f>'Entrada datos'!D44</f>
        <v>0</v>
      </c>
      <c r="C137" s="71">
        <f>'Entrada datos'!G44</f>
        <v>0</v>
      </c>
      <c r="D137" s="71">
        <f>'Entrada datos'!H44</f>
        <v>0</v>
      </c>
      <c r="E137" s="70">
        <f t="shared" si="6"/>
        <v>0</v>
      </c>
      <c r="F137" s="64" t="e">
        <f t="shared" si="7"/>
        <v>#REF!</v>
      </c>
      <c r="G137" s="70">
        <f>'Entrada datos'!P44</f>
        <v>0</v>
      </c>
      <c r="H137" s="70">
        <f>'Entrada datos'!Q44</f>
        <v>0</v>
      </c>
      <c r="I137" s="70">
        <f>'Entrada datos'!R44</f>
        <v>0</v>
      </c>
      <c r="J137" s="70">
        <f>'Entrada datos'!S44</f>
        <v>0</v>
      </c>
      <c r="K137" s="70">
        <f>'Entrada datos'!T44</f>
        <v>0</v>
      </c>
      <c r="L137" s="70">
        <f>'Entrada datos'!U44</f>
        <v>0</v>
      </c>
      <c r="M137" s="72"/>
      <c r="N137" s="72"/>
      <c r="O137" s="72"/>
      <c r="P137" s="72"/>
      <c r="Q137" s="72"/>
      <c r="R137" s="72"/>
      <c r="S137" s="73" t="s">
        <v>73</v>
      </c>
      <c r="T137" s="73"/>
      <c r="U137" s="73"/>
      <c r="V137" s="73">
        <f t="shared" si="8"/>
        <v>0</v>
      </c>
    </row>
    <row r="138" spans="1:22" x14ac:dyDescent="0.3">
      <c r="A138" s="74">
        <f>'Entrada datos'!C45</f>
        <v>0</v>
      </c>
      <c r="B138" s="70">
        <f>'Entrada datos'!D45</f>
        <v>0</v>
      </c>
      <c r="C138" s="71">
        <f>'Entrada datos'!G45</f>
        <v>0</v>
      </c>
      <c r="D138" s="71">
        <f>'Entrada datos'!H45</f>
        <v>0</v>
      </c>
      <c r="E138" s="70">
        <f t="shared" si="6"/>
        <v>0</v>
      </c>
      <c r="F138" s="64" t="e">
        <f t="shared" si="7"/>
        <v>#REF!</v>
      </c>
      <c r="G138" s="70">
        <f>'Entrada datos'!P45</f>
        <v>0</v>
      </c>
      <c r="H138" s="70">
        <f>'Entrada datos'!Q45</f>
        <v>0</v>
      </c>
      <c r="I138" s="70">
        <f>'Entrada datos'!R45</f>
        <v>0</v>
      </c>
      <c r="J138" s="70">
        <f>'Entrada datos'!S45</f>
        <v>0</v>
      </c>
      <c r="K138" s="70">
        <f>'Entrada datos'!T45</f>
        <v>0</v>
      </c>
      <c r="L138" s="70">
        <f>'Entrada datos'!U45</f>
        <v>0</v>
      </c>
      <c r="M138" s="72"/>
      <c r="N138" s="72"/>
      <c r="O138" s="72"/>
      <c r="P138" s="72"/>
      <c r="Q138" s="72"/>
      <c r="R138" s="72"/>
      <c r="S138" s="73" t="s">
        <v>73</v>
      </c>
      <c r="T138" s="73"/>
      <c r="U138" s="73"/>
      <c r="V138" s="73">
        <f t="shared" si="8"/>
        <v>0</v>
      </c>
    </row>
    <row r="139" spans="1:22" x14ac:dyDescent="0.3">
      <c r="A139" s="74">
        <f>'Entrada datos'!C46</f>
        <v>0</v>
      </c>
      <c r="B139" s="70">
        <f>'Entrada datos'!D46</f>
        <v>0</v>
      </c>
      <c r="C139" s="71">
        <f>'Entrada datos'!G46</f>
        <v>0</v>
      </c>
      <c r="D139" s="71">
        <f>'Entrada datos'!H46</f>
        <v>0</v>
      </c>
      <c r="E139" s="70">
        <f t="shared" si="6"/>
        <v>0</v>
      </c>
      <c r="F139" s="64" t="e">
        <f t="shared" si="7"/>
        <v>#REF!</v>
      </c>
      <c r="G139" s="70">
        <f>'Entrada datos'!P46</f>
        <v>0</v>
      </c>
      <c r="H139" s="70">
        <f>'Entrada datos'!Q46</f>
        <v>0</v>
      </c>
      <c r="I139" s="70">
        <f>'Entrada datos'!R46</f>
        <v>0</v>
      </c>
      <c r="J139" s="70">
        <f>'Entrada datos'!S46</f>
        <v>0</v>
      </c>
      <c r="K139" s="70">
        <f>'Entrada datos'!T46</f>
        <v>0</v>
      </c>
      <c r="L139" s="70">
        <f>'Entrada datos'!U46</f>
        <v>0</v>
      </c>
      <c r="M139" s="72"/>
      <c r="N139" s="72"/>
      <c r="O139" s="72"/>
      <c r="P139" s="72"/>
      <c r="Q139" s="72"/>
      <c r="R139" s="72"/>
      <c r="S139" s="73" t="s">
        <v>73</v>
      </c>
      <c r="T139" s="73"/>
      <c r="U139" s="73"/>
      <c r="V139" s="73">
        <f t="shared" si="8"/>
        <v>0</v>
      </c>
    </row>
    <row r="140" spans="1:22" x14ac:dyDescent="0.3">
      <c r="A140" s="74">
        <f>'Entrada datos'!C47</f>
        <v>0</v>
      </c>
      <c r="B140" s="70">
        <f>'Entrada datos'!D47</f>
        <v>0</v>
      </c>
      <c r="C140" s="71">
        <f>'Entrada datos'!G47</f>
        <v>0</v>
      </c>
      <c r="D140" s="71">
        <f>'Entrada datos'!H47</f>
        <v>0</v>
      </c>
      <c r="E140" s="70">
        <f t="shared" si="6"/>
        <v>0</v>
      </c>
      <c r="F140" s="64" t="e">
        <f t="shared" si="7"/>
        <v>#REF!</v>
      </c>
      <c r="G140" s="70">
        <f>'Entrada datos'!P47</f>
        <v>0</v>
      </c>
      <c r="H140" s="70">
        <f>'Entrada datos'!Q47</f>
        <v>0</v>
      </c>
      <c r="I140" s="70">
        <f>'Entrada datos'!R47</f>
        <v>0</v>
      </c>
      <c r="J140" s="70">
        <f>'Entrada datos'!S47</f>
        <v>0</v>
      </c>
      <c r="K140" s="70">
        <f>'Entrada datos'!T47</f>
        <v>0</v>
      </c>
      <c r="L140" s="70">
        <f>'Entrada datos'!U47</f>
        <v>0</v>
      </c>
      <c r="M140" s="72"/>
      <c r="N140" s="72"/>
      <c r="O140" s="72"/>
      <c r="P140" s="72"/>
      <c r="Q140" s="72"/>
      <c r="R140" s="72"/>
      <c r="S140" s="73" t="s">
        <v>73</v>
      </c>
      <c r="T140" s="73"/>
      <c r="U140" s="73"/>
      <c r="V140" s="73">
        <f t="shared" si="8"/>
        <v>0</v>
      </c>
    </row>
    <row r="141" spans="1:22" x14ac:dyDescent="0.3">
      <c r="A141" s="74">
        <f>'Entrada datos'!C48</f>
        <v>0</v>
      </c>
      <c r="B141" s="70">
        <f>'Entrada datos'!D48</f>
        <v>0</v>
      </c>
      <c r="C141" s="71">
        <f>'Entrada datos'!G48</f>
        <v>0</v>
      </c>
      <c r="D141" s="71">
        <f>'Entrada datos'!H48</f>
        <v>0</v>
      </c>
      <c r="E141" s="70">
        <f t="shared" si="6"/>
        <v>0</v>
      </c>
      <c r="F141" s="64" t="e">
        <f t="shared" si="7"/>
        <v>#REF!</v>
      </c>
      <c r="G141" s="70">
        <f>'Entrada datos'!P48</f>
        <v>0</v>
      </c>
      <c r="H141" s="70">
        <f>'Entrada datos'!Q48</f>
        <v>0</v>
      </c>
      <c r="I141" s="70">
        <f>'Entrada datos'!R48</f>
        <v>0</v>
      </c>
      <c r="J141" s="70">
        <f>'Entrada datos'!S48</f>
        <v>0</v>
      </c>
      <c r="K141" s="70">
        <f>'Entrada datos'!T48</f>
        <v>0</v>
      </c>
      <c r="L141" s="70">
        <f>'Entrada datos'!U48</f>
        <v>0</v>
      </c>
      <c r="M141" s="72"/>
      <c r="N141" s="72"/>
      <c r="O141" s="72"/>
      <c r="P141" s="72"/>
      <c r="Q141" s="72"/>
      <c r="R141" s="72"/>
      <c r="S141" s="73" t="s">
        <v>73</v>
      </c>
      <c r="T141" s="73"/>
      <c r="U141" s="73"/>
      <c r="V141" s="73">
        <f t="shared" si="8"/>
        <v>0</v>
      </c>
    </row>
    <row r="142" spans="1:22" x14ac:dyDescent="0.3">
      <c r="A142" s="74">
        <f>'Entrada datos'!C49</f>
        <v>0</v>
      </c>
      <c r="B142" s="70">
        <f>'Entrada datos'!D49</f>
        <v>0</v>
      </c>
      <c r="C142" s="71">
        <f>'Entrada datos'!G49</f>
        <v>0</v>
      </c>
      <c r="D142" s="71">
        <f>'Entrada datos'!H49</f>
        <v>0</v>
      </c>
      <c r="E142" s="70">
        <f t="shared" si="6"/>
        <v>0</v>
      </c>
      <c r="F142" s="64" t="e">
        <f t="shared" si="7"/>
        <v>#REF!</v>
      </c>
      <c r="G142" s="70">
        <f>'Entrada datos'!P49</f>
        <v>0</v>
      </c>
      <c r="H142" s="70">
        <f>'Entrada datos'!Q49</f>
        <v>0</v>
      </c>
      <c r="I142" s="70">
        <f>'Entrada datos'!R49</f>
        <v>0</v>
      </c>
      <c r="J142" s="70">
        <f>'Entrada datos'!S49</f>
        <v>0</v>
      </c>
      <c r="K142" s="70">
        <f>'Entrada datos'!T49</f>
        <v>0</v>
      </c>
      <c r="L142" s="70">
        <f>'Entrada datos'!U49</f>
        <v>0</v>
      </c>
      <c r="M142" s="72"/>
      <c r="N142" s="72"/>
      <c r="O142" s="72"/>
      <c r="P142" s="72"/>
      <c r="Q142" s="72"/>
      <c r="R142" s="72"/>
      <c r="S142" s="73" t="s">
        <v>73</v>
      </c>
      <c r="T142" s="73"/>
      <c r="U142" s="73"/>
      <c r="V142" s="73">
        <f t="shared" si="8"/>
        <v>0</v>
      </c>
    </row>
    <row r="143" spans="1:22" x14ac:dyDescent="0.3">
      <c r="A143" s="74">
        <f>'Entrada datos'!C50</f>
        <v>0</v>
      </c>
      <c r="B143" s="70">
        <f>'Entrada datos'!D50</f>
        <v>0</v>
      </c>
      <c r="C143" s="71">
        <f>'Entrada datos'!G50</f>
        <v>0</v>
      </c>
      <c r="D143" s="71">
        <f>'Entrada datos'!H50</f>
        <v>0</v>
      </c>
      <c r="E143" s="70">
        <f t="shared" si="6"/>
        <v>0</v>
      </c>
      <c r="F143" s="64" t="e">
        <f t="shared" si="7"/>
        <v>#REF!</v>
      </c>
      <c r="G143" s="70">
        <f>'Entrada datos'!P50</f>
        <v>0</v>
      </c>
      <c r="H143" s="70">
        <f>'Entrada datos'!Q50</f>
        <v>0</v>
      </c>
      <c r="I143" s="70">
        <f>'Entrada datos'!R50</f>
        <v>0</v>
      </c>
      <c r="J143" s="70">
        <f>'Entrada datos'!S50</f>
        <v>0</v>
      </c>
      <c r="K143" s="70">
        <f>'Entrada datos'!T50</f>
        <v>0</v>
      </c>
      <c r="L143" s="70">
        <f>'Entrada datos'!U50</f>
        <v>0</v>
      </c>
      <c r="M143" s="72"/>
      <c r="N143" s="72"/>
      <c r="O143" s="72"/>
      <c r="P143" s="72"/>
      <c r="Q143" s="72"/>
      <c r="R143" s="72"/>
      <c r="S143" s="73" t="s">
        <v>73</v>
      </c>
      <c r="T143" s="73"/>
      <c r="U143" s="73"/>
      <c r="V143" s="73">
        <f t="shared" si="8"/>
        <v>0</v>
      </c>
    </row>
    <row r="144" spans="1:22" x14ac:dyDescent="0.3">
      <c r="A144" s="74">
        <f>'Entrada datos'!C51</f>
        <v>0</v>
      </c>
      <c r="B144" s="70">
        <f>'Entrada datos'!D51</f>
        <v>0</v>
      </c>
      <c r="C144" s="71">
        <f>'Entrada datos'!G51</f>
        <v>0</v>
      </c>
      <c r="D144" s="71">
        <f>'Entrada datos'!H51</f>
        <v>0</v>
      </c>
      <c r="E144" s="70">
        <f t="shared" si="6"/>
        <v>0</v>
      </c>
      <c r="F144" s="64" t="e">
        <f t="shared" si="7"/>
        <v>#REF!</v>
      </c>
      <c r="G144" s="70">
        <f>'Entrada datos'!P51</f>
        <v>0</v>
      </c>
      <c r="H144" s="70">
        <f>'Entrada datos'!Q51</f>
        <v>0</v>
      </c>
      <c r="I144" s="70">
        <f>'Entrada datos'!R51</f>
        <v>0</v>
      </c>
      <c r="J144" s="70">
        <f>'Entrada datos'!S51</f>
        <v>0</v>
      </c>
      <c r="K144" s="70">
        <f>'Entrada datos'!T51</f>
        <v>0</v>
      </c>
      <c r="L144" s="70">
        <f>'Entrada datos'!U51</f>
        <v>0</v>
      </c>
      <c r="M144" s="72"/>
      <c r="N144" s="72"/>
      <c r="O144" s="72"/>
      <c r="P144" s="72"/>
      <c r="Q144" s="72"/>
      <c r="R144" s="72"/>
      <c r="S144" s="73" t="s">
        <v>73</v>
      </c>
      <c r="T144" s="73"/>
      <c r="U144" s="73"/>
      <c r="V144" s="73">
        <f t="shared" si="8"/>
        <v>0</v>
      </c>
    </row>
    <row r="145" spans="1:22" x14ac:dyDescent="0.3">
      <c r="A145" s="74">
        <f>'Entrada datos'!C52</f>
        <v>0</v>
      </c>
      <c r="B145" s="70">
        <f>'Entrada datos'!D52</f>
        <v>0</v>
      </c>
      <c r="C145" s="71">
        <f>'Entrada datos'!G52</f>
        <v>0</v>
      </c>
      <c r="D145" s="71">
        <f>'Entrada datos'!H52</f>
        <v>0</v>
      </c>
      <c r="E145" s="70">
        <f t="shared" si="6"/>
        <v>0</v>
      </c>
      <c r="F145" s="64" t="e">
        <f t="shared" si="7"/>
        <v>#REF!</v>
      </c>
      <c r="G145" s="70">
        <f>'Entrada datos'!P52</f>
        <v>0</v>
      </c>
      <c r="H145" s="70">
        <f>'Entrada datos'!Q52</f>
        <v>0</v>
      </c>
      <c r="I145" s="70">
        <f>'Entrada datos'!R52</f>
        <v>0</v>
      </c>
      <c r="J145" s="70">
        <f>'Entrada datos'!S52</f>
        <v>0</v>
      </c>
      <c r="K145" s="70">
        <f>'Entrada datos'!T52</f>
        <v>0</v>
      </c>
      <c r="L145" s="70">
        <f>'Entrada datos'!U52</f>
        <v>0</v>
      </c>
      <c r="M145" s="72"/>
      <c r="N145" s="72"/>
      <c r="O145" s="72"/>
      <c r="P145" s="72"/>
      <c r="Q145" s="72"/>
      <c r="R145" s="72"/>
      <c r="S145" s="73" t="s">
        <v>73</v>
      </c>
      <c r="T145" s="73"/>
      <c r="U145" s="73"/>
      <c r="V145" s="73">
        <f t="shared" si="8"/>
        <v>0</v>
      </c>
    </row>
    <row r="146" spans="1:22" x14ac:dyDescent="0.3">
      <c r="A146" s="74">
        <f>'Entrada datos'!C53</f>
        <v>0</v>
      </c>
      <c r="B146" s="70">
        <f>'Entrada datos'!D53</f>
        <v>0</v>
      </c>
      <c r="C146" s="71">
        <f>'Entrada datos'!G53</f>
        <v>0</v>
      </c>
      <c r="D146" s="71">
        <f>'Entrada datos'!H53</f>
        <v>0</v>
      </c>
      <c r="E146" s="70">
        <f t="shared" si="6"/>
        <v>0</v>
      </c>
      <c r="F146" s="64" t="e">
        <f t="shared" si="7"/>
        <v>#REF!</v>
      </c>
      <c r="G146" s="70">
        <f>'Entrada datos'!P53</f>
        <v>0</v>
      </c>
      <c r="H146" s="70">
        <f>'Entrada datos'!Q53</f>
        <v>0</v>
      </c>
      <c r="I146" s="70">
        <f>'Entrada datos'!R53</f>
        <v>0</v>
      </c>
      <c r="J146" s="70">
        <f>'Entrada datos'!S53</f>
        <v>0</v>
      </c>
      <c r="K146" s="70">
        <f>'Entrada datos'!T53</f>
        <v>0</v>
      </c>
      <c r="L146" s="70">
        <f>'Entrada datos'!U53</f>
        <v>0</v>
      </c>
      <c r="M146" s="72"/>
      <c r="N146" s="72"/>
      <c r="O146" s="72"/>
      <c r="P146" s="72"/>
      <c r="Q146" s="72"/>
      <c r="R146" s="72"/>
      <c r="S146" s="73" t="s">
        <v>73</v>
      </c>
      <c r="T146" s="73"/>
      <c r="U146" s="73"/>
      <c r="V146" s="73">
        <f t="shared" si="8"/>
        <v>0</v>
      </c>
    </row>
    <row r="147" spans="1:22" x14ac:dyDescent="0.3">
      <c r="A147" s="74">
        <f>'Entrada datos'!C54</f>
        <v>0</v>
      </c>
      <c r="B147" s="70">
        <f>'Entrada datos'!D54</f>
        <v>0</v>
      </c>
      <c r="C147" s="71">
        <f>'Entrada datos'!G54</f>
        <v>0</v>
      </c>
      <c r="D147" s="71">
        <f>'Entrada datos'!H54</f>
        <v>0</v>
      </c>
      <c r="E147" s="70">
        <f t="shared" si="6"/>
        <v>0</v>
      </c>
      <c r="F147" s="64" t="e">
        <f t="shared" si="7"/>
        <v>#REF!</v>
      </c>
      <c r="G147" s="70">
        <f>'Entrada datos'!P54</f>
        <v>0</v>
      </c>
      <c r="H147" s="70">
        <f>'Entrada datos'!Q54</f>
        <v>0</v>
      </c>
      <c r="I147" s="70">
        <f>'Entrada datos'!R54</f>
        <v>0</v>
      </c>
      <c r="J147" s="70">
        <f>'Entrada datos'!S54</f>
        <v>0</v>
      </c>
      <c r="K147" s="70">
        <f>'Entrada datos'!T54</f>
        <v>0</v>
      </c>
      <c r="L147" s="70">
        <f>'Entrada datos'!U54</f>
        <v>0</v>
      </c>
      <c r="M147" s="72"/>
      <c r="N147" s="72"/>
      <c r="O147" s="72"/>
      <c r="P147" s="72"/>
      <c r="Q147" s="72"/>
      <c r="R147" s="72"/>
      <c r="S147" s="73" t="s">
        <v>73</v>
      </c>
      <c r="T147" s="73"/>
      <c r="U147" s="73"/>
      <c r="V147" s="73">
        <f t="shared" si="8"/>
        <v>0</v>
      </c>
    </row>
    <row r="148" spans="1:22" x14ac:dyDescent="0.3">
      <c r="A148" s="74">
        <f>'Entrada datos'!C55</f>
        <v>0</v>
      </c>
      <c r="B148" s="70">
        <f>'Entrada datos'!D55</f>
        <v>0</v>
      </c>
      <c r="C148" s="71">
        <f>'Entrada datos'!G55</f>
        <v>0</v>
      </c>
      <c r="D148" s="71">
        <f>'Entrada datos'!H55</f>
        <v>0</v>
      </c>
      <c r="E148" s="70">
        <f t="shared" si="6"/>
        <v>0</v>
      </c>
      <c r="F148" s="64" t="e">
        <f t="shared" si="7"/>
        <v>#REF!</v>
      </c>
      <c r="G148" s="70">
        <f>'Entrada datos'!P55</f>
        <v>0</v>
      </c>
      <c r="H148" s="70">
        <f>'Entrada datos'!Q55</f>
        <v>0</v>
      </c>
      <c r="I148" s="70">
        <f>'Entrada datos'!R55</f>
        <v>0</v>
      </c>
      <c r="J148" s="70">
        <f>'Entrada datos'!S55</f>
        <v>0</v>
      </c>
      <c r="K148" s="70">
        <f>'Entrada datos'!T55</f>
        <v>0</v>
      </c>
      <c r="L148" s="70">
        <f>'Entrada datos'!U55</f>
        <v>0</v>
      </c>
      <c r="M148" s="72"/>
      <c r="N148" s="72"/>
      <c r="O148" s="72"/>
      <c r="P148" s="72"/>
      <c r="Q148" s="72"/>
      <c r="R148" s="72"/>
      <c r="S148" s="73" t="s">
        <v>73</v>
      </c>
      <c r="T148" s="73"/>
      <c r="U148" s="73"/>
      <c r="V148" s="73">
        <f t="shared" si="8"/>
        <v>0</v>
      </c>
    </row>
    <row r="149" spans="1:22" x14ac:dyDescent="0.3">
      <c r="A149" s="74">
        <f>'Entrada datos'!C56</f>
        <v>0</v>
      </c>
      <c r="B149" s="70">
        <f>'Entrada datos'!D56</f>
        <v>0</v>
      </c>
      <c r="C149" s="71">
        <f>'Entrada datos'!G56</f>
        <v>0</v>
      </c>
      <c r="D149" s="71">
        <f>'Entrada datos'!H56</f>
        <v>0</v>
      </c>
      <c r="E149" s="70">
        <f t="shared" si="6"/>
        <v>0</v>
      </c>
      <c r="F149" s="64" t="e">
        <f t="shared" si="7"/>
        <v>#REF!</v>
      </c>
      <c r="G149" s="70">
        <f>'Entrada datos'!P56</f>
        <v>0</v>
      </c>
      <c r="H149" s="70">
        <f>'Entrada datos'!Q56</f>
        <v>0</v>
      </c>
      <c r="I149" s="70">
        <f>'Entrada datos'!R56</f>
        <v>0</v>
      </c>
      <c r="J149" s="70">
        <f>'Entrada datos'!S56</f>
        <v>0</v>
      </c>
      <c r="K149" s="70">
        <f>'Entrada datos'!T56</f>
        <v>0</v>
      </c>
      <c r="L149" s="70">
        <f>'Entrada datos'!U56</f>
        <v>0</v>
      </c>
      <c r="M149" s="72"/>
      <c r="N149" s="72"/>
      <c r="O149" s="72"/>
      <c r="P149" s="72"/>
      <c r="Q149" s="72"/>
      <c r="R149" s="72"/>
      <c r="S149" s="73" t="s">
        <v>73</v>
      </c>
      <c r="T149" s="73"/>
      <c r="U149" s="73"/>
      <c r="V149" s="73">
        <f t="shared" si="8"/>
        <v>0</v>
      </c>
    </row>
    <row r="150" spans="1:22" x14ac:dyDescent="0.3">
      <c r="A150" s="74">
        <f>'Entrada datos'!C57</f>
        <v>0</v>
      </c>
      <c r="B150" s="70">
        <f>'Entrada datos'!D57</f>
        <v>0</v>
      </c>
      <c r="C150" s="71">
        <f>'Entrada datos'!G57</f>
        <v>0</v>
      </c>
      <c r="D150" s="71">
        <f>'Entrada datos'!H57</f>
        <v>0</v>
      </c>
      <c r="E150" s="70">
        <f t="shared" si="6"/>
        <v>0</v>
      </c>
      <c r="F150" s="64" t="e">
        <f t="shared" si="7"/>
        <v>#REF!</v>
      </c>
      <c r="G150" s="70">
        <f>'Entrada datos'!P57</f>
        <v>0</v>
      </c>
      <c r="H150" s="70">
        <f>'Entrada datos'!Q57</f>
        <v>0</v>
      </c>
      <c r="I150" s="70">
        <f>'Entrada datos'!R57</f>
        <v>0</v>
      </c>
      <c r="J150" s="70">
        <f>'Entrada datos'!S57</f>
        <v>0</v>
      </c>
      <c r="K150" s="70">
        <f>'Entrada datos'!T57</f>
        <v>0</v>
      </c>
      <c r="L150" s="70">
        <f>'Entrada datos'!U57</f>
        <v>0</v>
      </c>
      <c r="M150" s="72"/>
      <c r="N150" s="72"/>
      <c r="O150" s="72"/>
      <c r="P150" s="72"/>
      <c r="Q150" s="72"/>
      <c r="R150" s="72"/>
      <c r="S150" s="73" t="s">
        <v>73</v>
      </c>
      <c r="T150" s="73"/>
      <c r="U150" s="73"/>
      <c r="V150" s="73">
        <f t="shared" si="8"/>
        <v>0</v>
      </c>
    </row>
    <row r="151" spans="1:22" x14ac:dyDescent="0.3">
      <c r="A151" s="74">
        <f>'Entrada datos'!C58</f>
        <v>0</v>
      </c>
      <c r="B151" s="70">
        <f>'Entrada datos'!D58</f>
        <v>0</v>
      </c>
      <c r="C151" s="71">
        <f>'Entrada datos'!G58</f>
        <v>0</v>
      </c>
      <c r="D151" s="71">
        <f>'Entrada datos'!H58</f>
        <v>0</v>
      </c>
      <c r="E151" s="70">
        <f t="shared" si="6"/>
        <v>0</v>
      </c>
      <c r="F151" s="64" t="e">
        <f t="shared" si="7"/>
        <v>#REF!</v>
      </c>
      <c r="G151" s="70">
        <f>'Entrada datos'!P58</f>
        <v>0</v>
      </c>
      <c r="H151" s="70">
        <f>'Entrada datos'!Q58</f>
        <v>0</v>
      </c>
      <c r="I151" s="70">
        <f>'Entrada datos'!R58</f>
        <v>0</v>
      </c>
      <c r="J151" s="70">
        <f>'Entrada datos'!S58</f>
        <v>0</v>
      </c>
      <c r="K151" s="70">
        <f>'Entrada datos'!T58</f>
        <v>0</v>
      </c>
      <c r="L151" s="70">
        <f>'Entrada datos'!U58</f>
        <v>0</v>
      </c>
      <c r="M151" s="72"/>
      <c r="N151" s="72"/>
      <c r="O151" s="72"/>
      <c r="P151" s="72"/>
      <c r="Q151" s="72"/>
      <c r="R151" s="72"/>
      <c r="S151" s="73" t="s">
        <v>73</v>
      </c>
      <c r="T151" s="73"/>
      <c r="U151" s="73"/>
      <c r="V151" s="73">
        <f t="shared" si="8"/>
        <v>0</v>
      </c>
    </row>
    <row r="152" spans="1:22" x14ac:dyDescent="0.3">
      <c r="A152" s="74">
        <f>'Entrada datos'!C59</f>
        <v>0</v>
      </c>
      <c r="B152" s="70">
        <f>'Entrada datos'!D59</f>
        <v>0</v>
      </c>
      <c r="C152" s="71">
        <f>'Entrada datos'!G59</f>
        <v>0</v>
      </c>
      <c r="D152" s="71">
        <f>'Entrada datos'!H59</f>
        <v>0</v>
      </c>
      <c r="E152" s="70">
        <f t="shared" si="6"/>
        <v>0</v>
      </c>
      <c r="F152" s="64" t="e">
        <f t="shared" si="7"/>
        <v>#REF!</v>
      </c>
      <c r="G152" s="70">
        <f>'Entrada datos'!P59</f>
        <v>0</v>
      </c>
      <c r="H152" s="70">
        <f>'Entrada datos'!Q59</f>
        <v>0</v>
      </c>
      <c r="I152" s="70">
        <f>'Entrada datos'!R59</f>
        <v>0</v>
      </c>
      <c r="J152" s="70">
        <f>'Entrada datos'!S59</f>
        <v>0</v>
      </c>
      <c r="K152" s="70">
        <f>'Entrada datos'!T59</f>
        <v>0</v>
      </c>
      <c r="L152" s="70">
        <f>'Entrada datos'!U59</f>
        <v>0</v>
      </c>
      <c r="M152" s="72"/>
      <c r="N152" s="72"/>
      <c r="O152" s="72"/>
      <c r="P152" s="72"/>
      <c r="Q152" s="72"/>
      <c r="R152" s="72"/>
      <c r="S152" s="73" t="s">
        <v>73</v>
      </c>
      <c r="T152" s="73"/>
      <c r="U152" s="73"/>
      <c r="V152" s="73">
        <f t="shared" si="8"/>
        <v>0</v>
      </c>
    </row>
    <row r="153" spans="1:22" x14ac:dyDescent="0.3">
      <c r="A153" s="74">
        <f>'Entrada datos'!C60</f>
        <v>0</v>
      </c>
      <c r="B153" s="70">
        <f>'Entrada datos'!D60</f>
        <v>0</v>
      </c>
      <c r="C153" s="71">
        <f>'Entrada datos'!G60</f>
        <v>0</v>
      </c>
      <c r="D153" s="71">
        <f>'Entrada datos'!H60</f>
        <v>0</v>
      </c>
      <c r="E153" s="70">
        <f t="shared" si="6"/>
        <v>0</v>
      </c>
      <c r="F153" s="64" t="e">
        <f t="shared" si="7"/>
        <v>#REF!</v>
      </c>
      <c r="G153" s="70">
        <f>'Entrada datos'!P60</f>
        <v>0</v>
      </c>
      <c r="H153" s="70">
        <f>'Entrada datos'!Q60</f>
        <v>0</v>
      </c>
      <c r="I153" s="70">
        <f>'Entrada datos'!R60</f>
        <v>0</v>
      </c>
      <c r="J153" s="70">
        <f>'Entrada datos'!S60</f>
        <v>0</v>
      </c>
      <c r="K153" s="70">
        <f>'Entrada datos'!T60</f>
        <v>0</v>
      </c>
      <c r="L153" s="70">
        <f>'Entrada datos'!U60</f>
        <v>0</v>
      </c>
      <c r="M153" s="72"/>
      <c r="N153" s="72"/>
      <c r="O153" s="72"/>
      <c r="P153" s="72"/>
      <c r="Q153" s="72"/>
      <c r="R153" s="72"/>
      <c r="S153" s="73" t="s">
        <v>73</v>
      </c>
      <c r="T153" s="73"/>
      <c r="U153" s="73"/>
      <c r="V153" s="73">
        <f t="shared" si="8"/>
        <v>0</v>
      </c>
    </row>
    <row r="154" spans="1:22" x14ac:dyDescent="0.3">
      <c r="A154" s="74">
        <f>'Entrada datos'!C61</f>
        <v>0</v>
      </c>
      <c r="B154" s="70">
        <f>'Entrada datos'!D61</f>
        <v>0</v>
      </c>
      <c r="C154" s="71">
        <f>'Entrada datos'!G61</f>
        <v>0</v>
      </c>
      <c r="D154" s="71">
        <f>'Entrada datos'!H61</f>
        <v>0</v>
      </c>
      <c r="E154" s="70">
        <f t="shared" si="6"/>
        <v>0</v>
      </c>
      <c r="F154" s="64" t="e">
        <f t="shared" si="7"/>
        <v>#REF!</v>
      </c>
      <c r="G154" s="70">
        <f>'Entrada datos'!P61</f>
        <v>0</v>
      </c>
      <c r="H154" s="70">
        <f>'Entrada datos'!Q61</f>
        <v>0</v>
      </c>
      <c r="I154" s="70">
        <f>'Entrada datos'!R61</f>
        <v>0</v>
      </c>
      <c r="J154" s="70">
        <f>'Entrada datos'!S61</f>
        <v>0</v>
      </c>
      <c r="K154" s="70">
        <f>'Entrada datos'!T61</f>
        <v>0</v>
      </c>
      <c r="L154" s="70">
        <f>'Entrada datos'!U61</f>
        <v>0</v>
      </c>
      <c r="M154" s="72"/>
      <c r="N154" s="72"/>
      <c r="O154" s="72"/>
      <c r="P154" s="72"/>
      <c r="Q154" s="72"/>
      <c r="R154" s="72"/>
      <c r="S154" s="73" t="s">
        <v>73</v>
      </c>
      <c r="T154" s="73"/>
      <c r="U154" s="73"/>
      <c r="V154" s="73">
        <f t="shared" si="8"/>
        <v>0</v>
      </c>
    </row>
    <row r="155" spans="1:22" x14ac:dyDescent="0.3">
      <c r="A155" s="74">
        <f>'Entrada datos'!C62</f>
        <v>0</v>
      </c>
      <c r="B155" s="70">
        <f>'Entrada datos'!D62</f>
        <v>0</v>
      </c>
      <c r="C155" s="71">
        <f>'Entrada datos'!G62</f>
        <v>0</v>
      </c>
      <c r="D155" s="71">
        <f>'Entrada datos'!H62</f>
        <v>0</v>
      </c>
      <c r="E155" s="70">
        <f t="shared" si="6"/>
        <v>0</v>
      </c>
      <c r="F155" s="64" t="e">
        <f t="shared" si="7"/>
        <v>#REF!</v>
      </c>
      <c r="G155" s="70">
        <f>'Entrada datos'!P62</f>
        <v>0</v>
      </c>
      <c r="H155" s="70">
        <f>'Entrada datos'!Q62</f>
        <v>0</v>
      </c>
      <c r="I155" s="70">
        <f>'Entrada datos'!R62</f>
        <v>0</v>
      </c>
      <c r="J155" s="70">
        <f>'Entrada datos'!S62</f>
        <v>0</v>
      </c>
      <c r="K155" s="70">
        <f>'Entrada datos'!T62</f>
        <v>0</v>
      </c>
      <c r="L155" s="70">
        <f>'Entrada datos'!U62</f>
        <v>0</v>
      </c>
      <c r="M155" s="72"/>
      <c r="N155" s="72"/>
      <c r="O155" s="72"/>
      <c r="P155" s="72"/>
      <c r="Q155" s="72"/>
      <c r="R155" s="72"/>
      <c r="S155" s="73" t="s">
        <v>73</v>
      </c>
      <c r="T155" s="73"/>
      <c r="U155" s="73"/>
      <c r="V155" s="73">
        <f t="shared" si="8"/>
        <v>0</v>
      </c>
    </row>
    <row r="156" spans="1:22" x14ac:dyDescent="0.3">
      <c r="A156" s="74">
        <f>'Entrada datos'!C63</f>
        <v>0</v>
      </c>
      <c r="B156" s="70">
        <f>'Entrada datos'!D63</f>
        <v>0</v>
      </c>
      <c r="C156" s="71">
        <f>'Entrada datos'!G63</f>
        <v>0</v>
      </c>
      <c r="D156" s="71">
        <f>'Entrada datos'!H63</f>
        <v>0</v>
      </c>
      <c r="E156" s="70">
        <f t="shared" si="6"/>
        <v>0</v>
      </c>
      <c r="F156" s="64" t="e">
        <f t="shared" si="7"/>
        <v>#REF!</v>
      </c>
      <c r="G156" s="70">
        <f>'Entrada datos'!P63</f>
        <v>0</v>
      </c>
      <c r="H156" s="70">
        <f>'Entrada datos'!Q63</f>
        <v>0</v>
      </c>
      <c r="I156" s="70">
        <f>'Entrada datos'!R63</f>
        <v>0</v>
      </c>
      <c r="J156" s="70">
        <f>'Entrada datos'!S63</f>
        <v>0</v>
      </c>
      <c r="K156" s="70">
        <f>'Entrada datos'!T63</f>
        <v>0</v>
      </c>
      <c r="L156" s="70">
        <f>'Entrada datos'!U63</f>
        <v>0</v>
      </c>
      <c r="M156" s="72"/>
      <c r="N156" s="72"/>
      <c r="O156" s="72"/>
      <c r="P156" s="72"/>
      <c r="Q156" s="72"/>
      <c r="R156" s="72"/>
      <c r="S156" s="73" t="s">
        <v>73</v>
      </c>
      <c r="T156" s="73"/>
      <c r="U156" s="73"/>
      <c r="V156" s="73">
        <f t="shared" si="8"/>
        <v>0</v>
      </c>
    </row>
    <row r="157" spans="1:22" x14ac:dyDescent="0.3">
      <c r="A157" s="74">
        <f>'Entrada datos'!C64</f>
        <v>0</v>
      </c>
      <c r="B157" s="70">
        <f>'Entrada datos'!D64</f>
        <v>0</v>
      </c>
      <c r="C157" s="71">
        <f>'Entrada datos'!G64</f>
        <v>0</v>
      </c>
      <c r="D157" s="71">
        <f>'Entrada datos'!H64</f>
        <v>0</v>
      </c>
      <c r="E157" s="70">
        <f t="shared" si="6"/>
        <v>0</v>
      </c>
      <c r="F157" s="64" t="e">
        <f t="shared" si="7"/>
        <v>#REF!</v>
      </c>
      <c r="G157" s="70">
        <f>'Entrada datos'!P64</f>
        <v>0</v>
      </c>
      <c r="H157" s="70">
        <f>'Entrada datos'!Q64</f>
        <v>0</v>
      </c>
      <c r="I157" s="70">
        <f>'Entrada datos'!R64</f>
        <v>0</v>
      </c>
      <c r="J157" s="70">
        <f>'Entrada datos'!S64</f>
        <v>0</v>
      </c>
      <c r="K157" s="70">
        <f>'Entrada datos'!T64</f>
        <v>0</v>
      </c>
      <c r="L157" s="70">
        <f>'Entrada datos'!U64</f>
        <v>0</v>
      </c>
      <c r="M157" s="72"/>
      <c r="N157" s="72"/>
      <c r="O157" s="72"/>
      <c r="P157" s="72"/>
      <c r="Q157" s="72"/>
      <c r="R157" s="72"/>
      <c r="S157" s="73" t="s">
        <v>73</v>
      </c>
      <c r="T157" s="73"/>
      <c r="U157" s="73"/>
      <c r="V157" s="73">
        <f t="shared" si="8"/>
        <v>0</v>
      </c>
    </row>
    <row r="158" spans="1:22" x14ac:dyDescent="0.3">
      <c r="A158" s="74">
        <f>'Entrada datos'!C65</f>
        <v>0</v>
      </c>
      <c r="B158" s="70">
        <f>'Entrada datos'!D65</f>
        <v>0</v>
      </c>
      <c r="C158" s="71">
        <f>'Entrada datos'!G65</f>
        <v>0</v>
      </c>
      <c r="D158" s="71">
        <f>'Entrada datos'!H65</f>
        <v>0</v>
      </c>
      <c r="E158" s="70">
        <f t="shared" si="6"/>
        <v>0</v>
      </c>
      <c r="F158" s="64" t="e">
        <f t="shared" si="7"/>
        <v>#REF!</v>
      </c>
      <c r="G158" s="70">
        <f>'Entrada datos'!P65</f>
        <v>0</v>
      </c>
      <c r="H158" s="70">
        <f>'Entrada datos'!Q65</f>
        <v>0</v>
      </c>
      <c r="I158" s="70">
        <f>'Entrada datos'!R65</f>
        <v>0</v>
      </c>
      <c r="J158" s="70">
        <f>'Entrada datos'!S65</f>
        <v>0</v>
      </c>
      <c r="K158" s="70">
        <f>'Entrada datos'!T65</f>
        <v>0</v>
      </c>
      <c r="L158" s="70">
        <f>'Entrada datos'!U65</f>
        <v>0</v>
      </c>
      <c r="M158" s="72"/>
      <c r="N158" s="72"/>
      <c r="O158" s="72"/>
      <c r="P158" s="72"/>
      <c r="Q158" s="72"/>
      <c r="R158" s="72"/>
      <c r="S158" s="73" t="s">
        <v>73</v>
      </c>
      <c r="T158" s="73"/>
      <c r="U158" s="73"/>
      <c r="V158" s="73">
        <f t="shared" si="8"/>
        <v>0</v>
      </c>
    </row>
    <row r="159" spans="1:22" x14ac:dyDescent="0.3">
      <c r="A159" s="74">
        <f>'Entrada datos'!C66</f>
        <v>0</v>
      </c>
      <c r="B159" s="70">
        <f>'Entrada datos'!D66</f>
        <v>0</v>
      </c>
      <c r="C159" s="71">
        <f>'Entrada datos'!G66</f>
        <v>0</v>
      </c>
      <c r="D159" s="71">
        <f>'Entrada datos'!H66</f>
        <v>0</v>
      </c>
      <c r="E159" s="70">
        <f t="shared" si="6"/>
        <v>0</v>
      </c>
      <c r="F159" s="64" t="e">
        <f t="shared" si="7"/>
        <v>#REF!</v>
      </c>
      <c r="G159" s="70">
        <f>'Entrada datos'!P66</f>
        <v>0</v>
      </c>
      <c r="H159" s="70">
        <f>'Entrada datos'!Q66</f>
        <v>0</v>
      </c>
      <c r="I159" s="70">
        <f>'Entrada datos'!R66</f>
        <v>0</v>
      </c>
      <c r="J159" s="70">
        <f>'Entrada datos'!S66</f>
        <v>0</v>
      </c>
      <c r="K159" s="70">
        <f>'Entrada datos'!T66</f>
        <v>0</v>
      </c>
      <c r="L159" s="70">
        <f>'Entrada datos'!U66</f>
        <v>0</v>
      </c>
      <c r="M159" s="72"/>
      <c r="N159" s="72"/>
      <c r="O159" s="72"/>
      <c r="P159" s="72"/>
      <c r="Q159" s="72"/>
      <c r="R159" s="72"/>
      <c r="S159" s="73" t="s">
        <v>73</v>
      </c>
      <c r="T159" s="73"/>
      <c r="U159" s="73"/>
      <c r="V159" s="73">
        <f t="shared" si="8"/>
        <v>0</v>
      </c>
    </row>
    <row r="160" spans="1:22" x14ac:dyDescent="0.3">
      <c r="A160" s="74">
        <f>'Entrada datos'!C67</f>
        <v>0</v>
      </c>
      <c r="B160" s="70">
        <f>'Entrada datos'!D67</f>
        <v>0</v>
      </c>
      <c r="C160" s="71">
        <f>'Entrada datos'!G67</f>
        <v>0</v>
      </c>
      <c r="D160" s="71">
        <f>'Entrada datos'!H67</f>
        <v>0</v>
      </c>
      <c r="E160" s="70">
        <f t="shared" si="6"/>
        <v>0</v>
      </c>
      <c r="F160" s="64" t="e">
        <f t="shared" si="7"/>
        <v>#REF!</v>
      </c>
      <c r="G160" s="70">
        <f>'Entrada datos'!P67</f>
        <v>0</v>
      </c>
      <c r="H160" s="70">
        <f>'Entrada datos'!Q67</f>
        <v>0</v>
      </c>
      <c r="I160" s="70">
        <f>'Entrada datos'!R67</f>
        <v>0</v>
      </c>
      <c r="J160" s="70">
        <f>'Entrada datos'!S67</f>
        <v>0</v>
      </c>
      <c r="K160" s="70">
        <f>'Entrada datos'!T67</f>
        <v>0</v>
      </c>
      <c r="L160" s="70">
        <f>'Entrada datos'!U67</f>
        <v>0</v>
      </c>
      <c r="M160" s="72"/>
      <c r="N160" s="72"/>
      <c r="O160" s="72"/>
      <c r="P160" s="72"/>
      <c r="Q160" s="72"/>
      <c r="R160" s="72"/>
      <c r="S160" s="73" t="s">
        <v>73</v>
      </c>
      <c r="T160" s="73"/>
      <c r="U160" s="73"/>
      <c r="V160" s="73">
        <f t="shared" si="8"/>
        <v>0</v>
      </c>
    </row>
    <row r="161" spans="1:22" x14ac:dyDescent="0.3">
      <c r="A161" s="74">
        <f>'Entrada datos'!C68</f>
        <v>0</v>
      </c>
      <c r="B161" s="70">
        <f>'Entrada datos'!D68</f>
        <v>0</v>
      </c>
      <c r="C161" s="71">
        <f>'Entrada datos'!G68</f>
        <v>0</v>
      </c>
      <c r="D161" s="71">
        <f>'Entrada datos'!H68</f>
        <v>0</v>
      </c>
      <c r="E161" s="70">
        <f t="shared" si="6"/>
        <v>0</v>
      </c>
      <c r="F161" s="64" t="e">
        <f t="shared" si="7"/>
        <v>#REF!</v>
      </c>
      <c r="G161" s="70">
        <f>'Entrada datos'!P68</f>
        <v>0</v>
      </c>
      <c r="H161" s="70">
        <f>'Entrada datos'!Q68</f>
        <v>0</v>
      </c>
      <c r="I161" s="70">
        <f>'Entrada datos'!R68</f>
        <v>0</v>
      </c>
      <c r="J161" s="70">
        <f>'Entrada datos'!S68</f>
        <v>0</v>
      </c>
      <c r="K161" s="70">
        <f>'Entrada datos'!T68</f>
        <v>0</v>
      </c>
      <c r="L161" s="70">
        <f>'Entrada datos'!U68</f>
        <v>0</v>
      </c>
      <c r="M161" s="72"/>
      <c r="N161" s="72"/>
      <c r="O161" s="72"/>
      <c r="P161" s="72"/>
      <c r="Q161" s="72"/>
      <c r="R161" s="72"/>
      <c r="S161" s="73" t="s">
        <v>73</v>
      </c>
      <c r="T161" s="73"/>
      <c r="U161" s="73"/>
      <c r="V161" s="73">
        <f t="shared" si="8"/>
        <v>0</v>
      </c>
    </row>
    <row r="162" spans="1:22" x14ac:dyDescent="0.3">
      <c r="A162" s="74">
        <f>'Entrada datos'!C69</f>
        <v>0</v>
      </c>
      <c r="B162" s="70">
        <f>'Entrada datos'!D69</f>
        <v>0</v>
      </c>
      <c r="C162" s="71">
        <f>'Entrada datos'!G69</f>
        <v>0</v>
      </c>
      <c r="D162" s="71">
        <f>'Entrada datos'!H69</f>
        <v>0</v>
      </c>
      <c r="E162" s="70">
        <f t="shared" si="6"/>
        <v>0</v>
      </c>
      <c r="F162" s="64" t="e">
        <f t="shared" si="7"/>
        <v>#REF!</v>
      </c>
      <c r="G162" s="70">
        <f>'Entrada datos'!P69</f>
        <v>0</v>
      </c>
      <c r="H162" s="70">
        <f>'Entrada datos'!Q69</f>
        <v>0</v>
      </c>
      <c r="I162" s="70">
        <f>'Entrada datos'!R69</f>
        <v>0</v>
      </c>
      <c r="J162" s="70">
        <f>'Entrada datos'!S69</f>
        <v>0</v>
      </c>
      <c r="K162" s="70">
        <f>'Entrada datos'!T69</f>
        <v>0</v>
      </c>
      <c r="L162" s="70">
        <f>'Entrada datos'!U69</f>
        <v>0</v>
      </c>
      <c r="M162" s="72"/>
      <c r="N162" s="72"/>
      <c r="O162" s="72"/>
      <c r="P162" s="72"/>
      <c r="Q162" s="72"/>
      <c r="R162" s="72"/>
      <c r="S162" s="73" t="s">
        <v>73</v>
      </c>
      <c r="T162" s="73"/>
      <c r="U162" s="73"/>
      <c r="V162" s="73">
        <f t="shared" si="8"/>
        <v>0</v>
      </c>
    </row>
    <row r="163" spans="1:22" x14ac:dyDescent="0.3">
      <c r="A163" s="74">
        <f>'Entrada datos'!C70</f>
        <v>0</v>
      </c>
      <c r="B163" s="70">
        <f>'Entrada datos'!D70</f>
        <v>0</v>
      </c>
      <c r="C163" s="71">
        <f>'Entrada datos'!G70</f>
        <v>0</v>
      </c>
      <c r="D163" s="71">
        <f>'Entrada datos'!H70</f>
        <v>0</v>
      </c>
      <c r="E163" s="70">
        <f t="shared" si="6"/>
        <v>0</v>
      </c>
      <c r="F163" s="64" t="e">
        <f t="shared" si="7"/>
        <v>#REF!</v>
      </c>
      <c r="G163" s="70">
        <f>'Entrada datos'!P70</f>
        <v>0</v>
      </c>
      <c r="H163" s="70">
        <f>'Entrada datos'!Q70</f>
        <v>0</v>
      </c>
      <c r="I163" s="70">
        <f>'Entrada datos'!R70</f>
        <v>0</v>
      </c>
      <c r="J163" s="70">
        <f>'Entrada datos'!S70</f>
        <v>0</v>
      </c>
      <c r="K163" s="70">
        <f>'Entrada datos'!T70</f>
        <v>0</v>
      </c>
      <c r="L163" s="70">
        <f>'Entrada datos'!U70</f>
        <v>0</v>
      </c>
      <c r="M163" s="72"/>
      <c r="N163" s="72"/>
      <c r="O163" s="72"/>
      <c r="P163" s="72"/>
      <c r="Q163" s="72"/>
      <c r="R163" s="72"/>
      <c r="S163" s="73" t="s">
        <v>73</v>
      </c>
      <c r="T163" s="73"/>
      <c r="U163" s="73"/>
      <c r="V163" s="73">
        <f t="shared" si="8"/>
        <v>0</v>
      </c>
    </row>
    <row r="164" spans="1:22" x14ac:dyDescent="0.3">
      <c r="A164" s="74">
        <f>'Entrada datos'!C71</f>
        <v>0</v>
      </c>
      <c r="B164" s="70">
        <f>'Entrada datos'!D71</f>
        <v>0</v>
      </c>
      <c r="C164" s="71">
        <f>'Entrada datos'!G71</f>
        <v>0</v>
      </c>
      <c r="D164" s="71">
        <f>'Entrada datos'!H71</f>
        <v>0</v>
      </c>
      <c r="E164" s="70">
        <f t="shared" si="6"/>
        <v>0</v>
      </c>
      <c r="F164" s="64" t="e">
        <f t="shared" si="7"/>
        <v>#REF!</v>
      </c>
      <c r="G164" s="70">
        <f>'Entrada datos'!P71</f>
        <v>0</v>
      </c>
      <c r="H164" s="70">
        <f>'Entrada datos'!Q71</f>
        <v>0</v>
      </c>
      <c r="I164" s="70">
        <f>'Entrada datos'!R71</f>
        <v>0</v>
      </c>
      <c r="J164" s="70">
        <f>'Entrada datos'!S71</f>
        <v>0</v>
      </c>
      <c r="K164" s="70">
        <f>'Entrada datos'!T71</f>
        <v>0</v>
      </c>
      <c r="L164" s="70">
        <f>'Entrada datos'!U71</f>
        <v>0</v>
      </c>
      <c r="M164" s="72"/>
      <c r="N164" s="72"/>
      <c r="O164" s="72"/>
      <c r="P164" s="72"/>
      <c r="Q164" s="72"/>
      <c r="R164" s="72"/>
      <c r="S164" s="73" t="s">
        <v>73</v>
      </c>
      <c r="T164" s="73"/>
      <c r="U164" s="73"/>
      <c r="V164" s="73">
        <f t="shared" si="8"/>
        <v>0</v>
      </c>
    </row>
    <row r="165" spans="1:22" x14ac:dyDescent="0.3">
      <c r="A165" s="74">
        <f>'Entrada datos'!C72</f>
        <v>0</v>
      </c>
      <c r="B165" s="70">
        <f>'Entrada datos'!D72</f>
        <v>0</v>
      </c>
      <c r="C165" s="71">
        <f>'Entrada datos'!G72</f>
        <v>0</v>
      </c>
      <c r="D165" s="71">
        <f>'Entrada datos'!H72</f>
        <v>0</v>
      </c>
      <c r="E165" s="70">
        <f t="shared" si="6"/>
        <v>0</v>
      </c>
      <c r="F165" s="64" t="e">
        <f t="shared" si="7"/>
        <v>#REF!</v>
      </c>
      <c r="G165" s="70">
        <f>'Entrada datos'!P72</f>
        <v>0</v>
      </c>
      <c r="H165" s="70">
        <f>'Entrada datos'!Q72</f>
        <v>0</v>
      </c>
      <c r="I165" s="70">
        <f>'Entrada datos'!R72</f>
        <v>0</v>
      </c>
      <c r="J165" s="70">
        <f>'Entrada datos'!S72</f>
        <v>0</v>
      </c>
      <c r="K165" s="70">
        <f>'Entrada datos'!T72</f>
        <v>0</v>
      </c>
      <c r="L165" s="70">
        <f>'Entrada datos'!U72</f>
        <v>0</v>
      </c>
      <c r="M165" s="72"/>
      <c r="N165" s="72"/>
      <c r="O165" s="72"/>
      <c r="P165" s="72"/>
      <c r="Q165" s="72"/>
      <c r="R165" s="72"/>
      <c r="S165" s="73" t="s">
        <v>73</v>
      </c>
      <c r="T165" s="73"/>
      <c r="U165" s="73"/>
      <c r="V165" s="73">
        <f t="shared" si="8"/>
        <v>0</v>
      </c>
    </row>
    <row r="166" spans="1:22" x14ac:dyDescent="0.3">
      <c r="A166" s="74">
        <f>'Entrada datos'!C73</f>
        <v>0</v>
      </c>
      <c r="B166" s="70">
        <f>'Entrada datos'!D73</f>
        <v>0</v>
      </c>
      <c r="C166" s="71">
        <f>'Entrada datos'!G73</f>
        <v>0</v>
      </c>
      <c r="D166" s="71">
        <f>'Entrada datos'!H73</f>
        <v>0</v>
      </c>
      <c r="E166" s="70">
        <f t="shared" si="6"/>
        <v>0</v>
      </c>
      <c r="F166" s="64" t="e">
        <f t="shared" si="7"/>
        <v>#REF!</v>
      </c>
      <c r="G166" s="70">
        <f>'Entrada datos'!P73</f>
        <v>0</v>
      </c>
      <c r="H166" s="70">
        <f>'Entrada datos'!Q73</f>
        <v>0</v>
      </c>
      <c r="I166" s="70">
        <f>'Entrada datos'!R73</f>
        <v>0</v>
      </c>
      <c r="J166" s="70">
        <f>'Entrada datos'!S73</f>
        <v>0</v>
      </c>
      <c r="K166" s="70">
        <f>'Entrada datos'!T73</f>
        <v>0</v>
      </c>
      <c r="L166" s="70">
        <f>'Entrada datos'!U73</f>
        <v>0</v>
      </c>
      <c r="M166" s="72"/>
      <c r="N166" s="72"/>
      <c r="O166" s="72"/>
      <c r="P166" s="72"/>
      <c r="Q166" s="72"/>
      <c r="R166" s="72"/>
      <c r="S166" s="73" t="s">
        <v>73</v>
      </c>
      <c r="T166" s="73"/>
      <c r="U166" s="73"/>
      <c r="V166" s="73">
        <f t="shared" si="8"/>
        <v>0</v>
      </c>
    </row>
    <row r="167" spans="1:22" x14ac:dyDescent="0.3">
      <c r="A167" s="74">
        <f>'Entrada datos'!C74</f>
        <v>0</v>
      </c>
      <c r="B167" s="70">
        <f>'Entrada datos'!D74</f>
        <v>0</v>
      </c>
      <c r="C167" s="71">
        <f>'Entrada datos'!G74</f>
        <v>0</v>
      </c>
      <c r="D167" s="71">
        <f>'Entrada datos'!H74</f>
        <v>0</v>
      </c>
      <c r="E167" s="70">
        <f t="shared" si="6"/>
        <v>0</v>
      </c>
      <c r="F167" s="64" t="e">
        <f t="shared" si="7"/>
        <v>#REF!</v>
      </c>
      <c r="G167" s="70">
        <f>'Entrada datos'!P74</f>
        <v>0</v>
      </c>
      <c r="H167" s="70">
        <f>'Entrada datos'!Q74</f>
        <v>0</v>
      </c>
      <c r="I167" s="70">
        <f>'Entrada datos'!R74</f>
        <v>0</v>
      </c>
      <c r="J167" s="70">
        <f>'Entrada datos'!S74</f>
        <v>0</v>
      </c>
      <c r="K167" s="70">
        <f>'Entrada datos'!T74</f>
        <v>0</v>
      </c>
      <c r="L167" s="70">
        <f>'Entrada datos'!U74</f>
        <v>0</v>
      </c>
      <c r="M167" s="72"/>
      <c r="N167" s="72"/>
      <c r="O167" s="72"/>
      <c r="P167" s="72"/>
      <c r="Q167" s="72"/>
      <c r="R167" s="72"/>
      <c r="S167" s="73" t="s">
        <v>73</v>
      </c>
      <c r="T167" s="73"/>
      <c r="U167" s="73"/>
      <c r="V167" s="73">
        <f t="shared" si="8"/>
        <v>0</v>
      </c>
    </row>
    <row r="168" spans="1:22" x14ac:dyDescent="0.3">
      <c r="A168" s="74">
        <f>'Entrada datos'!C75</f>
        <v>0</v>
      </c>
      <c r="B168" s="70">
        <f>'Entrada datos'!D75</f>
        <v>0</v>
      </c>
      <c r="C168" s="71">
        <f>'Entrada datos'!G75</f>
        <v>0</v>
      </c>
      <c r="D168" s="71">
        <f>'Entrada datos'!H75</f>
        <v>0</v>
      </c>
      <c r="E168" s="70">
        <f t="shared" si="6"/>
        <v>0</v>
      </c>
      <c r="F168" s="64" t="e">
        <f t="shared" si="7"/>
        <v>#REF!</v>
      </c>
      <c r="G168" s="70">
        <f>'Entrada datos'!P75</f>
        <v>0</v>
      </c>
      <c r="H168" s="70">
        <f>'Entrada datos'!Q75</f>
        <v>0</v>
      </c>
      <c r="I168" s="70">
        <f>'Entrada datos'!R75</f>
        <v>0</v>
      </c>
      <c r="J168" s="70">
        <f>'Entrada datos'!S75</f>
        <v>0</v>
      </c>
      <c r="K168" s="70">
        <f>'Entrada datos'!T75</f>
        <v>0</v>
      </c>
      <c r="L168" s="70">
        <f>'Entrada datos'!U75</f>
        <v>0</v>
      </c>
      <c r="M168" s="72"/>
      <c r="N168" s="72"/>
      <c r="O168" s="72"/>
      <c r="P168" s="72"/>
      <c r="Q168" s="72"/>
      <c r="R168" s="72"/>
      <c r="S168" s="73" t="s">
        <v>73</v>
      </c>
      <c r="T168" s="73"/>
      <c r="U168" s="73"/>
      <c r="V168" s="73">
        <f t="shared" si="8"/>
        <v>0</v>
      </c>
    </row>
    <row r="169" spans="1:22" x14ac:dyDescent="0.3">
      <c r="A169" s="74">
        <f>'Entrada datos'!C76</f>
        <v>0</v>
      </c>
      <c r="B169" s="70">
        <f>'Entrada datos'!D76</f>
        <v>0</v>
      </c>
      <c r="C169" s="71">
        <f>'Entrada datos'!G76</f>
        <v>0</v>
      </c>
      <c r="D169" s="71">
        <f>'Entrada datos'!H76</f>
        <v>0</v>
      </c>
      <c r="E169" s="70">
        <f t="shared" si="6"/>
        <v>0</v>
      </c>
      <c r="F169" s="64" t="e">
        <f t="shared" si="7"/>
        <v>#REF!</v>
      </c>
      <c r="G169" s="70">
        <f>'Entrada datos'!P76</f>
        <v>0</v>
      </c>
      <c r="H169" s="70">
        <f>'Entrada datos'!Q76</f>
        <v>0</v>
      </c>
      <c r="I169" s="70">
        <f>'Entrada datos'!R76</f>
        <v>0</v>
      </c>
      <c r="J169" s="70">
        <f>'Entrada datos'!S76</f>
        <v>0</v>
      </c>
      <c r="K169" s="70">
        <f>'Entrada datos'!T76</f>
        <v>0</v>
      </c>
      <c r="L169" s="70">
        <f>'Entrada datos'!U76</f>
        <v>0</v>
      </c>
      <c r="M169" s="72"/>
      <c r="N169" s="72"/>
      <c r="O169" s="72"/>
      <c r="P169" s="72"/>
      <c r="Q169" s="72"/>
      <c r="R169" s="72"/>
      <c r="S169" s="73" t="s">
        <v>73</v>
      </c>
      <c r="T169" s="73"/>
      <c r="U169" s="73"/>
      <c r="V169" s="73">
        <f t="shared" si="8"/>
        <v>0</v>
      </c>
    </row>
    <row r="170" spans="1:22" x14ac:dyDescent="0.3">
      <c r="A170" s="74">
        <f>'Entrada datos'!C77</f>
        <v>0</v>
      </c>
      <c r="B170" s="70">
        <f>'Entrada datos'!D77</f>
        <v>0</v>
      </c>
      <c r="C170" s="71">
        <f>'Entrada datos'!G77</f>
        <v>0</v>
      </c>
      <c r="D170" s="71">
        <f>'Entrada datos'!H77</f>
        <v>0</v>
      </c>
      <c r="E170" s="70">
        <f t="shared" si="6"/>
        <v>0</v>
      </c>
      <c r="F170" s="64" t="e">
        <f t="shared" si="7"/>
        <v>#REF!</v>
      </c>
      <c r="G170" s="70">
        <f>'Entrada datos'!P77</f>
        <v>0</v>
      </c>
      <c r="H170" s="70">
        <f>'Entrada datos'!Q77</f>
        <v>0</v>
      </c>
      <c r="I170" s="70">
        <f>'Entrada datos'!R77</f>
        <v>0</v>
      </c>
      <c r="J170" s="70">
        <f>'Entrada datos'!S77</f>
        <v>0</v>
      </c>
      <c r="K170" s="70">
        <f>'Entrada datos'!T77</f>
        <v>0</v>
      </c>
      <c r="L170" s="70">
        <f>'Entrada datos'!U77</f>
        <v>0</v>
      </c>
      <c r="M170" s="72"/>
      <c r="N170" s="72"/>
      <c r="O170" s="72"/>
      <c r="P170" s="72"/>
      <c r="Q170" s="72"/>
      <c r="R170" s="72"/>
      <c r="S170" s="73" t="s">
        <v>73</v>
      </c>
      <c r="T170" s="73"/>
      <c r="U170" s="73"/>
      <c r="V170" s="73">
        <f t="shared" si="8"/>
        <v>0</v>
      </c>
    </row>
    <row r="171" spans="1:22" x14ac:dyDescent="0.3">
      <c r="A171" s="74">
        <f>'Entrada datos'!C78</f>
        <v>0</v>
      </c>
      <c r="B171" s="70">
        <f>'Entrada datos'!D78</f>
        <v>0</v>
      </c>
      <c r="C171" s="71">
        <f>'Entrada datos'!G78</f>
        <v>0</v>
      </c>
      <c r="D171" s="71">
        <f>'Entrada datos'!H78</f>
        <v>0</v>
      </c>
      <c r="E171" s="70">
        <f t="shared" si="6"/>
        <v>0</v>
      </c>
      <c r="F171" s="64" t="e">
        <f t="shared" si="7"/>
        <v>#REF!</v>
      </c>
      <c r="G171" s="70">
        <f>'Entrada datos'!P78</f>
        <v>0</v>
      </c>
      <c r="H171" s="70">
        <f>'Entrada datos'!Q78</f>
        <v>0</v>
      </c>
      <c r="I171" s="70">
        <f>'Entrada datos'!R78</f>
        <v>0</v>
      </c>
      <c r="J171" s="70">
        <f>'Entrada datos'!S78</f>
        <v>0</v>
      </c>
      <c r="K171" s="70">
        <f>'Entrada datos'!T78</f>
        <v>0</v>
      </c>
      <c r="L171" s="70">
        <f>'Entrada datos'!U78</f>
        <v>0</v>
      </c>
      <c r="M171" s="72"/>
      <c r="N171" s="72"/>
      <c r="O171" s="72"/>
      <c r="P171" s="72"/>
      <c r="Q171" s="72"/>
      <c r="R171" s="72"/>
      <c r="S171" s="73" t="s">
        <v>73</v>
      </c>
      <c r="T171" s="73"/>
      <c r="U171" s="73"/>
      <c r="V171" s="73">
        <f t="shared" si="8"/>
        <v>0</v>
      </c>
    </row>
    <row r="172" spans="1:22" x14ac:dyDescent="0.3">
      <c r="A172" s="74">
        <f>'Entrada datos'!C79</f>
        <v>0</v>
      </c>
      <c r="B172" s="70">
        <f>'Entrada datos'!D79</f>
        <v>0</v>
      </c>
      <c r="C172" s="71">
        <f>'Entrada datos'!G79</f>
        <v>0</v>
      </c>
      <c r="D172" s="71">
        <f>'Entrada datos'!H79</f>
        <v>0</v>
      </c>
      <c r="E172" s="70">
        <f t="shared" si="6"/>
        <v>0</v>
      </c>
      <c r="F172" s="64" t="e">
        <f t="shared" si="7"/>
        <v>#REF!</v>
      </c>
      <c r="G172" s="70">
        <f>'Entrada datos'!P79</f>
        <v>0</v>
      </c>
      <c r="H172" s="70">
        <f>'Entrada datos'!Q79</f>
        <v>0</v>
      </c>
      <c r="I172" s="70">
        <f>'Entrada datos'!R79</f>
        <v>0</v>
      </c>
      <c r="J172" s="70">
        <f>'Entrada datos'!S79</f>
        <v>0</v>
      </c>
      <c r="K172" s="70">
        <f>'Entrada datos'!T79</f>
        <v>0</v>
      </c>
      <c r="L172" s="70">
        <f>'Entrada datos'!U79</f>
        <v>0</v>
      </c>
      <c r="M172" s="72"/>
      <c r="N172" s="72"/>
      <c r="O172" s="72"/>
      <c r="P172" s="72"/>
      <c r="Q172" s="72"/>
      <c r="R172" s="72"/>
      <c r="S172" s="73" t="s">
        <v>73</v>
      </c>
      <c r="T172" s="73"/>
      <c r="U172" s="73"/>
      <c r="V172" s="73">
        <f t="shared" si="8"/>
        <v>0</v>
      </c>
    </row>
    <row r="173" spans="1:22" x14ac:dyDescent="0.3">
      <c r="A173" s="74">
        <f>'Entrada datos'!C80</f>
        <v>0</v>
      </c>
      <c r="B173" s="70">
        <f>'Entrada datos'!D80</f>
        <v>0</v>
      </c>
      <c r="C173" s="71">
        <f>'Entrada datos'!G80</f>
        <v>0</v>
      </c>
      <c r="D173" s="71">
        <f>'Entrada datos'!H80</f>
        <v>0</v>
      </c>
      <c r="E173" s="70">
        <f t="shared" si="6"/>
        <v>0</v>
      </c>
      <c r="F173" s="64" t="e">
        <f t="shared" si="7"/>
        <v>#REF!</v>
      </c>
      <c r="G173" s="70">
        <f>'Entrada datos'!P80</f>
        <v>0</v>
      </c>
      <c r="H173" s="70">
        <f>'Entrada datos'!Q80</f>
        <v>0</v>
      </c>
      <c r="I173" s="70">
        <f>'Entrada datos'!R80</f>
        <v>0</v>
      </c>
      <c r="J173" s="70">
        <f>'Entrada datos'!S80</f>
        <v>0</v>
      </c>
      <c r="K173" s="70">
        <f>'Entrada datos'!T80</f>
        <v>0</v>
      </c>
      <c r="L173" s="70">
        <f>'Entrada datos'!U80</f>
        <v>0</v>
      </c>
      <c r="M173" s="72"/>
      <c r="N173" s="72"/>
      <c r="O173" s="72"/>
      <c r="P173" s="72"/>
      <c r="Q173" s="72"/>
      <c r="R173" s="72"/>
      <c r="S173" s="73" t="s">
        <v>73</v>
      </c>
      <c r="T173" s="73"/>
      <c r="U173" s="73"/>
      <c r="V173" s="73">
        <f t="shared" si="8"/>
        <v>0</v>
      </c>
    </row>
    <row r="174" spans="1:22" x14ac:dyDescent="0.3">
      <c r="A174" s="74">
        <f>'Entrada datos'!C81</f>
        <v>0</v>
      </c>
      <c r="B174" s="70">
        <f>'Entrada datos'!D81</f>
        <v>0</v>
      </c>
      <c r="C174" s="71">
        <f>'Entrada datos'!G81</f>
        <v>0</v>
      </c>
      <c r="D174" s="71">
        <f>'Entrada datos'!H81</f>
        <v>0</v>
      </c>
      <c r="E174" s="70">
        <f t="shared" si="6"/>
        <v>0</v>
      </c>
      <c r="F174" s="64" t="e">
        <f t="shared" si="7"/>
        <v>#REF!</v>
      </c>
      <c r="G174" s="70">
        <f>'Entrada datos'!P81</f>
        <v>0</v>
      </c>
      <c r="H174" s="70">
        <f>'Entrada datos'!Q81</f>
        <v>0</v>
      </c>
      <c r="I174" s="70">
        <f>'Entrada datos'!R81</f>
        <v>0</v>
      </c>
      <c r="J174" s="70">
        <f>'Entrada datos'!S81</f>
        <v>0</v>
      </c>
      <c r="K174" s="70">
        <f>'Entrada datos'!T81</f>
        <v>0</v>
      </c>
      <c r="L174" s="70">
        <f>'Entrada datos'!U81</f>
        <v>0</v>
      </c>
      <c r="M174" s="72"/>
      <c r="N174" s="72"/>
      <c r="O174" s="72"/>
      <c r="P174" s="72"/>
      <c r="Q174" s="72"/>
      <c r="R174" s="72"/>
      <c r="S174" s="73" t="s">
        <v>73</v>
      </c>
      <c r="T174" s="73"/>
      <c r="U174" s="73"/>
      <c r="V174" s="73">
        <f t="shared" si="8"/>
        <v>0</v>
      </c>
    </row>
    <row r="175" spans="1:22" x14ac:dyDescent="0.3">
      <c r="A175" s="74">
        <f>'Entrada datos'!C82</f>
        <v>0</v>
      </c>
      <c r="B175" s="70">
        <f>'Entrada datos'!D82</f>
        <v>0</v>
      </c>
      <c r="C175" s="71">
        <f>'Entrada datos'!G82</f>
        <v>0</v>
      </c>
      <c r="D175" s="71">
        <f>'Entrada datos'!H82</f>
        <v>0</v>
      </c>
      <c r="E175" s="70">
        <f t="shared" si="6"/>
        <v>0</v>
      </c>
      <c r="F175" s="64" t="e">
        <f t="shared" si="7"/>
        <v>#REF!</v>
      </c>
      <c r="G175" s="70">
        <f>'Entrada datos'!P82</f>
        <v>0</v>
      </c>
      <c r="H175" s="70">
        <f>'Entrada datos'!Q82</f>
        <v>0</v>
      </c>
      <c r="I175" s="70">
        <f>'Entrada datos'!R82</f>
        <v>0</v>
      </c>
      <c r="J175" s="70">
        <f>'Entrada datos'!S82</f>
        <v>0</v>
      </c>
      <c r="K175" s="70">
        <f>'Entrada datos'!T82</f>
        <v>0</v>
      </c>
      <c r="L175" s="70">
        <f>'Entrada datos'!U82</f>
        <v>0</v>
      </c>
      <c r="M175" s="72"/>
      <c r="N175" s="72"/>
      <c r="O175" s="72"/>
      <c r="P175" s="72"/>
      <c r="Q175" s="72"/>
      <c r="R175" s="72"/>
      <c r="S175" s="73" t="s">
        <v>73</v>
      </c>
      <c r="T175" s="73"/>
      <c r="U175" s="73"/>
      <c r="V175" s="73">
        <f t="shared" si="8"/>
        <v>0</v>
      </c>
    </row>
    <row r="176" spans="1:22" x14ac:dyDescent="0.3">
      <c r="A176" s="74">
        <f>'Entrada datos'!C83</f>
        <v>0</v>
      </c>
      <c r="B176" s="70">
        <f>'Entrada datos'!D83</f>
        <v>0</v>
      </c>
      <c r="C176" s="71">
        <f>'Entrada datos'!G83</f>
        <v>0</v>
      </c>
      <c r="D176" s="71">
        <f>'Entrada datos'!H83</f>
        <v>0</v>
      </c>
      <c r="E176" s="70">
        <f t="shared" si="6"/>
        <v>0</v>
      </c>
      <c r="F176" s="64" t="e">
        <f t="shared" si="7"/>
        <v>#REF!</v>
      </c>
      <c r="G176" s="70">
        <f>'Entrada datos'!P83</f>
        <v>0</v>
      </c>
      <c r="H176" s="70">
        <f>'Entrada datos'!Q83</f>
        <v>0</v>
      </c>
      <c r="I176" s="70">
        <f>'Entrada datos'!R83</f>
        <v>0</v>
      </c>
      <c r="J176" s="70">
        <f>'Entrada datos'!S83</f>
        <v>0</v>
      </c>
      <c r="K176" s="70">
        <f>'Entrada datos'!T83</f>
        <v>0</v>
      </c>
      <c r="L176" s="70">
        <f>'Entrada datos'!U83</f>
        <v>0</v>
      </c>
      <c r="M176" s="72"/>
      <c r="N176" s="72"/>
      <c r="O176" s="72"/>
      <c r="P176" s="72"/>
      <c r="Q176" s="72"/>
      <c r="R176" s="72"/>
      <c r="S176" s="73" t="s">
        <v>73</v>
      </c>
      <c r="T176" s="73"/>
      <c r="U176" s="73"/>
      <c r="V176" s="73">
        <f t="shared" si="8"/>
        <v>0</v>
      </c>
    </row>
    <row r="177" spans="1:22" x14ac:dyDescent="0.3">
      <c r="A177" s="74">
        <f>'Entrada datos'!C84</f>
        <v>0</v>
      </c>
      <c r="B177" s="70">
        <f>'Entrada datos'!D84</f>
        <v>0</v>
      </c>
      <c r="C177" s="71">
        <f>'Entrada datos'!G84</f>
        <v>0</v>
      </c>
      <c r="D177" s="71">
        <f>'Entrada datos'!H84</f>
        <v>0</v>
      </c>
      <c r="E177" s="70">
        <f t="shared" si="6"/>
        <v>0</v>
      </c>
      <c r="F177" s="64" t="e">
        <f t="shared" si="7"/>
        <v>#REF!</v>
      </c>
      <c r="G177" s="70">
        <f>'Entrada datos'!P84</f>
        <v>0</v>
      </c>
      <c r="H177" s="70">
        <f>'Entrada datos'!Q84</f>
        <v>0</v>
      </c>
      <c r="I177" s="70">
        <f>'Entrada datos'!R84</f>
        <v>0</v>
      </c>
      <c r="J177" s="70">
        <f>'Entrada datos'!S84</f>
        <v>0</v>
      </c>
      <c r="K177" s="70">
        <f>'Entrada datos'!T84</f>
        <v>0</v>
      </c>
      <c r="L177" s="70">
        <f>'Entrada datos'!U84</f>
        <v>0</v>
      </c>
      <c r="M177" s="72"/>
      <c r="N177" s="72"/>
      <c r="O177" s="72"/>
      <c r="P177" s="72"/>
      <c r="Q177" s="72"/>
      <c r="R177" s="72"/>
      <c r="S177" s="73" t="s">
        <v>73</v>
      </c>
      <c r="T177" s="73"/>
      <c r="U177" s="73"/>
      <c r="V177" s="73">
        <f t="shared" si="8"/>
        <v>0</v>
      </c>
    </row>
    <row r="178" spans="1:22" x14ac:dyDescent="0.3">
      <c r="A178" s="74">
        <f>'Entrada datos'!C85</f>
        <v>0</v>
      </c>
      <c r="B178" s="70">
        <f>'Entrada datos'!D85</f>
        <v>0</v>
      </c>
      <c r="C178" s="71">
        <f>'Entrada datos'!G85</f>
        <v>0</v>
      </c>
      <c r="D178" s="71">
        <f>'Entrada datos'!H85</f>
        <v>0</v>
      </c>
      <c r="E178" s="70">
        <f t="shared" si="6"/>
        <v>0</v>
      </c>
      <c r="F178" s="64" t="e">
        <f t="shared" si="7"/>
        <v>#REF!</v>
      </c>
      <c r="G178" s="70">
        <f>'Entrada datos'!P85</f>
        <v>0</v>
      </c>
      <c r="H178" s="70">
        <f>'Entrada datos'!Q85</f>
        <v>0</v>
      </c>
      <c r="I178" s="70">
        <f>'Entrada datos'!R85</f>
        <v>0</v>
      </c>
      <c r="J178" s="70">
        <f>'Entrada datos'!S85</f>
        <v>0</v>
      </c>
      <c r="K178" s="70">
        <f>'Entrada datos'!T85</f>
        <v>0</v>
      </c>
      <c r="L178" s="70">
        <f>'Entrada datos'!U85</f>
        <v>0</v>
      </c>
      <c r="M178" s="72"/>
      <c r="N178" s="72"/>
      <c r="O178" s="72"/>
      <c r="P178" s="72"/>
      <c r="Q178" s="72"/>
      <c r="R178" s="72"/>
      <c r="S178" s="73" t="s">
        <v>73</v>
      </c>
      <c r="T178" s="73"/>
      <c r="U178" s="73"/>
      <c r="V178" s="73">
        <f t="shared" si="8"/>
        <v>0</v>
      </c>
    </row>
    <row r="179" spans="1:22" x14ac:dyDescent="0.3">
      <c r="A179" s="74">
        <f>'Entrada datos'!C86</f>
        <v>0</v>
      </c>
      <c r="B179" s="70">
        <f>'Entrada datos'!D86</f>
        <v>0</v>
      </c>
      <c r="C179" s="71">
        <f>'Entrada datos'!G86</f>
        <v>0</v>
      </c>
      <c r="D179" s="71">
        <f>'Entrada datos'!H86</f>
        <v>0</v>
      </c>
      <c r="E179" s="70">
        <f t="shared" si="6"/>
        <v>0</v>
      </c>
      <c r="F179" s="64" t="e">
        <f t="shared" si="7"/>
        <v>#REF!</v>
      </c>
      <c r="G179" s="70">
        <f>'Entrada datos'!P86</f>
        <v>0</v>
      </c>
      <c r="H179" s="70">
        <f>'Entrada datos'!Q86</f>
        <v>0</v>
      </c>
      <c r="I179" s="70">
        <f>'Entrada datos'!R86</f>
        <v>0</v>
      </c>
      <c r="J179" s="70">
        <f>'Entrada datos'!S86</f>
        <v>0</v>
      </c>
      <c r="K179" s="70">
        <f>'Entrada datos'!T86</f>
        <v>0</v>
      </c>
      <c r="L179" s="70">
        <f>'Entrada datos'!U86</f>
        <v>0</v>
      </c>
      <c r="M179" s="72"/>
      <c r="N179" s="72"/>
      <c r="O179" s="72"/>
      <c r="P179" s="72"/>
      <c r="Q179" s="72"/>
      <c r="R179" s="72"/>
      <c r="S179" s="73" t="s">
        <v>73</v>
      </c>
      <c r="T179" s="73"/>
      <c r="U179" s="73"/>
      <c r="V179" s="73">
        <f t="shared" si="8"/>
        <v>0</v>
      </c>
    </row>
    <row r="180" spans="1:22" x14ac:dyDescent="0.3">
      <c r="A180" s="74">
        <f>'Entrada datos'!C87</f>
        <v>0</v>
      </c>
      <c r="B180" s="70">
        <f>'Entrada datos'!D87</f>
        <v>0</v>
      </c>
      <c r="C180" s="71">
        <f>'Entrada datos'!G87</f>
        <v>0</v>
      </c>
      <c r="D180" s="71">
        <f>'Entrada datos'!H87</f>
        <v>0</v>
      </c>
      <c r="E180" s="70">
        <f t="shared" si="6"/>
        <v>0</v>
      </c>
      <c r="F180" s="64" t="e">
        <f t="shared" si="7"/>
        <v>#REF!</v>
      </c>
      <c r="G180" s="70">
        <f>'Entrada datos'!P87</f>
        <v>0</v>
      </c>
      <c r="H180" s="70">
        <f>'Entrada datos'!Q87</f>
        <v>0</v>
      </c>
      <c r="I180" s="70">
        <f>'Entrada datos'!R87</f>
        <v>0</v>
      </c>
      <c r="J180" s="70">
        <f>'Entrada datos'!S87</f>
        <v>0</v>
      </c>
      <c r="K180" s="70">
        <f>'Entrada datos'!T87</f>
        <v>0</v>
      </c>
      <c r="L180" s="70">
        <f>'Entrada datos'!U87</f>
        <v>0</v>
      </c>
      <c r="M180" s="72"/>
      <c r="N180" s="72"/>
      <c r="O180" s="72"/>
      <c r="P180" s="72"/>
      <c r="Q180" s="72"/>
      <c r="R180" s="72"/>
      <c r="S180" s="73" t="s">
        <v>73</v>
      </c>
      <c r="T180" s="73"/>
      <c r="U180" s="73"/>
      <c r="V180" s="73">
        <f t="shared" si="8"/>
        <v>0</v>
      </c>
    </row>
    <row r="181" spans="1:22" x14ac:dyDescent="0.3">
      <c r="A181" s="74">
        <f>'Entrada datos'!C88</f>
        <v>0</v>
      </c>
      <c r="B181" s="70">
        <f>'Entrada datos'!D88</f>
        <v>0</v>
      </c>
      <c r="C181" s="71">
        <f>'Entrada datos'!G88</f>
        <v>0</v>
      </c>
      <c r="D181" s="71">
        <f>'Entrada datos'!H88</f>
        <v>0</v>
      </c>
      <c r="E181" s="70">
        <f t="shared" si="6"/>
        <v>0</v>
      </c>
      <c r="F181" s="64" t="e">
        <f t="shared" si="7"/>
        <v>#REF!</v>
      </c>
      <c r="G181" s="70">
        <f>'Entrada datos'!P88</f>
        <v>0</v>
      </c>
      <c r="H181" s="70">
        <f>'Entrada datos'!Q88</f>
        <v>0</v>
      </c>
      <c r="I181" s="70">
        <f>'Entrada datos'!R88</f>
        <v>0</v>
      </c>
      <c r="J181" s="70">
        <f>'Entrada datos'!S88</f>
        <v>0</v>
      </c>
      <c r="K181" s="70">
        <f>'Entrada datos'!T88</f>
        <v>0</v>
      </c>
      <c r="L181" s="70">
        <f>'Entrada datos'!U88</f>
        <v>0</v>
      </c>
      <c r="M181" s="72"/>
      <c r="N181" s="72"/>
      <c r="O181" s="72"/>
      <c r="P181" s="72"/>
      <c r="Q181" s="72"/>
      <c r="R181" s="72"/>
      <c r="S181" s="73" t="s">
        <v>73</v>
      </c>
      <c r="T181" s="73"/>
      <c r="U181" s="73"/>
      <c r="V181" s="73">
        <f t="shared" si="8"/>
        <v>0</v>
      </c>
    </row>
    <row r="182" spans="1:22" x14ac:dyDescent="0.3">
      <c r="A182" s="74">
        <f>'Entrada datos'!C89</f>
        <v>0</v>
      </c>
      <c r="B182" s="70">
        <f>'Entrada datos'!D89</f>
        <v>0</v>
      </c>
      <c r="C182" s="71">
        <f>'Entrada datos'!G89</f>
        <v>0</v>
      </c>
      <c r="D182" s="71">
        <f>'Entrada datos'!H89</f>
        <v>0</v>
      </c>
      <c r="E182" s="70">
        <f t="shared" si="6"/>
        <v>0</v>
      </c>
      <c r="F182" s="64" t="e">
        <f t="shared" si="7"/>
        <v>#REF!</v>
      </c>
      <c r="G182" s="70">
        <f>'Entrada datos'!P89</f>
        <v>0</v>
      </c>
      <c r="H182" s="70">
        <f>'Entrada datos'!Q89</f>
        <v>0</v>
      </c>
      <c r="I182" s="70">
        <f>'Entrada datos'!R89</f>
        <v>0</v>
      </c>
      <c r="J182" s="70">
        <f>'Entrada datos'!S89</f>
        <v>0</v>
      </c>
      <c r="K182" s="70">
        <f>'Entrada datos'!T89</f>
        <v>0</v>
      </c>
      <c r="L182" s="70">
        <f>'Entrada datos'!U89</f>
        <v>0</v>
      </c>
      <c r="M182" s="72"/>
      <c r="N182" s="72"/>
      <c r="O182" s="72"/>
      <c r="P182" s="72"/>
      <c r="Q182" s="72"/>
      <c r="R182" s="72"/>
      <c r="S182" s="73" t="s">
        <v>73</v>
      </c>
      <c r="T182" s="73"/>
      <c r="U182" s="73"/>
      <c r="V182" s="73">
        <f t="shared" si="8"/>
        <v>0</v>
      </c>
    </row>
    <row r="183" spans="1:22" x14ac:dyDescent="0.3">
      <c r="A183" s="74">
        <f>'Entrada datos'!C90</f>
        <v>0</v>
      </c>
      <c r="B183" s="70">
        <f>'Entrada datos'!D90</f>
        <v>0</v>
      </c>
      <c r="C183" s="71">
        <f>'Entrada datos'!G90</f>
        <v>0</v>
      </c>
      <c r="D183" s="71">
        <f>'Entrada datos'!H90</f>
        <v>0</v>
      </c>
      <c r="E183" s="70">
        <f t="shared" si="6"/>
        <v>0</v>
      </c>
      <c r="F183" s="64" t="e">
        <f t="shared" si="7"/>
        <v>#REF!</v>
      </c>
      <c r="G183" s="70">
        <f>'Entrada datos'!P90</f>
        <v>0</v>
      </c>
      <c r="H183" s="70">
        <f>'Entrada datos'!Q90</f>
        <v>0</v>
      </c>
      <c r="I183" s="70">
        <f>'Entrada datos'!R90</f>
        <v>0</v>
      </c>
      <c r="J183" s="70">
        <f>'Entrada datos'!S90</f>
        <v>0</v>
      </c>
      <c r="K183" s="70">
        <f>'Entrada datos'!T90</f>
        <v>0</v>
      </c>
      <c r="L183" s="70">
        <f>'Entrada datos'!U90</f>
        <v>0</v>
      </c>
      <c r="M183" s="72"/>
      <c r="N183" s="72"/>
      <c r="O183" s="72"/>
      <c r="P183" s="72"/>
      <c r="Q183" s="72"/>
      <c r="R183" s="72"/>
      <c r="S183" s="73" t="s">
        <v>73</v>
      </c>
      <c r="T183" s="73"/>
      <c r="U183" s="73"/>
      <c r="V183" s="73">
        <f t="shared" si="8"/>
        <v>0</v>
      </c>
    </row>
    <row r="184" spans="1:22" x14ac:dyDescent="0.3">
      <c r="A184" s="74">
        <f>'Entrada datos'!C91</f>
        <v>0</v>
      </c>
      <c r="B184" s="70">
        <f>'Entrada datos'!D91</f>
        <v>0</v>
      </c>
      <c r="C184" s="71">
        <f>'Entrada datos'!G91</f>
        <v>0</v>
      </c>
      <c r="D184" s="71">
        <f>'Entrada datos'!H91</f>
        <v>0</v>
      </c>
      <c r="E184" s="70">
        <f t="shared" si="6"/>
        <v>0</v>
      </c>
      <c r="F184" s="64" t="e">
        <f t="shared" si="7"/>
        <v>#REF!</v>
      </c>
      <c r="G184" s="70">
        <f>'Entrada datos'!P91</f>
        <v>0</v>
      </c>
      <c r="H184" s="70">
        <f>'Entrada datos'!Q91</f>
        <v>0</v>
      </c>
      <c r="I184" s="70">
        <f>'Entrada datos'!R91</f>
        <v>0</v>
      </c>
      <c r="J184" s="70">
        <f>'Entrada datos'!S91</f>
        <v>0</v>
      </c>
      <c r="K184" s="70">
        <f>'Entrada datos'!T91</f>
        <v>0</v>
      </c>
      <c r="L184" s="70">
        <f>'Entrada datos'!U91</f>
        <v>0</v>
      </c>
      <c r="M184" s="72"/>
      <c r="N184" s="72"/>
      <c r="O184" s="72"/>
      <c r="P184" s="72"/>
      <c r="Q184" s="72"/>
      <c r="R184" s="72"/>
      <c r="S184" s="73" t="s">
        <v>73</v>
      </c>
      <c r="T184" s="73"/>
      <c r="U184" s="73"/>
      <c r="V184" s="73">
        <f t="shared" si="8"/>
        <v>0</v>
      </c>
    </row>
    <row r="185" spans="1:22" x14ac:dyDescent="0.3">
      <c r="A185" s="74">
        <f>'Entrada datos'!C92</f>
        <v>0</v>
      </c>
      <c r="B185" s="70">
        <f>'Entrada datos'!D92</f>
        <v>0</v>
      </c>
      <c r="C185" s="71">
        <f>'Entrada datos'!G92</f>
        <v>0</v>
      </c>
      <c r="D185" s="71">
        <f>'Entrada datos'!H92</f>
        <v>0</v>
      </c>
      <c r="E185" s="70">
        <f t="shared" si="6"/>
        <v>0</v>
      </c>
      <c r="F185" s="64" t="e">
        <f t="shared" si="7"/>
        <v>#REF!</v>
      </c>
      <c r="G185" s="70">
        <f>'Entrada datos'!P92</f>
        <v>0</v>
      </c>
      <c r="H185" s="70">
        <f>'Entrada datos'!Q92</f>
        <v>0</v>
      </c>
      <c r="I185" s="70">
        <f>'Entrada datos'!R92</f>
        <v>0</v>
      </c>
      <c r="J185" s="70">
        <f>'Entrada datos'!S92</f>
        <v>0</v>
      </c>
      <c r="K185" s="70">
        <f>'Entrada datos'!T92</f>
        <v>0</v>
      </c>
      <c r="L185" s="70">
        <f>'Entrada datos'!U92</f>
        <v>0</v>
      </c>
      <c r="M185" s="72"/>
      <c r="N185" s="72"/>
      <c r="O185" s="72"/>
      <c r="P185" s="72"/>
      <c r="Q185" s="72"/>
      <c r="R185" s="72"/>
      <c r="S185" s="73" t="s">
        <v>73</v>
      </c>
      <c r="T185" s="73"/>
      <c r="U185" s="73"/>
      <c r="V185" s="73">
        <f t="shared" si="8"/>
        <v>0</v>
      </c>
    </row>
    <row r="186" spans="1:22" x14ac:dyDescent="0.3">
      <c r="A186" s="74">
        <f>'Entrada datos'!C93</f>
        <v>0</v>
      </c>
      <c r="B186" s="70">
        <f>'Entrada datos'!D93</f>
        <v>0</v>
      </c>
      <c r="C186" s="71">
        <f>'Entrada datos'!G93</f>
        <v>0</v>
      </c>
      <c r="D186" s="71">
        <f>'Entrada datos'!H93</f>
        <v>0</v>
      </c>
      <c r="E186" s="70">
        <f t="shared" si="6"/>
        <v>0</v>
      </c>
      <c r="F186" s="64" t="e">
        <f t="shared" si="7"/>
        <v>#REF!</v>
      </c>
      <c r="G186" s="70">
        <f>'Entrada datos'!P93</f>
        <v>0</v>
      </c>
      <c r="H186" s="70">
        <f>'Entrada datos'!Q93</f>
        <v>0</v>
      </c>
      <c r="I186" s="70">
        <f>'Entrada datos'!R93</f>
        <v>0</v>
      </c>
      <c r="J186" s="70">
        <f>'Entrada datos'!S93</f>
        <v>0</v>
      </c>
      <c r="K186" s="70">
        <f>'Entrada datos'!T93</f>
        <v>0</v>
      </c>
      <c r="L186" s="70">
        <f>'Entrada datos'!U93</f>
        <v>0</v>
      </c>
      <c r="M186" s="72"/>
      <c r="N186" s="72"/>
      <c r="O186" s="72"/>
      <c r="P186" s="72"/>
      <c r="Q186" s="72"/>
      <c r="R186" s="72"/>
      <c r="S186" s="73" t="s">
        <v>73</v>
      </c>
      <c r="T186" s="73"/>
      <c r="U186" s="73"/>
      <c r="V186" s="73">
        <f t="shared" si="8"/>
        <v>0</v>
      </c>
    </row>
    <row r="187" spans="1:22" x14ac:dyDescent="0.3">
      <c r="A187" s="74">
        <f>'Entrada datos'!C94</f>
        <v>0</v>
      </c>
      <c r="B187" s="70">
        <f>'Entrada datos'!D94</f>
        <v>0</v>
      </c>
      <c r="C187" s="71">
        <f>'Entrada datos'!G94</f>
        <v>0</v>
      </c>
      <c r="D187" s="71">
        <f>'Entrada datos'!H94</f>
        <v>0</v>
      </c>
      <c r="E187" s="70">
        <f t="shared" si="6"/>
        <v>0</v>
      </c>
      <c r="F187" s="64" t="e">
        <f t="shared" si="7"/>
        <v>#REF!</v>
      </c>
      <c r="G187" s="70">
        <f>'Entrada datos'!P94</f>
        <v>0</v>
      </c>
      <c r="H187" s="70">
        <f>'Entrada datos'!Q94</f>
        <v>0</v>
      </c>
      <c r="I187" s="70">
        <f>'Entrada datos'!R94</f>
        <v>0</v>
      </c>
      <c r="J187" s="70">
        <f>'Entrada datos'!S94</f>
        <v>0</v>
      </c>
      <c r="K187" s="70">
        <f>'Entrada datos'!T94</f>
        <v>0</v>
      </c>
      <c r="L187" s="70">
        <f>'Entrada datos'!U94</f>
        <v>0</v>
      </c>
      <c r="M187" s="72"/>
      <c r="N187" s="72"/>
      <c r="O187" s="72"/>
      <c r="P187" s="72"/>
      <c r="Q187" s="72"/>
      <c r="R187" s="72"/>
      <c r="S187" s="73" t="s">
        <v>73</v>
      </c>
      <c r="T187" s="73"/>
      <c r="U187" s="73"/>
      <c r="V187" s="73">
        <f t="shared" si="8"/>
        <v>0</v>
      </c>
    </row>
    <row r="188" spans="1:22" x14ac:dyDescent="0.3">
      <c r="A188" s="74">
        <f>'Entrada datos'!C95</f>
        <v>0</v>
      </c>
      <c r="B188" s="70">
        <f>'Entrada datos'!D95</f>
        <v>0</v>
      </c>
      <c r="C188" s="71">
        <f>'Entrada datos'!G95</f>
        <v>0</v>
      </c>
      <c r="D188" s="71">
        <f>'Entrada datos'!H95</f>
        <v>0</v>
      </c>
      <c r="E188" s="70">
        <f t="shared" si="6"/>
        <v>0</v>
      </c>
      <c r="F188" s="64" t="e">
        <f t="shared" si="7"/>
        <v>#REF!</v>
      </c>
      <c r="G188" s="70">
        <f>'Entrada datos'!P95</f>
        <v>0</v>
      </c>
      <c r="H188" s="70">
        <f>'Entrada datos'!Q95</f>
        <v>0</v>
      </c>
      <c r="I188" s="70">
        <f>'Entrada datos'!R95</f>
        <v>0</v>
      </c>
      <c r="J188" s="70">
        <f>'Entrada datos'!S95</f>
        <v>0</v>
      </c>
      <c r="K188" s="70">
        <f>'Entrada datos'!T95</f>
        <v>0</v>
      </c>
      <c r="L188" s="70">
        <f>'Entrada datos'!U95</f>
        <v>0</v>
      </c>
      <c r="M188" s="72"/>
      <c r="N188" s="72"/>
      <c r="O188" s="72"/>
      <c r="P188" s="72"/>
      <c r="Q188" s="72"/>
      <c r="R188" s="72"/>
      <c r="S188" s="73" t="s">
        <v>73</v>
      </c>
      <c r="T188" s="73"/>
      <c r="U188" s="73"/>
      <c r="V188" s="73">
        <f t="shared" si="8"/>
        <v>0</v>
      </c>
    </row>
    <row r="189" spans="1:22" x14ac:dyDescent="0.3">
      <c r="A189" s="74">
        <f>'Entrada datos'!C96</f>
        <v>0</v>
      </c>
      <c r="B189" s="70">
        <f>'Entrada datos'!D96</f>
        <v>0</v>
      </c>
      <c r="C189" s="71">
        <f>'Entrada datos'!G96</f>
        <v>0</v>
      </c>
      <c r="D189" s="71">
        <f>'Entrada datos'!H96</f>
        <v>0</v>
      </c>
      <c r="E189" s="70">
        <f t="shared" si="6"/>
        <v>0</v>
      </c>
      <c r="F189" s="64" t="e">
        <f t="shared" si="7"/>
        <v>#REF!</v>
      </c>
      <c r="G189" s="70">
        <f>'Entrada datos'!P96</f>
        <v>0</v>
      </c>
      <c r="H189" s="70">
        <f>'Entrada datos'!Q96</f>
        <v>0</v>
      </c>
      <c r="I189" s="70">
        <f>'Entrada datos'!R96</f>
        <v>0</v>
      </c>
      <c r="J189" s="70">
        <f>'Entrada datos'!S96</f>
        <v>0</v>
      </c>
      <c r="K189" s="70">
        <f>'Entrada datos'!T96</f>
        <v>0</v>
      </c>
      <c r="L189" s="70">
        <f>'Entrada datos'!U96</f>
        <v>0</v>
      </c>
      <c r="M189" s="72"/>
      <c r="N189" s="72"/>
      <c r="O189" s="72"/>
      <c r="P189" s="72"/>
      <c r="Q189" s="72"/>
      <c r="R189" s="72"/>
      <c r="S189" s="73" t="s">
        <v>73</v>
      </c>
      <c r="T189" s="73"/>
      <c r="U189" s="73"/>
      <c r="V189" s="73">
        <f t="shared" si="8"/>
        <v>0</v>
      </c>
    </row>
    <row r="190" spans="1:22" x14ac:dyDescent="0.3">
      <c r="A190" s="74">
        <f>'Entrada datos'!C97</f>
        <v>0</v>
      </c>
      <c r="B190" s="70">
        <f>'Entrada datos'!D97</f>
        <v>0</v>
      </c>
      <c r="C190" s="71">
        <f>'Entrada datos'!G97</f>
        <v>0</v>
      </c>
      <c r="D190" s="71">
        <f>'Entrada datos'!H97</f>
        <v>0</v>
      </c>
      <c r="E190" s="70">
        <f t="shared" si="6"/>
        <v>0</v>
      </c>
      <c r="F190" s="64" t="e">
        <f t="shared" si="7"/>
        <v>#REF!</v>
      </c>
      <c r="G190" s="70">
        <f>'Entrada datos'!P97</f>
        <v>0</v>
      </c>
      <c r="H190" s="70">
        <f>'Entrada datos'!Q97</f>
        <v>0</v>
      </c>
      <c r="I190" s="70">
        <f>'Entrada datos'!R97</f>
        <v>0</v>
      </c>
      <c r="J190" s="70">
        <f>'Entrada datos'!S97</f>
        <v>0</v>
      </c>
      <c r="K190" s="70">
        <f>'Entrada datos'!T97</f>
        <v>0</v>
      </c>
      <c r="L190" s="70">
        <f>'Entrada datos'!U97</f>
        <v>0</v>
      </c>
      <c r="M190" s="72"/>
      <c r="N190" s="72"/>
      <c r="O190" s="72"/>
      <c r="P190" s="72"/>
      <c r="Q190" s="72"/>
      <c r="R190" s="72"/>
      <c r="S190" s="73" t="s">
        <v>73</v>
      </c>
      <c r="T190" s="73"/>
      <c r="U190" s="73"/>
      <c r="V190" s="73">
        <f t="shared" si="8"/>
        <v>0</v>
      </c>
    </row>
    <row r="191" spans="1:22" x14ac:dyDescent="0.3">
      <c r="A191" s="74">
        <f>'Entrada datos'!C98</f>
        <v>0</v>
      </c>
      <c r="B191" s="70">
        <f>'Entrada datos'!D98</f>
        <v>0</v>
      </c>
      <c r="C191" s="71">
        <f>'Entrada datos'!G98</f>
        <v>0</v>
      </c>
      <c r="D191" s="71">
        <f>'Entrada datos'!H98</f>
        <v>0</v>
      </c>
      <c r="E191" s="70">
        <f t="shared" si="6"/>
        <v>0</v>
      </c>
      <c r="F191" s="64" t="e">
        <f t="shared" si="7"/>
        <v>#REF!</v>
      </c>
      <c r="G191" s="70">
        <f>'Entrada datos'!P98</f>
        <v>0</v>
      </c>
      <c r="H191" s="70">
        <f>'Entrada datos'!Q98</f>
        <v>0</v>
      </c>
      <c r="I191" s="70">
        <f>'Entrada datos'!R98</f>
        <v>0</v>
      </c>
      <c r="J191" s="70">
        <f>'Entrada datos'!S98</f>
        <v>0</v>
      </c>
      <c r="K191" s="70">
        <f>'Entrada datos'!T98</f>
        <v>0</v>
      </c>
      <c r="L191" s="70">
        <f>'Entrada datos'!U98</f>
        <v>0</v>
      </c>
      <c r="M191" s="72"/>
      <c r="N191" s="72"/>
      <c r="O191" s="72"/>
      <c r="P191" s="72"/>
      <c r="Q191" s="72"/>
      <c r="R191" s="72"/>
      <c r="S191" s="73" t="s">
        <v>73</v>
      </c>
      <c r="T191" s="73"/>
      <c r="U191" s="73"/>
      <c r="V191" s="73">
        <f t="shared" si="8"/>
        <v>0</v>
      </c>
    </row>
    <row r="192" spans="1:22" x14ac:dyDescent="0.3">
      <c r="A192" s="74">
        <f>'Entrada datos'!C99</f>
        <v>0</v>
      </c>
      <c r="B192" s="70">
        <f>'Entrada datos'!D99</f>
        <v>0</v>
      </c>
      <c r="C192" s="71">
        <f>'Entrada datos'!G99</f>
        <v>0</v>
      </c>
      <c r="D192" s="71">
        <f>'Entrada datos'!H99</f>
        <v>0</v>
      </c>
      <c r="E192" s="70">
        <f t="shared" si="6"/>
        <v>0</v>
      </c>
      <c r="F192" s="64" t="e">
        <f t="shared" si="7"/>
        <v>#REF!</v>
      </c>
      <c r="G192" s="70">
        <f>'Entrada datos'!P99</f>
        <v>0</v>
      </c>
      <c r="H192" s="70">
        <f>'Entrada datos'!Q99</f>
        <v>0</v>
      </c>
      <c r="I192" s="70">
        <f>'Entrada datos'!R99</f>
        <v>0</v>
      </c>
      <c r="J192" s="70">
        <f>'Entrada datos'!S99</f>
        <v>0</v>
      </c>
      <c r="K192" s="70">
        <f>'Entrada datos'!T99</f>
        <v>0</v>
      </c>
      <c r="L192" s="70">
        <f>'Entrada datos'!U99</f>
        <v>0</v>
      </c>
      <c r="M192" s="72"/>
      <c r="N192" s="72"/>
      <c r="O192" s="72"/>
      <c r="P192" s="72"/>
      <c r="Q192" s="72"/>
      <c r="R192" s="72"/>
      <c r="S192" s="73" t="s">
        <v>73</v>
      </c>
      <c r="T192" s="73"/>
      <c r="U192" s="73"/>
      <c r="V192" s="73">
        <f t="shared" si="8"/>
        <v>0</v>
      </c>
    </row>
    <row r="193" spans="1:22" x14ac:dyDescent="0.3">
      <c r="A193" s="74">
        <f>'Entrada datos'!C100</f>
        <v>0</v>
      </c>
      <c r="B193" s="70">
        <f>'Entrada datos'!D100</f>
        <v>0</v>
      </c>
      <c r="C193" s="71">
        <f>'Entrada datos'!G100</f>
        <v>0</v>
      </c>
      <c r="D193" s="71">
        <f>'Entrada datos'!H100</f>
        <v>0</v>
      </c>
      <c r="E193" s="70">
        <f t="shared" si="6"/>
        <v>0</v>
      </c>
      <c r="F193" s="64" t="e">
        <f t="shared" si="7"/>
        <v>#REF!</v>
      </c>
      <c r="G193" s="70">
        <f>'Entrada datos'!P100</f>
        <v>0</v>
      </c>
      <c r="H193" s="70">
        <f>'Entrada datos'!Q100</f>
        <v>0</v>
      </c>
      <c r="I193" s="70">
        <f>'Entrada datos'!R100</f>
        <v>0</v>
      </c>
      <c r="J193" s="70">
        <f>'Entrada datos'!S100</f>
        <v>0</v>
      </c>
      <c r="K193" s="70">
        <f>'Entrada datos'!T100</f>
        <v>0</v>
      </c>
      <c r="L193" s="70">
        <f>'Entrada datos'!U100</f>
        <v>0</v>
      </c>
      <c r="M193" s="72"/>
      <c r="N193" s="72"/>
      <c r="O193" s="72"/>
      <c r="P193" s="72"/>
      <c r="Q193" s="72"/>
      <c r="R193" s="72"/>
      <c r="S193" s="73" t="s">
        <v>73</v>
      </c>
      <c r="T193" s="73"/>
      <c r="U193" s="73"/>
      <c r="V193" s="73">
        <f t="shared" si="8"/>
        <v>0</v>
      </c>
    </row>
    <row r="194" spans="1:22" x14ac:dyDescent="0.3">
      <c r="A194" s="74">
        <f>'Entrada datos'!C101</f>
        <v>0</v>
      </c>
      <c r="B194" s="70">
        <f>'Entrada datos'!D101</f>
        <v>0</v>
      </c>
      <c r="C194" s="71">
        <f>'Entrada datos'!G101</f>
        <v>0</v>
      </c>
      <c r="D194" s="71">
        <f>'Entrada datos'!H101</f>
        <v>0</v>
      </c>
      <c r="E194" s="70">
        <f t="shared" si="6"/>
        <v>0</v>
      </c>
      <c r="F194" s="64" t="e">
        <f t="shared" si="7"/>
        <v>#REF!</v>
      </c>
      <c r="G194" s="70">
        <f>'Entrada datos'!P101</f>
        <v>0</v>
      </c>
      <c r="H194" s="70">
        <f>'Entrada datos'!Q101</f>
        <v>0</v>
      </c>
      <c r="I194" s="70">
        <f>'Entrada datos'!R101</f>
        <v>0</v>
      </c>
      <c r="J194" s="70">
        <f>'Entrada datos'!S101</f>
        <v>0</v>
      </c>
      <c r="K194" s="70">
        <f>'Entrada datos'!T101</f>
        <v>0</v>
      </c>
      <c r="L194" s="70">
        <f>'Entrada datos'!U101</f>
        <v>0</v>
      </c>
      <c r="M194" s="72"/>
      <c r="N194" s="72"/>
      <c r="O194" s="72"/>
      <c r="P194" s="72"/>
      <c r="Q194" s="72"/>
      <c r="R194" s="72"/>
      <c r="S194" s="73" t="s">
        <v>73</v>
      </c>
      <c r="T194" s="73"/>
      <c r="U194" s="73"/>
      <c r="V194" s="73">
        <f t="shared" si="8"/>
        <v>0</v>
      </c>
    </row>
    <row r="195" spans="1:22" x14ac:dyDescent="0.3">
      <c r="A195" s="74">
        <f>'Entrada datos'!C102</f>
        <v>0</v>
      </c>
      <c r="B195" s="70">
        <f>'Entrada datos'!D102</f>
        <v>0</v>
      </c>
      <c r="C195" s="71">
        <f>'Entrada datos'!G102</f>
        <v>0</v>
      </c>
      <c r="D195" s="71">
        <f>'Entrada datos'!H102</f>
        <v>0</v>
      </c>
      <c r="E195" s="70">
        <f t="shared" si="6"/>
        <v>0</v>
      </c>
      <c r="F195" s="64" t="e">
        <f t="shared" si="7"/>
        <v>#REF!</v>
      </c>
      <c r="G195" s="70">
        <f>'Entrada datos'!P102</f>
        <v>0</v>
      </c>
      <c r="H195" s="70">
        <f>'Entrada datos'!Q102</f>
        <v>0</v>
      </c>
      <c r="I195" s="70">
        <f>'Entrada datos'!R102</f>
        <v>0</v>
      </c>
      <c r="J195" s="70">
        <f>'Entrada datos'!S102</f>
        <v>0</v>
      </c>
      <c r="K195" s="70">
        <f>'Entrada datos'!T102</f>
        <v>0</v>
      </c>
      <c r="L195" s="70">
        <f>'Entrada datos'!U102</f>
        <v>0</v>
      </c>
      <c r="M195" s="72"/>
      <c r="N195" s="72"/>
      <c r="O195" s="72"/>
      <c r="P195" s="72"/>
      <c r="Q195" s="72"/>
      <c r="R195" s="72"/>
      <c r="S195" s="73" t="s">
        <v>73</v>
      </c>
      <c r="T195" s="73"/>
      <c r="U195" s="73"/>
      <c r="V195" s="73">
        <f t="shared" si="8"/>
        <v>0</v>
      </c>
    </row>
    <row r="196" spans="1:22" x14ac:dyDescent="0.3">
      <c r="A196" s="74">
        <f>'Entrada datos'!C103</f>
        <v>0</v>
      </c>
      <c r="B196" s="70">
        <f>'Entrada datos'!D103</f>
        <v>0</v>
      </c>
      <c r="C196" s="71">
        <f>'Entrada datos'!G103</f>
        <v>0</v>
      </c>
      <c r="D196" s="71">
        <f>'Entrada datos'!H103</f>
        <v>0</v>
      </c>
      <c r="E196" s="70">
        <f t="shared" si="6"/>
        <v>0</v>
      </c>
      <c r="F196" s="64" t="e">
        <f t="shared" si="7"/>
        <v>#REF!</v>
      </c>
      <c r="G196" s="70">
        <f>'Entrada datos'!P103</f>
        <v>0</v>
      </c>
      <c r="H196" s="70">
        <f>'Entrada datos'!Q103</f>
        <v>0</v>
      </c>
      <c r="I196" s="70">
        <f>'Entrada datos'!R103</f>
        <v>0</v>
      </c>
      <c r="J196" s="70">
        <f>'Entrada datos'!S103</f>
        <v>0</v>
      </c>
      <c r="K196" s="70">
        <f>'Entrada datos'!T103</f>
        <v>0</v>
      </c>
      <c r="L196" s="70">
        <f>'Entrada datos'!U103</f>
        <v>0</v>
      </c>
      <c r="M196" s="72"/>
      <c r="N196" s="72"/>
      <c r="O196" s="72"/>
      <c r="P196" s="72"/>
      <c r="Q196" s="72"/>
      <c r="R196" s="72"/>
      <c r="S196" s="73" t="s">
        <v>73</v>
      </c>
      <c r="T196" s="73"/>
      <c r="U196" s="73"/>
      <c r="V196" s="73">
        <f t="shared" si="8"/>
        <v>0</v>
      </c>
    </row>
    <row r="197" spans="1:22" x14ac:dyDescent="0.3">
      <c r="A197" s="74">
        <f>'Entrada datos'!C104</f>
        <v>0</v>
      </c>
      <c r="B197" s="70">
        <f>'Entrada datos'!D104</f>
        <v>0</v>
      </c>
      <c r="C197" s="71">
        <f>'Entrada datos'!G104</f>
        <v>0</v>
      </c>
      <c r="D197" s="71">
        <f>'Entrada datos'!H104</f>
        <v>0</v>
      </c>
      <c r="E197" s="70">
        <f t="shared" si="6"/>
        <v>0</v>
      </c>
      <c r="F197" s="64" t="e">
        <f t="shared" si="7"/>
        <v>#REF!</v>
      </c>
      <c r="G197" s="70">
        <f>'Entrada datos'!P104</f>
        <v>0</v>
      </c>
      <c r="H197" s="70">
        <f>'Entrada datos'!Q104</f>
        <v>0</v>
      </c>
      <c r="I197" s="70">
        <f>'Entrada datos'!R104</f>
        <v>0</v>
      </c>
      <c r="J197" s="70">
        <f>'Entrada datos'!S104</f>
        <v>0</v>
      </c>
      <c r="K197" s="70">
        <f>'Entrada datos'!T104</f>
        <v>0</v>
      </c>
      <c r="L197" s="70">
        <f>'Entrada datos'!U104</f>
        <v>0</v>
      </c>
      <c r="M197" s="72"/>
      <c r="N197" s="72"/>
      <c r="O197" s="72"/>
      <c r="P197" s="72"/>
      <c r="Q197" s="72"/>
      <c r="R197" s="72"/>
      <c r="S197" s="73" t="s">
        <v>73</v>
      </c>
      <c r="T197" s="73"/>
      <c r="U197" s="73"/>
      <c r="V197" s="73">
        <f t="shared" si="8"/>
        <v>0</v>
      </c>
    </row>
    <row r="198" spans="1:22" x14ac:dyDescent="0.3">
      <c r="A198" s="74">
        <f>'Entrada datos'!C105</f>
        <v>0</v>
      </c>
      <c r="B198" s="70">
        <f>'Entrada datos'!D105</f>
        <v>0</v>
      </c>
      <c r="C198" s="71">
        <f>'Entrada datos'!G105</f>
        <v>0</v>
      </c>
      <c r="D198" s="71">
        <f>'Entrada datos'!H105</f>
        <v>0</v>
      </c>
      <c r="E198" s="70">
        <f t="shared" ref="E198:E200" si="9">D198-C198</f>
        <v>0</v>
      </c>
      <c r="F198" s="64" t="e">
        <f t="shared" ref="F198:F200" si="10">IF(D198&lt;=$C$2,"no procede","Refacturar")</f>
        <v>#REF!</v>
      </c>
      <c r="G198" s="70">
        <f>'Entrada datos'!P105</f>
        <v>0</v>
      </c>
      <c r="H198" s="70">
        <f>'Entrada datos'!Q105</f>
        <v>0</v>
      </c>
      <c r="I198" s="70">
        <f>'Entrada datos'!R105</f>
        <v>0</v>
      </c>
      <c r="J198" s="70">
        <f>'Entrada datos'!S105</f>
        <v>0</v>
      </c>
      <c r="K198" s="70">
        <f>'Entrada datos'!T105</f>
        <v>0</v>
      </c>
      <c r="L198" s="70">
        <f>'Entrada datos'!U105</f>
        <v>0</v>
      </c>
      <c r="M198" s="72"/>
      <c r="N198" s="72"/>
      <c r="O198" s="72"/>
      <c r="P198" s="72"/>
      <c r="Q198" s="72"/>
      <c r="R198" s="72"/>
      <c r="S198" s="73" t="s">
        <v>73</v>
      </c>
      <c r="T198" s="73"/>
      <c r="U198" s="73"/>
      <c r="V198" s="73">
        <f t="shared" ref="V198:V200" si="11">SUM(G198:L198)</f>
        <v>0</v>
      </c>
    </row>
    <row r="199" spans="1:22" x14ac:dyDescent="0.3">
      <c r="A199" s="74">
        <f>'Entrada datos'!C106</f>
        <v>0</v>
      </c>
      <c r="B199" s="70">
        <f>'Entrada datos'!D106</f>
        <v>0</v>
      </c>
      <c r="C199" s="71">
        <f>'Entrada datos'!G106</f>
        <v>0</v>
      </c>
      <c r="D199" s="71">
        <f>'Entrada datos'!H106</f>
        <v>0</v>
      </c>
      <c r="E199" s="70">
        <f t="shared" si="9"/>
        <v>0</v>
      </c>
      <c r="F199" s="64" t="e">
        <f t="shared" si="10"/>
        <v>#REF!</v>
      </c>
      <c r="G199" s="70">
        <f>'Entrada datos'!P106</f>
        <v>0</v>
      </c>
      <c r="H199" s="70">
        <f>'Entrada datos'!Q106</f>
        <v>0</v>
      </c>
      <c r="I199" s="70">
        <f>'Entrada datos'!R106</f>
        <v>0</v>
      </c>
      <c r="J199" s="70">
        <f>'Entrada datos'!S106</f>
        <v>0</v>
      </c>
      <c r="K199" s="70">
        <f>'Entrada datos'!T106</f>
        <v>0</v>
      </c>
      <c r="L199" s="70">
        <f>'Entrada datos'!U106</f>
        <v>0</v>
      </c>
      <c r="M199" s="72"/>
      <c r="N199" s="72"/>
      <c r="O199" s="72"/>
      <c r="P199" s="72"/>
      <c r="Q199" s="72"/>
      <c r="R199" s="72"/>
      <c r="S199" s="73" t="s">
        <v>73</v>
      </c>
      <c r="T199" s="73"/>
      <c r="U199" s="73"/>
      <c r="V199" s="73">
        <f t="shared" si="11"/>
        <v>0</v>
      </c>
    </row>
    <row r="200" spans="1:22" x14ac:dyDescent="0.3">
      <c r="A200" s="74">
        <f>'Entrada datos'!C107</f>
        <v>0</v>
      </c>
      <c r="B200" s="70">
        <f>'Entrada datos'!D107</f>
        <v>0</v>
      </c>
      <c r="C200" s="71">
        <f>'Entrada datos'!G107</f>
        <v>0</v>
      </c>
      <c r="D200" s="71">
        <f>'Entrada datos'!H107</f>
        <v>0</v>
      </c>
      <c r="E200" s="70">
        <f t="shared" si="9"/>
        <v>0</v>
      </c>
      <c r="F200" s="64" t="e">
        <f t="shared" si="10"/>
        <v>#REF!</v>
      </c>
      <c r="G200" s="70">
        <f>'Entrada datos'!P107</f>
        <v>0</v>
      </c>
      <c r="H200" s="70">
        <f>'Entrada datos'!Q107</f>
        <v>0</v>
      </c>
      <c r="I200" s="70">
        <f>'Entrada datos'!R107</f>
        <v>0</v>
      </c>
      <c r="J200" s="70">
        <f>'Entrada datos'!S107</f>
        <v>0</v>
      </c>
      <c r="K200" s="70">
        <f>'Entrada datos'!T107</f>
        <v>0</v>
      </c>
      <c r="L200" s="70">
        <f>'Entrada datos'!U107</f>
        <v>0</v>
      </c>
      <c r="M200" s="72"/>
      <c r="N200" s="72"/>
      <c r="O200" s="72"/>
      <c r="P200" s="72"/>
      <c r="Q200" s="72"/>
      <c r="R200" s="72"/>
      <c r="S200" s="73" t="s">
        <v>73</v>
      </c>
      <c r="T200" s="73"/>
      <c r="U200" s="73"/>
      <c r="V200" s="73">
        <f t="shared" si="11"/>
        <v>0</v>
      </c>
    </row>
  </sheetData>
  <autoFilter ref="A4:R200" xr:uid="{00000000-0009-0000-0000-000009000000}">
    <filterColumn colId="2">
      <filters>
        <dateGroupItem year="2024" dateTimeGrouping="year"/>
        <dateGroupItem year="2023" dateTimeGrouping="year"/>
        <dateGroupItem year="2022" dateTimeGrouping="year"/>
        <dateGroupItem year="2021" dateTimeGrouping="year"/>
      </filters>
    </filterColumn>
  </autoFilter>
  <dataConsolidate/>
  <mergeCells count="8">
    <mergeCell ref="A1:A2"/>
    <mergeCell ref="S1:S2"/>
    <mergeCell ref="L1:M1"/>
    <mergeCell ref="L2:M2"/>
    <mergeCell ref="J1:K1"/>
    <mergeCell ref="J2:K2"/>
    <mergeCell ref="N1:O1"/>
    <mergeCell ref="N2:O2"/>
  </mergeCells>
  <conditionalFormatting sqref="M5:R200">
    <cfRule type="cellIs" dxfId="0" priority="1" operator="greaterThan">
      <formula>0</formula>
    </cfRule>
  </conditionalFormatting>
  <dataValidations count="3">
    <dataValidation type="list" allowBlank="1" showInputMessage="1" showErrorMessage="1" sqref="F5:F200" xr:uid="{00000000-0002-0000-0900-000000000000}">
      <formula1>"no procede,Refacturar"</formula1>
    </dataValidation>
    <dataValidation type="list" sqref="Y5:HQ200" xr:uid="{00000000-0002-0000-0900-000001000000}">
      <mc:AlternateContent xmlns:x12ac="http://schemas.microsoft.com/office/spreadsheetml/2011/1/ac" xmlns:mc="http://schemas.openxmlformats.org/markup-compatibility/2006">
        <mc:Choice Requires="x12ac">
          <x12ac:list>Tipo V,TV DH,Tipo IV,""""""</x12ac:list>
        </mc:Choice>
        <mc:Fallback>
          <formula1>"Tipo V,TV DH,Tipo IV,"""""</formula1>
        </mc:Fallback>
      </mc:AlternateContent>
    </dataValidation>
    <dataValidation type="list" sqref="S5:S200" xr:uid="{00000000-0002-0000-0900-000002000000}">
      <formula1>$AA$1:$AA$3</formula1>
    </dataValidation>
  </dataValidations>
  <pageMargins left="0.7" right="0.7" top="0.75" bottom="0.75" header="0.3" footer="0.3"/>
  <pageSetup scale="50" orientation="portrait" r:id="rId1"/>
  <headerFooter>
    <oddHeader>&amp;C&amp;"Arial"&amp;8&amp;K000000INTERNAL&amp;1#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Option Button 1">
              <controlPr defaultSize="0" autoFill="0" autoLine="0" autoPict="0" macro="[0]!AhoraDA">
                <anchor moveWithCells="1">
                  <from>
                    <xdr:col>15</xdr:col>
                    <xdr:colOff>83820</xdr:colOff>
                    <xdr:row>1</xdr:row>
                    <xdr:rowOff>121920</xdr:rowOff>
                  </from>
                  <to>
                    <xdr:col>15</xdr:col>
                    <xdr:colOff>518160</xdr:colOff>
                    <xdr:row>1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Option Button 2">
              <controlPr defaultSize="0" autoFill="0" autoLine="0" autoPict="0" macro="[0]!AhoraFR">
                <anchor moveWithCells="1">
                  <from>
                    <xdr:col>15</xdr:col>
                    <xdr:colOff>83820</xdr:colOff>
                    <xdr:row>0</xdr:row>
                    <xdr:rowOff>99060</xdr:rowOff>
                  </from>
                  <to>
                    <xdr:col>15</xdr:col>
                    <xdr:colOff>518160</xdr:colOff>
                    <xdr:row>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Option Button 3">
              <controlPr defaultSize="0" autoFill="0" autoLine="0" autoPict="0" macro="[0]!AhoraValorarCTE">
                <anchor moveWithCells="1">
                  <from>
                    <xdr:col>16</xdr:col>
                    <xdr:colOff>76200</xdr:colOff>
                    <xdr:row>1</xdr:row>
                    <xdr:rowOff>121920</xdr:rowOff>
                  </from>
                  <to>
                    <xdr:col>16</xdr:col>
                    <xdr:colOff>502920</xdr:colOff>
                    <xdr:row>1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Option Button 4">
              <controlPr defaultSize="0" autoFill="0" autoLine="0" autoPict="0" macro="[0]!AhoraValorarCMD">
                <anchor moveWithCells="1">
                  <from>
                    <xdr:col>16</xdr:col>
                    <xdr:colOff>76200</xdr:colOff>
                    <xdr:row>0</xdr:row>
                    <xdr:rowOff>99060</xdr:rowOff>
                  </from>
                  <to>
                    <xdr:col>16</xdr:col>
                    <xdr:colOff>502920</xdr:colOff>
                    <xdr:row>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8" name="Button 17">
              <controlPr defaultSize="0" print="0" autoFill="0" autoPict="0" macro="[0]!AhoraTipoV">
                <anchor moveWithCells="1" sizeWithCells="1">
                  <from>
                    <xdr:col>0</xdr:col>
                    <xdr:colOff>7620</xdr:colOff>
                    <xdr:row>0</xdr:row>
                    <xdr:rowOff>7620</xdr:rowOff>
                  </from>
                  <to>
                    <xdr:col>0</xdr:col>
                    <xdr:colOff>617220</xdr:colOff>
                    <xdr:row>0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9" name="Button 19">
              <controlPr defaultSize="0" print="0" autoFill="0" autoPict="0" macro="[0]!AhoraTipoIV">
                <anchor moveWithCells="1" sizeWithCells="1">
                  <from>
                    <xdr:col>0</xdr:col>
                    <xdr:colOff>7620</xdr:colOff>
                    <xdr:row>1</xdr:row>
                    <xdr:rowOff>182880</xdr:rowOff>
                  </from>
                  <to>
                    <xdr:col>0</xdr:col>
                    <xdr:colOff>617220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" r:id="rId10" name="Button 21">
              <controlPr defaultSize="0" print="0" autoFill="0" autoPict="0" macro="[0]!AhoraTipoVDH">
                <anchor moveWithCells="1" sizeWithCells="1">
                  <from>
                    <xdr:col>0</xdr:col>
                    <xdr:colOff>7620</xdr:colOff>
                    <xdr:row>1</xdr:row>
                    <xdr:rowOff>0</xdr:rowOff>
                  </from>
                  <to>
                    <xdr:col>0</xdr:col>
                    <xdr:colOff>617220</xdr:colOff>
                    <xdr:row>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6" r:id="rId11" name="Option Button 14">
              <controlPr defaultSize="0" autoFill="0" autoLine="0" autoPict="0" macro="[0]!AhoraLimpiar">
                <anchor moveWithCells="1">
                  <from>
                    <xdr:col>17</xdr:col>
                    <xdr:colOff>632460</xdr:colOff>
                    <xdr:row>0</xdr:row>
                    <xdr:rowOff>45720</xdr:rowOff>
                  </from>
                  <to>
                    <xdr:col>19</xdr:col>
                    <xdr:colOff>0</xdr:colOff>
                    <xdr:row>1</xdr:row>
                    <xdr:rowOff>312420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4" r:id="rId12" name="Button 22">
              <controlPr defaultSize="0" print="0" autoFill="0" autoPict="0" macro="[0]!AhoraValidarPeriodo">
                <anchor moveWithCells="1" sizeWithCells="1">
                  <from>
                    <xdr:col>0</xdr:col>
                    <xdr:colOff>640080</xdr:colOff>
                    <xdr:row>0</xdr:row>
                    <xdr:rowOff>7620</xdr:rowOff>
                  </from>
                  <to>
                    <xdr:col>1</xdr:col>
                    <xdr:colOff>518160</xdr:colOff>
                    <xdr:row>1</xdr:row>
                    <xdr:rowOff>350520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5"/>
  <dimension ref="A1:AS103"/>
  <sheetViews>
    <sheetView workbookViewId="0">
      <selection activeCell="B1" sqref="B1"/>
    </sheetView>
  </sheetViews>
  <sheetFormatPr baseColWidth="10" defaultRowHeight="14.4" x14ac:dyDescent="0.3"/>
  <cols>
    <col min="1" max="1" width="15" customWidth="1"/>
  </cols>
  <sheetData>
    <row r="1" spans="1:27" x14ac:dyDescent="0.3">
      <c r="A1" s="58" t="s">
        <v>83</v>
      </c>
      <c r="B1" s="57" t="s">
        <v>82</v>
      </c>
      <c r="AA1" t="str">
        <f>CONCATENATE(A1," ",B1)</f>
        <v>Valoración por: FR</v>
      </c>
    </row>
    <row r="2" spans="1:27" x14ac:dyDescent="0.3">
      <c r="B2" s="1"/>
    </row>
    <row r="3" spans="1:27" x14ac:dyDescent="0.3">
      <c r="A3" s="39" t="str">
        <f>IF(B1="FR",A99,IF(B1="DA",A100,IF(B1="CTE",A101,IF(B1="CMD",A102,IF(B1="Histórico",A103)))))</f>
        <v>Se valora por FR en función a la potencia contratada (PC) o debida de contratar por "X" horas de utilizacion y por "XXX" días, correspondientes al periodo de anomalia, a cuya energía resultante se le resta la energía facturada por ciclo.</v>
      </c>
      <c r="AA3" t="str">
        <f>A3</f>
        <v>Se valora por FR en función a la potencia contratada (PC) o debida de contratar por "X" horas de utilizacion y por "XXX" días, correspondientes al periodo de anomalia, a cuya energía resultante se le resta la energía facturada por ciclo.</v>
      </c>
    </row>
    <row r="5" spans="1:27" x14ac:dyDescent="0.3">
      <c r="A5" t="s">
        <v>87</v>
      </c>
      <c r="B5" s="60" t="e">
        <f>Valoración!C2</f>
        <v>#REF!</v>
      </c>
      <c r="AA5" t="e">
        <f>CONCATENATE(A5," ",TEXT(B5,"dd/mm/aaaa"))</f>
        <v>#REF!</v>
      </c>
    </row>
    <row r="7" spans="1:27" x14ac:dyDescent="0.3">
      <c r="A7" t="s">
        <v>54</v>
      </c>
      <c r="B7" s="61" t="e">
        <f>Valoración!C2</f>
        <v>#REF!</v>
      </c>
      <c r="C7" s="1" t="s">
        <v>78</v>
      </c>
      <c r="D7" s="60" t="e">
        <f>Valoración!D2</f>
        <v>#REF!</v>
      </c>
      <c r="AA7" t="e">
        <f>CONCATENATE(A7," ",TEXT(B7,"dd/mm/aaaa")," ",C7," ",TEXT(D7,"dd/mm/aaaa"))</f>
        <v>#REF!</v>
      </c>
    </row>
    <row r="8" spans="1:27" x14ac:dyDescent="0.3">
      <c r="A8" t="s">
        <v>88</v>
      </c>
      <c r="B8" s="39" t="e">
        <f>D7-B7</f>
        <v>#REF!</v>
      </c>
      <c r="C8" t="s">
        <v>89</v>
      </c>
      <c r="AA8" t="e">
        <f>CONCATENATE(A8," ",B8," ",C8)</f>
        <v>#REF!</v>
      </c>
    </row>
    <row r="9" spans="1:27" x14ac:dyDescent="0.3">
      <c r="A9" t="s">
        <v>85</v>
      </c>
      <c r="B9" s="39">
        <f>Valoración!E2</f>
        <v>0</v>
      </c>
      <c r="C9" t="s">
        <v>79</v>
      </c>
      <c r="AA9" t="str">
        <f>CONCATENATE(A9," ",B9," ",C9)</f>
        <v>PC: 0 kWh.</v>
      </c>
    </row>
    <row r="11" spans="1:27" x14ac:dyDescent="0.3">
      <c r="A11" t="s">
        <v>77</v>
      </c>
      <c r="B11" s="60" t="str">
        <f>IF($B$1="CMD",Listado!$AD$25,"No Aplica")</f>
        <v>No Aplica</v>
      </c>
      <c r="C11" s="1" t="s">
        <v>78</v>
      </c>
      <c r="D11" s="2" t="str">
        <f>IF($B$1="CMD",Listado!$AE$25,"No Aplica")</f>
        <v>No Aplica</v>
      </c>
      <c r="AA11" t="str">
        <f>CONCATENATE(A11," ",TEXT(B11,"dd/mm/aaaa")," ",C11," ",TEXT(D11,"dd/mm/aaaa"))</f>
        <v>Periodo de referencia: No Aplica a No Aplica</v>
      </c>
    </row>
    <row r="12" spans="1:27" x14ac:dyDescent="0.3">
      <c r="A12" t="s">
        <v>81</v>
      </c>
      <c r="B12" s="39" t="str">
        <f>IF($B$1="CMD",Listado!$AE$28,"No Aplica")</f>
        <v>No Aplica</v>
      </c>
      <c r="C12" s="18"/>
      <c r="D12" s="1"/>
      <c r="E12" s="18"/>
      <c r="AA12" t="str">
        <f>CONCATENATE(A12," ",B12)</f>
        <v>Consumo: No Aplica</v>
      </c>
    </row>
    <row r="13" spans="1:27" x14ac:dyDescent="0.3">
      <c r="A13" t="s">
        <v>76</v>
      </c>
      <c r="B13" s="39" t="str">
        <f>IF($B$1="CMD",Listado!$AE$26,"No Aplica")</f>
        <v>No Aplica</v>
      </c>
      <c r="AA13" t="str">
        <f>CONCATENATE(A13," ",B13)</f>
        <v>Días: No Aplica</v>
      </c>
    </row>
    <row r="15" spans="1:27" x14ac:dyDescent="0.3">
      <c r="A15" s="57" t="str">
        <f>IF($B$1="FR","HU:",IF($B$1="DA","HU:",IF($B$1="CTE","CTE:",IF($B$1="CMD","CMD:"))))</f>
        <v>HU:</v>
      </c>
      <c r="B15" s="62">
        <f>IF(A15="HU:",Valoración!F2,IF(A15="CMD:",Valoración!G2,IF(A15="CTE:",Valoración!H2,"---")))</f>
        <v>0</v>
      </c>
      <c r="AA15" t="str">
        <f>CONCATENATE(A15," ",B15)</f>
        <v>HU: 0</v>
      </c>
    </row>
    <row r="17" spans="1:27" x14ac:dyDescent="0.3">
      <c r="A17" t="s">
        <v>163</v>
      </c>
      <c r="C17" s="59" t="e">
        <f>Valoración!N2</f>
        <v>#REF!</v>
      </c>
      <c r="D17" t="s">
        <v>79</v>
      </c>
      <c r="AA17" t="e">
        <f>CONCATENATE(A17," ",B17," ",TEXT(C17,"0")," ",D17)</f>
        <v>#REF!</v>
      </c>
    </row>
    <row r="19" spans="1:27" x14ac:dyDescent="0.3">
      <c r="A19" t="s">
        <v>154</v>
      </c>
    </row>
    <row r="20" spans="1:27" x14ac:dyDescent="0.3">
      <c r="AA20" t="str">
        <f>CONCATENATE(A19," ",B20," ",TEXT(C20," ")," ",D20)</f>
        <v xml:space="preserve">Aclaración:     </v>
      </c>
    </row>
    <row r="50" spans="1:45" x14ac:dyDescent="0.3">
      <c r="A50" t="s">
        <v>110</v>
      </c>
      <c r="B50" t="s">
        <v>111</v>
      </c>
      <c r="C50" t="s">
        <v>112</v>
      </c>
      <c r="D50" t="s">
        <v>113</v>
      </c>
      <c r="E50" t="s">
        <v>114</v>
      </c>
      <c r="F50" t="s">
        <v>115</v>
      </c>
      <c r="G50" t="s">
        <v>116</v>
      </c>
      <c r="H50" t="s">
        <v>57</v>
      </c>
      <c r="I50" t="s">
        <v>117</v>
      </c>
      <c r="J50" t="s">
        <v>118</v>
      </c>
      <c r="K50" t="s">
        <v>119</v>
      </c>
      <c r="L50" t="s">
        <v>120</v>
      </c>
      <c r="M50" t="s">
        <v>121</v>
      </c>
      <c r="N50" t="s">
        <v>122</v>
      </c>
      <c r="O50" t="s">
        <v>123</v>
      </c>
      <c r="P50" t="s">
        <v>124</v>
      </c>
      <c r="Q50" t="s">
        <v>125</v>
      </c>
      <c r="R50" t="s">
        <v>126</v>
      </c>
      <c r="S50" t="s">
        <v>127</v>
      </c>
      <c r="T50" t="s">
        <v>128</v>
      </c>
      <c r="U50" t="s">
        <v>129</v>
      </c>
      <c r="V50" t="s">
        <v>130</v>
      </c>
      <c r="W50" t="s">
        <v>131</v>
      </c>
      <c r="X50" t="s">
        <v>132</v>
      </c>
      <c r="Y50" t="s">
        <v>133</v>
      </c>
      <c r="Z50" t="s">
        <v>134</v>
      </c>
      <c r="AA50" t="s">
        <v>135</v>
      </c>
      <c r="AB50" t="s">
        <v>136</v>
      </c>
      <c r="AC50" t="s">
        <v>137</v>
      </c>
      <c r="AD50" t="s">
        <v>138</v>
      </c>
      <c r="AE50" t="s">
        <v>139</v>
      </c>
      <c r="AF50" t="s">
        <v>140</v>
      </c>
      <c r="AG50" t="s">
        <v>141</v>
      </c>
      <c r="AH50" t="s">
        <v>142</v>
      </c>
      <c r="AI50" t="s">
        <v>143</v>
      </c>
      <c r="AJ50" t="s">
        <v>144</v>
      </c>
      <c r="AK50" t="s">
        <v>145</v>
      </c>
      <c r="AL50" t="s">
        <v>146</v>
      </c>
      <c r="AM50" t="s">
        <v>147</v>
      </c>
      <c r="AN50" t="s">
        <v>148</v>
      </c>
      <c r="AO50" t="s">
        <v>149</v>
      </c>
      <c r="AP50" t="s">
        <v>150</v>
      </c>
      <c r="AQ50" t="s">
        <v>151</v>
      </c>
      <c r="AR50" t="s">
        <v>152</v>
      </c>
      <c r="AS50" t="s">
        <v>153</v>
      </c>
    </row>
    <row r="99" spans="1:1" x14ac:dyDescent="0.3">
      <c r="A99" t="s">
        <v>92</v>
      </c>
    </row>
    <row r="100" spans="1:1" x14ac:dyDescent="0.3">
      <c r="A100" t="s">
        <v>84</v>
      </c>
    </row>
    <row r="101" spans="1:1" x14ac:dyDescent="0.3">
      <c r="A101" t="s">
        <v>155</v>
      </c>
    </row>
    <row r="102" spans="1:1" x14ac:dyDescent="0.3">
      <c r="A102" t="s">
        <v>156</v>
      </c>
    </row>
    <row r="103" spans="1:1" x14ac:dyDescent="0.3">
      <c r="A103" t="s">
        <v>162</v>
      </c>
    </row>
  </sheetData>
  <dataValidations count="4">
    <dataValidation type="list" allowBlank="1" showInputMessage="1" showErrorMessage="1" sqref="B2" xr:uid="{00000000-0002-0000-0A00-000000000000}">
      <formula1>"FR,DA,CTE,CMD"</formula1>
    </dataValidation>
    <dataValidation type="list" allowBlank="1" showInputMessage="1" showErrorMessage="1" sqref="S107:S108" xr:uid="{00000000-0002-0000-0A00-000001000000}">
      <mc:AlternateContent xmlns:x12ac="http://schemas.microsoft.com/office/spreadsheetml/2011/1/ac" xmlns:mc="http://schemas.openxmlformats.org/markup-compatibility/2006">
        <mc:Choice Requires="x12ac">
          <x12ac:list>Tipo V,TV DH,Tipo IV,""""""</x12ac:list>
        </mc:Choice>
        <mc:Fallback>
          <formula1>"Tipo V,TV DH,Tipo IV,"""""</formula1>
        </mc:Fallback>
      </mc:AlternateContent>
    </dataValidation>
    <dataValidation type="list" allowBlank="1" showInputMessage="1" showErrorMessage="1" sqref="F107:F108" xr:uid="{00000000-0002-0000-0A00-000002000000}">
      <formula1>"no procede,Refacturar"</formula1>
    </dataValidation>
    <dataValidation type="list" allowBlank="1" showInputMessage="1" showErrorMessage="1" sqref="B1" xr:uid="{070F783F-208F-431D-BDDD-8B6622A34A50}">
      <formula1>"FR,DA,CTE,CMD,Histórico"</formula1>
    </dataValidation>
  </dataValidations>
  <pageMargins left="0.7" right="0.7" top="0.75" bottom="0.75" header="0.3" footer="0.3"/>
  <pageSetup paperSize="9" orientation="portrait" r:id="rId1"/>
  <headerFooter>
    <oddHeader>&amp;C&amp;"Arial"&amp;8&amp;K000000INTERNAL&amp;1#</oddHead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Hojas de cálculo</vt:lpstr>
      </vt:variant>
      <vt:variant>
        <vt:i4>9</vt:i4>
      </vt:variant>
      <vt:variant>
        <vt:lpstr>Gráficos</vt:lpstr>
      </vt:variant>
      <vt:variant>
        <vt:i4>2</vt:i4>
      </vt:variant>
      <vt:variant>
        <vt:lpstr>Rangos con nombre</vt:lpstr>
      </vt:variant>
      <vt:variant>
        <vt:i4>4</vt:i4>
      </vt:variant>
    </vt:vector>
  </HeadingPairs>
  <TitlesOfParts>
    <vt:vector size="15" baseType="lpstr">
      <vt:lpstr>Entrada datos</vt:lpstr>
      <vt:lpstr>Suma</vt:lpstr>
      <vt:lpstr>Temp Hisfa</vt:lpstr>
      <vt:lpstr>Vista por años</vt:lpstr>
      <vt:lpstr>Comparativa mensual</vt:lpstr>
      <vt:lpstr>Listado</vt:lpstr>
      <vt:lpstr>Resumen</vt:lpstr>
      <vt:lpstr>Valoración</vt:lpstr>
      <vt:lpstr>Comentario</vt:lpstr>
      <vt:lpstr>Gráfico1</vt:lpstr>
      <vt:lpstr>Gráfico2</vt:lpstr>
      <vt:lpstr>Listado!Área_de_impresión</vt:lpstr>
      <vt:lpstr>Resumen!Área_de_impresión</vt:lpstr>
      <vt:lpstr>Valoración!Área_de_impresión</vt:lpstr>
      <vt:lpstr>'Vista por años'!Área_de_impresión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joseluis.torres@enel.com</dc:creator>
  <cp:lastModifiedBy>Jullieth Lozano hidalgo</cp:lastModifiedBy>
  <cp:lastPrinted>2019-03-20T22:14:22Z</cp:lastPrinted>
  <dcterms:created xsi:type="dcterms:W3CDTF">2013-08-13T15:24:08Z</dcterms:created>
  <dcterms:modified xsi:type="dcterms:W3CDTF">2025-11-08T03:48:02Z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797ad33d-ed35-43c0-b526-22bc83c17deb_Enabled">
    <vt:lpwstr>true</vt:lpwstr>
  </property>
  <property fmtid="{D5CDD505-2E9C-101B-9397-08002B2CF9AE}" pid="3" name="MSIP_Label_797ad33d-ed35-43c0-b526-22bc83c17deb_SetDate">
    <vt:lpwstr>2023-01-30T08:31:58Z</vt:lpwstr>
  </property>
  <property fmtid="{D5CDD505-2E9C-101B-9397-08002B2CF9AE}" pid="4" name="MSIP_Label_797ad33d-ed35-43c0-b526-22bc83c17deb_Method">
    <vt:lpwstr>Standard</vt:lpwstr>
  </property>
  <property fmtid="{D5CDD505-2E9C-101B-9397-08002B2CF9AE}" pid="5" name="MSIP_Label_797ad33d-ed35-43c0-b526-22bc83c17deb_Name">
    <vt:lpwstr>797ad33d-ed35-43c0-b526-22bc83c17deb</vt:lpwstr>
  </property>
  <property fmtid="{D5CDD505-2E9C-101B-9397-08002B2CF9AE}" pid="6" name="MSIP_Label_797ad33d-ed35-43c0-b526-22bc83c17deb_SiteId">
    <vt:lpwstr>d539d4bf-5610-471a-afc2-1c76685cfefa</vt:lpwstr>
  </property>
  <property fmtid="{D5CDD505-2E9C-101B-9397-08002B2CF9AE}" pid="7" name="MSIP_Label_797ad33d-ed35-43c0-b526-22bc83c17deb_ActionId">
    <vt:lpwstr>4394256c-1f60-469a-a85d-32e93c116884</vt:lpwstr>
  </property>
  <property fmtid="{D5CDD505-2E9C-101B-9397-08002B2CF9AE}" pid="8" name="MSIP_Label_797ad33d-ed35-43c0-b526-22bc83c17deb_ContentBits">
    <vt:lpwstr>1</vt:lpwstr>
  </property>
</Properties>
</file>